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BC\Desktop\Excel iota\excel projects\"/>
    </mc:Choice>
  </mc:AlternateContent>
  <bookViews>
    <workbookView xWindow="-108" yWindow="-108" windowWidth="23256" windowHeight="12456" activeTab="2"/>
  </bookViews>
  <sheets>
    <sheet name="Subscription Cohort Data" sheetId="9" r:id="rId1"/>
    <sheet name="Data Description" sheetId="10" r:id="rId2"/>
    <sheet name="Questions for Analysis " sheetId="18" r:id="rId3"/>
    <sheet name="Data prepration" sheetId="17" r:id="rId4"/>
    <sheet name="Data Analysis Tasks" sheetId="12" r:id="rId5"/>
    <sheet name="Visualization &amp; Reporting" sheetId="13" r:id="rId6"/>
    <sheet name="Requirements" sheetId="11" r:id="rId7"/>
    <sheet name="DashBoard" sheetId="15" r:id="rId8"/>
  </sheets>
  <definedNames>
    <definedName name="_xlnm._FilterDatabase" localSheetId="4" hidden="1">'Data Analysis Tasks'!$B$18:$C$388</definedName>
    <definedName name="_xlnm._FilterDatabase" localSheetId="3" hidden="1">'Data prepration'!$C$1:$C$3070</definedName>
    <definedName name="_xlnm._FilterDatabase" localSheetId="0" hidden="1">'Subscription Cohort Data'!$A$1:$G$3070</definedName>
    <definedName name="Slicer_Years__created_date1">#N/A</definedName>
  </definedNames>
  <calcPr calcId="152511"/>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2" l="1"/>
  <c r="E43" i="18"/>
  <c r="D43" i="18"/>
  <c r="F42" i="18"/>
  <c r="F41" i="18"/>
  <c r="J5" i="15"/>
  <c r="F5" i="15"/>
  <c r="M5" i="15"/>
  <c r="B5" i="15"/>
  <c r="D21" i="18" l="1"/>
  <c r="K2" i="17"/>
  <c r="C19" i="12" l="1"/>
  <c r="D11" i="12"/>
  <c r="E11" i="12" s="1"/>
  <c r="E10" i="12"/>
  <c r="D10" i="12"/>
  <c r="D6" i="12"/>
  <c r="E24" i="12" s="1"/>
  <c r="D5" i="12"/>
  <c r="L3070" i="17"/>
  <c r="K3070" i="17"/>
  <c r="J3070" i="17"/>
  <c r="I3070" i="17"/>
  <c r="H3070" i="17"/>
  <c r="G3070" i="17"/>
  <c r="L3069" i="17"/>
  <c r="K3069" i="17"/>
  <c r="J3069" i="17"/>
  <c r="I3069" i="17"/>
  <c r="H3069" i="17"/>
  <c r="G3069" i="17"/>
  <c r="L3068" i="17"/>
  <c r="K3068" i="17"/>
  <c r="J3068" i="17"/>
  <c r="I3068" i="17"/>
  <c r="H3068" i="17"/>
  <c r="G3068" i="17"/>
  <c r="L3067" i="17"/>
  <c r="K3067" i="17"/>
  <c r="J3067" i="17"/>
  <c r="I3067" i="17"/>
  <c r="H3067" i="17"/>
  <c r="G3067" i="17"/>
  <c r="L3066" i="17"/>
  <c r="K3066" i="17"/>
  <c r="J3066" i="17"/>
  <c r="I3066" i="17"/>
  <c r="H3066" i="17"/>
  <c r="G3066" i="17"/>
  <c r="L3065" i="17"/>
  <c r="K3065" i="17"/>
  <c r="J3065" i="17"/>
  <c r="I3065" i="17"/>
  <c r="H3065" i="17"/>
  <c r="G3065" i="17"/>
  <c r="L3064" i="17"/>
  <c r="K3064" i="17"/>
  <c r="J3064" i="17"/>
  <c r="I3064" i="17"/>
  <c r="H3064" i="17"/>
  <c r="G3064" i="17"/>
  <c r="L3063" i="17"/>
  <c r="K3063" i="17"/>
  <c r="J3063" i="17"/>
  <c r="I3063" i="17"/>
  <c r="H3063" i="17"/>
  <c r="G3063" i="17"/>
  <c r="L3062" i="17"/>
  <c r="K3062" i="17"/>
  <c r="J3062" i="17"/>
  <c r="I3062" i="17"/>
  <c r="H3062" i="17"/>
  <c r="G3062" i="17"/>
  <c r="L3061" i="17"/>
  <c r="K3061" i="17"/>
  <c r="J3061" i="17"/>
  <c r="I3061" i="17"/>
  <c r="H3061" i="17"/>
  <c r="G3061" i="17"/>
  <c r="L3060" i="17"/>
  <c r="K3060" i="17"/>
  <c r="J3060" i="17"/>
  <c r="I3060" i="17"/>
  <c r="H3060" i="17"/>
  <c r="G3060" i="17"/>
  <c r="L3059" i="17"/>
  <c r="K3059" i="17"/>
  <c r="J3059" i="17"/>
  <c r="I3059" i="17"/>
  <c r="H3059" i="17"/>
  <c r="G3059" i="17"/>
  <c r="L3058" i="17"/>
  <c r="K3058" i="17"/>
  <c r="J3058" i="17"/>
  <c r="I3058" i="17"/>
  <c r="H3058" i="17"/>
  <c r="G3058" i="17"/>
  <c r="L3057" i="17"/>
  <c r="K3057" i="17"/>
  <c r="J3057" i="17"/>
  <c r="I3057" i="17"/>
  <c r="H3057" i="17"/>
  <c r="G3057" i="17"/>
  <c r="L3056" i="17"/>
  <c r="K3056" i="17"/>
  <c r="J3056" i="17"/>
  <c r="I3056" i="17"/>
  <c r="H3056" i="17"/>
  <c r="G3056" i="17"/>
  <c r="L3055" i="17"/>
  <c r="K3055" i="17"/>
  <c r="J3055" i="17"/>
  <c r="I3055" i="17"/>
  <c r="H3055" i="17"/>
  <c r="G3055" i="17"/>
  <c r="L3054" i="17"/>
  <c r="K3054" i="17"/>
  <c r="J3054" i="17"/>
  <c r="I3054" i="17"/>
  <c r="H3054" i="17"/>
  <c r="G3054" i="17"/>
  <c r="L3053" i="17"/>
  <c r="K3053" i="17"/>
  <c r="J3053" i="17"/>
  <c r="I3053" i="17"/>
  <c r="H3053" i="17"/>
  <c r="G3053" i="17"/>
  <c r="L3052" i="17"/>
  <c r="K3052" i="17"/>
  <c r="J3052" i="17"/>
  <c r="I3052" i="17"/>
  <c r="H3052" i="17"/>
  <c r="G3052" i="17"/>
  <c r="L3051" i="17"/>
  <c r="K3051" i="17"/>
  <c r="J3051" i="17"/>
  <c r="I3051" i="17"/>
  <c r="H3051" i="17"/>
  <c r="G3051" i="17"/>
  <c r="L3050" i="17"/>
  <c r="K3050" i="17"/>
  <c r="J3050" i="17"/>
  <c r="I3050" i="17"/>
  <c r="H3050" i="17"/>
  <c r="G3050" i="17"/>
  <c r="L3049" i="17"/>
  <c r="K3049" i="17"/>
  <c r="J3049" i="17"/>
  <c r="I3049" i="17"/>
  <c r="H3049" i="17"/>
  <c r="G3049" i="17"/>
  <c r="L3048" i="17"/>
  <c r="K3048" i="17"/>
  <c r="J3048" i="17"/>
  <c r="I3048" i="17"/>
  <c r="H3048" i="17"/>
  <c r="G3048" i="17"/>
  <c r="L3047" i="17"/>
  <c r="K3047" i="17"/>
  <c r="J3047" i="17"/>
  <c r="I3047" i="17"/>
  <c r="H3047" i="17"/>
  <c r="G3047" i="17"/>
  <c r="L3046" i="17"/>
  <c r="K3046" i="17"/>
  <c r="J3046" i="17"/>
  <c r="I3046" i="17"/>
  <c r="H3046" i="17"/>
  <c r="G3046" i="17"/>
  <c r="L3045" i="17"/>
  <c r="K3045" i="17"/>
  <c r="J3045" i="17"/>
  <c r="I3045" i="17"/>
  <c r="H3045" i="17"/>
  <c r="G3045" i="17"/>
  <c r="L3044" i="17"/>
  <c r="K3044" i="17"/>
  <c r="J3044" i="17"/>
  <c r="I3044" i="17"/>
  <c r="H3044" i="17"/>
  <c r="G3044" i="17"/>
  <c r="L3043" i="17"/>
  <c r="K3043" i="17"/>
  <c r="J3043" i="17"/>
  <c r="I3043" i="17"/>
  <c r="H3043" i="17"/>
  <c r="G3043" i="17"/>
  <c r="L3042" i="17"/>
  <c r="K3042" i="17"/>
  <c r="J3042" i="17"/>
  <c r="I3042" i="17"/>
  <c r="H3042" i="17"/>
  <c r="G3042" i="17"/>
  <c r="L3041" i="17"/>
  <c r="K3041" i="17"/>
  <c r="J3041" i="17"/>
  <c r="I3041" i="17"/>
  <c r="H3041" i="17"/>
  <c r="G3041" i="17"/>
  <c r="L3040" i="17"/>
  <c r="K3040" i="17"/>
  <c r="J3040" i="17"/>
  <c r="I3040" i="17"/>
  <c r="H3040" i="17"/>
  <c r="G3040" i="17"/>
  <c r="L3039" i="17"/>
  <c r="K3039" i="17"/>
  <c r="J3039" i="17"/>
  <c r="I3039" i="17"/>
  <c r="H3039" i="17"/>
  <c r="G3039" i="17"/>
  <c r="L3038" i="17"/>
  <c r="K3038" i="17"/>
  <c r="J3038" i="17"/>
  <c r="I3038" i="17"/>
  <c r="H3038" i="17"/>
  <c r="G3038" i="17"/>
  <c r="L3037" i="17"/>
  <c r="K3037" i="17"/>
  <c r="J3037" i="17"/>
  <c r="I3037" i="17"/>
  <c r="H3037" i="17"/>
  <c r="G3037" i="17"/>
  <c r="L3036" i="17"/>
  <c r="K3036" i="17"/>
  <c r="J3036" i="17"/>
  <c r="I3036" i="17"/>
  <c r="H3036" i="17"/>
  <c r="G3036" i="17"/>
  <c r="L3035" i="17"/>
  <c r="K3035" i="17"/>
  <c r="J3035" i="17"/>
  <c r="I3035" i="17"/>
  <c r="H3035" i="17"/>
  <c r="G3035" i="17"/>
  <c r="L3034" i="17"/>
  <c r="K3034" i="17"/>
  <c r="J3034" i="17"/>
  <c r="I3034" i="17"/>
  <c r="H3034" i="17"/>
  <c r="G3034" i="17"/>
  <c r="L3033" i="17"/>
  <c r="K3033" i="17"/>
  <c r="J3033" i="17"/>
  <c r="I3033" i="17"/>
  <c r="H3033" i="17"/>
  <c r="G3033" i="17"/>
  <c r="L3032" i="17"/>
  <c r="K3032" i="17"/>
  <c r="J3032" i="17"/>
  <c r="I3032" i="17"/>
  <c r="H3032" i="17"/>
  <c r="G3032" i="17"/>
  <c r="L3031" i="17"/>
  <c r="K3031" i="17"/>
  <c r="J3031" i="17"/>
  <c r="I3031" i="17"/>
  <c r="H3031" i="17"/>
  <c r="G3031" i="17"/>
  <c r="L3030" i="17"/>
  <c r="K3030" i="17"/>
  <c r="J3030" i="17"/>
  <c r="I3030" i="17"/>
  <c r="H3030" i="17"/>
  <c r="G3030" i="17"/>
  <c r="L3029" i="17"/>
  <c r="K3029" i="17"/>
  <c r="J3029" i="17"/>
  <c r="I3029" i="17"/>
  <c r="H3029" i="17"/>
  <c r="G3029" i="17"/>
  <c r="L3028" i="17"/>
  <c r="K3028" i="17"/>
  <c r="J3028" i="17"/>
  <c r="I3028" i="17"/>
  <c r="H3028" i="17"/>
  <c r="G3028" i="17"/>
  <c r="L3027" i="17"/>
  <c r="K3027" i="17"/>
  <c r="J3027" i="17"/>
  <c r="I3027" i="17"/>
  <c r="H3027" i="17"/>
  <c r="G3027" i="17"/>
  <c r="L3026" i="17"/>
  <c r="K3026" i="17"/>
  <c r="J3026" i="17"/>
  <c r="I3026" i="17"/>
  <c r="H3026" i="17"/>
  <c r="G3026" i="17"/>
  <c r="L3025" i="17"/>
  <c r="K3025" i="17"/>
  <c r="J3025" i="17"/>
  <c r="I3025" i="17"/>
  <c r="H3025" i="17"/>
  <c r="G3025" i="17"/>
  <c r="L3024" i="17"/>
  <c r="K3024" i="17"/>
  <c r="J3024" i="17"/>
  <c r="I3024" i="17"/>
  <c r="H3024" i="17"/>
  <c r="G3024" i="17"/>
  <c r="L3023" i="17"/>
  <c r="K3023" i="17"/>
  <c r="J3023" i="17"/>
  <c r="I3023" i="17"/>
  <c r="H3023" i="17"/>
  <c r="G3023" i="17"/>
  <c r="L3022" i="17"/>
  <c r="K3022" i="17"/>
  <c r="J3022" i="17"/>
  <c r="I3022" i="17"/>
  <c r="H3022" i="17"/>
  <c r="G3022" i="17"/>
  <c r="L3021" i="17"/>
  <c r="K3021" i="17"/>
  <c r="J3021" i="17"/>
  <c r="I3021" i="17"/>
  <c r="H3021" i="17"/>
  <c r="G3021" i="17"/>
  <c r="L3020" i="17"/>
  <c r="K3020" i="17"/>
  <c r="J3020" i="17"/>
  <c r="I3020" i="17"/>
  <c r="H3020" i="17"/>
  <c r="G3020" i="17"/>
  <c r="L3019" i="17"/>
  <c r="K3019" i="17"/>
  <c r="J3019" i="17"/>
  <c r="I3019" i="17"/>
  <c r="H3019" i="17"/>
  <c r="G3019" i="17"/>
  <c r="L3018" i="17"/>
  <c r="K3018" i="17"/>
  <c r="J3018" i="17"/>
  <c r="I3018" i="17"/>
  <c r="H3018" i="17"/>
  <c r="G3018" i="17"/>
  <c r="L3017" i="17"/>
  <c r="K3017" i="17"/>
  <c r="J3017" i="17"/>
  <c r="I3017" i="17"/>
  <c r="H3017" i="17"/>
  <c r="G3017" i="17"/>
  <c r="L3016" i="17"/>
  <c r="K3016" i="17"/>
  <c r="J3016" i="17"/>
  <c r="I3016" i="17"/>
  <c r="H3016" i="17"/>
  <c r="G3016" i="17"/>
  <c r="L3015" i="17"/>
  <c r="K3015" i="17"/>
  <c r="J3015" i="17"/>
  <c r="I3015" i="17"/>
  <c r="H3015" i="17"/>
  <c r="G3015" i="17"/>
  <c r="L3014" i="17"/>
  <c r="K3014" i="17"/>
  <c r="J3014" i="17"/>
  <c r="I3014" i="17"/>
  <c r="H3014" i="17"/>
  <c r="G3014" i="17"/>
  <c r="L3013" i="17"/>
  <c r="K3013" i="17"/>
  <c r="J3013" i="17"/>
  <c r="I3013" i="17"/>
  <c r="H3013" i="17"/>
  <c r="G3013" i="17"/>
  <c r="L3012" i="17"/>
  <c r="K3012" i="17"/>
  <c r="J3012" i="17"/>
  <c r="I3012" i="17"/>
  <c r="H3012" i="17"/>
  <c r="G3012" i="17"/>
  <c r="L3011" i="17"/>
  <c r="K3011" i="17"/>
  <c r="J3011" i="17"/>
  <c r="I3011" i="17"/>
  <c r="H3011" i="17"/>
  <c r="G3011" i="17"/>
  <c r="L3010" i="17"/>
  <c r="K3010" i="17"/>
  <c r="J3010" i="17"/>
  <c r="I3010" i="17"/>
  <c r="H3010" i="17"/>
  <c r="G3010" i="17"/>
  <c r="L3009" i="17"/>
  <c r="K3009" i="17"/>
  <c r="J3009" i="17"/>
  <c r="I3009" i="17"/>
  <c r="H3009" i="17"/>
  <c r="G3009" i="17"/>
  <c r="L3008" i="17"/>
  <c r="K3008" i="17"/>
  <c r="J3008" i="17"/>
  <c r="I3008" i="17"/>
  <c r="H3008" i="17"/>
  <c r="G3008" i="17"/>
  <c r="L3007" i="17"/>
  <c r="K3007" i="17"/>
  <c r="J3007" i="17"/>
  <c r="I3007" i="17"/>
  <c r="H3007" i="17"/>
  <c r="G3007" i="17"/>
  <c r="L3006" i="17"/>
  <c r="K3006" i="17"/>
  <c r="J3006" i="17"/>
  <c r="I3006" i="17"/>
  <c r="H3006" i="17"/>
  <c r="G3006" i="17"/>
  <c r="L3005" i="17"/>
  <c r="K3005" i="17"/>
  <c r="J3005" i="17"/>
  <c r="I3005" i="17"/>
  <c r="H3005" i="17"/>
  <c r="G3005" i="17"/>
  <c r="L3004" i="17"/>
  <c r="K3004" i="17"/>
  <c r="J3004" i="17"/>
  <c r="I3004" i="17"/>
  <c r="H3004" i="17"/>
  <c r="G3004" i="17"/>
  <c r="L3003" i="17"/>
  <c r="K3003" i="17"/>
  <c r="J3003" i="17"/>
  <c r="I3003" i="17"/>
  <c r="H3003" i="17"/>
  <c r="G3003" i="17"/>
  <c r="L3002" i="17"/>
  <c r="K3002" i="17"/>
  <c r="J3002" i="17"/>
  <c r="I3002" i="17"/>
  <c r="H3002" i="17"/>
  <c r="G3002" i="17"/>
  <c r="L3001" i="17"/>
  <c r="K3001" i="17"/>
  <c r="J3001" i="17"/>
  <c r="I3001" i="17"/>
  <c r="H3001" i="17"/>
  <c r="G3001" i="17"/>
  <c r="L3000" i="17"/>
  <c r="K3000" i="17"/>
  <c r="J3000" i="17"/>
  <c r="I3000" i="17"/>
  <c r="H3000" i="17"/>
  <c r="G3000" i="17"/>
  <c r="L2999" i="17"/>
  <c r="K2999" i="17"/>
  <c r="J2999" i="17"/>
  <c r="I2999" i="17"/>
  <c r="H2999" i="17"/>
  <c r="G2999" i="17"/>
  <c r="L2998" i="17"/>
  <c r="K2998" i="17"/>
  <c r="J2998" i="17"/>
  <c r="I2998" i="17"/>
  <c r="H2998" i="17"/>
  <c r="G2998" i="17"/>
  <c r="L2997" i="17"/>
  <c r="K2997" i="17"/>
  <c r="J2997" i="17"/>
  <c r="I2997" i="17"/>
  <c r="H2997" i="17"/>
  <c r="G2997" i="17"/>
  <c r="L2996" i="17"/>
  <c r="K2996" i="17"/>
  <c r="J2996" i="17"/>
  <c r="I2996" i="17"/>
  <c r="H2996" i="17"/>
  <c r="G2996" i="17"/>
  <c r="L2995" i="17"/>
  <c r="K2995" i="17"/>
  <c r="J2995" i="17"/>
  <c r="I2995" i="17"/>
  <c r="H2995" i="17"/>
  <c r="G2995" i="17"/>
  <c r="L2994" i="17"/>
  <c r="K2994" i="17"/>
  <c r="J2994" i="17"/>
  <c r="I2994" i="17"/>
  <c r="H2994" i="17"/>
  <c r="G2994" i="17"/>
  <c r="L2993" i="17"/>
  <c r="K2993" i="17"/>
  <c r="J2993" i="17"/>
  <c r="I2993" i="17"/>
  <c r="H2993" i="17"/>
  <c r="G2993" i="17"/>
  <c r="L2992" i="17"/>
  <c r="K2992" i="17"/>
  <c r="J2992" i="17"/>
  <c r="I2992" i="17"/>
  <c r="H2992" i="17"/>
  <c r="G2992" i="17"/>
  <c r="L2991" i="17"/>
  <c r="K2991" i="17"/>
  <c r="J2991" i="17"/>
  <c r="I2991" i="17"/>
  <c r="H2991" i="17"/>
  <c r="G2991" i="17"/>
  <c r="L2990" i="17"/>
  <c r="K2990" i="17"/>
  <c r="J2990" i="17"/>
  <c r="I2990" i="17"/>
  <c r="H2990" i="17"/>
  <c r="G2990" i="17"/>
  <c r="L2989" i="17"/>
  <c r="K2989" i="17"/>
  <c r="J2989" i="17"/>
  <c r="I2989" i="17"/>
  <c r="H2989" i="17"/>
  <c r="G2989" i="17"/>
  <c r="L2988" i="17"/>
  <c r="K2988" i="17"/>
  <c r="J2988" i="17"/>
  <c r="I2988" i="17"/>
  <c r="H2988" i="17"/>
  <c r="G2988" i="17"/>
  <c r="L2987" i="17"/>
  <c r="K2987" i="17"/>
  <c r="J2987" i="17"/>
  <c r="I2987" i="17"/>
  <c r="H2987" i="17"/>
  <c r="G2987" i="17"/>
  <c r="L2986" i="17"/>
  <c r="K2986" i="17"/>
  <c r="J2986" i="17"/>
  <c r="I2986" i="17"/>
  <c r="H2986" i="17"/>
  <c r="G2986" i="17"/>
  <c r="L2985" i="17"/>
  <c r="K2985" i="17"/>
  <c r="J2985" i="17"/>
  <c r="I2985" i="17"/>
  <c r="H2985" i="17"/>
  <c r="G2985" i="17"/>
  <c r="L2984" i="17"/>
  <c r="K2984" i="17"/>
  <c r="J2984" i="17"/>
  <c r="I2984" i="17"/>
  <c r="H2984" i="17"/>
  <c r="G2984" i="17"/>
  <c r="L2983" i="17"/>
  <c r="K2983" i="17"/>
  <c r="J2983" i="17"/>
  <c r="I2983" i="17"/>
  <c r="H2983" i="17"/>
  <c r="G2983" i="17"/>
  <c r="L2982" i="17"/>
  <c r="K2982" i="17"/>
  <c r="J2982" i="17"/>
  <c r="I2982" i="17"/>
  <c r="H2982" i="17"/>
  <c r="G2982" i="17"/>
  <c r="L2981" i="17"/>
  <c r="K2981" i="17"/>
  <c r="J2981" i="17"/>
  <c r="I2981" i="17"/>
  <c r="H2981" i="17"/>
  <c r="G2981" i="17"/>
  <c r="L2980" i="17"/>
  <c r="K2980" i="17"/>
  <c r="J2980" i="17"/>
  <c r="I2980" i="17"/>
  <c r="H2980" i="17"/>
  <c r="G2980" i="17"/>
  <c r="L2979" i="17"/>
  <c r="K2979" i="17"/>
  <c r="J2979" i="17"/>
  <c r="I2979" i="17"/>
  <c r="H2979" i="17"/>
  <c r="G2979" i="17"/>
  <c r="L2978" i="17"/>
  <c r="K2978" i="17"/>
  <c r="J2978" i="17"/>
  <c r="I2978" i="17"/>
  <c r="H2978" i="17"/>
  <c r="G2978" i="17"/>
  <c r="L2977" i="17"/>
  <c r="K2977" i="17"/>
  <c r="J2977" i="17"/>
  <c r="I2977" i="17"/>
  <c r="H2977" i="17"/>
  <c r="G2977" i="17"/>
  <c r="L2976" i="17"/>
  <c r="K2976" i="17"/>
  <c r="J2976" i="17"/>
  <c r="I2976" i="17"/>
  <c r="H2976" i="17"/>
  <c r="G2976" i="17"/>
  <c r="L2975" i="17"/>
  <c r="K2975" i="17"/>
  <c r="J2975" i="17"/>
  <c r="I2975" i="17"/>
  <c r="H2975" i="17"/>
  <c r="G2975" i="17"/>
  <c r="L2974" i="17"/>
  <c r="K2974" i="17"/>
  <c r="J2974" i="17"/>
  <c r="I2974" i="17"/>
  <c r="H2974" i="17"/>
  <c r="G2974" i="17"/>
  <c r="L2973" i="17"/>
  <c r="K2973" i="17"/>
  <c r="J2973" i="17"/>
  <c r="I2973" i="17"/>
  <c r="H2973" i="17"/>
  <c r="G2973" i="17"/>
  <c r="L2972" i="17"/>
  <c r="K2972" i="17"/>
  <c r="J2972" i="17"/>
  <c r="I2972" i="17"/>
  <c r="H2972" i="17"/>
  <c r="G2972" i="17"/>
  <c r="L2971" i="17"/>
  <c r="K2971" i="17"/>
  <c r="J2971" i="17"/>
  <c r="I2971" i="17"/>
  <c r="H2971" i="17"/>
  <c r="G2971" i="17"/>
  <c r="L2970" i="17"/>
  <c r="K2970" i="17"/>
  <c r="J2970" i="17"/>
  <c r="I2970" i="17"/>
  <c r="H2970" i="17"/>
  <c r="G2970" i="17"/>
  <c r="L2969" i="17"/>
  <c r="K2969" i="17"/>
  <c r="J2969" i="17"/>
  <c r="I2969" i="17"/>
  <c r="H2969" i="17"/>
  <c r="G2969" i="17"/>
  <c r="L2968" i="17"/>
  <c r="K2968" i="17"/>
  <c r="J2968" i="17"/>
  <c r="I2968" i="17"/>
  <c r="H2968" i="17"/>
  <c r="G2968" i="17"/>
  <c r="L2967" i="17"/>
  <c r="K2967" i="17"/>
  <c r="J2967" i="17"/>
  <c r="I2967" i="17"/>
  <c r="H2967" i="17"/>
  <c r="G2967" i="17"/>
  <c r="L2966" i="17"/>
  <c r="K2966" i="17"/>
  <c r="J2966" i="17"/>
  <c r="I2966" i="17"/>
  <c r="H2966" i="17"/>
  <c r="G2966" i="17"/>
  <c r="L2965" i="17"/>
  <c r="K2965" i="17"/>
  <c r="J2965" i="17"/>
  <c r="I2965" i="17"/>
  <c r="H2965" i="17"/>
  <c r="G2965" i="17"/>
  <c r="L2964" i="17"/>
  <c r="K2964" i="17"/>
  <c r="J2964" i="17"/>
  <c r="I2964" i="17"/>
  <c r="H2964" i="17"/>
  <c r="G2964" i="17"/>
  <c r="L2963" i="17"/>
  <c r="K2963" i="17"/>
  <c r="J2963" i="17"/>
  <c r="I2963" i="17"/>
  <c r="H2963" i="17"/>
  <c r="G2963" i="17"/>
  <c r="L2962" i="17"/>
  <c r="K2962" i="17"/>
  <c r="J2962" i="17"/>
  <c r="I2962" i="17"/>
  <c r="H2962" i="17"/>
  <c r="G2962" i="17"/>
  <c r="L2961" i="17"/>
  <c r="K2961" i="17"/>
  <c r="J2961" i="17"/>
  <c r="I2961" i="17"/>
  <c r="H2961" i="17"/>
  <c r="G2961" i="17"/>
  <c r="L2960" i="17"/>
  <c r="K2960" i="17"/>
  <c r="J2960" i="17"/>
  <c r="I2960" i="17"/>
  <c r="H2960" i="17"/>
  <c r="G2960" i="17"/>
  <c r="L2959" i="17"/>
  <c r="K2959" i="17"/>
  <c r="J2959" i="17"/>
  <c r="I2959" i="17"/>
  <c r="H2959" i="17"/>
  <c r="G2959" i="17"/>
  <c r="L2958" i="17"/>
  <c r="K2958" i="17"/>
  <c r="J2958" i="17"/>
  <c r="I2958" i="17"/>
  <c r="H2958" i="17"/>
  <c r="G2958" i="17"/>
  <c r="L2957" i="17"/>
  <c r="K2957" i="17"/>
  <c r="J2957" i="17"/>
  <c r="I2957" i="17"/>
  <c r="H2957" i="17"/>
  <c r="G2957" i="17"/>
  <c r="L2956" i="17"/>
  <c r="K2956" i="17"/>
  <c r="J2956" i="17"/>
  <c r="I2956" i="17"/>
  <c r="H2956" i="17"/>
  <c r="G2956" i="17"/>
  <c r="L2955" i="17"/>
  <c r="K2955" i="17"/>
  <c r="J2955" i="17"/>
  <c r="I2955" i="17"/>
  <c r="H2955" i="17"/>
  <c r="G2955" i="17"/>
  <c r="L2954" i="17"/>
  <c r="K2954" i="17"/>
  <c r="J2954" i="17"/>
  <c r="I2954" i="17"/>
  <c r="H2954" i="17"/>
  <c r="G2954" i="17"/>
  <c r="L2953" i="17"/>
  <c r="K2953" i="17"/>
  <c r="J2953" i="17"/>
  <c r="I2953" i="17"/>
  <c r="H2953" i="17"/>
  <c r="G2953" i="17"/>
  <c r="L2952" i="17"/>
  <c r="K2952" i="17"/>
  <c r="J2952" i="17"/>
  <c r="I2952" i="17"/>
  <c r="H2952" i="17"/>
  <c r="G2952" i="17"/>
  <c r="L2951" i="17"/>
  <c r="K2951" i="17"/>
  <c r="J2951" i="17"/>
  <c r="I2951" i="17"/>
  <c r="H2951" i="17"/>
  <c r="G2951" i="17"/>
  <c r="L2950" i="17"/>
  <c r="K2950" i="17"/>
  <c r="J2950" i="17"/>
  <c r="I2950" i="17"/>
  <c r="H2950" i="17"/>
  <c r="G2950" i="17"/>
  <c r="L2949" i="17"/>
  <c r="K2949" i="17"/>
  <c r="J2949" i="17"/>
  <c r="I2949" i="17"/>
  <c r="H2949" i="17"/>
  <c r="G2949" i="17"/>
  <c r="L2948" i="17"/>
  <c r="K2948" i="17"/>
  <c r="J2948" i="17"/>
  <c r="I2948" i="17"/>
  <c r="H2948" i="17"/>
  <c r="G2948" i="17"/>
  <c r="L2947" i="17"/>
  <c r="K2947" i="17"/>
  <c r="J2947" i="17"/>
  <c r="I2947" i="17"/>
  <c r="H2947" i="17"/>
  <c r="G2947" i="17"/>
  <c r="L2946" i="17"/>
  <c r="K2946" i="17"/>
  <c r="J2946" i="17"/>
  <c r="I2946" i="17"/>
  <c r="H2946" i="17"/>
  <c r="G2946" i="17"/>
  <c r="L2945" i="17"/>
  <c r="K2945" i="17"/>
  <c r="J2945" i="17"/>
  <c r="I2945" i="17"/>
  <c r="H2945" i="17"/>
  <c r="G2945" i="17"/>
  <c r="L2944" i="17"/>
  <c r="K2944" i="17"/>
  <c r="J2944" i="17"/>
  <c r="I2944" i="17"/>
  <c r="H2944" i="17"/>
  <c r="G2944" i="17"/>
  <c r="L2943" i="17"/>
  <c r="K2943" i="17"/>
  <c r="J2943" i="17"/>
  <c r="I2943" i="17"/>
  <c r="H2943" i="17"/>
  <c r="G2943" i="17"/>
  <c r="L2942" i="17"/>
  <c r="K2942" i="17"/>
  <c r="J2942" i="17"/>
  <c r="I2942" i="17"/>
  <c r="H2942" i="17"/>
  <c r="G2942" i="17"/>
  <c r="L2941" i="17"/>
  <c r="K2941" i="17"/>
  <c r="J2941" i="17"/>
  <c r="I2941" i="17"/>
  <c r="H2941" i="17"/>
  <c r="G2941" i="17"/>
  <c r="L2940" i="17"/>
  <c r="K2940" i="17"/>
  <c r="J2940" i="17"/>
  <c r="I2940" i="17"/>
  <c r="H2940" i="17"/>
  <c r="G2940" i="17"/>
  <c r="L2939" i="17"/>
  <c r="K2939" i="17"/>
  <c r="J2939" i="17"/>
  <c r="I2939" i="17"/>
  <c r="H2939" i="17"/>
  <c r="G2939" i="17"/>
  <c r="L2938" i="17"/>
  <c r="K2938" i="17"/>
  <c r="J2938" i="17"/>
  <c r="I2938" i="17"/>
  <c r="H2938" i="17"/>
  <c r="G2938" i="17"/>
  <c r="L2937" i="17"/>
  <c r="K2937" i="17"/>
  <c r="J2937" i="17"/>
  <c r="I2937" i="17"/>
  <c r="H2937" i="17"/>
  <c r="G2937" i="17"/>
  <c r="L2936" i="17"/>
  <c r="K2936" i="17"/>
  <c r="J2936" i="17"/>
  <c r="I2936" i="17"/>
  <c r="H2936" i="17"/>
  <c r="G2936" i="17"/>
  <c r="L2935" i="17"/>
  <c r="K2935" i="17"/>
  <c r="J2935" i="17"/>
  <c r="I2935" i="17"/>
  <c r="H2935" i="17"/>
  <c r="G2935" i="17"/>
  <c r="L2934" i="17"/>
  <c r="K2934" i="17"/>
  <c r="J2934" i="17"/>
  <c r="I2934" i="17"/>
  <c r="H2934" i="17"/>
  <c r="G2934" i="17"/>
  <c r="L2933" i="17"/>
  <c r="K2933" i="17"/>
  <c r="J2933" i="17"/>
  <c r="I2933" i="17"/>
  <c r="H2933" i="17"/>
  <c r="G2933" i="17"/>
  <c r="L2932" i="17"/>
  <c r="K2932" i="17"/>
  <c r="J2932" i="17"/>
  <c r="I2932" i="17"/>
  <c r="H2932" i="17"/>
  <c r="G2932" i="17"/>
  <c r="L2931" i="17"/>
  <c r="K2931" i="17"/>
  <c r="J2931" i="17"/>
  <c r="I2931" i="17"/>
  <c r="H2931" i="17"/>
  <c r="G2931" i="17"/>
  <c r="L2930" i="17"/>
  <c r="K2930" i="17"/>
  <c r="J2930" i="17"/>
  <c r="I2930" i="17"/>
  <c r="H2930" i="17"/>
  <c r="G2930" i="17"/>
  <c r="L2929" i="17"/>
  <c r="K2929" i="17"/>
  <c r="J2929" i="17"/>
  <c r="I2929" i="17"/>
  <c r="H2929" i="17"/>
  <c r="G2929" i="17"/>
  <c r="L2928" i="17"/>
  <c r="K2928" i="17"/>
  <c r="J2928" i="17"/>
  <c r="I2928" i="17"/>
  <c r="H2928" i="17"/>
  <c r="G2928" i="17"/>
  <c r="L2927" i="17"/>
  <c r="K2927" i="17"/>
  <c r="J2927" i="17"/>
  <c r="I2927" i="17"/>
  <c r="H2927" i="17"/>
  <c r="G2927" i="17"/>
  <c r="L2926" i="17"/>
  <c r="K2926" i="17"/>
  <c r="J2926" i="17"/>
  <c r="I2926" i="17"/>
  <c r="H2926" i="17"/>
  <c r="G2926" i="17"/>
  <c r="L2925" i="17"/>
  <c r="K2925" i="17"/>
  <c r="J2925" i="17"/>
  <c r="I2925" i="17"/>
  <c r="H2925" i="17"/>
  <c r="G2925" i="17"/>
  <c r="L2924" i="17"/>
  <c r="K2924" i="17"/>
  <c r="J2924" i="17"/>
  <c r="I2924" i="17"/>
  <c r="H2924" i="17"/>
  <c r="G2924" i="17"/>
  <c r="L2923" i="17"/>
  <c r="K2923" i="17"/>
  <c r="J2923" i="17"/>
  <c r="I2923" i="17"/>
  <c r="H2923" i="17"/>
  <c r="G2923" i="17"/>
  <c r="L2922" i="17"/>
  <c r="K2922" i="17"/>
  <c r="J2922" i="17"/>
  <c r="I2922" i="17"/>
  <c r="H2922" i="17"/>
  <c r="G2922" i="17"/>
  <c r="L2921" i="17"/>
  <c r="K2921" i="17"/>
  <c r="J2921" i="17"/>
  <c r="I2921" i="17"/>
  <c r="H2921" i="17"/>
  <c r="G2921" i="17"/>
  <c r="L2920" i="17"/>
  <c r="K2920" i="17"/>
  <c r="J2920" i="17"/>
  <c r="I2920" i="17"/>
  <c r="H2920" i="17"/>
  <c r="G2920" i="17"/>
  <c r="L2919" i="17"/>
  <c r="K2919" i="17"/>
  <c r="J2919" i="17"/>
  <c r="I2919" i="17"/>
  <c r="H2919" i="17"/>
  <c r="G2919" i="17"/>
  <c r="L2918" i="17"/>
  <c r="K2918" i="17"/>
  <c r="J2918" i="17"/>
  <c r="I2918" i="17"/>
  <c r="H2918" i="17"/>
  <c r="G2918" i="17"/>
  <c r="L2917" i="17"/>
  <c r="K2917" i="17"/>
  <c r="J2917" i="17"/>
  <c r="I2917" i="17"/>
  <c r="H2917" i="17"/>
  <c r="G2917" i="17"/>
  <c r="L2916" i="17"/>
  <c r="K2916" i="17"/>
  <c r="J2916" i="17"/>
  <c r="I2916" i="17"/>
  <c r="H2916" i="17"/>
  <c r="G2916" i="17"/>
  <c r="L2915" i="17"/>
  <c r="K2915" i="17"/>
  <c r="J2915" i="17"/>
  <c r="I2915" i="17"/>
  <c r="H2915" i="17"/>
  <c r="G2915" i="17"/>
  <c r="L2914" i="17"/>
  <c r="K2914" i="17"/>
  <c r="J2914" i="17"/>
  <c r="I2914" i="17"/>
  <c r="H2914" i="17"/>
  <c r="G2914" i="17"/>
  <c r="L2913" i="17"/>
  <c r="K2913" i="17"/>
  <c r="J2913" i="17"/>
  <c r="I2913" i="17"/>
  <c r="H2913" i="17"/>
  <c r="G2913" i="17"/>
  <c r="L2912" i="17"/>
  <c r="K2912" i="17"/>
  <c r="J2912" i="17"/>
  <c r="I2912" i="17"/>
  <c r="H2912" i="17"/>
  <c r="G2912" i="17"/>
  <c r="L2911" i="17"/>
  <c r="K2911" i="17"/>
  <c r="J2911" i="17"/>
  <c r="I2911" i="17"/>
  <c r="H2911" i="17"/>
  <c r="G2911" i="17"/>
  <c r="L2910" i="17"/>
  <c r="K2910" i="17"/>
  <c r="J2910" i="17"/>
  <c r="I2910" i="17"/>
  <c r="H2910" i="17"/>
  <c r="G2910" i="17"/>
  <c r="L2909" i="17"/>
  <c r="K2909" i="17"/>
  <c r="J2909" i="17"/>
  <c r="I2909" i="17"/>
  <c r="H2909" i="17"/>
  <c r="G2909" i="17"/>
  <c r="L2908" i="17"/>
  <c r="K2908" i="17"/>
  <c r="J2908" i="17"/>
  <c r="I2908" i="17"/>
  <c r="H2908" i="17"/>
  <c r="G2908" i="17"/>
  <c r="L2907" i="17"/>
  <c r="K2907" i="17"/>
  <c r="J2907" i="17"/>
  <c r="I2907" i="17"/>
  <c r="H2907" i="17"/>
  <c r="G2907" i="17"/>
  <c r="L2906" i="17"/>
  <c r="K2906" i="17"/>
  <c r="J2906" i="17"/>
  <c r="I2906" i="17"/>
  <c r="H2906" i="17"/>
  <c r="G2906" i="17"/>
  <c r="L2905" i="17"/>
  <c r="K2905" i="17"/>
  <c r="J2905" i="17"/>
  <c r="I2905" i="17"/>
  <c r="H2905" i="17"/>
  <c r="G2905" i="17"/>
  <c r="L2904" i="17"/>
  <c r="K2904" i="17"/>
  <c r="J2904" i="17"/>
  <c r="I2904" i="17"/>
  <c r="H2904" i="17"/>
  <c r="G2904" i="17"/>
  <c r="L2903" i="17"/>
  <c r="K2903" i="17"/>
  <c r="J2903" i="17"/>
  <c r="I2903" i="17"/>
  <c r="H2903" i="17"/>
  <c r="G2903" i="17"/>
  <c r="L2902" i="17"/>
  <c r="K2902" i="17"/>
  <c r="J2902" i="17"/>
  <c r="I2902" i="17"/>
  <c r="H2902" i="17"/>
  <c r="G2902" i="17"/>
  <c r="L2901" i="17"/>
  <c r="K2901" i="17"/>
  <c r="J2901" i="17"/>
  <c r="I2901" i="17"/>
  <c r="H2901" i="17"/>
  <c r="G2901" i="17"/>
  <c r="L2900" i="17"/>
  <c r="K2900" i="17"/>
  <c r="J2900" i="17"/>
  <c r="I2900" i="17"/>
  <c r="H2900" i="17"/>
  <c r="G2900" i="17"/>
  <c r="L2899" i="17"/>
  <c r="K2899" i="17"/>
  <c r="J2899" i="17"/>
  <c r="I2899" i="17"/>
  <c r="H2899" i="17"/>
  <c r="G2899" i="17"/>
  <c r="L2898" i="17"/>
  <c r="K2898" i="17"/>
  <c r="J2898" i="17"/>
  <c r="I2898" i="17"/>
  <c r="H2898" i="17"/>
  <c r="G2898" i="17"/>
  <c r="L2897" i="17"/>
  <c r="K2897" i="17"/>
  <c r="J2897" i="17"/>
  <c r="I2897" i="17"/>
  <c r="H2897" i="17"/>
  <c r="G2897" i="17"/>
  <c r="L2896" i="17"/>
  <c r="K2896" i="17"/>
  <c r="J2896" i="17"/>
  <c r="I2896" i="17"/>
  <c r="H2896" i="17"/>
  <c r="G2896" i="17"/>
  <c r="L2895" i="17"/>
  <c r="K2895" i="17"/>
  <c r="J2895" i="17"/>
  <c r="I2895" i="17"/>
  <c r="H2895" i="17"/>
  <c r="G2895" i="17"/>
  <c r="L2894" i="17"/>
  <c r="K2894" i="17"/>
  <c r="J2894" i="17"/>
  <c r="I2894" i="17"/>
  <c r="H2894" i="17"/>
  <c r="G2894" i="17"/>
  <c r="L2893" i="17"/>
  <c r="K2893" i="17"/>
  <c r="J2893" i="17"/>
  <c r="I2893" i="17"/>
  <c r="H2893" i="17"/>
  <c r="G2893" i="17"/>
  <c r="L2892" i="17"/>
  <c r="K2892" i="17"/>
  <c r="J2892" i="17"/>
  <c r="I2892" i="17"/>
  <c r="H2892" i="17"/>
  <c r="G2892" i="17"/>
  <c r="L2891" i="17"/>
  <c r="K2891" i="17"/>
  <c r="J2891" i="17"/>
  <c r="I2891" i="17"/>
  <c r="H2891" i="17"/>
  <c r="G2891" i="17"/>
  <c r="L2890" i="17"/>
  <c r="K2890" i="17"/>
  <c r="J2890" i="17"/>
  <c r="I2890" i="17"/>
  <c r="H2890" i="17"/>
  <c r="G2890" i="17"/>
  <c r="L2889" i="17"/>
  <c r="K2889" i="17"/>
  <c r="J2889" i="17"/>
  <c r="I2889" i="17"/>
  <c r="H2889" i="17"/>
  <c r="G2889" i="17"/>
  <c r="L2888" i="17"/>
  <c r="K2888" i="17"/>
  <c r="J2888" i="17"/>
  <c r="I2888" i="17"/>
  <c r="H2888" i="17"/>
  <c r="G2888" i="17"/>
  <c r="L2887" i="17"/>
  <c r="K2887" i="17"/>
  <c r="J2887" i="17"/>
  <c r="I2887" i="17"/>
  <c r="H2887" i="17"/>
  <c r="G2887" i="17"/>
  <c r="L2886" i="17"/>
  <c r="K2886" i="17"/>
  <c r="J2886" i="17"/>
  <c r="I2886" i="17"/>
  <c r="H2886" i="17"/>
  <c r="G2886" i="17"/>
  <c r="L2885" i="17"/>
  <c r="K2885" i="17"/>
  <c r="J2885" i="17"/>
  <c r="I2885" i="17"/>
  <c r="H2885" i="17"/>
  <c r="G2885" i="17"/>
  <c r="L2884" i="17"/>
  <c r="K2884" i="17"/>
  <c r="J2884" i="17"/>
  <c r="I2884" i="17"/>
  <c r="H2884" i="17"/>
  <c r="G2884" i="17"/>
  <c r="L2883" i="17"/>
  <c r="K2883" i="17"/>
  <c r="J2883" i="17"/>
  <c r="I2883" i="17"/>
  <c r="H2883" i="17"/>
  <c r="G2883" i="17"/>
  <c r="L2882" i="17"/>
  <c r="K2882" i="17"/>
  <c r="J2882" i="17"/>
  <c r="I2882" i="17"/>
  <c r="H2882" i="17"/>
  <c r="G2882" i="17"/>
  <c r="L2881" i="17"/>
  <c r="K2881" i="17"/>
  <c r="J2881" i="17"/>
  <c r="I2881" i="17"/>
  <c r="H2881" i="17"/>
  <c r="G2881" i="17"/>
  <c r="L2880" i="17"/>
  <c r="K2880" i="17"/>
  <c r="J2880" i="17"/>
  <c r="I2880" i="17"/>
  <c r="H2880" i="17"/>
  <c r="G2880" i="17"/>
  <c r="L2879" i="17"/>
  <c r="K2879" i="17"/>
  <c r="J2879" i="17"/>
  <c r="I2879" i="17"/>
  <c r="H2879" i="17"/>
  <c r="G2879" i="17"/>
  <c r="L2878" i="17"/>
  <c r="K2878" i="17"/>
  <c r="J2878" i="17"/>
  <c r="I2878" i="17"/>
  <c r="H2878" i="17"/>
  <c r="G2878" i="17"/>
  <c r="L2877" i="17"/>
  <c r="K2877" i="17"/>
  <c r="J2877" i="17"/>
  <c r="I2877" i="17"/>
  <c r="H2877" i="17"/>
  <c r="G2877" i="17"/>
  <c r="L2876" i="17"/>
  <c r="K2876" i="17"/>
  <c r="J2876" i="17"/>
  <c r="I2876" i="17"/>
  <c r="H2876" i="17"/>
  <c r="G2876" i="17"/>
  <c r="L2875" i="17"/>
  <c r="K2875" i="17"/>
  <c r="J2875" i="17"/>
  <c r="I2875" i="17"/>
  <c r="H2875" i="17"/>
  <c r="G2875" i="17"/>
  <c r="L2874" i="17"/>
  <c r="K2874" i="17"/>
  <c r="J2874" i="17"/>
  <c r="I2874" i="17"/>
  <c r="H2874" i="17"/>
  <c r="G2874" i="17"/>
  <c r="L2873" i="17"/>
  <c r="K2873" i="17"/>
  <c r="J2873" i="17"/>
  <c r="I2873" i="17"/>
  <c r="H2873" i="17"/>
  <c r="G2873" i="17"/>
  <c r="L2872" i="17"/>
  <c r="K2872" i="17"/>
  <c r="J2872" i="17"/>
  <c r="I2872" i="17"/>
  <c r="H2872" i="17"/>
  <c r="G2872" i="17"/>
  <c r="L2871" i="17"/>
  <c r="K2871" i="17"/>
  <c r="J2871" i="17"/>
  <c r="I2871" i="17"/>
  <c r="H2871" i="17"/>
  <c r="G2871" i="17"/>
  <c r="L2870" i="17"/>
  <c r="K2870" i="17"/>
  <c r="J2870" i="17"/>
  <c r="I2870" i="17"/>
  <c r="H2870" i="17"/>
  <c r="G2870" i="17"/>
  <c r="L2869" i="17"/>
  <c r="K2869" i="17"/>
  <c r="J2869" i="17"/>
  <c r="I2869" i="17"/>
  <c r="H2869" i="17"/>
  <c r="G2869" i="17"/>
  <c r="L2868" i="17"/>
  <c r="K2868" i="17"/>
  <c r="J2868" i="17"/>
  <c r="I2868" i="17"/>
  <c r="H2868" i="17"/>
  <c r="G2868" i="17"/>
  <c r="L2867" i="17"/>
  <c r="K2867" i="17"/>
  <c r="J2867" i="17"/>
  <c r="I2867" i="17"/>
  <c r="H2867" i="17"/>
  <c r="G2867" i="17"/>
  <c r="L2866" i="17"/>
  <c r="K2866" i="17"/>
  <c r="J2866" i="17"/>
  <c r="I2866" i="17"/>
  <c r="H2866" i="17"/>
  <c r="G2866" i="17"/>
  <c r="L2865" i="17"/>
  <c r="K2865" i="17"/>
  <c r="J2865" i="17"/>
  <c r="I2865" i="17"/>
  <c r="H2865" i="17"/>
  <c r="G2865" i="17"/>
  <c r="L2864" i="17"/>
  <c r="K2864" i="17"/>
  <c r="J2864" i="17"/>
  <c r="I2864" i="17"/>
  <c r="H2864" i="17"/>
  <c r="G2864" i="17"/>
  <c r="L2863" i="17"/>
  <c r="K2863" i="17"/>
  <c r="J2863" i="17"/>
  <c r="I2863" i="17"/>
  <c r="H2863" i="17"/>
  <c r="G2863" i="17"/>
  <c r="L2862" i="17"/>
  <c r="K2862" i="17"/>
  <c r="J2862" i="17"/>
  <c r="I2862" i="17"/>
  <c r="H2862" i="17"/>
  <c r="G2862" i="17"/>
  <c r="L2861" i="17"/>
  <c r="K2861" i="17"/>
  <c r="J2861" i="17"/>
  <c r="I2861" i="17"/>
  <c r="H2861" i="17"/>
  <c r="G2861" i="17"/>
  <c r="L2860" i="17"/>
  <c r="K2860" i="17"/>
  <c r="J2860" i="17"/>
  <c r="I2860" i="17"/>
  <c r="H2860" i="17"/>
  <c r="G2860" i="17"/>
  <c r="L2859" i="17"/>
  <c r="K2859" i="17"/>
  <c r="J2859" i="17"/>
  <c r="I2859" i="17"/>
  <c r="H2859" i="17"/>
  <c r="G2859" i="17"/>
  <c r="L2858" i="17"/>
  <c r="K2858" i="17"/>
  <c r="J2858" i="17"/>
  <c r="I2858" i="17"/>
  <c r="H2858" i="17"/>
  <c r="G2858" i="17"/>
  <c r="L2857" i="17"/>
  <c r="K2857" i="17"/>
  <c r="J2857" i="17"/>
  <c r="I2857" i="17"/>
  <c r="H2857" i="17"/>
  <c r="G2857" i="17"/>
  <c r="L2856" i="17"/>
  <c r="K2856" i="17"/>
  <c r="J2856" i="17"/>
  <c r="I2856" i="17"/>
  <c r="H2856" i="17"/>
  <c r="G2856" i="17"/>
  <c r="L2855" i="17"/>
  <c r="K2855" i="17"/>
  <c r="J2855" i="17"/>
  <c r="I2855" i="17"/>
  <c r="H2855" i="17"/>
  <c r="G2855" i="17"/>
  <c r="L2854" i="17"/>
  <c r="K2854" i="17"/>
  <c r="J2854" i="17"/>
  <c r="I2854" i="17"/>
  <c r="H2854" i="17"/>
  <c r="G2854" i="17"/>
  <c r="L2853" i="17"/>
  <c r="K2853" i="17"/>
  <c r="J2853" i="17"/>
  <c r="I2853" i="17"/>
  <c r="H2853" i="17"/>
  <c r="G2853" i="17"/>
  <c r="L2852" i="17"/>
  <c r="K2852" i="17"/>
  <c r="J2852" i="17"/>
  <c r="I2852" i="17"/>
  <c r="H2852" i="17"/>
  <c r="G2852" i="17"/>
  <c r="L2851" i="17"/>
  <c r="K2851" i="17"/>
  <c r="J2851" i="17"/>
  <c r="I2851" i="17"/>
  <c r="H2851" i="17"/>
  <c r="G2851" i="17"/>
  <c r="L2850" i="17"/>
  <c r="K2850" i="17"/>
  <c r="J2850" i="17"/>
  <c r="I2850" i="17"/>
  <c r="H2850" i="17"/>
  <c r="G2850" i="17"/>
  <c r="L2849" i="17"/>
  <c r="K2849" i="17"/>
  <c r="J2849" i="17"/>
  <c r="I2849" i="17"/>
  <c r="H2849" i="17"/>
  <c r="G2849" i="17"/>
  <c r="L2848" i="17"/>
  <c r="K2848" i="17"/>
  <c r="J2848" i="17"/>
  <c r="I2848" i="17"/>
  <c r="H2848" i="17"/>
  <c r="G2848" i="17"/>
  <c r="L2847" i="17"/>
  <c r="K2847" i="17"/>
  <c r="J2847" i="17"/>
  <c r="I2847" i="17"/>
  <c r="H2847" i="17"/>
  <c r="G2847" i="17"/>
  <c r="L2846" i="17"/>
  <c r="K2846" i="17"/>
  <c r="J2846" i="17"/>
  <c r="I2846" i="17"/>
  <c r="H2846" i="17"/>
  <c r="G2846" i="17"/>
  <c r="L2845" i="17"/>
  <c r="K2845" i="17"/>
  <c r="J2845" i="17"/>
  <c r="I2845" i="17"/>
  <c r="H2845" i="17"/>
  <c r="G2845" i="17"/>
  <c r="L2844" i="17"/>
  <c r="K2844" i="17"/>
  <c r="J2844" i="17"/>
  <c r="I2844" i="17"/>
  <c r="H2844" i="17"/>
  <c r="G2844" i="17"/>
  <c r="L2843" i="17"/>
  <c r="K2843" i="17"/>
  <c r="J2843" i="17"/>
  <c r="I2843" i="17"/>
  <c r="H2843" i="17"/>
  <c r="G2843" i="17"/>
  <c r="L2842" i="17"/>
  <c r="K2842" i="17"/>
  <c r="J2842" i="17"/>
  <c r="I2842" i="17"/>
  <c r="H2842" i="17"/>
  <c r="G2842" i="17"/>
  <c r="L2841" i="17"/>
  <c r="K2841" i="17"/>
  <c r="J2841" i="17"/>
  <c r="I2841" i="17"/>
  <c r="H2841" i="17"/>
  <c r="G2841" i="17"/>
  <c r="L2840" i="17"/>
  <c r="K2840" i="17"/>
  <c r="J2840" i="17"/>
  <c r="I2840" i="17"/>
  <c r="H2840" i="17"/>
  <c r="G2840" i="17"/>
  <c r="L2839" i="17"/>
  <c r="K2839" i="17"/>
  <c r="J2839" i="17"/>
  <c r="I2839" i="17"/>
  <c r="H2839" i="17"/>
  <c r="G2839" i="17"/>
  <c r="L2838" i="17"/>
  <c r="K2838" i="17"/>
  <c r="J2838" i="17"/>
  <c r="I2838" i="17"/>
  <c r="H2838" i="17"/>
  <c r="G2838" i="17"/>
  <c r="L2837" i="17"/>
  <c r="K2837" i="17"/>
  <c r="J2837" i="17"/>
  <c r="I2837" i="17"/>
  <c r="H2837" i="17"/>
  <c r="G2837" i="17"/>
  <c r="L2836" i="17"/>
  <c r="K2836" i="17"/>
  <c r="J2836" i="17"/>
  <c r="I2836" i="17"/>
  <c r="H2836" i="17"/>
  <c r="G2836" i="17"/>
  <c r="L2835" i="17"/>
  <c r="K2835" i="17"/>
  <c r="J2835" i="17"/>
  <c r="I2835" i="17"/>
  <c r="H2835" i="17"/>
  <c r="G2835" i="17"/>
  <c r="L2834" i="17"/>
  <c r="K2834" i="17"/>
  <c r="J2834" i="17"/>
  <c r="I2834" i="17"/>
  <c r="H2834" i="17"/>
  <c r="G2834" i="17"/>
  <c r="L2833" i="17"/>
  <c r="K2833" i="17"/>
  <c r="J2833" i="17"/>
  <c r="I2833" i="17"/>
  <c r="H2833" i="17"/>
  <c r="G2833" i="17"/>
  <c r="L2832" i="17"/>
  <c r="K2832" i="17"/>
  <c r="J2832" i="17"/>
  <c r="I2832" i="17"/>
  <c r="H2832" i="17"/>
  <c r="G2832" i="17"/>
  <c r="L2831" i="17"/>
  <c r="K2831" i="17"/>
  <c r="J2831" i="17"/>
  <c r="I2831" i="17"/>
  <c r="H2831" i="17"/>
  <c r="G2831" i="17"/>
  <c r="L2830" i="17"/>
  <c r="K2830" i="17"/>
  <c r="J2830" i="17"/>
  <c r="I2830" i="17"/>
  <c r="H2830" i="17"/>
  <c r="G2830" i="17"/>
  <c r="L2829" i="17"/>
  <c r="K2829" i="17"/>
  <c r="J2829" i="17"/>
  <c r="I2829" i="17"/>
  <c r="H2829" i="17"/>
  <c r="G2829" i="17"/>
  <c r="L2828" i="17"/>
  <c r="K2828" i="17"/>
  <c r="J2828" i="17"/>
  <c r="I2828" i="17"/>
  <c r="H2828" i="17"/>
  <c r="G2828" i="17"/>
  <c r="L2827" i="17"/>
  <c r="K2827" i="17"/>
  <c r="J2827" i="17"/>
  <c r="I2827" i="17"/>
  <c r="H2827" i="17"/>
  <c r="G2827" i="17"/>
  <c r="L2826" i="17"/>
  <c r="K2826" i="17"/>
  <c r="J2826" i="17"/>
  <c r="I2826" i="17"/>
  <c r="H2826" i="17"/>
  <c r="G2826" i="17"/>
  <c r="L2825" i="17"/>
  <c r="K2825" i="17"/>
  <c r="J2825" i="17"/>
  <c r="I2825" i="17"/>
  <c r="H2825" i="17"/>
  <c r="G2825" i="17"/>
  <c r="L2824" i="17"/>
  <c r="K2824" i="17"/>
  <c r="J2824" i="17"/>
  <c r="I2824" i="17"/>
  <c r="H2824" i="17"/>
  <c r="G2824" i="17"/>
  <c r="L2823" i="17"/>
  <c r="K2823" i="17"/>
  <c r="J2823" i="17"/>
  <c r="I2823" i="17"/>
  <c r="H2823" i="17"/>
  <c r="G2823" i="17"/>
  <c r="L2822" i="17"/>
  <c r="K2822" i="17"/>
  <c r="J2822" i="17"/>
  <c r="I2822" i="17"/>
  <c r="H2822" i="17"/>
  <c r="G2822" i="17"/>
  <c r="L2821" i="17"/>
  <c r="K2821" i="17"/>
  <c r="J2821" i="17"/>
  <c r="I2821" i="17"/>
  <c r="H2821" i="17"/>
  <c r="G2821" i="17"/>
  <c r="L2820" i="17"/>
  <c r="K2820" i="17"/>
  <c r="J2820" i="17"/>
  <c r="I2820" i="17"/>
  <c r="H2820" i="17"/>
  <c r="G2820" i="17"/>
  <c r="L2819" i="17"/>
  <c r="K2819" i="17"/>
  <c r="J2819" i="17"/>
  <c r="I2819" i="17"/>
  <c r="H2819" i="17"/>
  <c r="G2819" i="17"/>
  <c r="L2818" i="17"/>
  <c r="K2818" i="17"/>
  <c r="J2818" i="17"/>
  <c r="I2818" i="17"/>
  <c r="H2818" i="17"/>
  <c r="G2818" i="17"/>
  <c r="L2817" i="17"/>
  <c r="K2817" i="17"/>
  <c r="J2817" i="17"/>
  <c r="I2817" i="17"/>
  <c r="H2817" i="17"/>
  <c r="G2817" i="17"/>
  <c r="L2816" i="17"/>
  <c r="K2816" i="17"/>
  <c r="J2816" i="17"/>
  <c r="I2816" i="17"/>
  <c r="H2816" i="17"/>
  <c r="G2816" i="17"/>
  <c r="L2815" i="17"/>
  <c r="K2815" i="17"/>
  <c r="J2815" i="17"/>
  <c r="I2815" i="17"/>
  <c r="H2815" i="17"/>
  <c r="G2815" i="17"/>
  <c r="L2814" i="17"/>
  <c r="K2814" i="17"/>
  <c r="J2814" i="17"/>
  <c r="I2814" i="17"/>
  <c r="H2814" i="17"/>
  <c r="G2814" i="17"/>
  <c r="L2813" i="17"/>
  <c r="K2813" i="17"/>
  <c r="J2813" i="17"/>
  <c r="I2813" i="17"/>
  <c r="H2813" i="17"/>
  <c r="G2813" i="17"/>
  <c r="L2812" i="17"/>
  <c r="K2812" i="17"/>
  <c r="J2812" i="17"/>
  <c r="I2812" i="17"/>
  <c r="H2812" i="17"/>
  <c r="G2812" i="17"/>
  <c r="L2811" i="17"/>
  <c r="K2811" i="17"/>
  <c r="J2811" i="17"/>
  <c r="I2811" i="17"/>
  <c r="H2811" i="17"/>
  <c r="G2811" i="17"/>
  <c r="L2810" i="17"/>
  <c r="K2810" i="17"/>
  <c r="J2810" i="17"/>
  <c r="I2810" i="17"/>
  <c r="H2810" i="17"/>
  <c r="G2810" i="17"/>
  <c r="L2809" i="17"/>
  <c r="K2809" i="17"/>
  <c r="J2809" i="17"/>
  <c r="I2809" i="17"/>
  <c r="H2809" i="17"/>
  <c r="G2809" i="17"/>
  <c r="L2808" i="17"/>
  <c r="K2808" i="17"/>
  <c r="J2808" i="17"/>
  <c r="I2808" i="17"/>
  <c r="H2808" i="17"/>
  <c r="G2808" i="17"/>
  <c r="L2807" i="17"/>
  <c r="K2807" i="17"/>
  <c r="J2807" i="17"/>
  <c r="I2807" i="17"/>
  <c r="H2807" i="17"/>
  <c r="G2807" i="17"/>
  <c r="L2806" i="17"/>
  <c r="K2806" i="17"/>
  <c r="J2806" i="17"/>
  <c r="I2806" i="17"/>
  <c r="H2806" i="17"/>
  <c r="G2806" i="17"/>
  <c r="L2805" i="17"/>
  <c r="K2805" i="17"/>
  <c r="J2805" i="17"/>
  <c r="I2805" i="17"/>
  <c r="H2805" i="17"/>
  <c r="G2805" i="17"/>
  <c r="L2804" i="17"/>
  <c r="K2804" i="17"/>
  <c r="J2804" i="17"/>
  <c r="I2804" i="17"/>
  <c r="H2804" i="17"/>
  <c r="G2804" i="17"/>
  <c r="L2803" i="17"/>
  <c r="K2803" i="17"/>
  <c r="J2803" i="17"/>
  <c r="I2803" i="17"/>
  <c r="H2803" i="17"/>
  <c r="G2803" i="17"/>
  <c r="L2802" i="17"/>
  <c r="K2802" i="17"/>
  <c r="J2802" i="17"/>
  <c r="I2802" i="17"/>
  <c r="H2802" i="17"/>
  <c r="G2802" i="17"/>
  <c r="L2801" i="17"/>
  <c r="K2801" i="17"/>
  <c r="J2801" i="17"/>
  <c r="I2801" i="17"/>
  <c r="H2801" i="17"/>
  <c r="G2801" i="17"/>
  <c r="L2800" i="17"/>
  <c r="K2800" i="17"/>
  <c r="J2800" i="17"/>
  <c r="I2800" i="17"/>
  <c r="H2800" i="17"/>
  <c r="G2800" i="17"/>
  <c r="L2799" i="17"/>
  <c r="K2799" i="17"/>
  <c r="J2799" i="17"/>
  <c r="I2799" i="17"/>
  <c r="H2799" i="17"/>
  <c r="G2799" i="17"/>
  <c r="L2798" i="17"/>
  <c r="K2798" i="17"/>
  <c r="J2798" i="17"/>
  <c r="I2798" i="17"/>
  <c r="H2798" i="17"/>
  <c r="G2798" i="17"/>
  <c r="L2797" i="17"/>
  <c r="K2797" i="17"/>
  <c r="J2797" i="17"/>
  <c r="I2797" i="17"/>
  <c r="H2797" i="17"/>
  <c r="G2797" i="17"/>
  <c r="L2796" i="17"/>
  <c r="K2796" i="17"/>
  <c r="J2796" i="17"/>
  <c r="I2796" i="17"/>
  <c r="H2796" i="17"/>
  <c r="G2796" i="17"/>
  <c r="L2795" i="17"/>
  <c r="K2795" i="17"/>
  <c r="J2795" i="17"/>
  <c r="I2795" i="17"/>
  <c r="H2795" i="17"/>
  <c r="G2795" i="17"/>
  <c r="L2794" i="17"/>
  <c r="K2794" i="17"/>
  <c r="J2794" i="17"/>
  <c r="I2794" i="17"/>
  <c r="H2794" i="17"/>
  <c r="G2794" i="17"/>
  <c r="L2793" i="17"/>
  <c r="K2793" i="17"/>
  <c r="J2793" i="17"/>
  <c r="I2793" i="17"/>
  <c r="H2793" i="17"/>
  <c r="G2793" i="17"/>
  <c r="L2792" i="17"/>
  <c r="K2792" i="17"/>
  <c r="J2792" i="17"/>
  <c r="I2792" i="17"/>
  <c r="H2792" i="17"/>
  <c r="G2792" i="17"/>
  <c r="L2791" i="17"/>
  <c r="K2791" i="17"/>
  <c r="J2791" i="17"/>
  <c r="I2791" i="17"/>
  <c r="H2791" i="17"/>
  <c r="G2791" i="17"/>
  <c r="L2790" i="17"/>
  <c r="K2790" i="17"/>
  <c r="J2790" i="17"/>
  <c r="I2790" i="17"/>
  <c r="H2790" i="17"/>
  <c r="G2790" i="17"/>
  <c r="L2789" i="17"/>
  <c r="K2789" i="17"/>
  <c r="J2789" i="17"/>
  <c r="I2789" i="17"/>
  <c r="H2789" i="17"/>
  <c r="G2789" i="17"/>
  <c r="L2788" i="17"/>
  <c r="K2788" i="17"/>
  <c r="J2788" i="17"/>
  <c r="I2788" i="17"/>
  <c r="H2788" i="17"/>
  <c r="G2788" i="17"/>
  <c r="L2787" i="17"/>
  <c r="K2787" i="17"/>
  <c r="J2787" i="17"/>
  <c r="I2787" i="17"/>
  <c r="H2787" i="17"/>
  <c r="G2787" i="17"/>
  <c r="L2786" i="17"/>
  <c r="K2786" i="17"/>
  <c r="J2786" i="17"/>
  <c r="I2786" i="17"/>
  <c r="H2786" i="17"/>
  <c r="G2786" i="17"/>
  <c r="L2785" i="17"/>
  <c r="K2785" i="17"/>
  <c r="J2785" i="17"/>
  <c r="I2785" i="17"/>
  <c r="H2785" i="17"/>
  <c r="G2785" i="17"/>
  <c r="L2784" i="17"/>
  <c r="K2784" i="17"/>
  <c r="J2784" i="17"/>
  <c r="I2784" i="17"/>
  <c r="H2784" i="17"/>
  <c r="G2784" i="17"/>
  <c r="L2783" i="17"/>
  <c r="K2783" i="17"/>
  <c r="J2783" i="17"/>
  <c r="I2783" i="17"/>
  <c r="H2783" i="17"/>
  <c r="G2783" i="17"/>
  <c r="L2782" i="17"/>
  <c r="K2782" i="17"/>
  <c r="J2782" i="17"/>
  <c r="I2782" i="17"/>
  <c r="H2782" i="17"/>
  <c r="G2782" i="17"/>
  <c r="L2781" i="17"/>
  <c r="K2781" i="17"/>
  <c r="J2781" i="17"/>
  <c r="I2781" i="17"/>
  <c r="H2781" i="17"/>
  <c r="G2781" i="17"/>
  <c r="L2780" i="17"/>
  <c r="K2780" i="17"/>
  <c r="J2780" i="17"/>
  <c r="I2780" i="17"/>
  <c r="H2780" i="17"/>
  <c r="G2780" i="17"/>
  <c r="L2779" i="17"/>
  <c r="K2779" i="17"/>
  <c r="J2779" i="17"/>
  <c r="I2779" i="17"/>
  <c r="H2779" i="17"/>
  <c r="G2779" i="17"/>
  <c r="L2778" i="17"/>
  <c r="K2778" i="17"/>
  <c r="J2778" i="17"/>
  <c r="I2778" i="17"/>
  <c r="H2778" i="17"/>
  <c r="G2778" i="17"/>
  <c r="L2777" i="17"/>
  <c r="K2777" i="17"/>
  <c r="J2777" i="17"/>
  <c r="I2777" i="17"/>
  <c r="H2777" i="17"/>
  <c r="G2777" i="17"/>
  <c r="L2776" i="17"/>
  <c r="K2776" i="17"/>
  <c r="J2776" i="17"/>
  <c r="I2776" i="17"/>
  <c r="H2776" i="17"/>
  <c r="G2776" i="17"/>
  <c r="L2775" i="17"/>
  <c r="K2775" i="17"/>
  <c r="J2775" i="17"/>
  <c r="I2775" i="17"/>
  <c r="H2775" i="17"/>
  <c r="G2775" i="17"/>
  <c r="L2774" i="17"/>
  <c r="K2774" i="17"/>
  <c r="J2774" i="17"/>
  <c r="I2774" i="17"/>
  <c r="H2774" i="17"/>
  <c r="G2774" i="17"/>
  <c r="L2773" i="17"/>
  <c r="K2773" i="17"/>
  <c r="J2773" i="17"/>
  <c r="I2773" i="17"/>
  <c r="H2773" i="17"/>
  <c r="G2773" i="17"/>
  <c r="L2772" i="17"/>
  <c r="K2772" i="17"/>
  <c r="J2772" i="17"/>
  <c r="I2772" i="17"/>
  <c r="H2772" i="17"/>
  <c r="G2772" i="17"/>
  <c r="L2771" i="17"/>
  <c r="K2771" i="17"/>
  <c r="J2771" i="17"/>
  <c r="I2771" i="17"/>
  <c r="H2771" i="17"/>
  <c r="G2771" i="17"/>
  <c r="L2770" i="17"/>
  <c r="K2770" i="17"/>
  <c r="J2770" i="17"/>
  <c r="I2770" i="17"/>
  <c r="H2770" i="17"/>
  <c r="G2770" i="17"/>
  <c r="L2769" i="17"/>
  <c r="K2769" i="17"/>
  <c r="J2769" i="17"/>
  <c r="I2769" i="17"/>
  <c r="H2769" i="17"/>
  <c r="G2769" i="17"/>
  <c r="L2768" i="17"/>
  <c r="K2768" i="17"/>
  <c r="J2768" i="17"/>
  <c r="I2768" i="17"/>
  <c r="H2768" i="17"/>
  <c r="G2768" i="17"/>
  <c r="L2767" i="17"/>
  <c r="K2767" i="17"/>
  <c r="J2767" i="17"/>
  <c r="I2767" i="17"/>
  <c r="H2767" i="17"/>
  <c r="G2767" i="17"/>
  <c r="L2766" i="17"/>
  <c r="K2766" i="17"/>
  <c r="J2766" i="17"/>
  <c r="I2766" i="17"/>
  <c r="H2766" i="17"/>
  <c r="G2766" i="17"/>
  <c r="L2765" i="17"/>
  <c r="K2765" i="17"/>
  <c r="J2765" i="17"/>
  <c r="I2765" i="17"/>
  <c r="H2765" i="17"/>
  <c r="G2765" i="17"/>
  <c r="L2764" i="17"/>
  <c r="K2764" i="17"/>
  <c r="J2764" i="17"/>
  <c r="I2764" i="17"/>
  <c r="H2764" i="17"/>
  <c r="G2764" i="17"/>
  <c r="L2763" i="17"/>
  <c r="K2763" i="17"/>
  <c r="J2763" i="17"/>
  <c r="I2763" i="17"/>
  <c r="H2763" i="17"/>
  <c r="G2763" i="17"/>
  <c r="L2762" i="17"/>
  <c r="K2762" i="17"/>
  <c r="J2762" i="17"/>
  <c r="I2762" i="17"/>
  <c r="H2762" i="17"/>
  <c r="G2762" i="17"/>
  <c r="L2761" i="17"/>
  <c r="K2761" i="17"/>
  <c r="J2761" i="17"/>
  <c r="I2761" i="17"/>
  <c r="H2761" i="17"/>
  <c r="G2761" i="17"/>
  <c r="L2760" i="17"/>
  <c r="K2760" i="17"/>
  <c r="J2760" i="17"/>
  <c r="I2760" i="17"/>
  <c r="H2760" i="17"/>
  <c r="G2760" i="17"/>
  <c r="L2759" i="17"/>
  <c r="K2759" i="17"/>
  <c r="J2759" i="17"/>
  <c r="I2759" i="17"/>
  <c r="H2759" i="17"/>
  <c r="G2759" i="17"/>
  <c r="L2758" i="17"/>
  <c r="K2758" i="17"/>
  <c r="J2758" i="17"/>
  <c r="I2758" i="17"/>
  <c r="H2758" i="17"/>
  <c r="G2758" i="17"/>
  <c r="L2757" i="17"/>
  <c r="K2757" i="17"/>
  <c r="J2757" i="17"/>
  <c r="I2757" i="17"/>
  <c r="H2757" i="17"/>
  <c r="G2757" i="17"/>
  <c r="L2756" i="17"/>
  <c r="K2756" i="17"/>
  <c r="J2756" i="17"/>
  <c r="I2756" i="17"/>
  <c r="H2756" i="17"/>
  <c r="G2756" i="17"/>
  <c r="L2755" i="17"/>
  <c r="K2755" i="17"/>
  <c r="J2755" i="17"/>
  <c r="I2755" i="17"/>
  <c r="H2755" i="17"/>
  <c r="G2755" i="17"/>
  <c r="L2754" i="17"/>
  <c r="K2754" i="17"/>
  <c r="J2754" i="17"/>
  <c r="I2754" i="17"/>
  <c r="H2754" i="17"/>
  <c r="G2754" i="17"/>
  <c r="L2753" i="17"/>
  <c r="K2753" i="17"/>
  <c r="J2753" i="17"/>
  <c r="I2753" i="17"/>
  <c r="H2753" i="17"/>
  <c r="G2753" i="17"/>
  <c r="L2752" i="17"/>
  <c r="K2752" i="17"/>
  <c r="J2752" i="17"/>
  <c r="I2752" i="17"/>
  <c r="H2752" i="17"/>
  <c r="G2752" i="17"/>
  <c r="L2751" i="17"/>
  <c r="K2751" i="17"/>
  <c r="J2751" i="17"/>
  <c r="I2751" i="17"/>
  <c r="H2751" i="17"/>
  <c r="G2751" i="17"/>
  <c r="L2750" i="17"/>
  <c r="K2750" i="17"/>
  <c r="J2750" i="17"/>
  <c r="I2750" i="17"/>
  <c r="H2750" i="17"/>
  <c r="G2750" i="17"/>
  <c r="L2749" i="17"/>
  <c r="K2749" i="17"/>
  <c r="J2749" i="17"/>
  <c r="I2749" i="17"/>
  <c r="H2749" i="17"/>
  <c r="G2749" i="17"/>
  <c r="L2748" i="17"/>
  <c r="K2748" i="17"/>
  <c r="J2748" i="17"/>
  <c r="I2748" i="17"/>
  <c r="H2748" i="17"/>
  <c r="G2748" i="17"/>
  <c r="L2747" i="17"/>
  <c r="K2747" i="17"/>
  <c r="J2747" i="17"/>
  <c r="I2747" i="17"/>
  <c r="H2747" i="17"/>
  <c r="G2747" i="17"/>
  <c r="L2746" i="17"/>
  <c r="K2746" i="17"/>
  <c r="J2746" i="17"/>
  <c r="I2746" i="17"/>
  <c r="H2746" i="17"/>
  <c r="G2746" i="17"/>
  <c r="L2745" i="17"/>
  <c r="K2745" i="17"/>
  <c r="J2745" i="17"/>
  <c r="I2745" i="17"/>
  <c r="H2745" i="17"/>
  <c r="G2745" i="17"/>
  <c r="L2744" i="17"/>
  <c r="K2744" i="17"/>
  <c r="J2744" i="17"/>
  <c r="I2744" i="17"/>
  <c r="H2744" i="17"/>
  <c r="G2744" i="17"/>
  <c r="L2743" i="17"/>
  <c r="K2743" i="17"/>
  <c r="J2743" i="17"/>
  <c r="I2743" i="17"/>
  <c r="H2743" i="17"/>
  <c r="G2743" i="17"/>
  <c r="L2742" i="17"/>
  <c r="K2742" i="17"/>
  <c r="J2742" i="17"/>
  <c r="I2742" i="17"/>
  <c r="H2742" i="17"/>
  <c r="G2742" i="17"/>
  <c r="L2741" i="17"/>
  <c r="K2741" i="17"/>
  <c r="J2741" i="17"/>
  <c r="I2741" i="17"/>
  <c r="H2741" i="17"/>
  <c r="G2741" i="17"/>
  <c r="L2740" i="17"/>
  <c r="K2740" i="17"/>
  <c r="J2740" i="17"/>
  <c r="I2740" i="17"/>
  <c r="H2740" i="17"/>
  <c r="G2740" i="17"/>
  <c r="L2739" i="17"/>
  <c r="K2739" i="17"/>
  <c r="J2739" i="17"/>
  <c r="I2739" i="17"/>
  <c r="H2739" i="17"/>
  <c r="G2739" i="17"/>
  <c r="L2738" i="17"/>
  <c r="K2738" i="17"/>
  <c r="J2738" i="17"/>
  <c r="I2738" i="17"/>
  <c r="H2738" i="17"/>
  <c r="G2738" i="17"/>
  <c r="L2737" i="17"/>
  <c r="K2737" i="17"/>
  <c r="J2737" i="17"/>
  <c r="I2737" i="17"/>
  <c r="H2737" i="17"/>
  <c r="G2737" i="17"/>
  <c r="L2736" i="17"/>
  <c r="K2736" i="17"/>
  <c r="J2736" i="17"/>
  <c r="I2736" i="17"/>
  <c r="H2736" i="17"/>
  <c r="G2736" i="17"/>
  <c r="L2735" i="17"/>
  <c r="K2735" i="17"/>
  <c r="J2735" i="17"/>
  <c r="I2735" i="17"/>
  <c r="H2735" i="17"/>
  <c r="G2735" i="17"/>
  <c r="L2734" i="17"/>
  <c r="K2734" i="17"/>
  <c r="J2734" i="17"/>
  <c r="I2734" i="17"/>
  <c r="H2734" i="17"/>
  <c r="G2734" i="17"/>
  <c r="L2733" i="17"/>
  <c r="K2733" i="17"/>
  <c r="J2733" i="17"/>
  <c r="I2733" i="17"/>
  <c r="H2733" i="17"/>
  <c r="G2733" i="17"/>
  <c r="L2732" i="17"/>
  <c r="K2732" i="17"/>
  <c r="J2732" i="17"/>
  <c r="I2732" i="17"/>
  <c r="H2732" i="17"/>
  <c r="G2732" i="17"/>
  <c r="L2731" i="17"/>
  <c r="K2731" i="17"/>
  <c r="J2731" i="17"/>
  <c r="I2731" i="17"/>
  <c r="H2731" i="17"/>
  <c r="G2731" i="17"/>
  <c r="L2730" i="17"/>
  <c r="K2730" i="17"/>
  <c r="J2730" i="17"/>
  <c r="I2730" i="17"/>
  <c r="H2730" i="17"/>
  <c r="G2730" i="17"/>
  <c r="L2729" i="17"/>
  <c r="K2729" i="17"/>
  <c r="J2729" i="17"/>
  <c r="I2729" i="17"/>
  <c r="H2729" i="17"/>
  <c r="G2729" i="17"/>
  <c r="L2728" i="17"/>
  <c r="K2728" i="17"/>
  <c r="J2728" i="17"/>
  <c r="I2728" i="17"/>
  <c r="H2728" i="17"/>
  <c r="G2728" i="17"/>
  <c r="L2727" i="17"/>
  <c r="K2727" i="17"/>
  <c r="J2727" i="17"/>
  <c r="I2727" i="17"/>
  <c r="H2727" i="17"/>
  <c r="G2727" i="17"/>
  <c r="L2726" i="17"/>
  <c r="K2726" i="17"/>
  <c r="J2726" i="17"/>
  <c r="I2726" i="17"/>
  <c r="H2726" i="17"/>
  <c r="G2726" i="17"/>
  <c r="L2725" i="17"/>
  <c r="K2725" i="17"/>
  <c r="J2725" i="17"/>
  <c r="I2725" i="17"/>
  <c r="H2725" i="17"/>
  <c r="G2725" i="17"/>
  <c r="L2724" i="17"/>
  <c r="K2724" i="17"/>
  <c r="J2724" i="17"/>
  <c r="I2724" i="17"/>
  <c r="H2724" i="17"/>
  <c r="G2724" i="17"/>
  <c r="L2723" i="17"/>
  <c r="K2723" i="17"/>
  <c r="J2723" i="17"/>
  <c r="I2723" i="17"/>
  <c r="H2723" i="17"/>
  <c r="G2723" i="17"/>
  <c r="L2722" i="17"/>
  <c r="K2722" i="17"/>
  <c r="J2722" i="17"/>
  <c r="I2722" i="17"/>
  <c r="H2722" i="17"/>
  <c r="G2722" i="17"/>
  <c r="L2721" i="17"/>
  <c r="K2721" i="17"/>
  <c r="J2721" i="17"/>
  <c r="I2721" i="17"/>
  <c r="H2721" i="17"/>
  <c r="G2721" i="17"/>
  <c r="L2720" i="17"/>
  <c r="K2720" i="17"/>
  <c r="J2720" i="17"/>
  <c r="I2720" i="17"/>
  <c r="H2720" i="17"/>
  <c r="G2720" i="17"/>
  <c r="L2719" i="17"/>
  <c r="K2719" i="17"/>
  <c r="J2719" i="17"/>
  <c r="I2719" i="17"/>
  <c r="H2719" i="17"/>
  <c r="G2719" i="17"/>
  <c r="L2718" i="17"/>
  <c r="K2718" i="17"/>
  <c r="J2718" i="17"/>
  <c r="I2718" i="17"/>
  <c r="H2718" i="17"/>
  <c r="G2718" i="17"/>
  <c r="L2717" i="17"/>
  <c r="K2717" i="17"/>
  <c r="J2717" i="17"/>
  <c r="I2717" i="17"/>
  <c r="H2717" i="17"/>
  <c r="G2717" i="17"/>
  <c r="L2716" i="17"/>
  <c r="K2716" i="17"/>
  <c r="J2716" i="17"/>
  <c r="I2716" i="17"/>
  <c r="H2716" i="17"/>
  <c r="G2716" i="17"/>
  <c r="L2715" i="17"/>
  <c r="K2715" i="17"/>
  <c r="J2715" i="17"/>
  <c r="I2715" i="17"/>
  <c r="H2715" i="17"/>
  <c r="G2715" i="17"/>
  <c r="L2714" i="17"/>
  <c r="K2714" i="17"/>
  <c r="J2714" i="17"/>
  <c r="I2714" i="17"/>
  <c r="H2714" i="17"/>
  <c r="G2714" i="17"/>
  <c r="L2713" i="17"/>
  <c r="K2713" i="17"/>
  <c r="J2713" i="17"/>
  <c r="I2713" i="17"/>
  <c r="H2713" i="17"/>
  <c r="G2713" i="17"/>
  <c r="L2712" i="17"/>
  <c r="K2712" i="17"/>
  <c r="J2712" i="17"/>
  <c r="I2712" i="17"/>
  <c r="H2712" i="17"/>
  <c r="G2712" i="17"/>
  <c r="L2711" i="17"/>
  <c r="K2711" i="17"/>
  <c r="J2711" i="17"/>
  <c r="I2711" i="17"/>
  <c r="H2711" i="17"/>
  <c r="G2711" i="17"/>
  <c r="L2710" i="17"/>
  <c r="K2710" i="17"/>
  <c r="J2710" i="17"/>
  <c r="I2710" i="17"/>
  <c r="H2710" i="17"/>
  <c r="G2710" i="17"/>
  <c r="L2709" i="17"/>
  <c r="K2709" i="17"/>
  <c r="J2709" i="17"/>
  <c r="I2709" i="17"/>
  <c r="H2709" i="17"/>
  <c r="G2709" i="17"/>
  <c r="L2708" i="17"/>
  <c r="K2708" i="17"/>
  <c r="J2708" i="17"/>
  <c r="I2708" i="17"/>
  <c r="H2708" i="17"/>
  <c r="G2708" i="17"/>
  <c r="L2707" i="17"/>
  <c r="K2707" i="17"/>
  <c r="J2707" i="17"/>
  <c r="I2707" i="17"/>
  <c r="H2707" i="17"/>
  <c r="G2707" i="17"/>
  <c r="L2706" i="17"/>
  <c r="K2706" i="17"/>
  <c r="J2706" i="17"/>
  <c r="I2706" i="17"/>
  <c r="H2706" i="17"/>
  <c r="G2706" i="17"/>
  <c r="L2705" i="17"/>
  <c r="K2705" i="17"/>
  <c r="J2705" i="17"/>
  <c r="I2705" i="17"/>
  <c r="H2705" i="17"/>
  <c r="G2705" i="17"/>
  <c r="L2704" i="17"/>
  <c r="K2704" i="17"/>
  <c r="J2704" i="17"/>
  <c r="I2704" i="17"/>
  <c r="H2704" i="17"/>
  <c r="G2704" i="17"/>
  <c r="L2703" i="17"/>
  <c r="K2703" i="17"/>
  <c r="J2703" i="17"/>
  <c r="I2703" i="17"/>
  <c r="H2703" i="17"/>
  <c r="G2703" i="17"/>
  <c r="L2702" i="17"/>
  <c r="K2702" i="17"/>
  <c r="J2702" i="17"/>
  <c r="I2702" i="17"/>
  <c r="H2702" i="17"/>
  <c r="G2702" i="17"/>
  <c r="L2701" i="17"/>
  <c r="K2701" i="17"/>
  <c r="J2701" i="17"/>
  <c r="I2701" i="17"/>
  <c r="H2701" i="17"/>
  <c r="G2701" i="17"/>
  <c r="L2700" i="17"/>
  <c r="K2700" i="17"/>
  <c r="J2700" i="17"/>
  <c r="I2700" i="17"/>
  <c r="H2700" i="17"/>
  <c r="G2700" i="17"/>
  <c r="L2699" i="17"/>
  <c r="K2699" i="17"/>
  <c r="J2699" i="17"/>
  <c r="I2699" i="17"/>
  <c r="H2699" i="17"/>
  <c r="G2699" i="17"/>
  <c r="L2698" i="17"/>
  <c r="K2698" i="17"/>
  <c r="J2698" i="17"/>
  <c r="I2698" i="17"/>
  <c r="H2698" i="17"/>
  <c r="G2698" i="17"/>
  <c r="L2697" i="17"/>
  <c r="K2697" i="17"/>
  <c r="J2697" i="17"/>
  <c r="I2697" i="17"/>
  <c r="H2697" i="17"/>
  <c r="G2697" i="17"/>
  <c r="L2696" i="17"/>
  <c r="K2696" i="17"/>
  <c r="J2696" i="17"/>
  <c r="I2696" i="17"/>
  <c r="H2696" i="17"/>
  <c r="G2696" i="17"/>
  <c r="L2695" i="17"/>
  <c r="K2695" i="17"/>
  <c r="J2695" i="17"/>
  <c r="I2695" i="17"/>
  <c r="H2695" i="17"/>
  <c r="G2695" i="17"/>
  <c r="L2694" i="17"/>
  <c r="K2694" i="17"/>
  <c r="J2694" i="17"/>
  <c r="I2694" i="17"/>
  <c r="H2694" i="17"/>
  <c r="G2694" i="17"/>
  <c r="L2693" i="17"/>
  <c r="K2693" i="17"/>
  <c r="J2693" i="17"/>
  <c r="I2693" i="17"/>
  <c r="H2693" i="17"/>
  <c r="G2693" i="17"/>
  <c r="L2692" i="17"/>
  <c r="K2692" i="17"/>
  <c r="J2692" i="17"/>
  <c r="I2692" i="17"/>
  <c r="H2692" i="17"/>
  <c r="G2692" i="17"/>
  <c r="L2691" i="17"/>
  <c r="K2691" i="17"/>
  <c r="J2691" i="17"/>
  <c r="I2691" i="17"/>
  <c r="H2691" i="17"/>
  <c r="G2691" i="17"/>
  <c r="L2690" i="17"/>
  <c r="K2690" i="17"/>
  <c r="J2690" i="17"/>
  <c r="I2690" i="17"/>
  <c r="H2690" i="17"/>
  <c r="G2690" i="17"/>
  <c r="L2689" i="17"/>
  <c r="K2689" i="17"/>
  <c r="J2689" i="17"/>
  <c r="I2689" i="17"/>
  <c r="H2689" i="17"/>
  <c r="G2689" i="17"/>
  <c r="L2688" i="17"/>
  <c r="K2688" i="17"/>
  <c r="J2688" i="17"/>
  <c r="I2688" i="17"/>
  <c r="H2688" i="17"/>
  <c r="G2688" i="17"/>
  <c r="L2687" i="17"/>
  <c r="K2687" i="17"/>
  <c r="J2687" i="17"/>
  <c r="I2687" i="17"/>
  <c r="H2687" i="17"/>
  <c r="G2687" i="17"/>
  <c r="L2686" i="17"/>
  <c r="K2686" i="17"/>
  <c r="J2686" i="17"/>
  <c r="I2686" i="17"/>
  <c r="H2686" i="17"/>
  <c r="G2686" i="17"/>
  <c r="L2685" i="17"/>
  <c r="K2685" i="17"/>
  <c r="J2685" i="17"/>
  <c r="I2685" i="17"/>
  <c r="H2685" i="17"/>
  <c r="G2685" i="17"/>
  <c r="L2684" i="17"/>
  <c r="K2684" i="17"/>
  <c r="J2684" i="17"/>
  <c r="I2684" i="17"/>
  <c r="H2684" i="17"/>
  <c r="G2684" i="17"/>
  <c r="L2683" i="17"/>
  <c r="K2683" i="17"/>
  <c r="J2683" i="17"/>
  <c r="I2683" i="17"/>
  <c r="H2683" i="17"/>
  <c r="G2683" i="17"/>
  <c r="L2682" i="17"/>
  <c r="K2682" i="17"/>
  <c r="J2682" i="17"/>
  <c r="I2682" i="17"/>
  <c r="H2682" i="17"/>
  <c r="G2682" i="17"/>
  <c r="L2681" i="17"/>
  <c r="K2681" i="17"/>
  <c r="J2681" i="17"/>
  <c r="I2681" i="17"/>
  <c r="H2681" i="17"/>
  <c r="G2681" i="17"/>
  <c r="L2680" i="17"/>
  <c r="K2680" i="17"/>
  <c r="J2680" i="17"/>
  <c r="I2680" i="17"/>
  <c r="H2680" i="17"/>
  <c r="G2680" i="17"/>
  <c r="L2679" i="17"/>
  <c r="K2679" i="17"/>
  <c r="J2679" i="17"/>
  <c r="I2679" i="17"/>
  <c r="H2679" i="17"/>
  <c r="G2679" i="17"/>
  <c r="L2678" i="17"/>
  <c r="K2678" i="17"/>
  <c r="J2678" i="17"/>
  <c r="I2678" i="17"/>
  <c r="H2678" i="17"/>
  <c r="G2678" i="17"/>
  <c r="L2677" i="17"/>
  <c r="K2677" i="17"/>
  <c r="J2677" i="17"/>
  <c r="I2677" i="17"/>
  <c r="H2677" i="17"/>
  <c r="G2677" i="17"/>
  <c r="L2676" i="17"/>
  <c r="K2676" i="17"/>
  <c r="J2676" i="17"/>
  <c r="I2676" i="17"/>
  <c r="H2676" i="17"/>
  <c r="G2676" i="17"/>
  <c r="L2675" i="17"/>
  <c r="K2675" i="17"/>
  <c r="J2675" i="17"/>
  <c r="I2675" i="17"/>
  <c r="H2675" i="17"/>
  <c r="G2675" i="17"/>
  <c r="L2674" i="17"/>
  <c r="K2674" i="17"/>
  <c r="J2674" i="17"/>
  <c r="I2674" i="17"/>
  <c r="H2674" i="17"/>
  <c r="G2674" i="17"/>
  <c r="L2673" i="17"/>
  <c r="K2673" i="17"/>
  <c r="J2673" i="17"/>
  <c r="I2673" i="17"/>
  <c r="H2673" i="17"/>
  <c r="G2673" i="17"/>
  <c r="L2672" i="17"/>
  <c r="K2672" i="17"/>
  <c r="J2672" i="17"/>
  <c r="I2672" i="17"/>
  <c r="H2672" i="17"/>
  <c r="G2672" i="17"/>
  <c r="L2671" i="17"/>
  <c r="K2671" i="17"/>
  <c r="J2671" i="17"/>
  <c r="I2671" i="17"/>
  <c r="H2671" i="17"/>
  <c r="G2671" i="17"/>
  <c r="L2670" i="17"/>
  <c r="K2670" i="17"/>
  <c r="J2670" i="17"/>
  <c r="I2670" i="17"/>
  <c r="H2670" i="17"/>
  <c r="G2670" i="17"/>
  <c r="L2669" i="17"/>
  <c r="K2669" i="17"/>
  <c r="J2669" i="17"/>
  <c r="I2669" i="17"/>
  <c r="H2669" i="17"/>
  <c r="G2669" i="17"/>
  <c r="L2668" i="17"/>
  <c r="K2668" i="17"/>
  <c r="J2668" i="17"/>
  <c r="I2668" i="17"/>
  <c r="H2668" i="17"/>
  <c r="G2668" i="17"/>
  <c r="L2667" i="17"/>
  <c r="K2667" i="17"/>
  <c r="J2667" i="17"/>
  <c r="I2667" i="17"/>
  <c r="H2667" i="17"/>
  <c r="G2667" i="17"/>
  <c r="L2666" i="17"/>
  <c r="K2666" i="17"/>
  <c r="J2666" i="17"/>
  <c r="I2666" i="17"/>
  <c r="H2666" i="17"/>
  <c r="G2666" i="17"/>
  <c r="L2665" i="17"/>
  <c r="K2665" i="17"/>
  <c r="J2665" i="17"/>
  <c r="I2665" i="17"/>
  <c r="H2665" i="17"/>
  <c r="G2665" i="17"/>
  <c r="L2664" i="17"/>
  <c r="K2664" i="17"/>
  <c r="J2664" i="17"/>
  <c r="I2664" i="17"/>
  <c r="H2664" i="17"/>
  <c r="G2664" i="17"/>
  <c r="L2663" i="17"/>
  <c r="K2663" i="17"/>
  <c r="J2663" i="17"/>
  <c r="I2663" i="17"/>
  <c r="H2663" i="17"/>
  <c r="G2663" i="17"/>
  <c r="L2662" i="17"/>
  <c r="K2662" i="17"/>
  <c r="J2662" i="17"/>
  <c r="I2662" i="17"/>
  <c r="H2662" i="17"/>
  <c r="G2662" i="17"/>
  <c r="L2661" i="17"/>
  <c r="K2661" i="17"/>
  <c r="J2661" i="17"/>
  <c r="I2661" i="17"/>
  <c r="H2661" i="17"/>
  <c r="G2661" i="17"/>
  <c r="L2660" i="17"/>
  <c r="K2660" i="17"/>
  <c r="J2660" i="17"/>
  <c r="I2660" i="17"/>
  <c r="H2660" i="17"/>
  <c r="G2660" i="17"/>
  <c r="L2659" i="17"/>
  <c r="K2659" i="17"/>
  <c r="J2659" i="17"/>
  <c r="I2659" i="17"/>
  <c r="H2659" i="17"/>
  <c r="G2659" i="17"/>
  <c r="L2658" i="17"/>
  <c r="K2658" i="17"/>
  <c r="J2658" i="17"/>
  <c r="I2658" i="17"/>
  <c r="H2658" i="17"/>
  <c r="G2658" i="17"/>
  <c r="L2657" i="17"/>
  <c r="K2657" i="17"/>
  <c r="J2657" i="17"/>
  <c r="I2657" i="17"/>
  <c r="H2657" i="17"/>
  <c r="G2657" i="17"/>
  <c r="L2656" i="17"/>
  <c r="K2656" i="17"/>
  <c r="J2656" i="17"/>
  <c r="I2656" i="17"/>
  <c r="H2656" i="17"/>
  <c r="G2656" i="17"/>
  <c r="L2655" i="17"/>
  <c r="K2655" i="17"/>
  <c r="J2655" i="17"/>
  <c r="I2655" i="17"/>
  <c r="H2655" i="17"/>
  <c r="G2655" i="17"/>
  <c r="L2654" i="17"/>
  <c r="K2654" i="17"/>
  <c r="J2654" i="17"/>
  <c r="I2654" i="17"/>
  <c r="H2654" i="17"/>
  <c r="G2654" i="17"/>
  <c r="L2653" i="17"/>
  <c r="K2653" i="17"/>
  <c r="J2653" i="17"/>
  <c r="I2653" i="17"/>
  <c r="H2653" i="17"/>
  <c r="G2653" i="17"/>
  <c r="L2652" i="17"/>
  <c r="K2652" i="17"/>
  <c r="J2652" i="17"/>
  <c r="I2652" i="17"/>
  <c r="H2652" i="17"/>
  <c r="G2652" i="17"/>
  <c r="L2651" i="17"/>
  <c r="K2651" i="17"/>
  <c r="J2651" i="17"/>
  <c r="I2651" i="17"/>
  <c r="H2651" i="17"/>
  <c r="G2651" i="17"/>
  <c r="L2650" i="17"/>
  <c r="K2650" i="17"/>
  <c r="J2650" i="17"/>
  <c r="I2650" i="17"/>
  <c r="H2650" i="17"/>
  <c r="G2650" i="17"/>
  <c r="L2649" i="17"/>
  <c r="K2649" i="17"/>
  <c r="J2649" i="17"/>
  <c r="I2649" i="17"/>
  <c r="H2649" i="17"/>
  <c r="G2649" i="17"/>
  <c r="L2648" i="17"/>
  <c r="K2648" i="17"/>
  <c r="J2648" i="17"/>
  <c r="I2648" i="17"/>
  <c r="H2648" i="17"/>
  <c r="G2648" i="17"/>
  <c r="L2647" i="17"/>
  <c r="K2647" i="17"/>
  <c r="J2647" i="17"/>
  <c r="I2647" i="17"/>
  <c r="H2647" i="17"/>
  <c r="G2647" i="17"/>
  <c r="L2646" i="17"/>
  <c r="K2646" i="17"/>
  <c r="J2646" i="17"/>
  <c r="I2646" i="17"/>
  <c r="H2646" i="17"/>
  <c r="G2646" i="17"/>
  <c r="L2645" i="17"/>
  <c r="K2645" i="17"/>
  <c r="J2645" i="17"/>
  <c r="I2645" i="17"/>
  <c r="H2645" i="17"/>
  <c r="G2645" i="17"/>
  <c r="L2644" i="17"/>
  <c r="K2644" i="17"/>
  <c r="J2644" i="17"/>
  <c r="I2644" i="17"/>
  <c r="H2644" i="17"/>
  <c r="G2644" i="17"/>
  <c r="L2643" i="17"/>
  <c r="K2643" i="17"/>
  <c r="J2643" i="17"/>
  <c r="I2643" i="17"/>
  <c r="H2643" i="17"/>
  <c r="G2643" i="17"/>
  <c r="L2642" i="17"/>
  <c r="K2642" i="17"/>
  <c r="J2642" i="17"/>
  <c r="I2642" i="17"/>
  <c r="H2642" i="17"/>
  <c r="G2642" i="17"/>
  <c r="L2641" i="17"/>
  <c r="K2641" i="17"/>
  <c r="J2641" i="17"/>
  <c r="I2641" i="17"/>
  <c r="H2641" i="17"/>
  <c r="G2641" i="17"/>
  <c r="L2640" i="17"/>
  <c r="K2640" i="17"/>
  <c r="J2640" i="17"/>
  <c r="I2640" i="17"/>
  <c r="H2640" i="17"/>
  <c r="G2640" i="17"/>
  <c r="L2639" i="17"/>
  <c r="K2639" i="17"/>
  <c r="J2639" i="17"/>
  <c r="I2639" i="17"/>
  <c r="H2639" i="17"/>
  <c r="G2639" i="17"/>
  <c r="L2638" i="17"/>
  <c r="K2638" i="17"/>
  <c r="J2638" i="17"/>
  <c r="I2638" i="17"/>
  <c r="H2638" i="17"/>
  <c r="G2638" i="17"/>
  <c r="L2637" i="17"/>
  <c r="K2637" i="17"/>
  <c r="J2637" i="17"/>
  <c r="I2637" i="17"/>
  <c r="H2637" i="17"/>
  <c r="G2637" i="17"/>
  <c r="L2636" i="17"/>
  <c r="K2636" i="17"/>
  <c r="J2636" i="17"/>
  <c r="I2636" i="17"/>
  <c r="H2636" i="17"/>
  <c r="G2636" i="17"/>
  <c r="L2635" i="17"/>
  <c r="K2635" i="17"/>
  <c r="J2635" i="17"/>
  <c r="I2635" i="17"/>
  <c r="H2635" i="17"/>
  <c r="G2635" i="17"/>
  <c r="L2634" i="17"/>
  <c r="K2634" i="17"/>
  <c r="J2634" i="17"/>
  <c r="I2634" i="17"/>
  <c r="H2634" i="17"/>
  <c r="G2634" i="17"/>
  <c r="L2633" i="17"/>
  <c r="K2633" i="17"/>
  <c r="J2633" i="17"/>
  <c r="I2633" i="17"/>
  <c r="H2633" i="17"/>
  <c r="G2633" i="17"/>
  <c r="L2632" i="17"/>
  <c r="K2632" i="17"/>
  <c r="J2632" i="17"/>
  <c r="I2632" i="17"/>
  <c r="H2632" i="17"/>
  <c r="G2632" i="17"/>
  <c r="L2631" i="17"/>
  <c r="K2631" i="17"/>
  <c r="J2631" i="17"/>
  <c r="I2631" i="17"/>
  <c r="H2631" i="17"/>
  <c r="G2631" i="17"/>
  <c r="L2630" i="17"/>
  <c r="K2630" i="17"/>
  <c r="J2630" i="17"/>
  <c r="I2630" i="17"/>
  <c r="H2630" i="17"/>
  <c r="G2630" i="17"/>
  <c r="L2629" i="17"/>
  <c r="K2629" i="17"/>
  <c r="J2629" i="17"/>
  <c r="I2629" i="17"/>
  <c r="H2629" i="17"/>
  <c r="G2629" i="17"/>
  <c r="L2628" i="17"/>
  <c r="K2628" i="17"/>
  <c r="J2628" i="17"/>
  <c r="I2628" i="17"/>
  <c r="H2628" i="17"/>
  <c r="G2628" i="17"/>
  <c r="L2627" i="17"/>
  <c r="K2627" i="17"/>
  <c r="J2627" i="17"/>
  <c r="I2627" i="17"/>
  <c r="H2627" i="17"/>
  <c r="G2627" i="17"/>
  <c r="L2626" i="17"/>
  <c r="K2626" i="17"/>
  <c r="J2626" i="17"/>
  <c r="I2626" i="17"/>
  <c r="H2626" i="17"/>
  <c r="G2626" i="17"/>
  <c r="L2625" i="17"/>
  <c r="K2625" i="17"/>
  <c r="J2625" i="17"/>
  <c r="I2625" i="17"/>
  <c r="H2625" i="17"/>
  <c r="G2625" i="17"/>
  <c r="L2624" i="17"/>
  <c r="K2624" i="17"/>
  <c r="J2624" i="17"/>
  <c r="I2624" i="17"/>
  <c r="H2624" i="17"/>
  <c r="G2624" i="17"/>
  <c r="L2623" i="17"/>
  <c r="K2623" i="17"/>
  <c r="J2623" i="17"/>
  <c r="I2623" i="17"/>
  <c r="H2623" i="17"/>
  <c r="G2623" i="17"/>
  <c r="L2622" i="17"/>
  <c r="K2622" i="17"/>
  <c r="J2622" i="17"/>
  <c r="I2622" i="17"/>
  <c r="H2622" i="17"/>
  <c r="G2622" i="17"/>
  <c r="L2621" i="17"/>
  <c r="K2621" i="17"/>
  <c r="J2621" i="17"/>
  <c r="I2621" i="17"/>
  <c r="H2621" i="17"/>
  <c r="G2621" i="17"/>
  <c r="L2620" i="17"/>
  <c r="K2620" i="17"/>
  <c r="J2620" i="17"/>
  <c r="I2620" i="17"/>
  <c r="H2620" i="17"/>
  <c r="G2620" i="17"/>
  <c r="L2619" i="17"/>
  <c r="K2619" i="17"/>
  <c r="J2619" i="17"/>
  <c r="I2619" i="17"/>
  <c r="H2619" i="17"/>
  <c r="G2619" i="17"/>
  <c r="L2618" i="17"/>
  <c r="K2618" i="17"/>
  <c r="J2618" i="17"/>
  <c r="I2618" i="17"/>
  <c r="H2618" i="17"/>
  <c r="G2618" i="17"/>
  <c r="L2617" i="17"/>
  <c r="K2617" i="17"/>
  <c r="J2617" i="17"/>
  <c r="I2617" i="17"/>
  <c r="H2617" i="17"/>
  <c r="G2617" i="17"/>
  <c r="L2616" i="17"/>
  <c r="K2616" i="17"/>
  <c r="J2616" i="17"/>
  <c r="I2616" i="17"/>
  <c r="H2616" i="17"/>
  <c r="G2616" i="17"/>
  <c r="L2615" i="17"/>
  <c r="K2615" i="17"/>
  <c r="J2615" i="17"/>
  <c r="I2615" i="17"/>
  <c r="H2615" i="17"/>
  <c r="G2615" i="17"/>
  <c r="L2614" i="17"/>
  <c r="K2614" i="17"/>
  <c r="J2614" i="17"/>
  <c r="I2614" i="17"/>
  <c r="H2614" i="17"/>
  <c r="G2614" i="17"/>
  <c r="L2613" i="17"/>
  <c r="K2613" i="17"/>
  <c r="J2613" i="17"/>
  <c r="I2613" i="17"/>
  <c r="H2613" i="17"/>
  <c r="G2613" i="17"/>
  <c r="L2612" i="17"/>
  <c r="K2612" i="17"/>
  <c r="J2612" i="17"/>
  <c r="I2612" i="17"/>
  <c r="H2612" i="17"/>
  <c r="G2612" i="17"/>
  <c r="L2611" i="17"/>
  <c r="K2611" i="17"/>
  <c r="J2611" i="17"/>
  <c r="I2611" i="17"/>
  <c r="H2611" i="17"/>
  <c r="G2611" i="17"/>
  <c r="L2610" i="17"/>
  <c r="K2610" i="17"/>
  <c r="J2610" i="17"/>
  <c r="I2610" i="17"/>
  <c r="H2610" i="17"/>
  <c r="G2610" i="17"/>
  <c r="L2609" i="17"/>
  <c r="K2609" i="17"/>
  <c r="J2609" i="17"/>
  <c r="I2609" i="17"/>
  <c r="H2609" i="17"/>
  <c r="G2609" i="17"/>
  <c r="L2608" i="17"/>
  <c r="K2608" i="17"/>
  <c r="J2608" i="17"/>
  <c r="I2608" i="17"/>
  <c r="H2608" i="17"/>
  <c r="G2608" i="17"/>
  <c r="L2607" i="17"/>
  <c r="K2607" i="17"/>
  <c r="J2607" i="17"/>
  <c r="I2607" i="17"/>
  <c r="H2607" i="17"/>
  <c r="G2607" i="17"/>
  <c r="L2606" i="17"/>
  <c r="K2606" i="17"/>
  <c r="J2606" i="17"/>
  <c r="I2606" i="17"/>
  <c r="H2606" i="17"/>
  <c r="G2606" i="17"/>
  <c r="L2605" i="17"/>
  <c r="K2605" i="17"/>
  <c r="J2605" i="17"/>
  <c r="I2605" i="17"/>
  <c r="H2605" i="17"/>
  <c r="G2605" i="17"/>
  <c r="L2604" i="17"/>
  <c r="K2604" i="17"/>
  <c r="J2604" i="17"/>
  <c r="I2604" i="17"/>
  <c r="H2604" i="17"/>
  <c r="G2604" i="17"/>
  <c r="L2603" i="17"/>
  <c r="K2603" i="17"/>
  <c r="J2603" i="17"/>
  <c r="I2603" i="17"/>
  <c r="H2603" i="17"/>
  <c r="G2603" i="17"/>
  <c r="L2602" i="17"/>
  <c r="K2602" i="17"/>
  <c r="J2602" i="17"/>
  <c r="I2602" i="17"/>
  <c r="H2602" i="17"/>
  <c r="G2602" i="17"/>
  <c r="L2601" i="17"/>
  <c r="K2601" i="17"/>
  <c r="J2601" i="17"/>
  <c r="I2601" i="17"/>
  <c r="H2601" i="17"/>
  <c r="G2601" i="17"/>
  <c r="L2600" i="17"/>
  <c r="K2600" i="17"/>
  <c r="J2600" i="17"/>
  <c r="I2600" i="17"/>
  <c r="H2600" i="17"/>
  <c r="G2600" i="17"/>
  <c r="L2599" i="17"/>
  <c r="K2599" i="17"/>
  <c r="J2599" i="17"/>
  <c r="I2599" i="17"/>
  <c r="H2599" i="17"/>
  <c r="G2599" i="17"/>
  <c r="L2598" i="17"/>
  <c r="K2598" i="17"/>
  <c r="J2598" i="17"/>
  <c r="I2598" i="17"/>
  <c r="H2598" i="17"/>
  <c r="G2598" i="17"/>
  <c r="L2597" i="17"/>
  <c r="K2597" i="17"/>
  <c r="J2597" i="17"/>
  <c r="I2597" i="17"/>
  <c r="H2597" i="17"/>
  <c r="G2597" i="17"/>
  <c r="L2596" i="17"/>
  <c r="K2596" i="17"/>
  <c r="J2596" i="17"/>
  <c r="I2596" i="17"/>
  <c r="H2596" i="17"/>
  <c r="G2596" i="17"/>
  <c r="L2595" i="17"/>
  <c r="K2595" i="17"/>
  <c r="J2595" i="17"/>
  <c r="I2595" i="17"/>
  <c r="H2595" i="17"/>
  <c r="G2595" i="17"/>
  <c r="L2594" i="17"/>
  <c r="K2594" i="17"/>
  <c r="J2594" i="17"/>
  <c r="I2594" i="17"/>
  <c r="H2594" i="17"/>
  <c r="G2594" i="17"/>
  <c r="L2593" i="17"/>
  <c r="K2593" i="17"/>
  <c r="J2593" i="17"/>
  <c r="I2593" i="17"/>
  <c r="H2593" i="17"/>
  <c r="G2593" i="17"/>
  <c r="L2592" i="17"/>
  <c r="K2592" i="17"/>
  <c r="J2592" i="17"/>
  <c r="I2592" i="17"/>
  <c r="H2592" i="17"/>
  <c r="G2592" i="17"/>
  <c r="L2591" i="17"/>
  <c r="K2591" i="17"/>
  <c r="J2591" i="17"/>
  <c r="I2591" i="17"/>
  <c r="H2591" i="17"/>
  <c r="G2591" i="17"/>
  <c r="L2590" i="17"/>
  <c r="K2590" i="17"/>
  <c r="J2590" i="17"/>
  <c r="I2590" i="17"/>
  <c r="H2590" i="17"/>
  <c r="G2590" i="17"/>
  <c r="L2589" i="17"/>
  <c r="K2589" i="17"/>
  <c r="J2589" i="17"/>
  <c r="I2589" i="17"/>
  <c r="H2589" i="17"/>
  <c r="G2589" i="17"/>
  <c r="L2588" i="17"/>
  <c r="K2588" i="17"/>
  <c r="J2588" i="17"/>
  <c r="I2588" i="17"/>
  <c r="H2588" i="17"/>
  <c r="G2588" i="17"/>
  <c r="L2587" i="17"/>
  <c r="K2587" i="17"/>
  <c r="J2587" i="17"/>
  <c r="I2587" i="17"/>
  <c r="H2587" i="17"/>
  <c r="G2587" i="17"/>
  <c r="L2586" i="17"/>
  <c r="K2586" i="17"/>
  <c r="J2586" i="17"/>
  <c r="I2586" i="17"/>
  <c r="H2586" i="17"/>
  <c r="G2586" i="17"/>
  <c r="L2585" i="17"/>
  <c r="K2585" i="17"/>
  <c r="J2585" i="17"/>
  <c r="I2585" i="17"/>
  <c r="H2585" i="17"/>
  <c r="G2585" i="17"/>
  <c r="L2584" i="17"/>
  <c r="K2584" i="17"/>
  <c r="J2584" i="17"/>
  <c r="I2584" i="17"/>
  <c r="H2584" i="17"/>
  <c r="G2584" i="17"/>
  <c r="L2583" i="17"/>
  <c r="K2583" i="17"/>
  <c r="J2583" i="17"/>
  <c r="I2583" i="17"/>
  <c r="H2583" i="17"/>
  <c r="G2583" i="17"/>
  <c r="L2582" i="17"/>
  <c r="K2582" i="17"/>
  <c r="J2582" i="17"/>
  <c r="I2582" i="17"/>
  <c r="H2582" i="17"/>
  <c r="G2582" i="17"/>
  <c r="L2581" i="17"/>
  <c r="K2581" i="17"/>
  <c r="J2581" i="17"/>
  <c r="I2581" i="17"/>
  <c r="H2581" i="17"/>
  <c r="G2581" i="17"/>
  <c r="L2580" i="17"/>
  <c r="K2580" i="17"/>
  <c r="J2580" i="17"/>
  <c r="I2580" i="17"/>
  <c r="H2580" i="17"/>
  <c r="G2580" i="17"/>
  <c r="L2579" i="17"/>
  <c r="K2579" i="17"/>
  <c r="J2579" i="17"/>
  <c r="I2579" i="17"/>
  <c r="H2579" i="17"/>
  <c r="G2579" i="17"/>
  <c r="L2578" i="17"/>
  <c r="K2578" i="17"/>
  <c r="J2578" i="17"/>
  <c r="I2578" i="17"/>
  <c r="H2578" i="17"/>
  <c r="G2578" i="17"/>
  <c r="L2577" i="17"/>
  <c r="K2577" i="17"/>
  <c r="J2577" i="17"/>
  <c r="I2577" i="17"/>
  <c r="H2577" i="17"/>
  <c r="G2577" i="17"/>
  <c r="L2576" i="17"/>
  <c r="K2576" i="17"/>
  <c r="J2576" i="17"/>
  <c r="I2576" i="17"/>
  <c r="H2576" i="17"/>
  <c r="G2576" i="17"/>
  <c r="L2575" i="17"/>
  <c r="K2575" i="17"/>
  <c r="J2575" i="17"/>
  <c r="I2575" i="17"/>
  <c r="H2575" i="17"/>
  <c r="G2575" i="17"/>
  <c r="L2574" i="17"/>
  <c r="K2574" i="17"/>
  <c r="J2574" i="17"/>
  <c r="I2574" i="17"/>
  <c r="H2574" i="17"/>
  <c r="G2574" i="17"/>
  <c r="L2573" i="17"/>
  <c r="K2573" i="17"/>
  <c r="J2573" i="17"/>
  <c r="I2573" i="17"/>
  <c r="H2573" i="17"/>
  <c r="G2573" i="17"/>
  <c r="L2572" i="17"/>
  <c r="K2572" i="17"/>
  <c r="J2572" i="17"/>
  <c r="I2572" i="17"/>
  <c r="H2572" i="17"/>
  <c r="G2572" i="17"/>
  <c r="L2571" i="17"/>
  <c r="K2571" i="17"/>
  <c r="J2571" i="17"/>
  <c r="I2571" i="17"/>
  <c r="H2571" i="17"/>
  <c r="G2571" i="17"/>
  <c r="L2570" i="17"/>
  <c r="K2570" i="17"/>
  <c r="J2570" i="17"/>
  <c r="I2570" i="17"/>
  <c r="H2570" i="17"/>
  <c r="G2570" i="17"/>
  <c r="L2569" i="17"/>
  <c r="K2569" i="17"/>
  <c r="J2569" i="17"/>
  <c r="I2569" i="17"/>
  <c r="H2569" i="17"/>
  <c r="G2569" i="17"/>
  <c r="L2568" i="17"/>
  <c r="K2568" i="17"/>
  <c r="J2568" i="17"/>
  <c r="I2568" i="17"/>
  <c r="H2568" i="17"/>
  <c r="G2568" i="17"/>
  <c r="L2567" i="17"/>
  <c r="K2567" i="17"/>
  <c r="J2567" i="17"/>
  <c r="I2567" i="17"/>
  <c r="H2567" i="17"/>
  <c r="G2567" i="17"/>
  <c r="L2566" i="17"/>
  <c r="K2566" i="17"/>
  <c r="J2566" i="17"/>
  <c r="I2566" i="17"/>
  <c r="H2566" i="17"/>
  <c r="G2566" i="17"/>
  <c r="L2565" i="17"/>
  <c r="K2565" i="17"/>
  <c r="J2565" i="17"/>
  <c r="I2565" i="17"/>
  <c r="H2565" i="17"/>
  <c r="G2565" i="17"/>
  <c r="L2564" i="17"/>
  <c r="K2564" i="17"/>
  <c r="J2564" i="17"/>
  <c r="I2564" i="17"/>
  <c r="H2564" i="17"/>
  <c r="G2564" i="17"/>
  <c r="L2563" i="17"/>
  <c r="K2563" i="17"/>
  <c r="J2563" i="17"/>
  <c r="I2563" i="17"/>
  <c r="H2563" i="17"/>
  <c r="G2563" i="17"/>
  <c r="L2562" i="17"/>
  <c r="K2562" i="17"/>
  <c r="J2562" i="17"/>
  <c r="I2562" i="17"/>
  <c r="H2562" i="17"/>
  <c r="G2562" i="17"/>
  <c r="L2561" i="17"/>
  <c r="K2561" i="17"/>
  <c r="J2561" i="17"/>
  <c r="I2561" i="17"/>
  <c r="H2561" i="17"/>
  <c r="G2561" i="17"/>
  <c r="L2560" i="17"/>
  <c r="K2560" i="17"/>
  <c r="J2560" i="17"/>
  <c r="I2560" i="17"/>
  <c r="H2560" i="17"/>
  <c r="G2560" i="17"/>
  <c r="L2559" i="17"/>
  <c r="K2559" i="17"/>
  <c r="J2559" i="17"/>
  <c r="I2559" i="17"/>
  <c r="H2559" i="17"/>
  <c r="G2559" i="17"/>
  <c r="L2558" i="17"/>
  <c r="K2558" i="17"/>
  <c r="J2558" i="17"/>
  <c r="I2558" i="17"/>
  <c r="H2558" i="17"/>
  <c r="G2558" i="17"/>
  <c r="L2557" i="17"/>
  <c r="K2557" i="17"/>
  <c r="J2557" i="17"/>
  <c r="I2557" i="17"/>
  <c r="H2557" i="17"/>
  <c r="G2557" i="17"/>
  <c r="L2556" i="17"/>
  <c r="K2556" i="17"/>
  <c r="J2556" i="17"/>
  <c r="I2556" i="17"/>
  <c r="H2556" i="17"/>
  <c r="G2556" i="17"/>
  <c r="L2555" i="17"/>
  <c r="K2555" i="17"/>
  <c r="J2555" i="17"/>
  <c r="I2555" i="17"/>
  <c r="H2555" i="17"/>
  <c r="G2555" i="17"/>
  <c r="L2554" i="17"/>
  <c r="K2554" i="17"/>
  <c r="J2554" i="17"/>
  <c r="I2554" i="17"/>
  <c r="H2554" i="17"/>
  <c r="G2554" i="17"/>
  <c r="L2553" i="17"/>
  <c r="K2553" i="17"/>
  <c r="J2553" i="17"/>
  <c r="I2553" i="17"/>
  <c r="H2553" i="17"/>
  <c r="G2553" i="17"/>
  <c r="L2552" i="17"/>
  <c r="K2552" i="17"/>
  <c r="J2552" i="17"/>
  <c r="I2552" i="17"/>
  <c r="H2552" i="17"/>
  <c r="G2552" i="17"/>
  <c r="L2551" i="17"/>
  <c r="K2551" i="17"/>
  <c r="J2551" i="17"/>
  <c r="I2551" i="17"/>
  <c r="H2551" i="17"/>
  <c r="G2551" i="17"/>
  <c r="L2550" i="17"/>
  <c r="K2550" i="17"/>
  <c r="J2550" i="17"/>
  <c r="I2550" i="17"/>
  <c r="H2550" i="17"/>
  <c r="G2550" i="17"/>
  <c r="L2549" i="17"/>
  <c r="K2549" i="17"/>
  <c r="J2549" i="17"/>
  <c r="I2549" i="17"/>
  <c r="H2549" i="17"/>
  <c r="G2549" i="17"/>
  <c r="L2548" i="17"/>
  <c r="K2548" i="17"/>
  <c r="J2548" i="17"/>
  <c r="I2548" i="17"/>
  <c r="H2548" i="17"/>
  <c r="G2548" i="17"/>
  <c r="L2547" i="17"/>
  <c r="K2547" i="17"/>
  <c r="J2547" i="17"/>
  <c r="I2547" i="17"/>
  <c r="H2547" i="17"/>
  <c r="G2547" i="17"/>
  <c r="L2546" i="17"/>
  <c r="K2546" i="17"/>
  <c r="J2546" i="17"/>
  <c r="I2546" i="17"/>
  <c r="H2546" i="17"/>
  <c r="G2546" i="17"/>
  <c r="L2545" i="17"/>
  <c r="K2545" i="17"/>
  <c r="J2545" i="17"/>
  <c r="I2545" i="17"/>
  <c r="H2545" i="17"/>
  <c r="G2545" i="17"/>
  <c r="L2544" i="17"/>
  <c r="K2544" i="17"/>
  <c r="J2544" i="17"/>
  <c r="I2544" i="17"/>
  <c r="H2544" i="17"/>
  <c r="G2544" i="17"/>
  <c r="L2543" i="17"/>
  <c r="K2543" i="17"/>
  <c r="J2543" i="17"/>
  <c r="I2543" i="17"/>
  <c r="H2543" i="17"/>
  <c r="G2543" i="17"/>
  <c r="L2542" i="17"/>
  <c r="K2542" i="17"/>
  <c r="J2542" i="17"/>
  <c r="I2542" i="17"/>
  <c r="H2542" i="17"/>
  <c r="G2542" i="17"/>
  <c r="L2541" i="17"/>
  <c r="K2541" i="17"/>
  <c r="J2541" i="17"/>
  <c r="I2541" i="17"/>
  <c r="H2541" i="17"/>
  <c r="G2541" i="17"/>
  <c r="L2540" i="17"/>
  <c r="K2540" i="17"/>
  <c r="J2540" i="17"/>
  <c r="I2540" i="17"/>
  <c r="H2540" i="17"/>
  <c r="G2540" i="17"/>
  <c r="L2539" i="17"/>
  <c r="K2539" i="17"/>
  <c r="J2539" i="17"/>
  <c r="I2539" i="17"/>
  <c r="H2539" i="17"/>
  <c r="G2539" i="17"/>
  <c r="L2538" i="17"/>
  <c r="K2538" i="17"/>
  <c r="J2538" i="17"/>
  <c r="I2538" i="17"/>
  <c r="H2538" i="17"/>
  <c r="G2538" i="17"/>
  <c r="L2537" i="17"/>
  <c r="K2537" i="17"/>
  <c r="J2537" i="17"/>
  <c r="I2537" i="17"/>
  <c r="H2537" i="17"/>
  <c r="G2537" i="17"/>
  <c r="L2536" i="17"/>
  <c r="K2536" i="17"/>
  <c r="J2536" i="17"/>
  <c r="I2536" i="17"/>
  <c r="H2536" i="17"/>
  <c r="G2536" i="17"/>
  <c r="L2535" i="17"/>
  <c r="K2535" i="17"/>
  <c r="J2535" i="17"/>
  <c r="I2535" i="17"/>
  <c r="H2535" i="17"/>
  <c r="G2535" i="17"/>
  <c r="L2534" i="17"/>
  <c r="K2534" i="17"/>
  <c r="J2534" i="17"/>
  <c r="I2534" i="17"/>
  <c r="H2534" i="17"/>
  <c r="G2534" i="17"/>
  <c r="L2533" i="17"/>
  <c r="K2533" i="17"/>
  <c r="J2533" i="17"/>
  <c r="I2533" i="17"/>
  <c r="H2533" i="17"/>
  <c r="G2533" i="17"/>
  <c r="L2532" i="17"/>
  <c r="K2532" i="17"/>
  <c r="J2532" i="17"/>
  <c r="I2532" i="17"/>
  <c r="H2532" i="17"/>
  <c r="G2532" i="17"/>
  <c r="L2531" i="17"/>
  <c r="K2531" i="17"/>
  <c r="J2531" i="17"/>
  <c r="I2531" i="17"/>
  <c r="H2531" i="17"/>
  <c r="G2531" i="17"/>
  <c r="L2530" i="17"/>
  <c r="K2530" i="17"/>
  <c r="J2530" i="17"/>
  <c r="I2530" i="17"/>
  <c r="H2530" i="17"/>
  <c r="G2530" i="17"/>
  <c r="L2529" i="17"/>
  <c r="K2529" i="17"/>
  <c r="J2529" i="17"/>
  <c r="I2529" i="17"/>
  <c r="H2529" i="17"/>
  <c r="G2529" i="17"/>
  <c r="L2528" i="17"/>
  <c r="K2528" i="17"/>
  <c r="J2528" i="17"/>
  <c r="I2528" i="17"/>
  <c r="H2528" i="17"/>
  <c r="G2528" i="17"/>
  <c r="L2527" i="17"/>
  <c r="K2527" i="17"/>
  <c r="J2527" i="17"/>
  <c r="I2527" i="17"/>
  <c r="H2527" i="17"/>
  <c r="G2527" i="17"/>
  <c r="L2526" i="17"/>
  <c r="K2526" i="17"/>
  <c r="J2526" i="17"/>
  <c r="I2526" i="17"/>
  <c r="H2526" i="17"/>
  <c r="G2526" i="17"/>
  <c r="L2525" i="17"/>
  <c r="K2525" i="17"/>
  <c r="J2525" i="17"/>
  <c r="I2525" i="17"/>
  <c r="H2525" i="17"/>
  <c r="G2525" i="17"/>
  <c r="L2524" i="17"/>
  <c r="K2524" i="17"/>
  <c r="J2524" i="17"/>
  <c r="I2524" i="17"/>
  <c r="H2524" i="17"/>
  <c r="G2524" i="17"/>
  <c r="L2523" i="17"/>
  <c r="K2523" i="17"/>
  <c r="J2523" i="17"/>
  <c r="I2523" i="17"/>
  <c r="H2523" i="17"/>
  <c r="G2523" i="17"/>
  <c r="L2522" i="17"/>
  <c r="K2522" i="17"/>
  <c r="J2522" i="17"/>
  <c r="I2522" i="17"/>
  <c r="H2522" i="17"/>
  <c r="G2522" i="17"/>
  <c r="L2521" i="17"/>
  <c r="K2521" i="17"/>
  <c r="J2521" i="17"/>
  <c r="I2521" i="17"/>
  <c r="H2521" i="17"/>
  <c r="G2521" i="17"/>
  <c r="L2520" i="17"/>
  <c r="K2520" i="17"/>
  <c r="J2520" i="17"/>
  <c r="I2520" i="17"/>
  <c r="H2520" i="17"/>
  <c r="G2520" i="17"/>
  <c r="L2519" i="17"/>
  <c r="K2519" i="17"/>
  <c r="J2519" i="17"/>
  <c r="I2519" i="17"/>
  <c r="H2519" i="17"/>
  <c r="G2519" i="17"/>
  <c r="L2518" i="17"/>
  <c r="K2518" i="17"/>
  <c r="J2518" i="17"/>
  <c r="I2518" i="17"/>
  <c r="H2518" i="17"/>
  <c r="G2518" i="17"/>
  <c r="L2517" i="17"/>
  <c r="K2517" i="17"/>
  <c r="J2517" i="17"/>
  <c r="I2517" i="17"/>
  <c r="H2517" i="17"/>
  <c r="G2517" i="17"/>
  <c r="L2516" i="17"/>
  <c r="K2516" i="17"/>
  <c r="J2516" i="17"/>
  <c r="I2516" i="17"/>
  <c r="H2516" i="17"/>
  <c r="G2516" i="17"/>
  <c r="L2515" i="17"/>
  <c r="K2515" i="17"/>
  <c r="J2515" i="17"/>
  <c r="I2515" i="17"/>
  <c r="H2515" i="17"/>
  <c r="G2515" i="17"/>
  <c r="L2514" i="17"/>
  <c r="K2514" i="17"/>
  <c r="J2514" i="17"/>
  <c r="I2514" i="17"/>
  <c r="H2514" i="17"/>
  <c r="G2514" i="17"/>
  <c r="L2513" i="17"/>
  <c r="K2513" i="17"/>
  <c r="J2513" i="17"/>
  <c r="I2513" i="17"/>
  <c r="H2513" i="17"/>
  <c r="G2513" i="17"/>
  <c r="L2512" i="17"/>
  <c r="K2512" i="17"/>
  <c r="J2512" i="17"/>
  <c r="I2512" i="17"/>
  <c r="H2512" i="17"/>
  <c r="G2512" i="17"/>
  <c r="L2511" i="17"/>
  <c r="K2511" i="17"/>
  <c r="J2511" i="17"/>
  <c r="I2511" i="17"/>
  <c r="H2511" i="17"/>
  <c r="G2511" i="17"/>
  <c r="L2510" i="17"/>
  <c r="K2510" i="17"/>
  <c r="J2510" i="17"/>
  <c r="I2510" i="17"/>
  <c r="H2510" i="17"/>
  <c r="G2510" i="17"/>
  <c r="L2509" i="17"/>
  <c r="K2509" i="17"/>
  <c r="J2509" i="17"/>
  <c r="I2509" i="17"/>
  <c r="H2509" i="17"/>
  <c r="G2509" i="17"/>
  <c r="L2508" i="17"/>
  <c r="K2508" i="17"/>
  <c r="J2508" i="17"/>
  <c r="I2508" i="17"/>
  <c r="H2508" i="17"/>
  <c r="G2508" i="17"/>
  <c r="L2507" i="17"/>
  <c r="K2507" i="17"/>
  <c r="J2507" i="17"/>
  <c r="I2507" i="17"/>
  <c r="H2507" i="17"/>
  <c r="G2507" i="17"/>
  <c r="L2506" i="17"/>
  <c r="K2506" i="17"/>
  <c r="J2506" i="17"/>
  <c r="I2506" i="17"/>
  <c r="H2506" i="17"/>
  <c r="G2506" i="17"/>
  <c r="L2505" i="17"/>
  <c r="K2505" i="17"/>
  <c r="J2505" i="17"/>
  <c r="I2505" i="17"/>
  <c r="H2505" i="17"/>
  <c r="G2505" i="17"/>
  <c r="L2504" i="17"/>
  <c r="K2504" i="17"/>
  <c r="J2504" i="17"/>
  <c r="I2504" i="17"/>
  <c r="H2504" i="17"/>
  <c r="G2504" i="17"/>
  <c r="L2503" i="17"/>
  <c r="K2503" i="17"/>
  <c r="J2503" i="17"/>
  <c r="I2503" i="17"/>
  <c r="H2503" i="17"/>
  <c r="G2503" i="17"/>
  <c r="L2502" i="17"/>
  <c r="K2502" i="17"/>
  <c r="J2502" i="17"/>
  <c r="I2502" i="17"/>
  <c r="H2502" i="17"/>
  <c r="G2502" i="17"/>
  <c r="L2501" i="17"/>
  <c r="K2501" i="17"/>
  <c r="J2501" i="17"/>
  <c r="I2501" i="17"/>
  <c r="H2501" i="17"/>
  <c r="G2501" i="17"/>
  <c r="L2500" i="17"/>
  <c r="K2500" i="17"/>
  <c r="J2500" i="17"/>
  <c r="I2500" i="17"/>
  <c r="H2500" i="17"/>
  <c r="G2500" i="17"/>
  <c r="L2499" i="17"/>
  <c r="K2499" i="17"/>
  <c r="J2499" i="17"/>
  <c r="I2499" i="17"/>
  <c r="H2499" i="17"/>
  <c r="G2499" i="17"/>
  <c r="L2498" i="17"/>
  <c r="K2498" i="17"/>
  <c r="J2498" i="17"/>
  <c r="I2498" i="17"/>
  <c r="H2498" i="17"/>
  <c r="G2498" i="17"/>
  <c r="L2497" i="17"/>
  <c r="K2497" i="17"/>
  <c r="J2497" i="17"/>
  <c r="I2497" i="17"/>
  <c r="H2497" i="17"/>
  <c r="G2497" i="17"/>
  <c r="L2496" i="17"/>
  <c r="K2496" i="17"/>
  <c r="J2496" i="17"/>
  <c r="I2496" i="17"/>
  <c r="H2496" i="17"/>
  <c r="G2496" i="17"/>
  <c r="L2495" i="17"/>
  <c r="K2495" i="17"/>
  <c r="J2495" i="17"/>
  <c r="I2495" i="17"/>
  <c r="H2495" i="17"/>
  <c r="G2495" i="17"/>
  <c r="L2494" i="17"/>
  <c r="K2494" i="17"/>
  <c r="J2494" i="17"/>
  <c r="I2494" i="17"/>
  <c r="H2494" i="17"/>
  <c r="G2494" i="17"/>
  <c r="L2493" i="17"/>
  <c r="K2493" i="17"/>
  <c r="J2493" i="17"/>
  <c r="I2493" i="17"/>
  <c r="H2493" i="17"/>
  <c r="G2493" i="17"/>
  <c r="L2492" i="17"/>
  <c r="K2492" i="17"/>
  <c r="J2492" i="17"/>
  <c r="I2492" i="17"/>
  <c r="H2492" i="17"/>
  <c r="G2492" i="17"/>
  <c r="L2491" i="17"/>
  <c r="K2491" i="17"/>
  <c r="J2491" i="17"/>
  <c r="I2491" i="17"/>
  <c r="H2491" i="17"/>
  <c r="G2491" i="17"/>
  <c r="L2490" i="17"/>
  <c r="K2490" i="17"/>
  <c r="J2490" i="17"/>
  <c r="I2490" i="17"/>
  <c r="H2490" i="17"/>
  <c r="G2490" i="17"/>
  <c r="L2489" i="17"/>
  <c r="K2489" i="17"/>
  <c r="J2489" i="17"/>
  <c r="I2489" i="17"/>
  <c r="H2489" i="17"/>
  <c r="G2489" i="17"/>
  <c r="L2488" i="17"/>
  <c r="K2488" i="17"/>
  <c r="J2488" i="17"/>
  <c r="I2488" i="17"/>
  <c r="H2488" i="17"/>
  <c r="G2488" i="17"/>
  <c r="L2487" i="17"/>
  <c r="K2487" i="17"/>
  <c r="J2487" i="17"/>
  <c r="I2487" i="17"/>
  <c r="H2487" i="17"/>
  <c r="G2487" i="17"/>
  <c r="L2486" i="17"/>
  <c r="K2486" i="17"/>
  <c r="J2486" i="17"/>
  <c r="I2486" i="17"/>
  <c r="H2486" i="17"/>
  <c r="G2486" i="17"/>
  <c r="L2485" i="17"/>
  <c r="K2485" i="17"/>
  <c r="J2485" i="17"/>
  <c r="I2485" i="17"/>
  <c r="H2485" i="17"/>
  <c r="G2485" i="17"/>
  <c r="L2484" i="17"/>
  <c r="K2484" i="17"/>
  <c r="J2484" i="17"/>
  <c r="I2484" i="17"/>
  <c r="H2484" i="17"/>
  <c r="G2484" i="17"/>
  <c r="L2483" i="17"/>
  <c r="K2483" i="17"/>
  <c r="J2483" i="17"/>
  <c r="I2483" i="17"/>
  <c r="H2483" i="17"/>
  <c r="G2483" i="17"/>
  <c r="L2482" i="17"/>
  <c r="K2482" i="17"/>
  <c r="J2482" i="17"/>
  <c r="I2482" i="17"/>
  <c r="H2482" i="17"/>
  <c r="G2482" i="17"/>
  <c r="L2481" i="17"/>
  <c r="K2481" i="17"/>
  <c r="J2481" i="17"/>
  <c r="I2481" i="17"/>
  <c r="H2481" i="17"/>
  <c r="G2481" i="17"/>
  <c r="L2480" i="17"/>
  <c r="K2480" i="17"/>
  <c r="J2480" i="17"/>
  <c r="I2480" i="17"/>
  <c r="H2480" i="17"/>
  <c r="G2480" i="17"/>
  <c r="L2479" i="17"/>
  <c r="K2479" i="17"/>
  <c r="J2479" i="17"/>
  <c r="I2479" i="17"/>
  <c r="H2479" i="17"/>
  <c r="G2479" i="17"/>
  <c r="L2478" i="17"/>
  <c r="K2478" i="17"/>
  <c r="J2478" i="17"/>
  <c r="I2478" i="17"/>
  <c r="H2478" i="17"/>
  <c r="G2478" i="17"/>
  <c r="L2477" i="17"/>
  <c r="K2477" i="17"/>
  <c r="J2477" i="17"/>
  <c r="I2477" i="17"/>
  <c r="H2477" i="17"/>
  <c r="G2477" i="17"/>
  <c r="L2476" i="17"/>
  <c r="K2476" i="17"/>
  <c r="J2476" i="17"/>
  <c r="I2476" i="17"/>
  <c r="H2476" i="17"/>
  <c r="G2476" i="17"/>
  <c r="L2475" i="17"/>
  <c r="K2475" i="17"/>
  <c r="J2475" i="17"/>
  <c r="I2475" i="17"/>
  <c r="H2475" i="17"/>
  <c r="G2475" i="17"/>
  <c r="L2474" i="17"/>
  <c r="K2474" i="17"/>
  <c r="J2474" i="17"/>
  <c r="I2474" i="17"/>
  <c r="H2474" i="17"/>
  <c r="G2474" i="17"/>
  <c r="L2473" i="17"/>
  <c r="K2473" i="17"/>
  <c r="J2473" i="17"/>
  <c r="I2473" i="17"/>
  <c r="H2473" i="17"/>
  <c r="G2473" i="17"/>
  <c r="L2472" i="17"/>
  <c r="K2472" i="17"/>
  <c r="J2472" i="17"/>
  <c r="I2472" i="17"/>
  <c r="H2472" i="17"/>
  <c r="G2472" i="17"/>
  <c r="L2471" i="17"/>
  <c r="K2471" i="17"/>
  <c r="J2471" i="17"/>
  <c r="I2471" i="17"/>
  <c r="H2471" i="17"/>
  <c r="G2471" i="17"/>
  <c r="L2470" i="17"/>
  <c r="K2470" i="17"/>
  <c r="J2470" i="17"/>
  <c r="I2470" i="17"/>
  <c r="H2470" i="17"/>
  <c r="G2470" i="17"/>
  <c r="L2469" i="17"/>
  <c r="K2469" i="17"/>
  <c r="J2469" i="17"/>
  <c r="I2469" i="17"/>
  <c r="H2469" i="17"/>
  <c r="G2469" i="17"/>
  <c r="L2468" i="17"/>
  <c r="K2468" i="17"/>
  <c r="J2468" i="17"/>
  <c r="I2468" i="17"/>
  <c r="H2468" i="17"/>
  <c r="G2468" i="17"/>
  <c r="L2467" i="17"/>
  <c r="K2467" i="17"/>
  <c r="J2467" i="17"/>
  <c r="I2467" i="17"/>
  <c r="H2467" i="17"/>
  <c r="G2467" i="17"/>
  <c r="L2466" i="17"/>
  <c r="K2466" i="17"/>
  <c r="J2466" i="17"/>
  <c r="I2466" i="17"/>
  <c r="H2466" i="17"/>
  <c r="G2466" i="17"/>
  <c r="L2465" i="17"/>
  <c r="K2465" i="17"/>
  <c r="J2465" i="17"/>
  <c r="I2465" i="17"/>
  <c r="H2465" i="17"/>
  <c r="G2465" i="17"/>
  <c r="L2464" i="17"/>
  <c r="K2464" i="17"/>
  <c r="J2464" i="17"/>
  <c r="I2464" i="17"/>
  <c r="H2464" i="17"/>
  <c r="G2464" i="17"/>
  <c r="L2463" i="17"/>
  <c r="K2463" i="17"/>
  <c r="J2463" i="17"/>
  <c r="I2463" i="17"/>
  <c r="H2463" i="17"/>
  <c r="G2463" i="17"/>
  <c r="L2462" i="17"/>
  <c r="K2462" i="17"/>
  <c r="J2462" i="17"/>
  <c r="I2462" i="17"/>
  <c r="H2462" i="17"/>
  <c r="G2462" i="17"/>
  <c r="L2461" i="17"/>
  <c r="K2461" i="17"/>
  <c r="J2461" i="17"/>
  <c r="I2461" i="17"/>
  <c r="H2461" i="17"/>
  <c r="G2461" i="17"/>
  <c r="L2460" i="17"/>
  <c r="K2460" i="17"/>
  <c r="J2460" i="17"/>
  <c r="I2460" i="17"/>
  <c r="H2460" i="17"/>
  <c r="G2460" i="17"/>
  <c r="L2459" i="17"/>
  <c r="K2459" i="17"/>
  <c r="J2459" i="17"/>
  <c r="I2459" i="17"/>
  <c r="H2459" i="17"/>
  <c r="G2459" i="17"/>
  <c r="L2458" i="17"/>
  <c r="K2458" i="17"/>
  <c r="J2458" i="17"/>
  <c r="I2458" i="17"/>
  <c r="H2458" i="17"/>
  <c r="G2458" i="17"/>
  <c r="L2457" i="17"/>
  <c r="K2457" i="17"/>
  <c r="J2457" i="17"/>
  <c r="I2457" i="17"/>
  <c r="H2457" i="17"/>
  <c r="G2457" i="17"/>
  <c r="L2456" i="17"/>
  <c r="K2456" i="17"/>
  <c r="J2456" i="17"/>
  <c r="I2456" i="17"/>
  <c r="H2456" i="17"/>
  <c r="G2456" i="17"/>
  <c r="L2455" i="17"/>
  <c r="K2455" i="17"/>
  <c r="J2455" i="17"/>
  <c r="I2455" i="17"/>
  <c r="H2455" i="17"/>
  <c r="G2455" i="17"/>
  <c r="L2454" i="17"/>
  <c r="K2454" i="17"/>
  <c r="J2454" i="17"/>
  <c r="I2454" i="17"/>
  <c r="H2454" i="17"/>
  <c r="G2454" i="17"/>
  <c r="L2453" i="17"/>
  <c r="K2453" i="17"/>
  <c r="J2453" i="17"/>
  <c r="I2453" i="17"/>
  <c r="H2453" i="17"/>
  <c r="G2453" i="17"/>
  <c r="L2452" i="17"/>
  <c r="K2452" i="17"/>
  <c r="J2452" i="17"/>
  <c r="I2452" i="17"/>
  <c r="H2452" i="17"/>
  <c r="G2452" i="17"/>
  <c r="L2451" i="17"/>
  <c r="K2451" i="17"/>
  <c r="J2451" i="17"/>
  <c r="I2451" i="17"/>
  <c r="H2451" i="17"/>
  <c r="G2451" i="17"/>
  <c r="L2450" i="17"/>
  <c r="K2450" i="17"/>
  <c r="J2450" i="17"/>
  <c r="I2450" i="17"/>
  <c r="H2450" i="17"/>
  <c r="G2450" i="17"/>
  <c r="L2449" i="17"/>
  <c r="K2449" i="17"/>
  <c r="J2449" i="17"/>
  <c r="I2449" i="17"/>
  <c r="H2449" i="17"/>
  <c r="G2449" i="17"/>
  <c r="L2448" i="17"/>
  <c r="K2448" i="17"/>
  <c r="J2448" i="17"/>
  <c r="I2448" i="17"/>
  <c r="H2448" i="17"/>
  <c r="G2448" i="17"/>
  <c r="L2447" i="17"/>
  <c r="K2447" i="17"/>
  <c r="J2447" i="17"/>
  <c r="I2447" i="17"/>
  <c r="H2447" i="17"/>
  <c r="G2447" i="17"/>
  <c r="L2446" i="17"/>
  <c r="K2446" i="17"/>
  <c r="J2446" i="17"/>
  <c r="I2446" i="17"/>
  <c r="H2446" i="17"/>
  <c r="G2446" i="17"/>
  <c r="L2445" i="17"/>
  <c r="K2445" i="17"/>
  <c r="J2445" i="17"/>
  <c r="I2445" i="17"/>
  <c r="H2445" i="17"/>
  <c r="G2445" i="17"/>
  <c r="L2444" i="17"/>
  <c r="K2444" i="17"/>
  <c r="J2444" i="17"/>
  <c r="I2444" i="17"/>
  <c r="H2444" i="17"/>
  <c r="G2444" i="17"/>
  <c r="L2443" i="17"/>
  <c r="K2443" i="17"/>
  <c r="J2443" i="17"/>
  <c r="I2443" i="17"/>
  <c r="H2443" i="17"/>
  <c r="G2443" i="17"/>
  <c r="L2442" i="17"/>
  <c r="K2442" i="17"/>
  <c r="J2442" i="17"/>
  <c r="I2442" i="17"/>
  <c r="H2442" i="17"/>
  <c r="G2442" i="17"/>
  <c r="L2441" i="17"/>
  <c r="K2441" i="17"/>
  <c r="J2441" i="17"/>
  <c r="I2441" i="17"/>
  <c r="H2441" i="17"/>
  <c r="G2441" i="17"/>
  <c r="L2440" i="17"/>
  <c r="K2440" i="17"/>
  <c r="J2440" i="17"/>
  <c r="I2440" i="17"/>
  <c r="H2440" i="17"/>
  <c r="G2440" i="17"/>
  <c r="L2439" i="17"/>
  <c r="K2439" i="17"/>
  <c r="J2439" i="17"/>
  <c r="I2439" i="17"/>
  <c r="H2439" i="17"/>
  <c r="G2439" i="17"/>
  <c r="L2438" i="17"/>
  <c r="K2438" i="17"/>
  <c r="J2438" i="17"/>
  <c r="I2438" i="17"/>
  <c r="H2438" i="17"/>
  <c r="G2438" i="17"/>
  <c r="L2437" i="17"/>
  <c r="K2437" i="17"/>
  <c r="J2437" i="17"/>
  <c r="I2437" i="17"/>
  <c r="H2437" i="17"/>
  <c r="G2437" i="17"/>
  <c r="L2436" i="17"/>
  <c r="K2436" i="17"/>
  <c r="J2436" i="17"/>
  <c r="I2436" i="17"/>
  <c r="H2436" i="17"/>
  <c r="G2436" i="17"/>
  <c r="L2435" i="17"/>
  <c r="K2435" i="17"/>
  <c r="J2435" i="17"/>
  <c r="I2435" i="17"/>
  <c r="H2435" i="17"/>
  <c r="G2435" i="17"/>
  <c r="L2434" i="17"/>
  <c r="K2434" i="17"/>
  <c r="J2434" i="17"/>
  <c r="I2434" i="17"/>
  <c r="H2434" i="17"/>
  <c r="G2434" i="17"/>
  <c r="L2433" i="17"/>
  <c r="K2433" i="17"/>
  <c r="J2433" i="17"/>
  <c r="I2433" i="17"/>
  <c r="H2433" i="17"/>
  <c r="G2433" i="17"/>
  <c r="L2432" i="17"/>
  <c r="K2432" i="17"/>
  <c r="J2432" i="17"/>
  <c r="I2432" i="17"/>
  <c r="H2432" i="17"/>
  <c r="G2432" i="17"/>
  <c r="L2431" i="17"/>
  <c r="K2431" i="17"/>
  <c r="J2431" i="17"/>
  <c r="I2431" i="17"/>
  <c r="H2431" i="17"/>
  <c r="G2431" i="17"/>
  <c r="L2430" i="17"/>
  <c r="K2430" i="17"/>
  <c r="J2430" i="17"/>
  <c r="I2430" i="17"/>
  <c r="H2430" i="17"/>
  <c r="G2430" i="17"/>
  <c r="L2429" i="17"/>
  <c r="K2429" i="17"/>
  <c r="J2429" i="17"/>
  <c r="I2429" i="17"/>
  <c r="H2429" i="17"/>
  <c r="G2429" i="17"/>
  <c r="L2428" i="17"/>
  <c r="K2428" i="17"/>
  <c r="J2428" i="17"/>
  <c r="I2428" i="17"/>
  <c r="H2428" i="17"/>
  <c r="G2428" i="17"/>
  <c r="L2427" i="17"/>
  <c r="K2427" i="17"/>
  <c r="J2427" i="17"/>
  <c r="I2427" i="17"/>
  <c r="H2427" i="17"/>
  <c r="G2427" i="17"/>
  <c r="L2426" i="17"/>
  <c r="K2426" i="17"/>
  <c r="J2426" i="17"/>
  <c r="I2426" i="17"/>
  <c r="H2426" i="17"/>
  <c r="G2426" i="17"/>
  <c r="L2425" i="17"/>
  <c r="K2425" i="17"/>
  <c r="J2425" i="17"/>
  <c r="I2425" i="17"/>
  <c r="H2425" i="17"/>
  <c r="G2425" i="17"/>
  <c r="L2424" i="17"/>
  <c r="K2424" i="17"/>
  <c r="J2424" i="17"/>
  <c r="I2424" i="17"/>
  <c r="H2424" i="17"/>
  <c r="G2424" i="17"/>
  <c r="L2423" i="17"/>
  <c r="K2423" i="17"/>
  <c r="J2423" i="17"/>
  <c r="I2423" i="17"/>
  <c r="H2423" i="17"/>
  <c r="G2423" i="17"/>
  <c r="L2422" i="17"/>
  <c r="K2422" i="17"/>
  <c r="J2422" i="17"/>
  <c r="I2422" i="17"/>
  <c r="H2422" i="17"/>
  <c r="G2422" i="17"/>
  <c r="L2421" i="17"/>
  <c r="K2421" i="17"/>
  <c r="J2421" i="17"/>
  <c r="I2421" i="17"/>
  <c r="H2421" i="17"/>
  <c r="G2421" i="17"/>
  <c r="L2420" i="17"/>
  <c r="K2420" i="17"/>
  <c r="J2420" i="17"/>
  <c r="I2420" i="17"/>
  <c r="H2420" i="17"/>
  <c r="G2420" i="17"/>
  <c r="L2419" i="17"/>
  <c r="K2419" i="17"/>
  <c r="J2419" i="17"/>
  <c r="I2419" i="17"/>
  <c r="H2419" i="17"/>
  <c r="G2419" i="17"/>
  <c r="L2418" i="17"/>
  <c r="K2418" i="17"/>
  <c r="J2418" i="17"/>
  <c r="I2418" i="17"/>
  <c r="H2418" i="17"/>
  <c r="G2418" i="17"/>
  <c r="L2417" i="17"/>
  <c r="K2417" i="17"/>
  <c r="J2417" i="17"/>
  <c r="I2417" i="17"/>
  <c r="H2417" i="17"/>
  <c r="G2417" i="17"/>
  <c r="L2416" i="17"/>
  <c r="K2416" i="17"/>
  <c r="J2416" i="17"/>
  <c r="I2416" i="17"/>
  <c r="H2416" i="17"/>
  <c r="G2416" i="17"/>
  <c r="L2415" i="17"/>
  <c r="K2415" i="17"/>
  <c r="J2415" i="17"/>
  <c r="I2415" i="17"/>
  <c r="H2415" i="17"/>
  <c r="G2415" i="17"/>
  <c r="L2414" i="17"/>
  <c r="K2414" i="17"/>
  <c r="J2414" i="17"/>
  <c r="I2414" i="17"/>
  <c r="H2414" i="17"/>
  <c r="G2414" i="17"/>
  <c r="L2413" i="17"/>
  <c r="K2413" i="17"/>
  <c r="J2413" i="17"/>
  <c r="I2413" i="17"/>
  <c r="H2413" i="17"/>
  <c r="G2413" i="17"/>
  <c r="L2412" i="17"/>
  <c r="K2412" i="17"/>
  <c r="J2412" i="17"/>
  <c r="I2412" i="17"/>
  <c r="H2412" i="17"/>
  <c r="G2412" i="17"/>
  <c r="L2411" i="17"/>
  <c r="K2411" i="17"/>
  <c r="J2411" i="17"/>
  <c r="I2411" i="17"/>
  <c r="H2411" i="17"/>
  <c r="G2411" i="17"/>
  <c r="L2410" i="17"/>
  <c r="K2410" i="17"/>
  <c r="J2410" i="17"/>
  <c r="I2410" i="17"/>
  <c r="H2410" i="17"/>
  <c r="G2410" i="17"/>
  <c r="L2409" i="17"/>
  <c r="K2409" i="17"/>
  <c r="J2409" i="17"/>
  <c r="I2409" i="17"/>
  <c r="H2409" i="17"/>
  <c r="G2409" i="17"/>
  <c r="L2408" i="17"/>
  <c r="K2408" i="17"/>
  <c r="J2408" i="17"/>
  <c r="I2408" i="17"/>
  <c r="H2408" i="17"/>
  <c r="G2408" i="17"/>
  <c r="L2407" i="17"/>
  <c r="K2407" i="17"/>
  <c r="J2407" i="17"/>
  <c r="I2407" i="17"/>
  <c r="H2407" i="17"/>
  <c r="G2407" i="17"/>
  <c r="L2406" i="17"/>
  <c r="K2406" i="17"/>
  <c r="J2406" i="17"/>
  <c r="I2406" i="17"/>
  <c r="H2406" i="17"/>
  <c r="G2406" i="17"/>
  <c r="L2405" i="17"/>
  <c r="K2405" i="17"/>
  <c r="J2405" i="17"/>
  <c r="I2405" i="17"/>
  <c r="H2405" i="17"/>
  <c r="G2405" i="17"/>
  <c r="L2404" i="17"/>
  <c r="K2404" i="17"/>
  <c r="J2404" i="17"/>
  <c r="I2404" i="17"/>
  <c r="H2404" i="17"/>
  <c r="G2404" i="17"/>
  <c r="L2403" i="17"/>
  <c r="K2403" i="17"/>
  <c r="J2403" i="17"/>
  <c r="I2403" i="17"/>
  <c r="H2403" i="17"/>
  <c r="G2403" i="17"/>
  <c r="L2402" i="17"/>
  <c r="K2402" i="17"/>
  <c r="J2402" i="17"/>
  <c r="I2402" i="17"/>
  <c r="H2402" i="17"/>
  <c r="G2402" i="17"/>
  <c r="L2401" i="17"/>
  <c r="K2401" i="17"/>
  <c r="J2401" i="17"/>
  <c r="I2401" i="17"/>
  <c r="H2401" i="17"/>
  <c r="G2401" i="17"/>
  <c r="L2400" i="17"/>
  <c r="K2400" i="17"/>
  <c r="J2400" i="17"/>
  <c r="I2400" i="17"/>
  <c r="H2400" i="17"/>
  <c r="G2400" i="17"/>
  <c r="L2399" i="17"/>
  <c r="K2399" i="17"/>
  <c r="J2399" i="17"/>
  <c r="I2399" i="17"/>
  <c r="H2399" i="17"/>
  <c r="G2399" i="17"/>
  <c r="L2398" i="17"/>
  <c r="K2398" i="17"/>
  <c r="J2398" i="17"/>
  <c r="I2398" i="17"/>
  <c r="H2398" i="17"/>
  <c r="G2398" i="17"/>
  <c r="L2397" i="17"/>
  <c r="K2397" i="17"/>
  <c r="J2397" i="17"/>
  <c r="I2397" i="17"/>
  <c r="H2397" i="17"/>
  <c r="G2397" i="17"/>
  <c r="L2396" i="17"/>
  <c r="K2396" i="17"/>
  <c r="J2396" i="17"/>
  <c r="I2396" i="17"/>
  <c r="H2396" i="17"/>
  <c r="G2396" i="17"/>
  <c r="L2395" i="17"/>
  <c r="K2395" i="17"/>
  <c r="J2395" i="17"/>
  <c r="I2395" i="17"/>
  <c r="H2395" i="17"/>
  <c r="G2395" i="17"/>
  <c r="L2394" i="17"/>
  <c r="K2394" i="17"/>
  <c r="J2394" i="17"/>
  <c r="I2394" i="17"/>
  <c r="H2394" i="17"/>
  <c r="G2394" i="17"/>
  <c r="L2393" i="17"/>
  <c r="K2393" i="17"/>
  <c r="J2393" i="17"/>
  <c r="I2393" i="17"/>
  <c r="H2393" i="17"/>
  <c r="G2393" i="17"/>
  <c r="L2392" i="17"/>
  <c r="K2392" i="17"/>
  <c r="J2392" i="17"/>
  <c r="I2392" i="17"/>
  <c r="H2392" i="17"/>
  <c r="G2392" i="17"/>
  <c r="L2391" i="17"/>
  <c r="K2391" i="17"/>
  <c r="J2391" i="17"/>
  <c r="I2391" i="17"/>
  <c r="H2391" i="17"/>
  <c r="G2391" i="17"/>
  <c r="L2390" i="17"/>
  <c r="K2390" i="17"/>
  <c r="J2390" i="17"/>
  <c r="I2390" i="17"/>
  <c r="H2390" i="17"/>
  <c r="G2390" i="17"/>
  <c r="L2389" i="17"/>
  <c r="K2389" i="17"/>
  <c r="J2389" i="17"/>
  <c r="I2389" i="17"/>
  <c r="H2389" i="17"/>
  <c r="G2389" i="17"/>
  <c r="L2388" i="17"/>
  <c r="K2388" i="17"/>
  <c r="J2388" i="17"/>
  <c r="I2388" i="17"/>
  <c r="H2388" i="17"/>
  <c r="G2388" i="17"/>
  <c r="L2387" i="17"/>
  <c r="K2387" i="17"/>
  <c r="J2387" i="17"/>
  <c r="I2387" i="17"/>
  <c r="H2387" i="17"/>
  <c r="G2387" i="17"/>
  <c r="L2386" i="17"/>
  <c r="K2386" i="17"/>
  <c r="J2386" i="17"/>
  <c r="I2386" i="17"/>
  <c r="H2386" i="17"/>
  <c r="G2386" i="17"/>
  <c r="L2385" i="17"/>
  <c r="K2385" i="17"/>
  <c r="J2385" i="17"/>
  <c r="I2385" i="17"/>
  <c r="H2385" i="17"/>
  <c r="G2385" i="17"/>
  <c r="L2384" i="17"/>
  <c r="K2384" i="17"/>
  <c r="J2384" i="17"/>
  <c r="I2384" i="17"/>
  <c r="H2384" i="17"/>
  <c r="G2384" i="17"/>
  <c r="L2383" i="17"/>
  <c r="K2383" i="17"/>
  <c r="J2383" i="17"/>
  <c r="I2383" i="17"/>
  <c r="H2383" i="17"/>
  <c r="G2383" i="17"/>
  <c r="L2382" i="17"/>
  <c r="K2382" i="17"/>
  <c r="J2382" i="17"/>
  <c r="I2382" i="17"/>
  <c r="H2382" i="17"/>
  <c r="G2382" i="17"/>
  <c r="L2381" i="17"/>
  <c r="K2381" i="17"/>
  <c r="J2381" i="17"/>
  <c r="I2381" i="17"/>
  <c r="H2381" i="17"/>
  <c r="G2381" i="17"/>
  <c r="L2380" i="17"/>
  <c r="K2380" i="17"/>
  <c r="J2380" i="17"/>
  <c r="I2380" i="17"/>
  <c r="H2380" i="17"/>
  <c r="G2380" i="17"/>
  <c r="L2379" i="17"/>
  <c r="K2379" i="17"/>
  <c r="J2379" i="17"/>
  <c r="I2379" i="17"/>
  <c r="H2379" i="17"/>
  <c r="G2379" i="17"/>
  <c r="L2378" i="17"/>
  <c r="K2378" i="17"/>
  <c r="J2378" i="17"/>
  <c r="I2378" i="17"/>
  <c r="H2378" i="17"/>
  <c r="G2378" i="17"/>
  <c r="L2377" i="17"/>
  <c r="K2377" i="17"/>
  <c r="J2377" i="17"/>
  <c r="I2377" i="17"/>
  <c r="H2377" i="17"/>
  <c r="G2377" i="17"/>
  <c r="L2376" i="17"/>
  <c r="K2376" i="17"/>
  <c r="J2376" i="17"/>
  <c r="I2376" i="17"/>
  <c r="H2376" i="17"/>
  <c r="G2376" i="17"/>
  <c r="L2375" i="17"/>
  <c r="K2375" i="17"/>
  <c r="J2375" i="17"/>
  <c r="I2375" i="17"/>
  <c r="H2375" i="17"/>
  <c r="G2375" i="17"/>
  <c r="L2374" i="17"/>
  <c r="K2374" i="17"/>
  <c r="J2374" i="17"/>
  <c r="I2374" i="17"/>
  <c r="H2374" i="17"/>
  <c r="G2374" i="17"/>
  <c r="L2373" i="17"/>
  <c r="K2373" i="17"/>
  <c r="J2373" i="17"/>
  <c r="I2373" i="17"/>
  <c r="H2373" i="17"/>
  <c r="G2373" i="17"/>
  <c r="L2372" i="17"/>
  <c r="K2372" i="17"/>
  <c r="J2372" i="17"/>
  <c r="I2372" i="17"/>
  <c r="H2372" i="17"/>
  <c r="G2372" i="17"/>
  <c r="L2371" i="17"/>
  <c r="K2371" i="17"/>
  <c r="J2371" i="17"/>
  <c r="I2371" i="17"/>
  <c r="H2371" i="17"/>
  <c r="G2371" i="17"/>
  <c r="L2370" i="17"/>
  <c r="K2370" i="17"/>
  <c r="J2370" i="17"/>
  <c r="I2370" i="17"/>
  <c r="H2370" i="17"/>
  <c r="G2370" i="17"/>
  <c r="L2369" i="17"/>
  <c r="K2369" i="17"/>
  <c r="J2369" i="17"/>
  <c r="I2369" i="17"/>
  <c r="H2369" i="17"/>
  <c r="G2369" i="17"/>
  <c r="L2368" i="17"/>
  <c r="K2368" i="17"/>
  <c r="J2368" i="17"/>
  <c r="I2368" i="17"/>
  <c r="H2368" i="17"/>
  <c r="G2368" i="17"/>
  <c r="L2367" i="17"/>
  <c r="K2367" i="17"/>
  <c r="J2367" i="17"/>
  <c r="I2367" i="17"/>
  <c r="H2367" i="17"/>
  <c r="G2367" i="17"/>
  <c r="L2366" i="17"/>
  <c r="K2366" i="17"/>
  <c r="J2366" i="17"/>
  <c r="I2366" i="17"/>
  <c r="H2366" i="17"/>
  <c r="G2366" i="17"/>
  <c r="L2365" i="17"/>
  <c r="K2365" i="17"/>
  <c r="J2365" i="17"/>
  <c r="I2365" i="17"/>
  <c r="H2365" i="17"/>
  <c r="G2365" i="17"/>
  <c r="L2364" i="17"/>
  <c r="K2364" i="17"/>
  <c r="J2364" i="17"/>
  <c r="I2364" i="17"/>
  <c r="H2364" i="17"/>
  <c r="G2364" i="17"/>
  <c r="L2363" i="17"/>
  <c r="K2363" i="17"/>
  <c r="J2363" i="17"/>
  <c r="I2363" i="17"/>
  <c r="H2363" i="17"/>
  <c r="G2363" i="17"/>
  <c r="L2362" i="17"/>
  <c r="K2362" i="17"/>
  <c r="J2362" i="17"/>
  <c r="I2362" i="17"/>
  <c r="H2362" i="17"/>
  <c r="G2362" i="17"/>
  <c r="L2361" i="17"/>
  <c r="K2361" i="17"/>
  <c r="J2361" i="17"/>
  <c r="I2361" i="17"/>
  <c r="H2361" i="17"/>
  <c r="G2361" i="17"/>
  <c r="L2360" i="17"/>
  <c r="K2360" i="17"/>
  <c r="J2360" i="17"/>
  <c r="I2360" i="17"/>
  <c r="H2360" i="17"/>
  <c r="G2360" i="17"/>
  <c r="L2359" i="17"/>
  <c r="K2359" i="17"/>
  <c r="J2359" i="17"/>
  <c r="I2359" i="17"/>
  <c r="H2359" i="17"/>
  <c r="G2359" i="17"/>
  <c r="L2358" i="17"/>
  <c r="K2358" i="17"/>
  <c r="J2358" i="17"/>
  <c r="I2358" i="17"/>
  <c r="H2358" i="17"/>
  <c r="G2358" i="17"/>
  <c r="L2357" i="17"/>
  <c r="K2357" i="17"/>
  <c r="J2357" i="17"/>
  <c r="I2357" i="17"/>
  <c r="H2357" i="17"/>
  <c r="G2357" i="17"/>
  <c r="L2356" i="17"/>
  <c r="K2356" i="17"/>
  <c r="J2356" i="17"/>
  <c r="I2356" i="17"/>
  <c r="H2356" i="17"/>
  <c r="G2356" i="17"/>
  <c r="L2355" i="17"/>
  <c r="K2355" i="17"/>
  <c r="J2355" i="17"/>
  <c r="I2355" i="17"/>
  <c r="H2355" i="17"/>
  <c r="G2355" i="17"/>
  <c r="L2354" i="17"/>
  <c r="K2354" i="17"/>
  <c r="J2354" i="17"/>
  <c r="I2354" i="17"/>
  <c r="H2354" i="17"/>
  <c r="G2354" i="17"/>
  <c r="L2353" i="17"/>
  <c r="K2353" i="17"/>
  <c r="J2353" i="17"/>
  <c r="I2353" i="17"/>
  <c r="H2353" i="17"/>
  <c r="G2353" i="17"/>
  <c r="L2352" i="17"/>
  <c r="K2352" i="17"/>
  <c r="J2352" i="17"/>
  <c r="I2352" i="17"/>
  <c r="H2352" i="17"/>
  <c r="G2352" i="17"/>
  <c r="L2351" i="17"/>
  <c r="K2351" i="17"/>
  <c r="J2351" i="17"/>
  <c r="I2351" i="17"/>
  <c r="H2351" i="17"/>
  <c r="G2351" i="17"/>
  <c r="L2350" i="17"/>
  <c r="K2350" i="17"/>
  <c r="J2350" i="17"/>
  <c r="I2350" i="17"/>
  <c r="H2350" i="17"/>
  <c r="G2350" i="17"/>
  <c r="L2349" i="17"/>
  <c r="K2349" i="17"/>
  <c r="J2349" i="17"/>
  <c r="I2349" i="17"/>
  <c r="H2349" i="17"/>
  <c r="G2349" i="17"/>
  <c r="L2348" i="17"/>
  <c r="K2348" i="17"/>
  <c r="J2348" i="17"/>
  <c r="I2348" i="17"/>
  <c r="H2348" i="17"/>
  <c r="G2348" i="17"/>
  <c r="L2347" i="17"/>
  <c r="K2347" i="17"/>
  <c r="J2347" i="17"/>
  <c r="I2347" i="17"/>
  <c r="H2347" i="17"/>
  <c r="G2347" i="17"/>
  <c r="L2346" i="17"/>
  <c r="K2346" i="17"/>
  <c r="J2346" i="17"/>
  <c r="I2346" i="17"/>
  <c r="H2346" i="17"/>
  <c r="G2346" i="17"/>
  <c r="L2345" i="17"/>
  <c r="K2345" i="17"/>
  <c r="J2345" i="17"/>
  <c r="I2345" i="17"/>
  <c r="H2345" i="17"/>
  <c r="G2345" i="17"/>
  <c r="L2344" i="17"/>
  <c r="K2344" i="17"/>
  <c r="J2344" i="17"/>
  <c r="I2344" i="17"/>
  <c r="H2344" i="17"/>
  <c r="G2344" i="17"/>
  <c r="L2343" i="17"/>
  <c r="K2343" i="17"/>
  <c r="J2343" i="17"/>
  <c r="I2343" i="17"/>
  <c r="H2343" i="17"/>
  <c r="G2343" i="17"/>
  <c r="L2342" i="17"/>
  <c r="K2342" i="17"/>
  <c r="J2342" i="17"/>
  <c r="I2342" i="17"/>
  <c r="H2342" i="17"/>
  <c r="G2342" i="17"/>
  <c r="L2341" i="17"/>
  <c r="K2341" i="17"/>
  <c r="J2341" i="17"/>
  <c r="I2341" i="17"/>
  <c r="H2341" i="17"/>
  <c r="G2341" i="17"/>
  <c r="L2340" i="17"/>
  <c r="K2340" i="17"/>
  <c r="J2340" i="17"/>
  <c r="I2340" i="17"/>
  <c r="H2340" i="17"/>
  <c r="G2340" i="17"/>
  <c r="L2339" i="17"/>
  <c r="K2339" i="17"/>
  <c r="J2339" i="17"/>
  <c r="I2339" i="17"/>
  <c r="H2339" i="17"/>
  <c r="G2339" i="17"/>
  <c r="L2338" i="17"/>
  <c r="K2338" i="17"/>
  <c r="J2338" i="17"/>
  <c r="I2338" i="17"/>
  <c r="H2338" i="17"/>
  <c r="G2338" i="17"/>
  <c r="L2337" i="17"/>
  <c r="K2337" i="17"/>
  <c r="J2337" i="17"/>
  <c r="I2337" i="17"/>
  <c r="H2337" i="17"/>
  <c r="G2337" i="17"/>
  <c r="L2336" i="17"/>
  <c r="K2336" i="17"/>
  <c r="J2336" i="17"/>
  <c r="I2336" i="17"/>
  <c r="H2336" i="17"/>
  <c r="G2336" i="17"/>
  <c r="L2335" i="17"/>
  <c r="K2335" i="17"/>
  <c r="J2335" i="17"/>
  <c r="I2335" i="17"/>
  <c r="H2335" i="17"/>
  <c r="G2335" i="17"/>
  <c r="L2334" i="17"/>
  <c r="K2334" i="17"/>
  <c r="J2334" i="17"/>
  <c r="I2334" i="17"/>
  <c r="H2334" i="17"/>
  <c r="G2334" i="17"/>
  <c r="L2333" i="17"/>
  <c r="K2333" i="17"/>
  <c r="J2333" i="17"/>
  <c r="I2333" i="17"/>
  <c r="H2333" i="17"/>
  <c r="G2333" i="17"/>
  <c r="L2332" i="17"/>
  <c r="K2332" i="17"/>
  <c r="J2332" i="17"/>
  <c r="I2332" i="17"/>
  <c r="H2332" i="17"/>
  <c r="G2332" i="17"/>
  <c r="L2331" i="17"/>
  <c r="K2331" i="17"/>
  <c r="J2331" i="17"/>
  <c r="I2331" i="17"/>
  <c r="H2331" i="17"/>
  <c r="G2331" i="17"/>
  <c r="L2330" i="17"/>
  <c r="K2330" i="17"/>
  <c r="J2330" i="17"/>
  <c r="I2330" i="17"/>
  <c r="H2330" i="17"/>
  <c r="G2330" i="17"/>
  <c r="L2329" i="17"/>
  <c r="K2329" i="17"/>
  <c r="J2329" i="17"/>
  <c r="I2329" i="17"/>
  <c r="H2329" i="17"/>
  <c r="G2329" i="17"/>
  <c r="L2328" i="17"/>
  <c r="K2328" i="17"/>
  <c r="J2328" i="17"/>
  <c r="I2328" i="17"/>
  <c r="H2328" i="17"/>
  <c r="G2328" i="17"/>
  <c r="L2327" i="17"/>
  <c r="K2327" i="17"/>
  <c r="J2327" i="17"/>
  <c r="I2327" i="17"/>
  <c r="H2327" i="17"/>
  <c r="G2327" i="17"/>
  <c r="L2326" i="17"/>
  <c r="K2326" i="17"/>
  <c r="J2326" i="17"/>
  <c r="I2326" i="17"/>
  <c r="H2326" i="17"/>
  <c r="G2326" i="17"/>
  <c r="L2325" i="17"/>
  <c r="K2325" i="17"/>
  <c r="J2325" i="17"/>
  <c r="I2325" i="17"/>
  <c r="H2325" i="17"/>
  <c r="G2325" i="17"/>
  <c r="L2324" i="17"/>
  <c r="K2324" i="17"/>
  <c r="J2324" i="17"/>
  <c r="I2324" i="17"/>
  <c r="H2324" i="17"/>
  <c r="G2324" i="17"/>
  <c r="L2323" i="17"/>
  <c r="K2323" i="17"/>
  <c r="J2323" i="17"/>
  <c r="I2323" i="17"/>
  <c r="H2323" i="17"/>
  <c r="G2323" i="17"/>
  <c r="L2322" i="17"/>
  <c r="K2322" i="17"/>
  <c r="J2322" i="17"/>
  <c r="I2322" i="17"/>
  <c r="H2322" i="17"/>
  <c r="G2322" i="17"/>
  <c r="L2321" i="17"/>
  <c r="K2321" i="17"/>
  <c r="J2321" i="17"/>
  <c r="I2321" i="17"/>
  <c r="H2321" i="17"/>
  <c r="G2321" i="17"/>
  <c r="L2320" i="17"/>
  <c r="K2320" i="17"/>
  <c r="J2320" i="17"/>
  <c r="I2320" i="17"/>
  <c r="H2320" i="17"/>
  <c r="G2320" i="17"/>
  <c r="L2319" i="17"/>
  <c r="K2319" i="17"/>
  <c r="J2319" i="17"/>
  <c r="I2319" i="17"/>
  <c r="H2319" i="17"/>
  <c r="G2319" i="17"/>
  <c r="L2318" i="17"/>
  <c r="K2318" i="17"/>
  <c r="J2318" i="17"/>
  <c r="I2318" i="17"/>
  <c r="H2318" i="17"/>
  <c r="G2318" i="17"/>
  <c r="L2317" i="17"/>
  <c r="K2317" i="17"/>
  <c r="J2317" i="17"/>
  <c r="I2317" i="17"/>
  <c r="H2317" i="17"/>
  <c r="G2317" i="17"/>
  <c r="L2316" i="17"/>
  <c r="K2316" i="17"/>
  <c r="J2316" i="17"/>
  <c r="I2316" i="17"/>
  <c r="H2316" i="17"/>
  <c r="G2316" i="17"/>
  <c r="L2315" i="17"/>
  <c r="K2315" i="17"/>
  <c r="J2315" i="17"/>
  <c r="I2315" i="17"/>
  <c r="H2315" i="17"/>
  <c r="G2315" i="17"/>
  <c r="L2314" i="17"/>
  <c r="K2314" i="17"/>
  <c r="J2314" i="17"/>
  <c r="I2314" i="17"/>
  <c r="H2314" i="17"/>
  <c r="G2314" i="17"/>
  <c r="L2313" i="17"/>
  <c r="K2313" i="17"/>
  <c r="J2313" i="17"/>
  <c r="I2313" i="17"/>
  <c r="H2313" i="17"/>
  <c r="G2313" i="17"/>
  <c r="L2312" i="17"/>
  <c r="K2312" i="17"/>
  <c r="J2312" i="17"/>
  <c r="I2312" i="17"/>
  <c r="H2312" i="17"/>
  <c r="G2312" i="17"/>
  <c r="L2311" i="17"/>
  <c r="K2311" i="17"/>
  <c r="J2311" i="17"/>
  <c r="I2311" i="17"/>
  <c r="H2311" i="17"/>
  <c r="G2311" i="17"/>
  <c r="L2310" i="17"/>
  <c r="K2310" i="17"/>
  <c r="J2310" i="17"/>
  <c r="I2310" i="17"/>
  <c r="H2310" i="17"/>
  <c r="G2310" i="17"/>
  <c r="L2309" i="17"/>
  <c r="K2309" i="17"/>
  <c r="J2309" i="17"/>
  <c r="I2309" i="17"/>
  <c r="H2309" i="17"/>
  <c r="G2309" i="17"/>
  <c r="L2308" i="17"/>
  <c r="K2308" i="17"/>
  <c r="J2308" i="17"/>
  <c r="I2308" i="17"/>
  <c r="H2308" i="17"/>
  <c r="G2308" i="17"/>
  <c r="L2307" i="17"/>
  <c r="K2307" i="17"/>
  <c r="J2307" i="17"/>
  <c r="I2307" i="17"/>
  <c r="H2307" i="17"/>
  <c r="G2307" i="17"/>
  <c r="L2306" i="17"/>
  <c r="K2306" i="17"/>
  <c r="J2306" i="17"/>
  <c r="I2306" i="17"/>
  <c r="H2306" i="17"/>
  <c r="G2306" i="17"/>
  <c r="L2305" i="17"/>
  <c r="K2305" i="17"/>
  <c r="J2305" i="17"/>
  <c r="I2305" i="17"/>
  <c r="H2305" i="17"/>
  <c r="G2305" i="17"/>
  <c r="L2304" i="17"/>
  <c r="K2304" i="17"/>
  <c r="J2304" i="17"/>
  <c r="I2304" i="17"/>
  <c r="H2304" i="17"/>
  <c r="G2304" i="17"/>
  <c r="L2303" i="17"/>
  <c r="K2303" i="17"/>
  <c r="J2303" i="17"/>
  <c r="I2303" i="17"/>
  <c r="H2303" i="17"/>
  <c r="G2303" i="17"/>
  <c r="L2302" i="17"/>
  <c r="K2302" i="17"/>
  <c r="J2302" i="17"/>
  <c r="I2302" i="17"/>
  <c r="H2302" i="17"/>
  <c r="G2302" i="17"/>
  <c r="L2301" i="17"/>
  <c r="K2301" i="17"/>
  <c r="J2301" i="17"/>
  <c r="I2301" i="17"/>
  <c r="H2301" i="17"/>
  <c r="G2301" i="17"/>
  <c r="L2300" i="17"/>
  <c r="K2300" i="17"/>
  <c r="J2300" i="17"/>
  <c r="I2300" i="17"/>
  <c r="H2300" i="17"/>
  <c r="G2300" i="17"/>
  <c r="L2299" i="17"/>
  <c r="K2299" i="17"/>
  <c r="J2299" i="17"/>
  <c r="I2299" i="17"/>
  <c r="H2299" i="17"/>
  <c r="G2299" i="17"/>
  <c r="L2298" i="17"/>
  <c r="K2298" i="17"/>
  <c r="J2298" i="17"/>
  <c r="I2298" i="17"/>
  <c r="H2298" i="17"/>
  <c r="G2298" i="17"/>
  <c r="L2297" i="17"/>
  <c r="K2297" i="17"/>
  <c r="J2297" i="17"/>
  <c r="I2297" i="17"/>
  <c r="H2297" i="17"/>
  <c r="G2297" i="17"/>
  <c r="L2296" i="17"/>
  <c r="K2296" i="17"/>
  <c r="J2296" i="17"/>
  <c r="I2296" i="17"/>
  <c r="H2296" i="17"/>
  <c r="G2296" i="17"/>
  <c r="L2295" i="17"/>
  <c r="K2295" i="17"/>
  <c r="J2295" i="17"/>
  <c r="I2295" i="17"/>
  <c r="H2295" i="17"/>
  <c r="G2295" i="17"/>
  <c r="L2294" i="17"/>
  <c r="K2294" i="17"/>
  <c r="J2294" i="17"/>
  <c r="I2294" i="17"/>
  <c r="H2294" i="17"/>
  <c r="G2294" i="17"/>
  <c r="L2293" i="17"/>
  <c r="K2293" i="17"/>
  <c r="J2293" i="17"/>
  <c r="I2293" i="17"/>
  <c r="H2293" i="17"/>
  <c r="G2293" i="17"/>
  <c r="L2292" i="17"/>
  <c r="K2292" i="17"/>
  <c r="J2292" i="17"/>
  <c r="I2292" i="17"/>
  <c r="H2292" i="17"/>
  <c r="G2292" i="17"/>
  <c r="L2291" i="17"/>
  <c r="K2291" i="17"/>
  <c r="J2291" i="17"/>
  <c r="I2291" i="17"/>
  <c r="H2291" i="17"/>
  <c r="G2291" i="17"/>
  <c r="L2290" i="17"/>
  <c r="K2290" i="17"/>
  <c r="J2290" i="17"/>
  <c r="I2290" i="17"/>
  <c r="H2290" i="17"/>
  <c r="G2290" i="17"/>
  <c r="L2289" i="17"/>
  <c r="K2289" i="17"/>
  <c r="J2289" i="17"/>
  <c r="I2289" i="17"/>
  <c r="H2289" i="17"/>
  <c r="G2289" i="17"/>
  <c r="L2288" i="17"/>
  <c r="K2288" i="17"/>
  <c r="J2288" i="17"/>
  <c r="I2288" i="17"/>
  <c r="H2288" i="17"/>
  <c r="G2288" i="17"/>
  <c r="L2287" i="17"/>
  <c r="K2287" i="17"/>
  <c r="J2287" i="17"/>
  <c r="I2287" i="17"/>
  <c r="H2287" i="17"/>
  <c r="G2287" i="17"/>
  <c r="L2286" i="17"/>
  <c r="K2286" i="17"/>
  <c r="J2286" i="17"/>
  <c r="I2286" i="17"/>
  <c r="H2286" i="17"/>
  <c r="G2286" i="17"/>
  <c r="L2285" i="17"/>
  <c r="K2285" i="17"/>
  <c r="J2285" i="17"/>
  <c r="I2285" i="17"/>
  <c r="H2285" i="17"/>
  <c r="G2285" i="17"/>
  <c r="L2284" i="17"/>
  <c r="K2284" i="17"/>
  <c r="J2284" i="17"/>
  <c r="I2284" i="17"/>
  <c r="H2284" i="17"/>
  <c r="G2284" i="17"/>
  <c r="L2283" i="17"/>
  <c r="K2283" i="17"/>
  <c r="J2283" i="17"/>
  <c r="I2283" i="17"/>
  <c r="H2283" i="17"/>
  <c r="G2283" i="17"/>
  <c r="L2282" i="17"/>
  <c r="K2282" i="17"/>
  <c r="J2282" i="17"/>
  <c r="I2282" i="17"/>
  <c r="H2282" i="17"/>
  <c r="G2282" i="17"/>
  <c r="L2281" i="17"/>
  <c r="K2281" i="17"/>
  <c r="J2281" i="17"/>
  <c r="I2281" i="17"/>
  <c r="H2281" i="17"/>
  <c r="G2281" i="17"/>
  <c r="L2280" i="17"/>
  <c r="K2280" i="17"/>
  <c r="J2280" i="17"/>
  <c r="I2280" i="17"/>
  <c r="H2280" i="17"/>
  <c r="G2280" i="17"/>
  <c r="L2279" i="17"/>
  <c r="K2279" i="17"/>
  <c r="J2279" i="17"/>
  <c r="I2279" i="17"/>
  <c r="H2279" i="17"/>
  <c r="G2279" i="17"/>
  <c r="L2278" i="17"/>
  <c r="K2278" i="17"/>
  <c r="J2278" i="17"/>
  <c r="I2278" i="17"/>
  <c r="H2278" i="17"/>
  <c r="G2278" i="17"/>
  <c r="L2277" i="17"/>
  <c r="K2277" i="17"/>
  <c r="J2277" i="17"/>
  <c r="I2277" i="17"/>
  <c r="H2277" i="17"/>
  <c r="G2277" i="17"/>
  <c r="L2276" i="17"/>
  <c r="K2276" i="17"/>
  <c r="J2276" i="17"/>
  <c r="I2276" i="17"/>
  <c r="H2276" i="17"/>
  <c r="G2276" i="17"/>
  <c r="L2275" i="17"/>
  <c r="K2275" i="17"/>
  <c r="J2275" i="17"/>
  <c r="I2275" i="17"/>
  <c r="H2275" i="17"/>
  <c r="G2275" i="17"/>
  <c r="L2274" i="17"/>
  <c r="K2274" i="17"/>
  <c r="J2274" i="17"/>
  <c r="I2274" i="17"/>
  <c r="H2274" i="17"/>
  <c r="G2274" i="17"/>
  <c r="L2273" i="17"/>
  <c r="K2273" i="17"/>
  <c r="J2273" i="17"/>
  <c r="I2273" i="17"/>
  <c r="H2273" i="17"/>
  <c r="G2273" i="17"/>
  <c r="L2272" i="17"/>
  <c r="K2272" i="17"/>
  <c r="J2272" i="17"/>
  <c r="I2272" i="17"/>
  <c r="H2272" i="17"/>
  <c r="G2272" i="17"/>
  <c r="L2271" i="17"/>
  <c r="K2271" i="17"/>
  <c r="J2271" i="17"/>
  <c r="I2271" i="17"/>
  <c r="H2271" i="17"/>
  <c r="G2271" i="17"/>
  <c r="L2270" i="17"/>
  <c r="K2270" i="17"/>
  <c r="J2270" i="17"/>
  <c r="I2270" i="17"/>
  <c r="H2270" i="17"/>
  <c r="G2270" i="17"/>
  <c r="L2269" i="17"/>
  <c r="K2269" i="17"/>
  <c r="J2269" i="17"/>
  <c r="I2269" i="17"/>
  <c r="H2269" i="17"/>
  <c r="G2269" i="17"/>
  <c r="L2268" i="17"/>
  <c r="K2268" i="17"/>
  <c r="J2268" i="17"/>
  <c r="I2268" i="17"/>
  <c r="H2268" i="17"/>
  <c r="G2268" i="17"/>
  <c r="L2267" i="17"/>
  <c r="K2267" i="17"/>
  <c r="J2267" i="17"/>
  <c r="I2267" i="17"/>
  <c r="H2267" i="17"/>
  <c r="G2267" i="17"/>
  <c r="L2266" i="17"/>
  <c r="K2266" i="17"/>
  <c r="J2266" i="17"/>
  <c r="I2266" i="17"/>
  <c r="H2266" i="17"/>
  <c r="G2266" i="17"/>
  <c r="L2265" i="17"/>
  <c r="K2265" i="17"/>
  <c r="J2265" i="17"/>
  <c r="I2265" i="17"/>
  <c r="H2265" i="17"/>
  <c r="G2265" i="17"/>
  <c r="L2264" i="17"/>
  <c r="K2264" i="17"/>
  <c r="J2264" i="17"/>
  <c r="I2264" i="17"/>
  <c r="H2264" i="17"/>
  <c r="G2264" i="17"/>
  <c r="L2263" i="17"/>
  <c r="K2263" i="17"/>
  <c r="J2263" i="17"/>
  <c r="I2263" i="17"/>
  <c r="H2263" i="17"/>
  <c r="G2263" i="17"/>
  <c r="L2262" i="17"/>
  <c r="K2262" i="17"/>
  <c r="J2262" i="17"/>
  <c r="I2262" i="17"/>
  <c r="H2262" i="17"/>
  <c r="G2262" i="17"/>
  <c r="L2261" i="17"/>
  <c r="K2261" i="17"/>
  <c r="J2261" i="17"/>
  <c r="I2261" i="17"/>
  <c r="H2261" i="17"/>
  <c r="G2261" i="17"/>
  <c r="L2260" i="17"/>
  <c r="K2260" i="17"/>
  <c r="J2260" i="17"/>
  <c r="I2260" i="17"/>
  <c r="H2260" i="17"/>
  <c r="G2260" i="17"/>
  <c r="L2259" i="17"/>
  <c r="K2259" i="17"/>
  <c r="J2259" i="17"/>
  <c r="I2259" i="17"/>
  <c r="H2259" i="17"/>
  <c r="G2259" i="17"/>
  <c r="L2258" i="17"/>
  <c r="K2258" i="17"/>
  <c r="J2258" i="17"/>
  <c r="I2258" i="17"/>
  <c r="H2258" i="17"/>
  <c r="G2258" i="17"/>
  <c r="L2257" i="17"/>
  <c r="K2257" i="17"/>
  <c r="J2257" i="17"/>
  <c r="I2257" i="17"/>
  <c r="H2257" i="17"/>
  <c r="G2257" i="17"/>
  <c r="L2256" i="17"/>
  <c r="K2256" i="17"/>
  <c r="J2256" i="17"/>
  <c r="I2256" i="17"/>
  <c r="H2256" i="17"/>
  <c r="G2256" i="17"/>
  <c r="L2255" i="17"/>
  <c r="K2255" i="17"/>
  <c r="J2255" i="17"/>
  <c r="I2255" i="17"/>
  <c r="H2255" i="17"/>
  <c r="G2255" i="17"/>
  <c r="L2254" i="17"/>
  <c r="K2254" i="17"/>
  <c r="J2254" i="17"/>
  <c r="I2254" i="17"/>
  <c r="H2254" i="17"/>
  <c r="G2254" i="17"/>
  <c r="L2253" i="17"/>
  <c r="K2253" i="17"/>
  <c r="J2253" i="17"/>
  <c r="I2253" i="17"/>
  <c r="H2253" i="17"/>
  <c r="G2253" i="17"/>
  <c r="L2252" i="17"/>
  <c r="K2252" i="17"/>
  <c r="J2252" i="17"/>
  <c r="I2252" i="17"/>
  <c r="H2252" i="17"/>
  <c r="G2252" i="17"/>
  <c r="L2251" i="17"/>
  <c r="K2251" i="17"/>
  <c r="J2251" i="17"/>
  <c r="I2251" i="17"/>
  <c r="H2251" i="17"/>
  <c r="G2251" i="17"/>
  <c r="L2250" i="17"/>
  <c r="K2250" i="17"/>
  <c r="J2250" i="17"/>
  <c r="I2250" i="17"/>
  <c r="H2250" i="17"/>
  <c r="G2250" i="17"/>
  <c r="L2249" i="17"/>
  <c r="K2249" i="17"/>
  <c r="J2249" i="17"/>
  <c r="I2249" i="17"/>
  <c r="H2249" i="17"/>
  <c r="G2249" i="17"/>
  <c r="L2248" i="17"/>
  <c r="K2248" i="17"/>
  <c r="J2248" i="17"/>
  <c r="I2248" i="17"/>
  <c r="H2248" i="17"/>
  <c r="G2248" i="17"/>
  <c r="L2247" i="17"/>
  <c r="K2247" i="17"/>
  <c r="J2247" i="17"/>
  <c r="I2247" i="17"/>
  <c r="H2247" i="17"/>
  <c r="G2247" i="17"/>
  <c r="L2246" i="17"/>
  <c r="K2246" i="17"/>
  <c r="J2246" i="17"/>
  <c r="I2246" i="17"/>
  <c r="H2246" i="17"/>
  <c r="G2246" i="17"/>
  <c r="L2245" i="17"/>
  <c r="K2245" i="17"/>
  <c r="J2245" i="17"/>
  <c r="I2245" i="17"/>
  <c r="H2245" i="17"/>
  <c r="G2245" i="17"/>
  <c r="L2244" i="17"/>
  <c r="K2244" i="17"/>
  <c r="J2244" i="17"/>
  <c r="I2244" i="17"/>
  <c r="H2244" i="17"/>
  <c r="G2244" i="17"/>
  <c r="L2243" i="17"/>
  <c r="K2243" i="17"/>
  <c r="J2243" i="17"/>
  <c r="I2243" i="17"/>
  <c r="H2243" i="17"/>
  <c r="G2243" i="17"/>
  <c r="L2242" i="17"/>
  <c r="K2242" i="17"/>
  <c r="J2242" i="17"/>
  <c r="I2242" i="17"/>
  <c r="H2242" i="17"/>
  <c r="G2242" i="17"/>
  <c r="L2241" i="17"/>
  <c r="K2241" i="17"/>
  <c r="J2241" i="17"/>
  <c r="I2241" i="17"/>
  <c r="H2241" i="17"/>
  <c r="G2241" i="17"/>
  <c r="L2240" i="17"/>
  <c r="K2240" i="17"/>
  <c r="J2240" i="17"/>
  <c r="I2240" i="17"/>
  <c r="H2240" i="17"/>
  <c r="G2240" i="17"/>
  <c r="L2239" i="17"/>
  <c r="K2239" i="17"/>
  <c r="J2239" i="17"/>
  <c r="I2239" i="17"/>
  <c r="H2239" i="17"/>
  <c r="G2239" i="17"/>
  <c r="L2238" i="17"/>
  <c r="K2238" i="17"/>
  <c r="J2238" i="17"/>
  <c r="I2238" i="17"/>
  <c r="H2238" i="17"/>
  <c r="G2238" i="17"/>
  <c r="L2237" i="17"/>
  <c r="K2237" i="17"/>
  <c r="J2237" i="17"/>
  <c r="I2237" i="17"/>
  <c r="H2237" i="17"/>
  <c r="G2237" i="17"/>
  <c r="L2236" i="17"/>
  <c r="K2236" i="17"/>
  <c r="J2236" i="17"/>
  <c r="I2236" i="17"/>
  <c r="H2236" i="17"/>
  <c r="G2236" i="17"/>
  <c r="L2235" i="17"/>
  <c r="K2235" i="17"/>
  <c r="J2235" i="17"/>
  <c r="I2235" i="17"/>
  <c r="H2235" i="17"/>
  <c r="G2235" i="17"/>
  <c r="L2234" i="17"/>
  <c r="K2234" i="17"/>
  <c r="J2234" i="17"/>
  <c r="I2234" i="17"/>
  <c r="H2234" i="17"/>
  <c r="G2234" i="17"/>
  <c r="L2233" i="17"/>
  <c r="K2233" i="17"/>
  <c r="J2233" i="17"/>
  <c r="I2233" i="17"/>
  <c r="H2233" i="17"/>
  <c r="G2233" i="17"/>
  <c r="L2232" i="17"/>
  <c r="K2232" i="17"/>
  <c r="J2232" i="17"/>
  <c r="I2232" i="17"/>
  <c r="H2232" i="17"/>
  <c r="G2232" i="17"/>
  <c r="L2231" i="17"/>
  <c r="K2231" i="17"/>
  <c r="J2231" i="17"/>
  <c r="I2231" i="17"/>
  <c r="H2231" i="17"/>
  <c r="G2231" i="17"/>
  <c r="L2230" i="17"/>
  <c r="K2230" i="17"/>
  <c r="J2230" i="17"/>
  <c r="I2230" i="17"/>
  <c r="H2230" i="17"/>
  <c r="G2230" i="17"/>
  <c r="L2229" i="17"/>
  <c r="K2229" i="17"/>
  <c r="J2229" i="17"/>
  <c r="I2229" i="17"/>
  <c r="H2229" i="17"/>
  <c r="G2229" i="17"/>
  <c r="L2228" i="17"/>
  <c r="K2228" i="17"/>
  <c r="J2228" i="17"/>
  <c r="I2228" i="17"/>
  <c r="H2228" i="17"/>
  <c r="G2228" i="17"/>
  <c r="L2227" i="17"/>
  <c r="K2227" i="17"/>
  <c r="J2227" i="17"/>
  <c r="I2227" i="17"/>
  <c r="H2227" i="17"/>
  <c r="G2227" i="17"/>
  <c r="L2226" i="17"/>
  <c r="K2226" i="17"/>
  <c r="J2226" i="17"/>
  <c r="I2226" i="17"/>
  <c r="H2226" i="17"/>
  <c r="G2226" i="17"/>
  <c r="L2225" i="17"/>
  <c r="K2225" i="17"/>
  <c r="J2225" i="17"/>
  <c r="I2225" i="17"/>
  <c r="H2225" i="17"/>
  <c r="G2225" i="17"/>
  <c r="L2224" i="17"/>
  <c r="K2224" i="17"/>
  <c r="J2224" i="17"/>
  <c r="I2224" i="17"/>
  <c r="H2224" i="17"/>
  <c r="G2224" i="17"/>
  <c r="L2223" i="17"/>
  <c r="K2223" i="17"/>
  <c r="J2223" i="17"/>
  <c r="I2223" i="17"/>
  <c r="H2223" i="17"/>
  <c r="G2223" i="17"/>
  <c r="L2222" i="17"/>
  <c r="K2222" i="17"/>
  <c r="J2222" i="17"/>
  <c r="I2222" i="17"/>
  <c r="H2222" i="17"/>
  <c r="G2222" i="17"/>
  <c r="L2221" i="17"/>
  <c r="K2221" i="17"/>
  <c r="J2221" i="17"/>
  <c r="I2221" i="17"/>
  <c r="H2221" i="17"/>
  <c r="G2221" i="17"/>
  <c r="L2220" i="17"/>
  <c r="K2220" i="17"/>
  <c r="J2220" i="17"/>
  <c r="I2220" i="17"/>
  <c r="H2220" i="17"/>
  <c r="G2220" i="17"/>
  <c r="L2219" i="17"/>
  <c r="K2219" i="17"/>
  <c r="J2219" i="17"/>
  <c r="I2219" i="17"/>
  <c r="H2219" i="17"/>
  <c r="G2219" i="17"/>
  <c r="L2218" i="17"/>
  <c r="K2218" i="17"/>
  <c r="J2218" i="17"/>
  <c r="I2218" i="17"/>
  <c r="H2218" i="17"/>
  <c r="G2218" i="17"/>
  <c r="L2217" i="17"/>
  <c r="K2217" i="17"/>
  <c r="J2217" i="17"/>
  <c r="I2217" i="17"/>
  <c r="H2217" i="17"/>
  <c r="G2217" i="17"/>
  <c r="L2216" i="17"/>
  <c r="K2216" i="17"/>
  <c r="J2216" i="17"/>
  <c r="I2216" i="17"/>
  <c r="H2216" i="17"/>
  <c r="G2216" i="17"/>
  <c r="L2215" i="17"/>
  <c r="K2215" i="17"/>
  <c r="J2215" i="17"/>
  <c r="I2215" i="17"/>
  <c r="H2215" i="17"/>
  <c r="G2215" i="17"/>
  <c r="L2214" i="17"/>
  <c r="K2214" i="17"/>
  <c r="J2214" i="17"/>
  <c r="I2214" i="17"/>
  <c r="H2214" i="17"/>
  <c r="G2214" i="17"/>
  <c r="L2213" i="17"/>
  <c r="K2213" i="17"/>
  <c r="J2213" i="17"/>
  <c r="I2213" i="17"/>
  <c r="H2213" i="17"/>
  <c r="G2213" i="17"/>
  <c r="L2212" i="17"/>
  <c r="K2212" i="17"/>
  <c r="J2212" i="17"/>
  <c r="I2212" i="17"/>
  <c r="H2212" i="17"/>
  <c r="G2212" i="17"/>
  <c r="L2211" i="17"/>
  <c r="K2211" i="17"/>
  <c r="J2211" i="17"/>
  <c r="I2211" i="17"/>
  <c r="H2211" i="17"/>
  <c r="G2211" i="17"/>
  <c r="L2210" i="17"/>
  <c r="K2210" i="17"/>
  <c r="J2210" i="17"/>
  <c r="I2210" i="17"/>
  <c r="H2210" i="17"/>
  <c r="G2210" i="17"/>
  <c r="L2209" i="17"/>
  <c r="K2209" i="17"/>
  <c r="J2209" i="17"/>
  <c r="I2209" i="17"/>
  <c r="H2209" i="17"/>
  <c r="G2209" i="17"/>
  <c r="L2208" i="17"/>
  <c r="K2208" i="17"/>
  <c r="J2208" i="17"/>
  <c r="I2208" i="17"/>
  <c r="H2208" i="17"/>
  <c r="G2208" i="17"/>
  <c r="L2207" i="17"/>
  <c r="K2207" i="17"/>
  <c r="J2207" i="17"/>
  <c r="I2207" i="17"/>
  <c r="H2207" i="17"/>
  <c r="G2207" i="17"/>
  <c r="L2206" i="17"/>
  <c r="K2206" i="17"/>
  <c r="J2206" i="17"/>
  <c r="I2206" i="17"/>
  <c r="H2206" i="17"/>
  <c r="G2206" i="17"/>
  <c r="L2205" i="17"/>
  <c r="K2205" i="17"/>
  <c r="J2205" i="17"/>
  <c r="I2205" i="17"/>
  <c r="H2205" i="17"/>
  <c r="G2205" i="17"/>
  <c r="L2204" i="17"/>
  <c r="K2204" i="17"/>
  <c r="J2204" i="17"/>
  <c r="I2204" i="17"/>
  <c r="H2204" i="17"/>
  <c r="G2204" i="17"/>
  <c r="L2203" i="17"/>
  <c r="K2203" i="17"/>
  <c r="J2203" i="17"/>
  <c r="I2203" i="17"/>
  <c r="H2203" i="17"/>
  <c r="G2203" i="17"/>
  <c r="L2202" i="17"/>
  <c r="K2202" i="17"/>
  <c r="J2202" i="17"/>
  <c r="I2202" i="17"/>
  <c r="H2202" i="17"/>
  <c r="G2202" i="17"/>
  <c r="L2201" i="17"/>
  <c r="K2201" i="17"/>
  <c r="J2201" i="17"/>
  <c r="I2201" i="17"/>
  <c r="H2201" i="17"/>
  <c r="G2201" i="17"/>
  <c r="L2200" i="17"/>
  <c r="K2200" i="17"/>
  <c r="J2200" i="17"/>
  <c r="I2200" i="17"/>
  <c r="H2200" i="17"/>
  <c r="G2200" i="17"/>
  <c r="L2199" i="17"/>
  <c r="K2199" i="17"/>
  <c r="J2199" i="17"/>
  <c r="I2199" i="17"/>
  <c r="H2199" i="17"/>
  <c r="G2199" i="17"/>
  <c r="L2198" i="17"/>
  <c r="K2198" i="17"/>
  <c r="J2198" i="17"/>
  <c r="I2198" i="17"/>
  <c r="H2198" i="17"/>
  <c r="G2198" i="17"/>
  <c r="L2197" i="17"/>
  <c r="K2197" i="17"/>
  <c r="J2197" i="17"/>
  <c r="I2197" i="17"/>
  <c r="H2197" i="17"/>
  <c r="G2197" i="17"/>
  <c r="L2196" i="17"/>
  <c r="K2196" i="17"/>
  <c r="J2196" i="17"/>
  <c r="I2196" i="17"/>
  <c r="H2196" i="17"/>
  <c r="G2196" i="17"/>
  <c r="L2195" i="17"/>
  <c r="K2195" i="17"/>
  <c r="J2195" i="17"/>
  <c r="I2195" i="17"/>
  <c r="H2195" i="17"/>
  <c r="G2195" i="17"/>
  <c r="L2194" i="17"/>
  <c r="K2194" i="17"/>
  <c r="J2194" i="17"/>
  <c r="I2194" i="17"/>
  <c r="H2194" i="17"/>
  <c r="G2194" i="17"/>
  <c r="L2193" i="17"/>
  <c r="K2193" i="17"/>
  <c r="J2193" i="17"/>
  <c r="I2193" i="17"/>
  <c r="H2193" i="17"/>
  <c r="G2193" i="17"/>
  <c r="L2192" i="17"/>
  <c r="K2192" i="17"/>
  <c r="J2192" i="17"/>
  <c r="I2192" i="17"/>
  <c r="H2192" i="17"/>
  <c r="G2192" i="17"/>
  <c r="L2191" i="17"/>
  <c r="K2191" i="17"/>
  <c r="J2191" i="17"/>
  <c r="I2191" i="17"/>
  <c r="H2191" i="17"/>
  <c r="G2191" i="17"/>
  <c r="L2190" i="17"/>
  <c r="K2190" i="17"/>
  <c r="J2190" i="17"/>
  <c r="I2190" i="17"/>
  <c r="H2190" i="17"/>
  <c r="G2190" i="17"/>
  <c r="L2189" i="17"/>
  <c r="K2189" i="17"/>
  <c r="J2189" i="17"/>
  <c r="I2189" i="17"/>
  <c r="H2189" i="17"/>
  <c r="G2189" i="17"/>
  <c r="L2188" i="17"/>
  <c r="K2188" i="17"/>
  <c r="J2188" i="17"/>
  <c r="I2188" i="17"/>
  <c r="H2188" i="17"/>
  <c r="G2188" i="17"/>
  <c r="L2187" i="17"/>
  <c r="K2187" i="17"/>
  <c r="J2187" i="17"/>
  <c r="I2187" i="17"/>
  <c r="H2187" i="17"/>
  <c r="G2187" i="17"/>
  <c r="L2186" i="17"/>
  <c r="K2186" i="17"/>
  <c r="J2186" i="17"/>
  <c r="I2186" i="17"/>
  <c r="H2186" i="17"/>
  <c r="G2186" i="17"/>
  <c r="L2185" i="17"/>
  <c r="K2185" i="17"/>
  <c r="J2185" i="17"/>
  <c r="I2185" i="17"/>
  <c r="H2185" i="17"/>
  <c r="G2185" i="17"/>
  <c r="L2184" i="17"/>
  <c r="K2184" i="17"/>
  <c r="J2184" i="17"/>
  <c r="I2184" i="17"/>
  <c r="H2184" i="17"/>
  <c r="G2184" i="17"/>
  <c r="L2183" i="17"/>
  <c r="K2183" i="17"/>
  <c r="J2183" i="17"/>
  <c r="I2183" i="17"/>
  <c r="H2183" i="17"/>
  <c r="G2183" i="17"/>
  <c r="L2182" i="17"/>
  <c r="K2182" i="17"/>
  <c r="J2182" i="17"/>
  <c r="I2182" i="17"/>
  <c r="H2182" i="17"/>
  <c r="G2182" i="17"/>
  <c r="L2181" i="17"/>
  <c r="K2181" i="17"/>
  <c r="J2181" i="17"/>
  <c r="I2181" i="17"/>
  <c r="H2181" i="17"/>
  <c r="G2181" i="17"/>
  <c r="L2180" i="17"/>
  <c r="K2180" i="17"/>
  <c r="J2180" i="17"/>
  <c r="I2180" i="17"/>
  <c r="H2180" i="17"/>
  <c r="G2180" i="17"/>
  <c r="L2179" i="17"/>
  <c r="K2179" i="17"/>
  <c r="J2179" i="17"/>
  <c r="I2179" i="17"/>
  <c r="H2179" i="17"/>
  <c r="G2179" i="17"/>
  <c r="L2178" i="17"/>
  <c r="K2178" i="17"/>
  <c r="J2178" i="17"/>
  <c r="I2178" i="17"/>
  <c r="H2178" i="17"/>
  <c r="G2178" i="17"/>
  <c r="L2177" i="17"/>
  <c r="K2177" i="17"/>
  <c r="J2177" i="17"/>
  <c r="I2177" i="17"/>
  <c r="H2177" i="17"/>
  <c r="G2177" i="17"/>
  <c r="L2176" i="17"/>
  <c r="K2176" i="17"/>
  <c r="J2176" i="17"/>
  <c r="I2176" i="17"/>
  <c r="H2176" i="17"/>
  <c r="G2176" i="17"/>
  <c r="L2175" i="17"/>
  <c r="K2175" i="17"/>
  <c r="J2175" i="17"/>
  <c r="I2175" i="17"/>
  <c r="H2175" i="17"/>
  <c r="G2175" i="17"/>
  <c r="L2174" i="17"/>
  <c r="K2174" i="17"/>
  <c r="J2174" i="17"/>
  <c r="I2174" i="17"/>
  <c r="H2174" i="17"/>
  <c r="G2174" i="17"/>
  <c r="L2173" i="17"/>
  <c r="K2173" i="17"/>
  <c r="J2173" i="17"/>
  <c r="I2173" i="17"/>
  <c r="H2173" i="17"/>
  <c r="G2173" i="17"/>
  <c r="L2172" i="17"/>
  <c r="K2172" i="17"/>
  <c r="J2172" i="17"/>
  <c r="I2172" i="17"/>
  <c r="H2172" i="17"/>
  <c r="G2172" i="17"/>
  <c r="L2171" i="17"/>
  <c r="K2171" i="17"/>
  <c r="J2171" i="17"/>
  <c r="I2171" i="17"/>
  <c r="H2171" i="17"/>
  <c r="G2171" i="17"/>
  <c r="L2170" i="17"/>
  <c r="K2170" i="17"/>
  <c r="J2170" i="17"/>
  <c r="I2170" i="17"/>
  <c r="H2170" i="17"/>
  <c r="G2170" i="17"/>
  <c r="L2169" i="17"/>
  <c r="K2169" i="17"/>
  <c r="J2169" i="17"/>
  <c r="I2169" i="17"/>
  <c r="H2169" i="17"/>
  <c r="G2169" i="17"/>
  <c r="L2168" i="17"/>
  <c r="K2168" i="17"/>
  <c r="J2168" i="17"/>
  <c r="I2168" i="17"/>
  <c r="H2168" i="17"/>
  <c r="G2168" i="17"/>
  <c r="L2167" i="17"/>
  <c r="K2167" i="17"/>
  <c r="J2167" i="17"/>
  <c r="I2167" i="17"/>
  <c r="H2167" i="17"/>
  <c r="G2167" i="17"/>
  <c r="L2166" i="17"/>
  <c r="K2166" i="17"/>
  <c r="J2166" i="17"/>
  <c r="I2166" i="17"/>
  <c r="H2166" i="17"/>
  <c r="G2166" i="17"/>
  <c r="L2165" i="17"/>
  <c r="K2165" i="17"/>
  <c r="J2165" i="17"/>
  <c r="I2165" i="17"/>
  <c r="H2165" i="17"/>
  <c r="G2165" i="17"/>
  <c r="L2164" i="17"/>
  <c r="K2164" i="17"/>
  <c r="J2164" i="17"/>
  <c r="I2164" i="17"/>
  <c r="H2164" i="17"/>
  <c r="G2164" i="17"/>
  <c r="L2163" i="17"/>
  <c r="K2163" i="17"/>
  <c r="J2163" i="17"/>
  <c r="I2163" i="17"/>
  <c r="H2163" i="17"/>
  <c r="G2163" i="17"/>
  <c r="L2162" i="17"/>
  <c r="K2162" i="17"/>
  <c r="J2162" i="17"/>
  <c r="I2162" i="17"/>
  <c r="H2162" i="17"/>
  <c r="G2162" i="17"/>
  <c r="L2161" i="17"/>
  <c r="K2161" i="17"/>
  <c r="J2161" i="17"/>
  <c r="I2161" i="17"/>
  <c r="H2161" i="17"/>
  <c r="G2161" i="17"/>
  <c r="L2160" i="17"/>
  <c r="K2160" i="17"/>
  <c r="J2160" i="17"/>
  <c r="I2160" i="17"/>
  <c r="H2160" i="17"/>
  <c r="G2160" i="17"/>
  <c r="L2159" i="17"/>
  <c r="K2159" i="17"/>
  <c r="J2159" i="17"/>
  <c r="I2159" i="17"/>
  <c r="H2159" i="17"/>
  <c r="G2159" i="17"/>
  <c r="L2158" i="17"/>
  <c r="K2158" i="17"/>
  <c r="J2158" i="17"/>
  <c r="I2158" i="17"/>
  <c r="H2158" i="17"/>
  <c r="G2158" i="17"/>
  <c r="L2157" i="17"/>
  <c r="K2157" i="17"/>
  <c r="J2157" i="17"/>
  <c r="I2157" i="17"/>
  <c r="H2157" i="17"/>
  <c r="G2157" i="17"/>
  <c r="L2156" i="17"/>
  <c r="K2156" i="17"/>
  <c r="J2156" i="17"/>
  <c r="I2156" i="17"/>
  <c r="H2156" i="17"/>
  <c r="G2156" i="17"/>
  <c r="L2155" i="17"/>
  <c r="K2155" i="17"/>
  <c r="J2155" i="17"/>
  <c r="I2155" i="17"/>
  <c r="H2155" i="17"/>
  <c r="G2155" i="17"/>
  <c r="L2154" i="17"/>
  <c r="K2154" i="17"/>
  <c r="J2154" i="17"/>
  <c r="I2154" i="17"/>
  <c r="H2154" i="17"/>
  <c r="G2154" i="17"/>
  <c r="L2153" i="17"/>
  <c r="K2153" i="17"/>
  <c r="J2153" i="17"/>
  <c r="I2153" i="17"/>
  <c r="H2153" i="17"/>
  <c r="G2153" i="17"/>
  <c r="L2152" i="17"/>
  <c r="K2152" i="17"/>
  <c r="J2152" i="17"/>
  <c r="I2152" i="17"/>
  <c r="H2152" i="17"/>
  <c r="G2152" i="17"/>
  <c r="L2151" i="17"/>
  <c r="K2151" i="17"/>
  <c r="J2151" i="17"/>
  <c r="I2151" i="17"/>
  <c r="H2151" i="17"/>
  <c r="G2151" i="17"/>
  <c r="L2150" i="17"/>
  <c r="K2150" i="17"/>
  <c r="J2150" i="17"/>
  <c r="I2150" i="17"/>
  <c r="H2150" i="17"/>
  <c r="G2150" i="17"/>
  <c r="L2149" i="17"/>
  <c r="K2149" i="17"/>
  <c r="J2149" i="17"/>
  <c r="I2149" i="17"/>
  <c r="H2149" i="17"/>
  <c r="G2149" i="17"/>
  <c r="L2148" i="17"/>
  <c r="K2148" i="17"/>
  <c r="J2148" i="17"/>
  <c r="I2148" i="17"/>
  <c r="H2148" i="17"/>
  <c r="G2148" i="17"/>
  <c r="L2147" i="17"/>
  <c r="K2147" i="17"/>
  <c r="J2147" i="17"/>
  <c r="I2147" i="17"/>
  <c r="H2147" i="17"/>
  <c r="G2147" i="17"/>
  <c r="L2146" i="17"/>
  <c r="K2146" i="17"/>
  <c r="J2146" i="17"/>
  <c r="I2146" i="17"/>
  <c r="H2146" i="17"/>
  <c r="G2146" i="17"/>
  <c r="L2145" i="17"/>
  <c r="K2145" i="17"/>
  <c r="J2145" i="17"/>
  <c r="I2145" i="17"/>
  <c r="H2145" i="17"/>
  <c r="G2145" i="17"/>
  <c r="L2144" i="17"/>
  <c r="K2144" i="17"/>
  <c r="J2144" i="17"/>
  <c r="I2144" i="17"/>
  <c r="H2144" i="17"/>
  <c r="G2144" i="17"/>
  <c r="L2143" i="17"/>
  <c r="K2143" i="17"/>
  <c r="J2143" i="17"/>
  <c r="I2143" i="17"/>
  <c r="H2143" i="17"/>
  <c r="G2143" i="17"/>
  <c r="L2142" i="17"/>
  <c r="K2142" i="17"/>
  <c r="J2142" i="17"/>
  <c r="I2142" i="17"/>
  <c r="H2142" i="17"/>
  <c r="G2142" i="17"/>
  <c r="L2141" i="17"/>
  <c r="K2141" i="17"/>
  <c r="J2141" i="17"/>
  <c r="I2141" i="17"/>
  <c r="H2141" i="17"/>
  <c r="G2141" i="17"/>
  <c r="L2140" i="17"/>
  <c r="K2140" i="17"/>
  <c r="J2140" i="17"/>
  <c r="I2140" i="17"/>
  <c r="H2140" i="17"/>
  <c r="G2140" i="17"/>
  <c r="L2139" i="17"/>
  <c r="K2139" i="17"/>
  <c r="J2139" i="17"/>
  <c r="I2139" i="17"/>
  <c r="H2139" i="17"/>
  <c r="G2139" i="17"/>
  <c r="L2138" i="17"/>
  <c r="K2138" i="17"/>
  <c r="J2138" i="17"/>
  <c r="I2138" i="17"/>
  <c r="H2138" i="17"/>
  <c r="G2138" i="17"/>
  <c r="L2137" i="17"/>
  <c r="K2137" i="17"/>
  <c r="J2137" i="17"/>
  <c r="I2137" i="17"/>
  <c r="H2137" i="17"/>
  <c r="G2137" i="17"/>
  <c r="L2136" i="17"/>
  <c r="K2136" i="17"/>
  <c r="J2136" i="17"/>
  <c r="I2136" i="17"/>
  <c r="H2136" i="17"/>
  <c r="G2136" i="17"/>
  <c r="L2135" i="17"/>
  <c r="K2135" i="17"/>
  <c r="J2135" i="17"/>
  <c r="I2135" i="17"/>
  <c r="H2135" i="17"/>
  <c r="G2135" i="17"/>
  <c r="L2134" i="17"/>
  <c r="K2134" i="17"/>
  <c r="J2134" i="17"/>
  <c r="I2134" i="17"/>
  <c r="H2134" i="17"/>
  <c r="G2134" i="17"/>
  <c r="L2133" i="17"/>
  <c r="K2133" i="17"/>
  <c r="J2133" i="17"/>
  <c r="I2133" i="17"/>
  <c r="H2133" i="17"/>
  <c r="G2133" i="17"/>
  <c r="L2132" i="17"/>
  <c r="K2132" i="17"/>
  <c r="J2132" i="17"/>
  <c r="I2132" i="17"/>
  <c r="H2132" i="17"/>
  <c r="G2132" i="17"/>
  <c r="L2131" i="17"/>
  <c r="K2131" i="17"/>
  <c r="J2131" i="17"/>
  <c r="I2131" i="17"/>
  <c r="H2131" i="17"/>
  <c r="G2131" i="17"/>
  <c r="L2130" i="17"/>
  <c r="K2130" i="17"/>
  <c r="J2130" i="17"/>
  <c r="I2130" i="17"/>
  <c r="H2130" i="17"/>
  <c r="G2130" i="17"/>
  <c r="L2129" i="17"/>
  <c r="K2129" i="17"/>
  <c r="J2129" i="17"/>
  <c r="I2129" i="17"/>
  <c r="H2129" i="17"/>
  <c r="G2129" i="17"/>
  <c r="L2128" i="17"/>
  <c r="K2128" i="17"/>
  <c r="J2128" i="17"/>
  <c r="I2128" i="17"/>
  <c r="H2128" i="17"/>
  <c r="G2128" i="17"/>
  <c r="L2127" i="17"/>
  <c r="K2127" i="17"/>
  <c r="J2127" i="17"/>
  <c r="I2127" i="17"/>
  <c r="H2127" i="17"/>
  <c r="G2127" i="17"/>
  <c r="L2126" i="17"/>
  <c r="K2126" i="17"/>
  <c r="J2126" i="17"/>
  <c r="I2126" i="17"/>
  <c r="H2126" i="17"/>
  <c r="G2126" i="17"/>
  <c r="L2125" i="17"/>
  <c r="K2125" i="17"/>
  <c r="J2125" i="17"/>
  <c r="I2125" i="17"/>
  <c r="H2125" i="17"/>
  <c r="G2125" i="17"/>
  <c r="L2124" i="17"/>
  <c r="K2124" i="17"/>
  <c r="J2124" i="17"/>
  <c r="I2124" i="17"/>
  <c r="H2124" i="17"/>
  <c r="G2124" i="17"/>
  <c r="L2123" i="17"/>
  <c r="K2123" i="17"/>
  <c r="J2123" i="17"/>
  <c r="I2123" i="17"/>
  <c r="H2123" i="17"/>
  <c r="G2123" i="17"/>
  <c r="L2122" i="17"/>
  <c r="K2122" i="17"/>
  <c r="J2122" i="17"/>
  <c r="I2122" i="17"/>
  <c r="H2122" i="17"/>
  <c r="G2122" i="17"/>
  <c r="L2121" i="17"/>
  <c r="K2121" i="17"/>
  <c r="J2121" i="17"/>
  <c r="I2121" i="17"/>
  <c r="H2121" i="17"/>
  <c r="G2121" i="17"/>
  <c r="L2120" i="17"/>
  <c r="K2120" i="17"/>
  <c r="J2120" i="17"/>
  <c r="I2120" i="17"/>
  <c r="H2120" i="17"/>
  <c r="G2120" i="17"/>
  <c r="L2119" i="17"/>
  <c r="K2119" i="17"/>
  <c r="J2119" i="17"/>
  <c r="I2119" i="17"/>
  <c r="H2119" i="17"/>
  <c r="G2119" i="17"/>
  <c r="L2118" i="17"/>
  <c r="K2118" i="17"/>
  <c r="J2118" i="17"/>
  <c r="I2118" i="17"/>
  <c r="H2118" i="17"/>
  <c r="G2118" i="17"/>
  <c r="L2117" i="17"/>
  <c r="K2117" i="17"/>
  <c r="J2117" i="17"/>
  <c r="I2117" i="17"/>
  <c r="H2117" i="17"/>
  <c r="G2117" i="17"/>
  <c r="L2116" i="17"/>
  <c r="K2116" i="17"/>
  <c r="J2116" i="17"/>
  <c r="I2116" i="17"/>
  <c r="H2116" i="17"/>
  <c r="G2116" i="17"/>
  <c r="L2115" i="17"/>
  <c r="K2115" i="17"/>
  <c r="J2115" i="17"/>
  <c r="I2115" i="17"/>
  <c r="H2115" i="17"/>
  <c r="G2115" i="17"/>
  <c r="L2114" i="17"/>
  <c r="K2114" i="17"/>
  <c r="J2114" i="17"/>
  <c r="I2114" i="17"/>
  <c r="H2114" i="17"/>
  <c r="G2114" i="17"/>
  <c r="L2113" i="17"/>
  <c r="K2113" i="17"/>
  <c r="J2113" i="17"/>
  <c r="I2113" i="17"/>
  <c r="H2113" i="17"/>
  <c r="G2113" i="17"/>
  <c r="L2112" i="17"/>
  <c r="K2112" i="17"/>
  <c r="J2112" i="17"/>
  <c r="I2112" i="17"/>
  <c r="H2112" i="17"/>
  <c r="G2112" i="17"/>
  <c r="L2111" i="17"/>
  <c r="K2111" i="17"/>
  <c r="J2111" i="17"/>
  <c r="I2111" i="17"/>
  <c r="H2111" i="17"/>
  <c r="G2111" i="17"/>
  <c r="L2110" i="17"/>
  <c r="K2110" i="17"/>
  <c r="J2110" i="17"/>
  <c r="I2110" i="17"/>
  <c r="H2110" i="17"/>
  <c r="G2110" i="17"/>
  <c r="L2109" i="17"/>
  <c r="K2109" i="17"/>
  <c r="J2109" i="17"/>
  <c r="I2109" i="17"/>
  <c r="H2109" i="17"/>
  <c r="G2109" i="17"/>
  <c r="L2108" i="17"/>
  <c r="K2108" i="17"/>
  <c r="J2108" i="17"/>
  <c r="I2108" i="17"/>
  <c r="H2108" i="17"/>
  <c r="G2108" i="17"/>
  <c r="L2107" i="17"/>
  <c r="K2107" i="17"/>
  <c r="J2107" i="17"/>
  <c r="I2107" i="17"/>
  <c r="H2107" i="17"/>
  <c r="G2107" i="17"/>
  <c r="L2106" i="17"/>
  <c r="K2106" i="17"/>
  <c r="J2106" i="17"/>
  <c r="I2106" i="17"/>
  <c r="H2106" i="17"/>
  <c r="G2106" i="17"/>
  <c r="L2105" i="17"/>
  <c r="K2105" i="17"/>
  <c r="J2105" i="17"/>
  <c r="I2105" i="17"/>
  <c r="H2105" i="17"/>
  <c r="G2105" i="17"/>
  <c r="L2104" i="17"/>
  <c r="K2104" i="17"/>
  <c r="J2104" i="17"/>
  <c r="I2104" i="17"/>
  <c r="H2104" i="17"/>
  <c r="G2104" i="17"/>
  <c r="L2103" i="17"/>
  <c r="K2103" i="17"/>
  <c r="J2103" i="17"/>
  <c r="I2103" i="17"/>
  <c r="H2103" i="17"/>
  <c r="G2103" i="17"/>
  <c r="L2102" i="17"/>
  <c r="K2102" i="17"/>
  <c r="J2102" i="17"/>
  <c r="I2102" i="17"/>
  <c r="H2102" i="17"/>
  <c r="G2102" i="17"/>
  <c r="L2101" i="17"/>
  <c r="K2101" i="17"/>
  <c r="J2101" i="17"/>
  <c r="I2101" i="17"/>
  <c r="H2101" i="17"/>
  <c r="G2101" i="17"/>
  <c r="L2100" i="17"/>
  <c r="K2100" i="17"/>
  <c r="J2100" i="17"/>
  <c r="I2100" i="17"/>
  <c r="H2100" i="17"/>
  <c r="G2100" i="17"/>
  <c r="L2099" i="17"/>
  <c r="K2099" i="17"/>
  <c r="J2099" i="17"/>
  <c r="I2099" i="17"/>
  <c r="H2099" i="17"/>
  <c r="G2099" i="17"/>
  <c r="L2098" i="17"/>
  <c r="K2098" i="17"/>
  <c r="J2098" i="17"/>
  <c r="I2098" i="17"/>
  <c r="H2098" i="17"/>
  <c r="G2098" i="17"/>
  <c r="L2097" i="17"/>
  <c r="K2097" i="17"/>
  <c r="J2097" i="17"/>
  <c r="I2097" i="17"/>
  <c r="H2097" i="17"/>
  <c r="G2097" i="17"/>
  <c r="L2096" i="17"/>
  <c r="K2096" i="17"/>
  <c r="J2096" i="17"/>
  <c r="I2096" i="17"/>
  <c r="H2096" i="17"/>
  <c r="G2096" i="17"/>
  <c r="L2095" i="17"/>
  <c r="K2095" i="17"/>
  <c r="J2095" i="17"/>
  <c r="I2095" i="17"/>
  <c r="H2095" i="17"/>
  <c r="G2095" i="17"/>
  <c r="L2094" i="17"/>
  <c r="K2094" i="17"/>
  <c r="J2094" i="17"/>
  <c r="I2094" i="17"/>
  <c r="H2094" i="17"/>
  <c r="G2094" i="17"/>
  <c r="L2093" i="17"/>
  <c r="K2093" i="17"/>
  <c r="J2093" i="17"/>
  <c r="I2093" i="17"/>
  <c r="H2093" i="17"/>
  <c r="G2093" i="17"/>
  <c r="L2092" i="17"/>
  <c r="K2092" i="17"/>
  <c r="J2092" i="17"/>
  <c r="I2092" i="17"/>
  <c r="H2092" i="17"/>
  <c r="G2092" i="17"/>
  <c r="L2091" i="17"/>
  <c r="K2091" i="17"/>
  <c r="J2091" i="17"/>
  <c r="I2091" i="17"/>
  <c r="H2091" i="17"/>
  <c r="G2091" i="17"/>
  <c r="L2090" i="17"/>
  <c r="K2090" i="17"/>
  <c r="J2090" i="17"/>
  <c r="I2090" i="17"/>
  <c r="H2090" i="17"/>
  <c r="G2090" i="17"/>
  <c r="L2089" i="17"/>
  <c r="K2089" i="17"/>
  <c r="J2089" i="17"/>
  <c r="I2089" i="17"/>
  <c r="H2089" i="17"/>
  <c r="G2089" i="17"/>
  <c r="L2088" i="17"/>
  <c r="K2088" i="17"/>
  <c r="J2088" i="17"/>
  <c r="I2088" i="17"/>
  <c r="H2088" i="17"/>
  <c r="G2088" i="17"/>
  <c r="L2087" i="17"/>
  <c r="K2087" i="17"/>
  <c r="J2087" i="17"/>
  <c r="I2087" i="17"/>
  <c r="H2087" i="17"/>
  <c r="G2087" i="17"/>
  <c r="L2086" i="17"/>
  <c r="K2086" i="17"/>
  <c r="J2086" i="17"/>
  <c r="I2086" i="17"/>
  <c r="H2086" i="17"/>
  <c r="G2086" i="17"/>
  <c r="L2085" i="17"/>
  <c r="K2085" i="17"/>
  <c r="J2085" i="17"/>
  <c r="I2085" i="17"/>
  <c r="H2085" i="17"/>
  <c r="G2085" i="17"/>
  <c r="L2084" i="17"/>
  <c r="K2084" i="17"/>
  <c r="J2084" i="17"/>
  <c r="I2084" i="17"/>
  <c r="H2084" i="17"/>
  <c r="G2084" i="17"/>
  <c r="L2083" i="17"/>
  <c r="K2083" i="17"/>
  <c r="J2083" i="17"/>
  <c r="I2083" i="17"/>
  <c r="H2083" i="17"/>
  <c r="G2083" i="17"/>
  <c r="L2082" i="17"/>
  <c r="K2082" i="17"/>
  <c r="J2082" i="17"/>
  <c r="I2082" i="17"/>
  <c r="H2082" i="17"/>
  <c r="G2082" i="17"/>
  <c r="L2081" i="17"/>
  <c r="K2081" i="17"/>
  <c r="J2081" i="17"/>
  <c r="I2081" i="17"/>
  <c r="H2081" i="17"/>
  <c r="G2081" i="17"/>
  <c r="L2080" i="17"/>
  <c r="K2080" i="17"/>
  <c r="J2080" i="17"/>
  <c r="I2080" i="17"/>
  <c r="H2080" i="17"/>
  <c r="G2080" i="17"/>
  <c r="L2079" i="17"/>
  <c r="K2079" i="17"/>
  <c r="J2079" i="17"/>
  <c r="I2079" i="17"/>
  <c r="H2079" i="17"/>
  <c r="G2079" i="17"/>
  <c r="L2078" i="17"/>
  <c r="K2078" i="17"/>
  <c r="J2078" i="17"/>
  <c r="I2078" i="17"/>
  <c r="H2078" i="17"/>
  <c r="G2078" i="17"/>
  <c r="L2077" i="17"/>
  <c r="K2077" i="17"/>
  <c r="J2077" i="17"/>
  <c r="I2077" i="17"/>
  <c r="H2077" i="17"/>
  <c r="G2077" i="17"/>
  <c r="L2076" i="17"/>
  <c r="K2076" i="17"/>
  <c r="J2076" i="17"/>
  <c r="I2076" i="17"/>
  <c r="H2076" i="17"/>
  <c r="G2076" i="17"/>
  <c r="L2075" i="17"/>
  <c r="K2075" i="17"/>
  <c r="J2075" i="17"/>
  <c r="I2075" i="17"/>
  <c r="H2075" i="17"/>
  <c r="G2075" i="17"/>
  <c r="L2074" i="17"/>
  <c r="K2074" i="17"/>
  <c r="J2074" i="17"/>
  <c r="I2074" i="17"/>
  <c r="H2074" i="17"/>
  <c r="G2074" i="17"/>
  <c r="L2073" i="17"/>
  <c r="K2073" i="17"/>
  <c r="J2073" i="17"/>
  <c r="I2073" i="17"/>
  <c r="H2073" i="17"/>
  <c r="G2073" i="17"/>
  <c r="L2072" i="17"/>
  <c r="K2072" i="17"/>
  <c r="J2072" i="17"/>
  <c r="I2072" i="17"/>
  <c r="H2072" i="17"/>
  <c r="G2072" i="17"/>
  <c r="L2071" i="17"/>
  <c r="K2071" i="17"/>
  <c r="J2071" i="17"/>
  <c r="I2071" i="17"/>
  <c r="H2071" i="17"/>
  <c r="G2071" i="17"/>
  <c r="L2070" i="17"/>
  <c r="K2070" i="17"/>
  <c r="J2070" i="17"/>
  <c r="I2070" i="17"/>
  <c r="H2070" i="17"/>
  <c r="G2070" i="17"/>
  <c r="L2069" i="17"/>
  <c r="K2069" i="17"/>
  <c r="J2069" i="17"/>
  <c r="I2069" i="17"/>
  <c r="H2069" i="17"/>
  <c r="G2069" i="17"/>
  <c r="L2068" i="17"/>
  <c r="K2068" i="17"/>
  <c r="J2068" i="17"/>
  <c r="I2068" i="17"/>
  <c r="H2068" i="17"/>
  <c r="G2068" i="17"/>
  <c r="L2067" i="17"/>
  <c r="K2067" i="17"/>
  <c r="J2067" i="17"/>
  <c r="I2067" i="17"/>
  <c r="H2067" i="17"/>
  <c r="G2067" i="17"/>
  <c r="L2066" i="17"/>
  <c r="K2066" i="17"/>
  <c r="J2066" i="17"/>
  <c r="I2066" i="17"/>
  <c r="H2066" i="17"/>
  <c r="G2066" i="17"/>
  <c r="L2065" i="17"/>
  <c r="K2065" i="17"/>
  <c r="J2065" i="17"/>
  <c r="I2065" i="17"/>
  <c r="H2065" i="17"/>
  <c r="G2065" i="17"/>
  <c r="L2064" i="17"/>
  <c r="K2064" i="17"/>
  <c r="J2064" i="17"/>
  <c r="I2064" i="17"/>
  <c r="H2064" i="17"/>
  <c r="G2064" i="17"/>
  <c r="L2063" i="17"/>
  <c r="K2063" i="17"/>
  <c r="J2063" i="17"/>
  <c r="I2063" i="17"/>
  <c r="H2063" i="17"/>
  <c r="G2063" i="17"/>
  <c r="L2062" i="17"/>
  <c r="K2062" i="17"/>
  <c r="J2062" i="17"/>
  <c r="I2062" i="17"/>
  <c r="H2062" i="17"/>
  <c r="G2062" i="17"/>
  <c r="L2061" i="17"/>
  <c r="K2061" i="17"/>
  <c r="J2061" i="17"/>
  <c r="I2061" i="17"/>
  <c r="H2061" i="17"/>
  <c r="G2061" i="17"/>
  <c r="L2060" i="17"/>
  <c r="K2060" i="17"/>
  <c r="J2060" i="17"/>
  <c r="I2060" i="17"/>
  <c r="H2060" i="17"/>
  <c r="G2060" i="17"/>
  <c r="L2059" i="17"/>
  <c r="K2059" i="17"/>
  <c r="J2059" i="17"/>
  <c r="I2059" i="17"/>
  <c r="H2059" i="17"/>
  <c r="G2059" i="17"/>
  <c r="L2058" i="17"/>
  <c r="K2058" i="17"/>
  <c r="J2058" i="17"/>
  <c r="I2058" i="17"/>
  <c r="H2058" i="17"/>
  <c r="G2058" i="17"/>
  <c r="L2057" i="17"/>
  <c r="K2057" i="17"/>
  <c r="J2057" i="17"/>
  <c r="I2057" i="17"/>
  <c r="H2057" i="17"/>
  <c r="G2057" i="17"/>
  <c r="L2056" i="17"/>
  <c r="K2056" i="17"/>
  <c r="J2056" i="17"/>
  <c r="I2056" i="17"/>
  <c r="H2056" i="17"/>
  <c r="G2056" i="17"/>
  <c r="L2055" i="17"/>
  <c r="K2055" i="17"/>
  <c r="J2055" i="17"/>
  <c r="I2055" i="17"/>
  <c r="H2055" i="17"/>
  <c r="G2055" i="17"/>
  <c r="L2054" i="17"/>
  <c r="K2054" i="17"/>
  <c r="J2054" i="17"/>
  <c r="I2054" i="17"/>
  <c r="H2054" i="17"/>
  <c r="G2054" i="17"/>
  <c r="L2053" i="17"/>
  <c r="K2053" i="17"/>
  <c r="J2053" i="17"/>
  <c r="I2053" i="17"/>
  <c r="H2053" i="17"/>
  <c r="G2053" i="17"/>
  <c r="L2052" i="17"/>
  <c r="K2052" i="17"/>
  <c r="J2052" i="17"/>
  <c r="I2052" i="17"/>
  <c r="H2052" i="17"/>
  <c r="G2052" i="17"/>
  <c r="L2051" i="17"/>
  <c r="K2051" i="17"/>
  <c r="J2051" i="17"/>
  <c r="I2051" i="17"/>
  <c r="H2051" i="17"/>
  <c r="G2051" i="17"/>
  <c r="L2050" i="17"/>
  <c r="K2050" i="17"/>
  <c r="J2050" i="17"/>
  <c r="I2050" i="17"/>
  <c r="H2050" i="17"/>
  <c r="G2050" i="17"/>
  <c r="L2049" i="17"/>
  <c r="K2049" i="17"/>
  <c r="J2049" i="17"/>
  <c r="I2049" i="17"/>
  <c r="H2049" i="17"/>
  <c r="G2049" i="17"/>
  <c r="L2048" i="17"/>
  <c r="K2048" i="17"/>
  <c r="J2048" i="17"/>
  <c r="I2048" i="17"/>
  <c r="H2048" i="17"/>
  <c r="G2048" i="17"/>
  <c r="L2047" i="17"/>
  <c r="K2047" i="17"/>
  <c r="J2047" i="17"/>
  <c r="I2047" i="17"/>
  <c r="H2047" i="17"/>
  <c r="G2047" i="17"/>
  <c r="L2046" i="17"/>
  <c r="K2046" i="17"/>
  <c r="J2046" i="17"/>
  <c r="I2046" i="17"/>
  <c r="H2046" i="17"/>
  <c r="G2046" i="17"/>
  <c r="L2045" i="17"/>
  <c r="K2045" i="17"/>
  <c r="J2045" i="17"/>
  <c r="I2045" i="17"/>
  <c r="H2045" i="17"/>
  <c r="G2045" i="17"/>
  <c r="L2044" i="17"/>
  <c r="K2044" i="17"/>
  <c r="J2044" i="17"/>
  <c r="I2044" i="17"/>
  <c r="H2044" i="17"/>
  <c r="G2044" i="17"/>
  <c r="L2043" i="17"/>
  <c r="K2043" i="17"/>
  <c r="J2043" i="17"/>
  <c r="I2043" i="17"/>
  <c r="H2043" i="17"/>
  <c r="G2043" i="17"/>
  <c r="L2042" i="17"/>
  <c r="K2042" i="17"/>
  <c r="J2042" i="17"/>
  <c r="I2042" i="17"/>
  <c r="H2042" i="17"/>
  <c r="G2042" i="17"/>
  <c r="L2041" i="17"/>
  <c r="K2041" i="17"/>
  <c r="J2041" i="17"/>
  <c r="I2041" i="17"/>
  <c r="H2041" i="17"/>
  <c r="G2041" i="17"/>
  <c r="L2040" i="17"/>
  <c r="K2040" i="17"/>
  <c r="J2040" i="17"/>
  <c r="I2040" i="17"/>
  <c r="H2040" i="17"/>
  <c r="G2040" i="17"/>
  <c r="L2039" i="17"/>
  <c r="K2039" i="17"/>
  <c r="J2039" i="17"/>
  <c r="I2039" i="17"/>
  <c r="H2039" i="17"/>
  <c r="G2039" i="17"/>
  <c r="L2038" i="17"/>
  <c r="K2038" i="17"/>
  <c r="J2038" i="17"/>
  <c r="I2038" i="17"/>
  <c r="H2038" i="17"/>
  <c r="G2038" i="17"/>
  <c r="L2037" i="17"/>
  <c r="K2037" i="17"/>
  <c r="J2037" i="17"/>
  <c r="I2037" i="17"/>
  <c r="H2037" i="17"/>
  <c r="G2037" i="17"/>
  <c r="L2036" i="17"/>
  <c r="K2036" i="17"/>
  <c r="J2036" i="17"/>
  <c r="I2036" i="17"/>
  <c r="H2036" i="17"/>
  <c r="G2036" i="17"/>
  <c r="L2035" i="17"/>
  <c r="K2035" i="17"/>
  <c r="J2035" i="17"/>
  <c r="I2035" i="17"/>
  <c r="H2035" i="17"/>
  <c r="G2035" i="17"/>
  <c r="L2034" i="17"/>
  <c r="K2034" i="17"/>
  <c r="J2034" i="17"/>
  <c r="I2034" i="17"/>
  <c r="H2034" i="17"/>
  <c r="G2034" i="17"/>
  <c r="L2033" i="17"/>
  <c r="K2033" i="17"/>
  <c r="J2033" i="17"/>
  <c r="I2033" i="17"/>
  <c r="H2033" i="17"/>
  <c r="G2033" i="17"/>
  <c r="L2032" i="17"/>
  <c r="K2032" i="17"/>
  <c r="J2032" i="17"/>
  <c r="I2032" i="17"/>
  <c r="H2032" i="17"/>
  <c r="G2032" i="17"/>
  <c r="L2031" i="17"/>
  <c r="K2031" i="17"/>
  <c r="J2031" i="17"/>
  <c r="I2031" i="17"/>
  <c r="H2031" i="17"/>
  <c r="G2031" i="17"/>
  <c r="L2030" i="17"/>
  <c r="K2030" i="17"/>
  <c r="J2030" i="17"/>
  <c r="I2030" i="17"/>
  <c r="H2030" i="17"/>
  <c r="G2030" i="17"/>
  <c r="L2029" i="17"/>
  <c r="K2029" i="17"/>
  <c r="J2029" i="17"/>
  <c r="I2029" i="17"/>
  <c r="H2029" i="17"/>
  <c r="G2029" i="17"/>
  <c r="L2028" i="17"/>
  <c r="K2028" i="17"/>
  <c r="J2028" i="17"/>
  <c r="I2028" i="17"/>
  <c r="H2028" i="17"/>
  <c r="G2028" i="17"/>
  <c r="L2027" i="17"/>
  <c r="K2027" i="17"/>
  <c r="J2027" i="17"/>
  <c r="I2027" i="17"/>
  <c r="H2027" i="17"/>
  <c r="G2027" i="17"/>
  <c r="L2026" i="17"/>
  <c r="K2026" i="17"/>
  <c r="J2026" i="17"/>
  <c r="I2026" i="17"/>
  <c r="H2026" i="17"/>
  <c r="G2026" i="17"/>
  <c r="L2025" i="17"/>
  <c r="K2025" i="17"/>
  <c r="J2025" i="17"/>
  <c r="I2025" i="17"/>
  <c r="H2025" i="17"/>
  <c r="G2025" i="17"/>
  <c r="L2024" i="17"/>
  <c r="K2024" i="17"/>
  <c r="J2024" i="17"/>
  <c r="I2024" i="17"/>
  <c r="H2024" i="17"/>
  <c r="G2024" i="17"/>
  <c r="L2023" i="17"/>
  <c r="K2023" i="17"/>
  <c r="J2023" i="17"/>
  <c r="I2023" i="17"/>
  <c r="H2023" i="17"/>
  <c r="G2023" i="17"/>
  <c r="L2022" i="17"/>
  <c r="K2022" i="17"/>
  <c r="J2022" i="17"/>
  <c r="I2022" i="17"/>
  <c r="H2022" i="17"/>
  <c r="G2022" i="17"/>
  <c r="L2021" i="17"/>
  <c r="K2021" i="17"/>
  <c r="J2021" i="17"/>
  <c r="I2021" i="17"/>
  <c r="H2021" i="17"/>
  <c r="G2021" i="17"/>
  <c r="L2020" i="17"/>
  <c r="K2020" i="17"/>
  <c r="J2020" i="17"/>
  <c r="I2020" i="17"/>
  <c r="H2020" i="17"/>
  <c r="G2020" i="17"/>
  <c r="L2019" i="17"/>
  <c r="K2019" i="17"/>
  <c r="J2019" i="17"/>
  <c r="I2019" i="17"/>
  <c r="H2019" i="17"/>
  <c r="G2019" i="17"/>
  <c r="L2018" i="17"/>
  <c r="K2018" i="17"/>
  <c r="J2018" i="17"/>
  <c r="I2018" i="17"/>
  <c r="H2018" i="17"/>
  <c r="G2018" i="17"/>
  <c r="L2017" i="17"/>
  <c r="K2017" i="17"/>
  <c r="J2017" i="17"/>
  <c r="I2017" i="17"/>
  <c r="H2017" i="17"/>
  <c r="G2017" i="17"/>
  <c r="L2016" i="17"/>
  <c r="K2016" i="17"/>
  <c r="J2016" i="17"/>
  <c r="I2016" i="17"/>
  <c r="H2016" i="17"/>
  <c r="G2016" i="17"/>
  <c r="L2015" i="17"/>
  <c r="K2015" i="17"/>
  <c r="J2015" i="17"/>
  <c r="I2015" i="17"/>
  <c r="H2015" i="17"/>
  <c r="G2015" i="17"/>
  <c r="L2014" i="17"/>
  <c r="K2014" i="17"/>
  <c r="J2014" i="17"/>
  <c r="I2014" i="17"/>
  <c r="H2014" i="17"/>
  <c r="G2014" i="17"/>
  <c r="L2013" i="17"/>
  <c r="K2013" i="17"/>
  <c r="J2013" i="17"/>
  <c r="I2013" i="17"/>
  <c r="H2013" i="17"/>
  <c r="G2013" i="17"/>
  <c r="L2012" i="17"/>
  <c r="K2012" i="17"/>
  <c r="J2012" i="17"/>
  <c r="I2012" i="17"/>
  <c r="H2012" i="17"/>
  <c r="G2012" i="17"/>
  <c r="L2011" i="17"/>
  <c r="K2011" i="17"/>
  <c r="J2011" i="17"/>
  <c r="I2011" i="17"/>
  <c r="H2011" i="17"/>
  <c r="G2011" i="17"/>
  <c r="L2010" i="17"/>
  <c r="K2010" i="17"/>
  <c r="J2010" i="17"/>
  <c r="I2010" i="17"/>
  <c r="H2010" i="17"/>
  <c r="G2010" i="17"/>
  <c r="L2009" i="17"/>
  <c r="K2009" i="17"/>
  <c r="J2009" i="17"/>
  <c r="I2009" i="17"/>
  <c r="H2009" i="17"/>
  <c r="G2009" i="17"/>
  <c r="L2008" i="17"/>
  <c r="K2008" i="17"/>
  <c r="J2008" i="17"/>
  <c r="I2008" i="17"/>
  <c r="H2008" i="17"/>
  <c r="G2008" i="17"/>
  <c r="L2007" i="17"/>
  <c r="K2007" i="17"/>
  <c r="J2007" i="17"/>
  <c r="I2007" i="17"/>
  <c r="H2007" i="17"/>
  <c r="G2007" i="17"/>
  <c r="L2006" i="17"/>
  <c r="K2006" i="17"/>
  <c r="J2006" i="17"/>
  <c r="I2006" i="17"/>
  <c r="H2006" i="17"/>
  <c r="G2006" i="17"/>
  <c r="L2005" i="17"/>
  <c r="K2005" i="17"/>
  <c r="J2005" i="17"/>
  <c r="I2005" i="17"/>
  <c r="H2005" i="17"/>
  <c r="G2005" i="17"/>
  <c r="L2004" i="17"/>
  <c r="K2004" i="17"/>
  <c r="J2004" i="17"/>
  <c r="I2004" i="17"/>
  <c r="H2004" i="17"/>
  <c r="G2004" i="17"/>
  <c r="L2003" i="17"/>
  <c r="K2003" i="17"/>
  <c r="J2003" i="17"/>
  <c r="I2003" i="17"/>
  <c r="H2003" i="17"/>
  <c r="G2003" i="17"/>
  <c r="L2002" i="17"/>
  <c r="K2002" i="17"/>
  <c r="J2002" i="17"/>
  <c r="I2002" i="17"/>
  <c r="H2002" i="17"/>
  <c r="G2002" i="17"/>
  <c r="L2001" i="17"/>
  <c r="K2001" i="17"/>
  <c r="J2001" i="17"/>
  <c r="I2001" i="17"/>
  <c r="H2001" i="17"/>
  <c r="G2001" i="17"/>
  <c r="L2000" i="17"/>
  <c r="K2000" i="17"/>
  <c r="J2000" i="17"/>
  <c r="I2000" i="17"/>
  <c r="H2000" i="17"/>
  <c r="G2000" i="17"/>
  <c r="L1999" i="17"/>
  <c r="K1999" i="17"/>
  <c r="J1999" i="17"/>
  <c r="I1999" i="17"/>
  <c r="H1999" i="17"/>
  <c r="G1999" i="17"/>
  <c r="L1998" i="17"/>
  <c r="K1998" i="17"/>
  <c r="J1998" i="17"/>
  <c r="I1998" i="17"/>
  <c r="H1998" i="17"/>
  <c r="G1998" i="17"/>
  <c r="L1997" i="17"/>
  <c r="K1997" i="17"/>
  <c r="J1997" i="17"/>
  <c r="I1997" i="17"/>
  <c r="H1997" i="17"/>
  <c r="G1997" i="17"/>
  <c r="L1996" i="17"/>
  <c r="K1996" i="17"/>
  <c r="J1996" i="17"/>
  <c r="I1996" i="17"/>
  <c r="H1996" i="17"/>
  <c r="G1996" i="17"/>
  <c r="L1995" i="17"/>
  <c r="K1995" i="17"/>
  <c r="J1995" i="17"/>
  <c r="I1995" i="17"/>
  <c r="H1995" i="17"/>
  <c r="G1995" i="17"/>
  <c r="L1994" i="17"/>
  <c r="K1994" i="17"/>
  <c r="J1994" i="17"/>
  <c r="I1994" i="17"/>
  <c r="H1994" i="17"/>
  <c r="G1994" i="17"/>
  <c r="L1993" i="17"/>
  <c r="K1993" i="17"/>
  <c r="J1993" i="17"/>
  <c r="I1993" i="17"/>
  <c r="H1993" i="17"/>
  <c r="G1993" i="17"/>
  <c r="L1992" i="17"/>
  <c r="K1992" i="17"/>
  <c r="J1992" i="17"/>
  <c r="I1992" i="17"/>
  <c r="H1992" i="17"/>
  <c r="G1992" i="17"/>
  <c r="L1991" i="17"/>
  <c r="K1991" i="17"/>
  <c r="J1991" i="17"/>
  <c r="I1991" i="17"/>
  <c r="H1991" i="17"/>
  <c r="G1991" i="17"/>
  <c r="L1990" i="17"/>
  <c r="K1990" i="17"/>
  <c r="J1990" i="17"/>
  <c r="I1990" i="17"/>
  <c r="H1990" i="17"/>
  <c r="G1990" i="17"/>
  <c r="L1989" i="17"/>
  <c r="K1989" i="17"/>
  <c r="J1989" i="17"/>
  <c r="I1989" i="17"/>
  <c r="H1989" i="17"/>
  <c r="G1989" i="17"/>
  <c r="L1988" i="17"/>
  <c r="K1988" i="17"/>
  <c r="J1988" i="17"/>
  <c r="I1988" i="17"/>
  <c r="H1988" i="17"/>
  <c r="G1988" i="17"/>
  <c r="L1987" i="17"/>
  <c r="K1987" i="17"/>
  <c r="J1987" i="17"/>
  <c r="I1987" i="17"/>
  <c r="H1987" i="17"/>
  <c r="G1987" i="17"/>
  <c r="L1986" i="17"/>
  <c r="K1986" i="17"/>
  <c r="J1986" i="17"/>
  <c r="I1986" i="17"/>
  <c r="H1986" i="17"/>
  <c r="G1986" i="17"/>
  <c r="L1985" i="17"/>
  <c r="K1985" i="17"/>
  <c r="J1985" i="17"/>
  <c r="I1985" i="17"/>
  <c r="H1985" i="17"/>
  <c r="G1985" i="17"/>
  <c r="L1984" i="17"/>
  <c r="K1984" i="17"/>
  <c r="J1984" i="17"/>
  <c r="I1984" i="17"/>
  <c r="H1984" i="17"/>
  <c r="G1984" i="17"/>
  <c r="L1983" i="17"/>
  <c r="K1983" i="17"/>
  <c r="J1983" i="17"/>
  <c r="I1983" i="17"/>
  <c r="H1983" i="17"/>
  <c r="G1983" i="17"/>
  <c r="L1982" i="17"/>
  <c r="K1982" i="17"/>
  <c r="J1982" i="17"/>
  <c r="I1982" i="17"/>
  <c r="H1982" i="17"/>
  <c r="G1982" i="17"/>
  <c r="L1981" i="17"/>
  <c r="K1981" i="17"/>
  <c r="J1981" i="17"/>
  <c r="I1981" i="17"/>
  <c r="H1981" i="17"/>
  <c r="G1981" i="17"/>
  <c r="L1980" i="17"/>
  <c r="K1980" i="17"/>
  <c r="J1980" i="17"/>
  <c r="I1980" i="17"/>
  <c r="H1980" i="17"/>
  <c r="G1980" i="17"/>
  <c r="L1979" i="17"/>
  <c r="K1979" i="17"/>
  <c r="J1979" i="17"/>
  <c r="I1979" i="17"/>
  <c r="H1979" i="17"/>
  <c r="G1979" i="17"/>
  <c r="L1978" i="17"/>
  <c r="K1978" i="17"/>
  <c r="J1978" i="17"/>
  <c r="I1978" i="17"/>
  <c r="H1978" i="17"/>
  <c r="G1978" i="17"/>
  <c r="L1977" i="17"/>
  <c r="K1977" i="17"/>
  <c r="J1977" i="17"/>
  <c r="I1977" i="17"/>
  <c r="H1977" i="17"/>
  <c r="G1977" i="17"/>
  <c r="L1976" i="17"/>
  <c r="K1976" i="17"/>
  <c r="J1976" i="17"/>
  <c r="I1976" i="17"/>
  <c r="H1976" i="17"/>
  <c r="G1976" i="17"/>
  <c r="L1975" i="17"/>
  <c r="K1975" i="17"/>
  <c r="J1975" i="17"/>
  <c r="I1975" i="17"/>
  <c r="H1975" i="17"/>
  <c r="G1975" i="17"/>
  <c r="L1974" i="17"/>
  <c r="K1974" i="17"/>
  <c r="J1974" i="17"/>
  <c r="I1974" i="17"/>
  <c r="H1974" i="17"/>
  <c r="G1974" i="17"/>
  <c r="L1973" i="17"/>
  <c r="K1973" i="17"/>
  <c r="J1973" i="17"/>
  <c r="I1973" i="17"/>
  <c r="H1973" i="17"/>
  <c r="G1973" i="17"/>
  <c r="L1972" i="17"/>
  <c r="K1972" i="17"/>
  <c r="J1972" i="17"/>
  <c r="I1972" i="17"/>
  <c r="H1972" i="17"/>
  <c r="G1972" i="17"/>
  <c r="L1971" i="17"/>
  <c r="K1971" i="17"/>
  <c r="J1971" i="17"/>
  <c r="I1971" i="17"/>
  <c r="H1971" i="17"/>
  <c r="G1971" i="17"/>
  <c r="L1970" i="17"/>
  <c r="K1970" i="17"/>
  <c r="J1970" i="17"/>
  <c r="I1970" i="17"/>
  <c r="H1970" i="17"/>
  <c r="G1970" i="17"/>
  <c r="L1969" i="17"/>
  <c r="K1969" i="17"/>
  <c r="J1969" i="17"/>
  <c r="I1969" i="17"/>
  <c r="H1969" i="17"/>
  <c r="G1969" i="17"/>
  <c r="L1968" i="17"/>
  <c r="K1968" i="17"/>
  <c r="J1968" i="17"/>
  <c r="I1968" i="17"/>
  <c r="H1968" i="17"/>
  <c r="G1968" i="17"/>
  <c r="L1967" i="17"/>
  <c r="K1967" i="17"/>
  <c r="J1967" i="17"/>
  <c r="I1967" i="17"/>
  <c r="H1967" i="17"/>
  <c r="G1967" i="17"/>
  <c r="L1966" i="17"/>
  <c r="K1966" i="17"/>
  <c r="J1966" i="17"/>
  <c r="I1966" i="17"/>
  <c r="H1966" i="17"/>
  <c r="G1966" i="17"/>
  <c r="L1965" i="17"/>
  <c r="K1965" i="17"/>
  <c r="J1965" i="17"/>
  <c r="I1965" i="17"/>
  <c r="H1965" i="17"/>
  <c r="G1965" i="17"/>
  <c r="L1964" i="17"/>
  <c r="K1964" i="17"/>
  <c r="J1964" i="17"/>
  <c r="I1964" i="17"/>
  <c r="H1964" i="17"/>
  <c r="G1964" i="17"/>
  <c r="L1963" i="17"/>
  <c r="K1963" i="17"/>
  <c r="J1963" i="17"/>
  <c r="I1963" i="17"/>
  <c r="H1963" i="17"/>
  <c r="G1963" i="17"/>
  <c r="L1962" i="17"/>
  <c r="K1962" i="17"/>
  <c r="J1962" i="17"/>
  <c r="I1962" i="17"/>
  <c r="H1962" i="17"/>
  <c r="G1962" i="17"/>
  <c r="L1961" i="17"/>
  <c r="K1961" i="17"/>
  <c r="J1961" i="17"/>
  <c r="I1961" i="17"/>
  <c r="H1961" i="17"/>
  <c r="G1961" i="17"/>
  <c r="L1960" i="17"/>
  <c r="K1960" i="17"/>
  <c r="J1960" i="17"/>
  <c r="I1960" i="17"/>
  <c r="H1960" i="17"/>
  <c r="G1960" i="17"/>
  <c r="L1959" i="17"/>
  <c r="K1959" i="17"/>
  <c r="J1959" i="17"/>
  <c r="I1959" i="17"/>
  <c r="H1959" i="17"/>
  <c r="G1959" i="17"/>
  <c r="L1958" i="17"/>
  <c r="K1958" i="17"/>
  <c r="J1958" i="17"/>
  <c r="I1958" i="17"/>
  <c r="H1958" i="17"/>
  <c r="G1958" i="17"/>
  <c r="L1957" i="17"/>
  <c r="K1957" i="17"/>
  <c r="J1957" i="17"/>
  <c r="I1957" i="17"/>
  <c r="H1957" i="17"/>
  <c r="G1957" i="17"/>
  <c r="L1956" i="17"/>
  <c r="K1956" i="17"/>
  <c r="J1956" i="17"/>
  <c r="I1956" i="17"/>
  <c r="H1956" i="17"/>
  <c r="G1956" i="17"/>
  <c r="L1955" i="17"/>
  <c r="K1955" i="17"/>
  <c r="J1955" i="17"/>
  <c r="I1955" i="17"/>
  <c r="H1955" i="17"/>
  <c r="G1955" i="17"/>
  <c r="L1954" i="17"/>
  <c r="K1954" i="17"/>
  <c r="J1954" i="17"/>
  <c r="I1954" i="17"/>
  <c r="H1954" i="17"/>
  <c r="G1954" i="17"/>
  <c r="L1953" i="17"/>
  <c r="K1953" i="17"/>
  <c r="J1953" i="17"/>
  <c r="I1953" i="17"/>
  <c r="H1953" i="17"/>
  <c r="G1953" i="17"/>
  <c r="L1952" i="17"/>
  <c r="K1952" i="17"/>
  <c r="J1952" i="17"/>
  <c r="I1952" i="17"/>
  <c r="H1952" i="17"/>
  <c r="G1952" i="17"/>
  <c r="L1951" i="17"/>
  <c r="K1951" i="17"/>
  <c r="J1951" i="17"/>
  <c r="I1951" i="17"/>
  <c r="H1951" i="17"/>
  <c r="G1951" i="17"/>
  <c r="L1950" i="17"/>
  <c r="K1950" i="17"/>
  <c r="J1950" i="17"/>
  <c r="I1950" i="17"/>
  <c r="H1950" i="17"/>
  <c r="G1950" i="17"/>
  <c r="L1949" i="17"/>
  <c r="K1949" i="17"/>
  <c r="J1949" i="17"/>
  <c r="I1949" i="17"/>
  <c r="H1949" i="17"/>
  <c r="G1949" i="17"/>
  <c r="L1948" i="17"/>
  <c r="K1948" i="17"/>
  <c r="J1948" i="17"/>
  <c r="I1948" i="17"/>
  <c r="H1948" i="17"/>
  <c r="G1948" i="17"/>
  <c r="L1947" i="17"/>
  <c r="K1947" i="17"/>
  <c r="J1947" i="17"/>
  <c r="I1947" i="17"/>
  <c r="H1947" i="17"/>
  <c r="G1947" i="17"/>
  <c r="L1946" i="17"/>
  <c r="K1946" i="17"/>
  <c r="J1946" i="17"/>
  <c r="I1946" i="17"/>
  <c r="H1946" i="17"/>
  <c r="G1946" i="17"/>
  <c r="L1945" i="17"/>
  <c r="K1945" i="17"/>
  <c r="J1945" i="17"/>
  <c r="I1945" i="17"/>
  <c r="H1945" i="17"/>
  <c r="G1945" i="17"/>
  <c r="L1944" i="17"/>
  <c r="K1944" i="17"/>
  <c r="J1944" i="17"/>
  <c r="I1944" i="17"/>
  <c r="H1944" i="17"/>
  <c r="G1944" i="17"/>
  <c r="L1943" i="17"/>
  <c r="K1943" i="17"/>
  <c r="J1943" i="17"/>
  <c r="I1943" i="17"/>
  <c r="H1943" i="17"/>
  <c r="G1943" i="17"/>
  <c r="L1942" i="17"/>
  <c r="K1942" i="17"/>
  <c r="J1942" i="17"/>
  <c r="I1942" i="17"/>
  <c r="H1942" i="17"/>
  <c r="G1942" i="17"/>
  <c r="L1941" i="17"/>
  <c r="K1941" i="17"/>
  <c r="J1941" i="17"/>
  <c r="I1941" i="17"/>
  <c r="H1941" i="17"/>
  <c r="G1941" i="17"/>
  <c r="L1940" i="17"/>
  <c r="K1940" i="17"/>
  <c r="J1940" i="17"/>
  <c r="I1940" i="17"/>
  <c r="H1940" i="17"/>
  <c r="G1940" i="17"/>
  <c r="L1939" i="17"/>
  <c r="K1939" i="17"/>
  <c r="J1939" i="17"/>
  <c r="I1939" i="17"/>
  <c r="H1939" i="17"/>
  <c r="G1939" i="17"/>
  <c r="L1938" i="17"/>
  <c r="K1938" i="17"/>
  <c r="J1938" i="17"/>
  <c r="I1938" i="17"/>
  <c r="H1938" i="17"/>
  <c r="G1938" i="17"/>
  <c r="L1937" i="17"/>
  <c r="K1937" i="17"/>
  <c r="J1937" i="17"/>
  <c r="I1937" i="17"/>
  <c r="H1937" i="17"/>
  <c r="G1937" i="17"/>
  <c r="L1936" i="17"/>
  <c r="K1936" i="17"/>
  <c r="J1936" i="17"/>
  <c r="I1936" i="17"/>
  <c r="H1936" i="17"/>
  <c r="G1936" i="17"/>
  <c r="L1935" i="17"/>
  <c r="K1935" i="17"/>
  <c r="J1935" i="17"/>
  <c r="I1935" i="17"/>
  <c r="H1935" i="17"/>
  <c r="G1935" i="17"/>
  <c r="L1934" i="17"/>
  <c r="K1934" i="17"/>
  <c r="J1934" i="17"/>
  <c r="I1934" i="17"/>
  <c r="H1934" i="17"/>
  <c r="G1934" i="17"/>
  <c r="L1933" i="17"/>
  <c r="K1933" i="17"/>
  <c r="J1933" i="17"/>
  <c r="I1933" i="17"/>
  <c r="H1933" i="17"/>
  <c r="G1933" i="17"/>
  <c r="L1932" i="17"/>
  <c r="K1932" i="17"/>
  <c r="J1932" i="17"/>
  <c r="I1932" i="17"/>
  <c r="H1932" i="17"/>
  <c r="G1932" i="17"/>
  <c r="L1931" i="17"/>
  <c r="K1931" i="17"/>
  <c r="J1931" i="17"/>
  <c r="I1931" i="17"/>
  <c r="H1931" i="17"/>
  <c r="G1931" i="17"/>
  <c r="L1930" i="17"/>
  <c r="K1930" i="17"/>
  <c r="J1930" i="17"/>
  <c r="I1930" i="17"/>
  <c r="H1930" i="17"/>
  <c r="G1930" i="17"/>
  <c r="L1929" i="17"/>
  <c r="K1929" i="17"/>
  <c r="J1929" i="17"/>
  <c r="I1929" i="17"/>
  <c r="H1929" i="17"/>
  <c r="G1929" i="17"/>
  <c r="L1928" i="17"/>
  <c r="K1928" i="17"/>
  <c r="J1928" i="17"/>
  <c r="I1928" i="17"/>
  <c r="H1928" i="17"/>
  <c r="G1928" i="17"/>
  <c r="L1927" i="17"/>
  <c r="K1927" i="17"/>
  <c r="J1927" i="17"/>
  <c r="I1927" i="17"/>
  <c r="H1927" i="17"/>
  <c r="G1927" i="17"/>
  <c r="L1926" i="17"/>
  <c r="K1926" i="17"/>
  <c r="J1926" i="17"/>
  <c r="I1926" i="17"/>
  <c r="H1926" i="17"/>
  <c r="G1926" i="17"/>
  <c r="L1925" i="17"/>
  <c r="K1925" i="17"/>
  <c r="J1925" i="17"/>
  <c r="I1925" i="17"/>
  <c r="H1925" i="17"/>
  <c r="G1925" i="17"/>
  <c r="L1924" i="17"/>
  <c r="K1924" i="17"/>
  <c r="J1924" i="17"/>
  <c r="I1924" i="17"/>
  <c r="H1924" i="17"/>
  <c r="G1924" i="17"/>
  <c r="L1923" i="17"/>
  <c r="K1923" i="17"/>
  <c r="J1923" i="17"/>
  <c r="I1923" i="17"/>
  <c r="H1923" i="17"/>
  <c r="G1923" i="17"/>
  <c r="L1922" i="17"/>
  <c r="K1922" i="17"/>
  <c r="J1922" i="17"/>
  <c r="I1922" i="17"/>
  <c r="H1922" i="17"/>
  <c r="G1922" i="17"/>
  <c r="L1921" i="17"/>
  <c r="K1921" i="17"/>
  <c r="J1921" i="17"/>
  <c r="I1921" i="17"/>
  <c r="H1921" i="17"/>
  <c r="G1921" i="17"/>
  <c r="L1920" i="17"/>
  <c r="K1920" i="17"/>
  <c r="J1920" i="17"/>
  <c r="I1920" i="17"/>
  <c r="H1920" i="17"/>
  <c r="G1920" i="17"/>
  <c r="L1919" i="17"/>
  <c r="K1919" i="17"/>
  <c r="J1919" i="17"/>
  <c r="I1919" i="17"/>
  <c r="H1919" i="17"/>
  <c r="G1919" i="17"/>
  <c r="L1918" i="17"/>
  <c r="K1918" i="17"/>
  <c r="J1918" i="17"/>
  <c r="I1918" i="17"/>
  <c r="H1918" i="17"/>
  <c r="G1918" i="17"/>
  <c r="L1917" i="17"/>
  <c r="K1917" i="17"/>
  <c r="J1917" i="17"/>
  <c r="I1917" i="17"/>
  <c r="H1917" i="17"/>
  <c r="G1917" i="17"/>
  <c r="L1916" i="17"/>
  <c r="K1916" i="17"/>
  <c r="J1916" i="17"/>
  <c r="I1916" i="17"/>
  <c r="H1916" i="17"/>
  <c r="G1916" i="17"/>
  <c r="L1915" i="17"/>
  <c r="K1915" i="17"/>
  <c r="J1915" i="17"/>
  <c r="I1915" i="17"/>
  <c r="H1915" i="17"/>
  <c r="G1915" i="17"/>
  <c r="L1914" i="17"/>
  <c r="K1914" i="17"/>
  <c r="J1914" i="17"/>
  <c r="I1914" i="17"/>
  <c r="H1914" i="17"/>
  <c r="G1914" i="17"/>
  <c r="L1913" i="17"/>
  <c r="K1913" i="17"/>
  <c r="J1913" i="17"/>
  <c r="I1913" i="17"/>
  <c r="H1913" i="17"/>
  <c r="G1913" i="17"/>
  <c r="L1912" i="17"/>
  <c r="K1912" i="17"/>
  <c r="J1912" i="17"/>
  <c r="I1912" i="17"/>
  <c r="H1912" i="17"/>
  <c r="G1912" i="17"/>
  <c r="L1911" i="17"/>
  <c r="K1911" i="17"/>
  <c r="J1911" i="17"/>
  <c r="I1911" i="17"/>
  <c r="H1911" i="17"/>
  <c r="G1911" i="17"/>
  <c r="L1910" i="17"/>
  <c r="K1910" i="17"/>
  <c r="J1910" i="17"/>
  <c r="I1910" i="17"/>
  <c r="H1910" i="17"/>
  <c r="G1910" i="17"/>
  <c r="L1909" i="17"/>
  <c r="K1909" i="17"/>
  <c r="J1909" i="17"/>
  <c r="I1909" i="17"/>
  <c r="H1909" i="17"/>
  <c r="G1909" i="17"/>
  <c r="L1908" i="17"/>
  <c r="K1908" i="17"/>
  <c r="J1908" i="17"/>
  <c r="I1908" i="17"/>
  <c r="H1908" i="17"/>
  <c r="G1908" i="17"/>
  <c r="L1907" i="17"/>
  <c r="K1907" i="17"/>
  <c r="J1907" i="17"/>
  <c r="I1907" i="17"/>
  <c r="H1907" i="17"/>
  <c r="G1907" i="17"/>
  <c r="L1906" i="17"/>
  <c r="K1906" i="17"/>
  <c r="J1906" i="17"/>
  <c r="I1906" i="17"/>
  <c r="H1906" i="17"/>
  <c r="G1906" i="17"/>
  <c r="L1905" i="17"/>
  <c r="K1905" i="17"/>
  <c r="J1905" i="17"/>
  <c r="I1905" i="17"/>
  <c r="H1905" i="17"/>
  <c r="G1905" i="17"/>
  <c r="L1904" i="17"/>
  <c r="K1904" i="17"/>
  <c r="J1904" i="17"/>
  <c r="I1904" i="17"/>
  <c r="H1904" i="17"/>
  <c r="G1904" i="17"/>
  <c r="L1903" i="17"/>
  <c r="K1903" i="17"/>
  <c r="J1903" i="17"/>
  <c r="I1903" i="17"/>
  <c r="H1903" i="17"/>
  <c r="G1903" i="17"/>
  <c r="L1902" i="17"/>
  <c r="K1902" i="17"/>
  <c r="J1902" i="17"/>
  <c r="I1902" i="17"/>
  <c r="H1902" i="17"/>
  <c r="G1902" i="17"/>
  <c r="L1901" i="17"/>
  <c r="K1901" i="17"/>
  <c r="J1901" i="17"/>
  <c r="I1901" i="17"/>
  <c r="H1901" i="17"/>
  <c r="G1901" i="17"/>
  <c r="L1900" i="17"/>
  <c r="K1900" i="17"/>
  <c r="J1900" i="17"/>
  <c r="I1900" i="17"/>
  <c r="H1900" i="17"/>
  <c r="G1900" i="17"/>
  <c r="L1899" i="17"/>
  <c r="K1899" i="17"/>
  <c r="J1899" i="17"/>
  <c r="I1899" i="17"/>
  <c r="H1899" i="17"/>
  <c r="G1899" i="17"/>
  <c r="L1898" i="17"/>
  <c r="K1898" i="17"/>
  <c r="J1898" i="17"/>
  <c r="I1898" i="17"/>
  <c r="H1898" i="17"/>
  <c r="G1898" i="17"/>
  <c r="L1897" i="17"/>
  <c r="K1897" i="17"/>
  <c r="J1897" i="17"/>
  <c r="I1897" i="17"/>
  <c r="H1897" i="17"/>
  <c r="G1897" i="17"/>
  <c r="L1896" i="17"/>
  <c r="K1896" i="17"/>
  <c r="J1896" i="17"/>
  <c r="I1896" i="17"/>
  <c r="H1896" i="17"/>
  <c r="G1896" i="17"/>
  <c r="L1895" i="17"/>
  <c r="K1895" i="17"/>
  <c r="J1895" i="17"/>
  <c r="I1895" i="17"/>
  <c r="H1895" i="17"/>
  <c r="G1895" i="17"/>
  <c r="L1894" i="17"/>
  <c r="K1894" i="17"/>
  <c r="J1894" i="17"/>
  <c r="I1894" i="17"/>
  <c r="H1894" i="17"/>
  <c r="G1894" i="17"/>
  <c r="L1893" i="17"/>
  <c r="K1893" i="17"/>
  <c r="J1893" i="17"/>
  <c r="I1893" i="17"/>
  <c r="H1893" i="17"/>
  <c r="G1893" i="17"/>
  <c r="L1892" i="17"/>
  <c r="K1892" i="17"/>
  <c r="J1892" i="17"/>
  <c r="I1892" i="17"/>
  <c r="H1892" i="17"/>
  <c r="G1892" i="17"/>
  <c r="L1891" i="17"/>
  <c r="K1891" i="17"/>
  <c r="J1891" i="17"/>
  <c r="I1891" i="17"/>
  <c r="H1891" i="17"/>
  <c r="G1891" i="17"/>
  <c r="L1890" i="17"/>
  <c r="K1890" i="17"/>
  <c r="J1890" i="17"/>
  <c r="I1890" i="17"/>
  <c r="H1890" i="17"/>
  <c r="G1890" i="17"/>
  <c r="L1889" i="17"/>
  <c r="K1889" i="17"/>
  <c r="J1889" i="17"/>
  <c r="I1889" i="17"/>
  <c r="H1889" i="17"/>
  <c r="G1889" i="17"/>
  <c r="L1888" i="17"/>
  <c r="K1888" i="17"/>
  <c r="J1888" i="17"/>
  <c r="I1888" i="17"/>
  <c r="H1888" i="17"/>
  <c r="G1888" i="17"/>
  <c r="L1887" i="17"/>
  <c r="K1887" i="17"/>
  <c r="J1887" i="17"/>
  <c r="I1887" i="17"/>
  <c r="H1887" i="17"/>
  <c r="G1887" i="17"/>
  <c r="L1886" i="17"/>
  <c r="K1886" i="17"/>
  <c r="J1886" i="17"/>
  <c r="I1886" i="17"/>
  <c r="H1886" i="17"/>
  <c r="G1886" i="17"/>
  <c r="L1885" i="17"/>
  <c r="K1885" i="17"/>
  <c r="J1885" i="17"/>
  <c r="I1885" i="17"/>
  <c r="H1885" i="17"/>
  <c r="G1885" i="17"/>
  <c r="L1884" i="17"/>
  <c r="K1884" i="17"/>
  <c r="J1884" i="17"/>
  <c r="I1884" i="17"/>
  <c r="H1884" i="17"/>
  <c r="G1884" i="17"/>
  <c r="L1883" i="17"/>
  <c r="K1883" i="17"/>
  <c r="J1883" i="17"/>
  <c r="I1883" i="17"/>
  <c r="H1883" i="17"/>
  <c r="G1883" i="17"/>
  <c r="L1882" i="17"/>
  <c r="K1882" i="17"/>
  <c r="J1882" i="17"/>
  <c r="I1882" i="17"/>
  <c r="H1882" i="17"/>
  <c r="G1882" i="17"/>
  <c r="L1881" i="17"/>
  <c r="K1881" i="17"/>
  <c r="J1881" i="17"/>
  <c r="I1881" i="17"/>
  <c r="H1881" i="17"/>
  <c r="G1881" i="17"/>
  <c r="L1880" i="17"/>
  <c r="K1880" i="17"/>
  <c r="J1880" i="17"/>
  <c r="I1880" i="17"/>
  <c r="H1880" i="17"/>
  <c r="G1880" i="17"/>
  <c r="L1879" i="17"/>
  <c r="K1879" i="17"/>
  <c r="J1879" i="17"/>
  <c r="I1879" i="17"/>
  <c r="H1879" i="17"/>
  <c r="G1879" i="17"/>
  <c r="L1878" i="17"/>
  <c r="K1878" i="17"/>
  <c r="J1878" i="17"/>
  <c r="I1878" i="17"/>
  <c r="H1878" i="17"/>
  <c r="G1878" i="17"/>
  <c r="L1877" i="17"/>
  <c r="K1877" i="17"/>
  <c r="J1877" i="17"/>
  <c r="I1877" i="17"/>
  <c r="H1877" i="17"/>
  <c r="G1877" i="17"/>
  <c r="L1876" i="17"/>
  <c r="K1876" i="17"/>
  <c r="J1876" i="17"/>
  <c r="I1876" i="17"/>
  <c r="H1876" i="17"/>
  <c r="G1876" i="17"/>
  <c r="L1875" i="17"/>
  <c r="K1875" i="17"/>
  <c r="J1875" i="17"/>
  <c r="I1875" i="17"/>
  <c r="H1875" i="17"/>
  <c r="G1875" i="17"/>
  <c r="L1874" i="17"/>
  <c r="K1874" i="17"/>
  <c r="J1874" i="17"/>
  <c r="I1874" i="17"/>
  <c r="H1874" i="17"/>
  <c r="G1874" i="17"/>
  <c r="L1873" i="17"/>
  <c r="K1873" i="17"/>
  <c r="J1873" i="17"/>
  <c r="I1873" i="17"/>
  <c r="H1873" i="17"/>
  <c r="G1873" i="17"/>
  <c r="L1872" i="17"/>
  <c r="K1872" i="17"/>
  <c r="J1872" i="17"/>
  <c r="I1872" i="17"/>
  <c r="H1872" i="17"/>
  <c r="G1872" i="17"/>
  <c r="L1871" i="17"/>
  <c r="K1871" i="17"/>
  <c r="J1871" i="17"/>
  <c r="I1871" i="17"/>
  <c r="H1871" i="17"/>
  <c r="G1871" i="17"/>
  <c r="L1870" i="17"/>
  <c r="K1870" i="17"/>
  <c r="J1870" i="17"/>
  <c r="I1870" i="17"/>
  <c r="H1870" i="17"/>
  <c r="G1870" i="17"/>
  <c r="L1869" i="17"/>
  <c r="K1869" i="17"/>
  <c r="J1869" i="17"/>
  <c r="I1869" i="17"/>
  <c r="H1869" i="17"/>
  <c r="G1869" i="17"/>
  <c r="L1868" i="17"/>
  <c r="K1868" i="17"/>
  <c r="J1868" i="17"/>
  <c r="I1868" i="17"/>
  <c r="H1868" i="17"/>
  <c r="G1868" i="17"/>
  <c r="L1867" i="17"/>
  <c r="K1867" i="17"/>
  <c r="J1867" i="17"/>
  <c r="I1867" i="17"/>
  <c r="H1867" i="17"/>
  <c r="G1867" i="17"/>
  <c r="L1866" i="17"/>
  <c r="K1866" i="17"/>
  <c r="J1866" i="17"/>
  <c r="I1866" i="17"/>
  <c r="H1866" i="17"/>
  <c r="G1866" i="17"/>
  <c r="L1865" i="17"/>
  <c r="K1865" i="17"/>
  <c r="J1865" i="17"/>
  <c r="I1865" i="17"/>
  <c r="H1865" i="17"/>
  <c r="G1865" i="17"/>
  <c r="L1864" i="17"/>
  <c r="K1864" i="17"/>
  <c r="J1864" i="17"/>
  <c r="I1864" i="17"/>
  <c r="H1864" i="17"/>
  <c r="G1864" i="17"/>
  <c r="L1863" i="17"/>
  <c r="K1863" i="17"/>
  <c r="J1863" i="17"/>
  <c r="I1863" i="17"/>
  <c r="H1863" i="17"/>
  <c r="G1863" i="17"/>
  <c r="L1862" i="17"/>
  <c r="K1862" i="17"/>
  <c r="J1862" i="17"/>
  <c r="I1862" i="17"/>
  <c r="H1862" i="17"/>
  <c r="G1862" i="17"/>
  <c r="L1861" i="17"/>
  <c r="K1861" i="17"/>
  <c r="J1861" i="17"/>
  <c r="I1861" i="17"/>
  <c r="H1861" i="17"/>
  <c r="G1861" i="17"/>
  <c r="L1860" i="17"/>
  <c r="K1860" i="17"/>
  <c r="J1860" i="17"/>
  <c r="I1860" i="17"/>
  <c r="H1860" i="17"/>
  <c r="G1860" i="17"/>
  <c r="L1859" i="17"/>
  <c r="K1859" i="17"/>
  <c r="J1859" i="17"/>
  <c r="I1859" i="17"/>
  <c r="H1859" i="17"/>
  <c r="G1859" i="17"/>
  <c r="L1858" i="17"/>
  <c r="K1858" i="17"/>
  <c r="J1858" i="17"/>
  <c r="I1858" i="17"/>
  <c r="H1858" i="17"/>
  <c r="G1858" i="17"/>
  <c r="L1857" i="17"/>
  <c r="K1857" i="17"/>
  <c r="J1857" i="17"/>
  <c r="I1857" i="17"/>
  <c r="H1857" i="17"/>
  <c r="G1857" i="17"/>
  <c r="L1856" i="17"/>
  <c r="K1856" i="17"/>
  <c r="J1856" i="17"/>
  <c r="I1856" i="17"/>
  <c r="H1856" i="17"/>
  <c r="G1856" i="17"/>
  <c r="L1855" i="17"/>
  <c r="K1855" i="17"/>
  <c r="J1855" i="17"/>
  <c r="I1855" i="17"/>
  <c r="H1855" i="17"/>
  <c r="G1855" i="17"/>
  <c r="L1854" i="17"/>
  <c r="K1854" i="17"/>
  <c r="J1854" i="17"/>
  <c r="I1854" i="17"/>
  <c r="H1854" i="17"/>
  <c r="G1854" i="17"/>
  <c r="L1853" i="17"/>
  <c r="K1853" i="17"/>
  <c r="J1853" i="17"/>
  <c r="I1853" i="17"/>
  <c r="H1853" i="17"/>
  <c r="G1853" i="17"/>
  <c r="L1852" i="17"/>
  <c r="K1852" i="17"/>
  <c r="J1852" i="17"/>
  <c r="I1852" i="17"/>
  <c r="H1852" i="17"/>
  <c r="G1852" i="17"/>
  <c r="L1851" i="17"/>
  <c r="K1851" i="17"/>
  <c r="J1851" i="17"/>
  <c r="I1851" i="17"/>
  <c r="H1851" i="17"/>
  <c r="G1851" i="17"/>
  <c r="L1850" i="17"/>
  <c r="K1850" i="17"/>
  <c r="J1850" i="17"/>
  <c r="I1850" i="17"/>
  <c r="H1850" i="17"/>
  <c r="G1850" i="17"/>
  <c r="L1849" i="17"/>
  <c r="K1849" i="17"/>
  <c r="J1849" i="17"/>
  <c r="I1849" i="17"/>
  <c r="H1849" i="17"/>
  <c r="G1849" i="17"/>
  <c r="L1848" i="17"/>
  <c r="K1848" i="17"/>
  <c r="J1848" i="17"/>
  <c r="I1848" i="17"/>
  <c r="H1848" i="17"/>
  <c r="G1848" i="17"/>
  <c r="L1847" i="17"/>
  <c r="K1847" i="17"/>
  <c r="J1847" i="17"/>
  <c r="I1847" i="17"/>
  <c r="H1847" i="17"/>
  <c r="G1847" i="17"/>
  <c r="L1846" i="17"/>
  <c r="K1846" i="17"/>
  <c r="J1846" i="17"/>
  <c r="I1846" i="17"/>
  <c r="H1846" i="17"/>
  <c r="G1846" i="17"/>
  <c r="L1845" i="17"/>
  <c r="K1845" i="17"/>
  <c r="J1845" i="17"/>
  <c r="I1845" i="17"/>
  <c r="H1845" i="17"/>
  <c r="G1845" i="17"/>
  <c r="L1844" i="17"/>
  <c r="K1844" i="17"/>
  <c r="J1844" i="17"/>
  <c r="I1844" i="17"/>
  <c r="H1844" i="17"/>
  <c r="G1844" i="17"/>
  <c r="L1843" i="17"/>
  <c r="K1843" i="17"/>
  <c r="J1843" i="17"/>
  <c r="I1843" i="17"/>
  <c r="H1843" i="17"/>
  <c r="G1843" i="17"/>
  <c r="L1842" i="17"/>
  <c r="K1842" i="17"/>
  <c r="J1842" i="17"/>
  <c r="I1842" i="17"/>
  <c r="H1842" i="17"/>
  <c r="G1842" i="17"/>
  <c r="L1841" i="17"/>
  <c r="K1841" i="17"/>
  <c r="J1841" i="17"/>
  <c r="I1841" i="17"/>
  <c r="H1841" i="17"/>
  <c r="G1841" i="17"/>
  <c r="L1840" i="17"/>
  <c r="K1840" i="17"/>
  <c r="J1840" i="17"/>
  <c r="I1840" i="17"/>
  <c r="H1840" i="17"/>
  <c r="G1840" i="17"/>
  <c r="L1839" i="17"/>
  <c r="K1839" i="17"/>
  <c r="J1839" i="17"/>
  <c r="I1839" i="17"/>
  <c r="H1839" i="17"/>
  <c r="G1839" i="17"/>
  <c r="L1838" i="17"/>
  <c r="K1838" i="17"/>
  <c r="J1838" i="17"/>
  <c r="I1838" i="17"/>
  <c r="H1838" i="17"/>
  <c r="G1838" i="17"/>
  <c r="L1837" i="17"/>
  <c r="K1837" i="17"/>
  <c r="J1837" i="17"/>
  <c r="I1837" i="17"/>
  <c r="H1837" i="17"/>
  <c r="G1837" i="17"/>
  <c r="L1836" i="17"/>
  <c r="K1836" i="17"/>
  <c r="J1836" i="17"/>
  <c r="I1836" i="17"/>
  <c r="H1836" i="17"/>
  <c r="G1836" i="17"/>
  <c r="L1835" i="17"/>
  <c r="K1835" i="17"/>
  <c r="J1835" i="17"/>
  <c r="I1835" i="17"/>
  <c r="H1835" i="17"/>
  <c r="G1835" i="17"/>
  <c r="L1834" i="17"/>
  <c r="K1834" i="17"/>
  <c r="J1834" i="17"/>
  <c r="I1834" i="17"/>
  <c r="H1834" i="17"/>
  <c r="G1834" i="17"/>
  <c r="L1833" i="17"/>
  <c r="K1833" i="17"/>
  <c r="J1833" i="17"/>
  <c r="I1833" i="17"/>
  <c r="H1833" i="17"/>
  <c r="G1833" i="17"/>
  <c r="L1832" i="17"/>
  <c r="K1832" i="17"/>
  <c r="J1832" i="17"/>
  <c r="I1832" i="17"/>
  <c r="H1832" i="17"/>
  <c r="G1832" i="17"/>
  <c r="L1831" i="17"/>
  <c r="K1831" i="17"/>
  <c r="J1831" i="17"/>
  <c r="I1831" i="17"/>
  <c r="H1831" i="17"/>
  <c r="G1831" i="17"/>
  <c r="L1830" i="17"/>
  <c r="K1830" i="17"/>
  <c r="J1830" i="17"/>
  <c r="I1830" i="17"/>
  <c r="H1830" i="17"/>
  <c r="G1830" i="17"/>
  <c r="L1829" i="17"/>
  <c r="K1829" i="17"/>
  <c r="J1829" i="17"/>
  <c r="I1829" i="17"/>
  <c r="H1829" i="17"/>
  <c r="G1829" i="17"/>
  <c r="L1828" i="17"/>
  <c r="K1828" i="17"/>
  <c r="J1828" i="17"/>
  <c r="I1828" i="17"/>
  <c r="H1828" i="17"/>
  <c r="G1828" i="17"/>
  <c r="L1827" i="17"/>
  <c r="K1827" i="17"/>
  <c r="J1827" i="17"/>
  <c r="I1827" i="17"/>
  <c r="H1827" i="17"/>
  <c r="G1827" i="17"/>
  <c r="L1826" i="17"/>
  <c r="K1826" i="17"/>
  <c r="J1826" i="17"/>
  <c r="I1826" i="17"/>
  <c r="H1826" i="17"/>
  <c r="G1826" i="17"/>
  <c r="L1825" i="17"/>
  <c r="K1825" i="17"/>
  <c r="J1825" i="17"/>
  <c r="I1825" i="17"/>
  <c r="H1825" i="17"/>
  <c r="G1825" i="17"/>
  <c r="L1824" i="17"/>
  <c r="K1824" i="17"/>
  <c r="J1824" i="17"/>
  <c r="I1824" i="17"/>
  <c r="H1824" i="17"/>
  <c r="G1824" i="17"/>
  <c r="L1823" i="17"/>
  <c r="K1823" i="17"/>
  <c r="J1823" i="17"/>
  <c r="I1823" i="17"/>
  <c r="H1823" i="17"/>
  <c r="G1823" i="17"/>
  <c r="L1822" i="17"/>
  <c r="K1822" i="17"/>
  <c r="J1822" i="17"/>
  <c r="I1822" i="17"/>
  <c r="H1822" i="17"/>
  <c r="G1822" i="17"/>
  <c r="L1821" i="17"/>
  <c r="K1821" i="17"/>
  <c r="J1821" i="17"/>
  <c r="I1821" i="17"/>
  <c r="H1821" i="17"/>
  <c r="G1821" i="17"/>
  <c r="L1820" i="17"/>
  <c r="K1820" i="17"/>
  <c r="J1820" i="17"/>
  <c r="I1820" i="17"/>
  <c r="H1820" i="17"/>
  <c r="G1820" i="17"/>
  <c r="L1819" i="17"/>
  <c r="K1819" i="17"/>
  <c r="J1819" i="17"/>
  <c r="I1819" i="17"/>
  <c r="H1819" i="17"/>
  <c r="G1819" i="17"/>
  <c r="L1818" i="17"/>
  <c r="K1818" i="17"/>
  <c r="J1818" i="17"/>
  <c r="I1818" i="17"/>
  <c r="H1818" i="17"/>
  <c r="G1818" i="17"/>
  <c r="L1817" i="17"/>
  <c r="K1817" i="17"/>
  <c r="J1817" i="17"/>
  <c r="I1817" i="17"/>
  <c r="H1817" i="17"/>
  <c r="G1817" i="17"/>
  <c r="L1816" i="17"/>
  <c r="K1816" i="17"/>
  <c r="J1816" i="17"/>
  <c r="I1816" i="17"/>
  <c r="H1816" i="17"/>
  <c r="G1816" i="17"/>
  <c r="L1815" i="17"/>
  <c r="K1815" i="17"/>
  <c r="J1815" i="17"/>
  <c r="I1815" i="17"/>
  <c r="H1815" i="17"/>
  <c r="G1815" i="17"/>
  <c r="L1814" i="17"/>
  <c r="K1814" i="17"/>
  <c r="J1814" i="17"/>
  <c r="I1814" i="17"/>
  <c r="H1814" i="17"/>
  <c r="G1814" i="17"/>
  <c r="L1813" i="17"/>
  <c r="K1813" i="17"/>
  <c r="J1813" i="17"/>
  <c r="I1813" i="17"/>
  <c r="H1813" i="17"/>
  <c r="G1813" i="17"/>
  <c r="L1812" i="17"/>
  <c r="K1812" i="17"/>
  <c r="J1812" i="17"/>
  <c r="I1812" i="17"/>
  <c r="H1812" i="17"/>
  <c r="G1812" i="17"/>
  <c r="L1811" i="17"/>
  <c r="K1811" i="17"/>
  <c r="J1811" i="17"/>
  <c r="I1811" i="17"/>
  <c r="H1811" i="17"/>
  <c r="G1811" i="17"/>
  <c r="L1810" i="17"/>
  <c r="K1810" i="17"/>
  <c r="J1810" i="17"/>
  <c r="I1810" i="17"/>
  <c r="H1810" i="17"/>
  <c r="G1810" i="17"/>
  <c r="L1809" i="17"/>
  <c r="K1809" i="17"/>
  <c r="J1809" i="17"/>
  <c r="I1809" i="17"/>
  <c r="H1809" i="17"/>
  <c r="G1809" i="17"/>
  <c r="L1808" i="17"/>
  <c r="K1808" i="17"/>
  <c r="J1808" i="17"/>
  <c r="I1808" i="17"/>
  <c r="H1808" i="17"/>
  <c r="G1808" i="17"/>
  <c r="L1807" i="17"/>
  <c r="K1807" i="17"/>
  <c r="J1807" i="17"/>
  <c r="I1807" i="17"/>
  <c r="H1807" i="17"/>
  <c r="G1807" i="17"/>
  <c r="L1806" i="17"/>
  <c r="K1806" i="17"/>
  <c r="J1806" i="17"/>
  <c r="I1806" i="17"/>
  <c r="H1806" i="17"/>
  <c r="G1806" i="17"/>
  <c r="L1805" i="17"/>
  <c r="K1805" i="17"/>
  <c r="J1805" i="17"/>
  <c r="I1805" i="17"/>
  <c r="H1805" i="17"/>
  <c r="G1805" i="17"/>
  <c r="L1804" i="17"/>
  <c r="K1804" i="17"/>
  <c r="J1804" i="17"/>
  <c r="I1804" i="17"/>
  <c r="H1804" i="17"/>
  <c r="G1804" i="17"/>
  <c r="L1803" i="17"/>
  <c r="K1803" i="17"/>
  <c r="J1803" i="17"/>
  <c r="I1803" i="17"/>
  <c r="H1803" i="17"/>
  <c r="G1803" i="17"/>
  <c r="L1802" i="17"/>
  <c r="K1802" i="17"/>
  <c r="J1802" i="17"/>
  <c r="I1802" i="17"/>
  <c r="H1802" i="17"/>
  <c r="G1802" i="17"/>
  <c r="L1801" i="17"/>
  <c r="K1801" i="17"/>
  <c r="J1801" i="17"/>
  <c r="I1801" i="17"/>
  <c r="H1801" i="17"/>
  <c r="G1801" i="17"/>
  <c r="L1800" i="17"/>
  <c r="K1800" i="17"/>
  <c r="J1800" i="17"/>
  <c r="I1800" i="17"/>
  <c r="H1800" i="17"/>
  <c r="G1800" i="17"/>
  <c r="L1799" i="17"/>
  <c r="K1799" i="17"/>
  <c r="J1799" i="17"/>
  <c r="I1799" i="17"/>
  <c r="H1799" i="17"/>
  <c r="G1799" i="17"/>
  <c r="L1798" i="17"/>
  <c r="K1798" i="17"/>
  <c r="J1798" i="17"/>
  <c r="I1798" i="17"/>
  <c r="H1798" i="17"/>
  <c r="G1798" i="17"/>
  <c r="L1797" i="17"/>
  <c r="K1797" i="17"/>
  <c r="J1797" i="17"/>
  <c r="I1797" i="17"/>
  <c r="H1797" i="17"/>
  <c r="G1797" i="17"/>
  <c r="L1796" i="17"/>
  <c r="K1796" i="17"/>
  <c r="J1796" i="17"/>
  <c r="I1796" i="17"/>
  <c r="H1796" i="17"/>
  <c r="G1796" i="17"/>
  <c r="L1795" i="17"/>
  <c r="K1795" i="17"/>
  <c r="J1795" i="17"/>
  <c r="I1795" i="17"/>
  <c r="H1795" i="17"/>
  <c r="G1795" i="17"/>
  <c r="L1794" i="17"/>
  <c r="K1794" i="17"/>
  <c r="J1794" i="17"/>
  <c r="I1794" i="17"/>
  <c r="H1794" i="17"/>
  <c r="G1794" i="17"/>
  <c r="L1793" i="17"/>
  <c r="K1793" i="17"/>
  <c r="J1793" i="17"/>
  <c r="I1793" i="17"/>
  <c r="H1793" i="17"/>
  <c r="G1793" i="17"/>
  <c r="L1792" i="17"/>
  <c r="K1792" i="17"/>
  <c r="J1792" i="17"/>
  <c r="I1792" i="17"/>
  <c r="H1792" i="17"/>
  <c r="G1792" i="17"/>
  <c r="L1791" i="17"/>
  <c r="K1791" i="17"/>
  <c r="J1791" i="17"/>
  <c r="I1791" i="17"/>
  <c r="H1791" i="17"/>
  <c r="G1791" i="17"/>
  <c r="L1790" i="17"/>
  <c r="K1790" i="17"/>
  <c r="J1790" i="17"/>
  <c r="I1790" i="17"/>
  <c r="H1790" i="17"/>
  <c r="G1790" i="17"/>
  <c r="L1789" i="17"/>
  <c r="K1789" i="17"/>
  <c r="J1789" i="17"/>
  <c r="I1789" i="17"/>
  <c r="H1789" i="17"/>
  <c r="G1789" i="17"/>
  <c r="L1788" i="17"/>
  <c r="K1788" i="17"/>
  <c r="J1788" i="17"/>
  <c r="I1788" i="17"/>
  <c r="H1788" i="17"/>
  <c r="G1788" i="17"/>
  <c r="L1787" i="17"/>
  <c r="K1787" i="17"/>
  <c r="J1787" i="17"/>
  <c r="I1787" i="17"/>
  <c r="H1787" i="17"/>
  <c r="G1787" i="17"/>
  <c r="L1786" i="17"/>
  <c r="K1786" i="17"/>
  <c r="J1786" i="17"/>
  <c r="I1786" i="17"/>
  <c r="H1786" i="17"/>
  <c r="G1786" i="17"/>
  <c r="L1785" i="17"/>
  <c r="K1785" i="17"/>
  <c r="J1785" i="17"/>
  <c r="I1785" i="17"/>
  <c r="H1785" i="17"/>
  <c r="G1785" i="17"/>
  <c r="L1784" i="17"/>
  <c r="K1784" i="17"/>
  <c r="J1784" i="17"/>
  <c r="I1784" i="17"/>
  <c r="H1784" i="17"/>
  <c r="G1784" i="17"/>
  <c r="L1783" i="17"/>
  <c r="K1783" i="17"/>
  <c r="J1783" i="17"/>
  <c r="I1783" i="17"/>
  <c r="H1783" i="17"/>
  <c r="G1783" i="17"/>
  <c r="L1782" i="17"/>
  <c r="K1782" i="17"/>
  <c r="J1782" i="17"/>
  <c r="I1782" i="17"/>
  <c r="H1782" i="17"/>
  <c r="G1782" i="17"/>
  <c r="L1781" i="17"/>
  <c r="K1781" i="17"/>
  <c r="J1781" i="17"/>
  <c r="I1781" i="17"/>
  <c r="H1781" i="17"/>
  <c r="G1781" i="17"/>
  <c r="L1780" i="17"/>
  <c r="K1780" i="17"/>
  <c r="J1780" i="17"/>
  <c r="I1780" i="17"/>
  <c r="H1780" i="17"/>
  <c r="G1780" i="17"/>
  <c r="L1779" i="17"/>
  <c r="K1779" i="17"/>
  <c r="J1779" i="17"/>
  <c r="I1779" i="17"/>
  <c r="H1779" i="17"/>
  <c r="G1779" i="17"/>
  <c r="L1778" i="17"/>
  <c r="K1778" i="17"/>
  <c r="J1778" i="17"/>
  <c r="I1778" i="17"/>
  <c r="H1778" i="17"/>
  <c r="G1778" i="17"/>
  <c r="L1777" i="17"/>
  <c r="K1777" i="17"/>
  <c r="J1777" i="17"/>
  <c r="I1777" i="17"/>
  <c r="H1777" i="17"/>
  <c r="G1777" i="17"/>
  <c r="L1776" i="17"/>
  <c r="K1776" i="17"/>
  <c r="J1776" i="17"/>
  <c r="I1776" i="17"/>
  <c r="H1776" i="17"/>
  <c r="G1776" i="17"/>
  <c r="L1775" i="17"/>
  <c r="K1775" i="17"/>
  <c r="J1775" i="17"/>
  <c r="I1775" i="17"/>
  <c r="H1775" i="17"/>
  <c r="G1775" i="17"/>
  <c r="L1774" i="17"/>
  <c r="K1774" i="17"/>
  <c r="J1774" i="17"/>
  <c r="I1774" i="17"/>
  <c r="H1774" i="17"/>
  <c r="G1774" i="17"/>
  <c r="L1773" i="17"/>
  <c r="K1773" i="17"/>
  <c r="J1773" i="17"/>
  <c r="I1773" i="17"/>
  <c r="H1773" i="17"/>
  <c r="G1773" i="17"/>
  <c r="L1772" i="17"/>
  <c r="K1772" i="17"/>
  <c r="J1772" i="17"/>
  <c r="I1772" i="17"/>
  <c r="H1772" i="17"/>
  <c r="G1772" i="17"/>
  <c r="L1771" i="17"/>
  <c r="K1771" i="17"/>
  <c r="J1771" i="17"/>
  <c r="I1771" i="17"/>
  <c r="H1771" i="17"/>
  <c r="G1771" i="17"/>
  <c r="L1770" i="17"/>
  <c r="K1770" i="17"/>
  <c r="J1770" i="17"/>
  <c r="I1770" i="17"/>
  <c r="H1770" i="17"/>
  <c r="G1770" i="17"/>
  <c r="L1769" i="17"/>
  <c r="K1769" i="17"/>
  <c r="J1769" i="17"/>
  <c r="I1769" i="17"/>
  <c r="H1769" i="17"/>
  <c r="G1769" i="17"/>
  <c r="L1768" i="17"/>
  <c r="K1768" i="17"/>
  <c r="J1768" i="17"/>
  <c r="I1768" i="17"/>
  <c r="H1768" i="17"/>
  <c r="G1768" i="17"/>
  <c r="L1767" i="17"/>
  <c r="K1767" i="17"/>
  <c r="J1767" i="17"/>
  <c r="I1767" i="17"/>
  <c r="H1767" i="17"/>
  <c r="G1767" i="17"/>
  <c r="L1766" i="17"/>
  <c r="K1766" i="17"/>
  <c r="J1766" i="17"/>
  <c r="I1766" i="17"/>
  <c r="H1766" i="17"/>
  <c r="G1766" i="17"/>
  <c r="L1765" i="17"/>
  <c r="K1765" i="17"/>
  <c r="J1765" i="17"/>
  <c r="I1765" i="17"/>
  <c r="H1765" i="17"/>
  <c r="G1765" i="17"/>
  <c r="L1764" i="17"/>
  <c r="K1764" i="17"/>
  <c r="J1764" i="17"/>
  <c r="I1764" i="17"/>
  <c r="H1764" i="17"/>
  <c r="G1764" i="17"/>
  <c r="L1763" i="17"/>
  <c r="K1763" i="17"/>
  <c r="J1763" i="17"/>
  <c r="I1763" i="17"/>
  <c r="H1763" i="17"/>
  <c r="G1763" i="17"/>
  <c r="L1762" i="17"/>
  <c r="K1762" i="17"/>
  <c r="J1762" i="17"/>
  <c r="I1762" i="17"/>
  <c r="H1762" i="17"/>
  <c r="G1762" i="17"/>
  <c r="L1761" i="17"/>
  <c r="K1761" i="17"/>
  <c r="J1761" i="17"/>
  <c r="I1761" i="17"/>
  <c r="H1761" i="17"/>
  <c r="G1761" i="17"/>
  <c r="L1760" i="17"/>
  <c r="K1760" i="17"/>
  <c r="J1760" i="17"/>
  <c r="I1760" i="17"/>
  <c r="H1760" i="17"/>
  <c r="G1760" i="17"/>
  <c r="L1759" i="17"/>
  <c r="K1759" i="17"/>
  <c r="J1759" i="17"/>
  <c r="I1759" i="17"/>
  <c r="H1759" i="17"/>
  <c r="G1759" i="17"/>
  <c r="L1758" i="17"/>
  <c r="K1758" i="17"/>
  <c r="J1758" i="17"/>
  <c r="I1758" i="17"/>
  <c r="H1758" i="17"/>
  <c r="G1758" i="17"/>
  <c r="L1757" i="17"/>
  <c r="K1757" i="17"/>
  <c r="J1757" i="17"/>
  <c r="I1757" i="17"/>
  <c r="H1757" i="17"/>
  <c r="G1757" i="17"/>
  <c r="L1756" i="17"/>
  <c r="K1756" i="17"/>
  <c r="J1756" i="17"/>
  <c r="I1756" i="17"/>
  <c r="H1756" i="17"/>
  <c r="G1756" i="17"/>
  <c r="L1755" i="17"/>
  <c r="K1755" i="17"/>
  <c r="J1755" i="17"/>
  <c r="I1755" i="17"/>
  <c r="H1755" i="17"/>
  <c r="G1755" i="17"/>
  <c r="L1754" i="17"/>
  <c r="K1754" i="17"/>
  <c r="J1754" i="17"/>
  <c r="I1754" i="17"/>
  <c r="H1754" i="17"/>
  <c r="G1754" i="17"/>
  <c r="L1753" i="17"/>
  <c r="K1753" i="17"/>
  <c r="J1753" i="17"/>
  <c r="I1753" i="17"/>
  <c r="H1753" i="17"/>
  <c r="G1753" i="17"/>
  <c r="L1752" i="17"/>
  <c r="K1752" i="17"/>
  <c r="J1752" i="17"/>
  <c r="I1752" i="17"/>
  <c r="H1752" i="17"/>
  <c r="G1752" i="17"/>
  <c r="L1751" i="17"/>
  <c r="K1751" i="17"/>
  <c r="J1751" i="17"/>
  <c r="I1751" i="17"/>
  <c r="H1751" i="17"/>
  <c r="G1751" i="17"/>
  <c r="L1750" i="17"/>
  <c r="K1750" i="17"/>
  <c r="J1750" i="17"/>
  <c r="I1750" i="17"/>
  <c r="H1750" i="17"/>
  <c r="G1750" i="17"/>
  <c r="L1749" i="17"/>
  <c r="K1749" i="17"/>
  <c r="J1749" i="17"/>
  <c r="I1749" i="17"/>
  <c r="H1749" i="17"/>
  <c r="G1749" i="17"/>
  <c r="L1748" i="17"/>
  <c r="K1748" i="17"/>
  <c r="J1748" i="17"/>
  <c r="I1748" i="17"/>
  <c r="H1748" i="17"/>
  <c r="G1748" i="17"/>
  <c r="L1747" i="17"/>
  <c r="K1747" i="17"/>
  <c r="J1747" i="17"/>
  <c r="I1747" i="17"/>
  <c r="H1747" i="17"/>
  <c r="G1747" i="17"/>
  <c r="L1746" i="17"/>
  <c r="K1746" i="17"/>
  <c r="J1746" i="17"/>
  <c r="I1746" i="17"/>
  <c r="H1746" i="17"/>
  <c r="G1746" i="17"/>
  <c r="L1745" i="17"/>
  <c r="K1745" i="17"/>
  <c r="J1745" i="17"/>
  <c r="I1745" i="17"/>
  <c r="H1745" i="17"/>
  <c r="G1745" i="17"/>
  <c r="L1744" i="17"/>
  <c r="K1744" i="17"/>
  <c r="J1744" i="17"/>
  <c r="I1744" i="17"/>
  <c r="H1744" i="17"/>
  <c r="G1744" i="17"/>
  <c r="L1743" i="17"/>
  <c r="K1743" i="17"/>
  <c r="J1743" i="17"/>
  <c r="I1743" i="17"/>
  <c r="H1743" i="17"/>
  <c r="G1743" i="17"/>
  <c r="L1742" i="17"/>
  <c r="K1742" i="17"/>
  <c r="J1742" i="17"/>
  <c r="I1742" i="17"/>
  <c r="H1742" i="17"/>
  <c r="G1742" i="17"/>
  <c r="L1741" i="17"/>
  <c r="K1741" i="17"/>
  <c r="J1741" i="17"/>
  <c r="I1741" i="17"/>
  <c r="H1741" i="17"/>
  <c r="G1741" i="17"/>
  <c r="L1740" i="17"/>
  <c r="K1740" i="17"/>
  <c r="J1740" i="17"/>
  <c r="I1740" i="17"/>
  <c r="H1740" i="17"/>
  <c r="G1740" i="17"/>
  <c r="L1739" i="17"/>
  <c r="K1739" i="17"/>
  <c r="J1739" i="17"/>
  <c r="I1739" i="17"/>
  <c r="H1739" i="17"/>
  <c r="G1739" i="17"/>
  <c r="L1738" i="17"/>
  <c r="K1738" i="17"/>
  <c r="J1738" i="17"/>
  <c r="I1738" i="17"/>
  <c r="H1738" i="17"/>
  <c r="G1738" i="17"/>
  <c r="L1737" i="17"/>
  <c r="K1737" i="17"/>
  <c r="J1737" i="17"/>
  <c r="I1737" i="17"/>
  <c r="H1737" i="17"/>
  <c r="G1737" i="17"/>
  <c r="L1736" i="17"/>
  <c r="K1736" i="17"/>
  <c r="J1736" i="17"/>
  <c r="I1736" i="17"/>
  <c r="H1736" i="17"/>
  <c r="G1736" i="17"/>
  <c r="L1735" i="17"/>
  <c r="K1735" i="17"/>
  <c r="J1735" i="17"/>
  <c r="I1735" i="17"/>
  <c r="H1735" i="17"/>
  <c r="G1735" i="17"/>
  <c r="L1734" i="17"/>
  <c r="K1734" i="17"/>
  <c r="J1734" i="17"/>
  <c r="I1734" i="17"/>
  <c r="H1734" i="17"/>
  <c r="G1734" i="17"/>
  <c r="L1733" i="17"/>
  <c r="K1733" i="17"/>
  <c r="J1733" i="17"/>
  <c r="I1733" i="17"/>
  <c r="H1733" i="17"/>
  <c r="G1733" i="17"/>
  <c r="L1732" i="17"/>
  <c r="K1732" i="17"/>
  <c r="J1732" i="17"/>
  <c r="I1732" i="17"/>
  <c r="H1732" i="17"/>
  <c r="G1732" i="17"/>
  <c r="L1731" i="17"/>
  <c r="K1731" i="17"/>
  <c r="J1731" i="17"/>
  <c r="I1731" i="17"/>
  <c r="H1731" i="17"/>
  <c r="G1731" i="17"/>
  <c r="L1730" i="17"/>
  <c r="K1730" i="17"/>
  <c r="J1730" i="17"/>
  <c r="I1730" i="17"/>
  <c r="H1730" i="17"/>
  <c r="G1730" i="17"/>
  <c r="L1729" i="17"/>
  <c r="K1729" i="17"/>
  <c r="J1729" i="17"/>
  <c r="I1729" i="17"/>
  <c r="H1729" i="17"/>
  <c r="G1729" i="17"/>
  <c r="L1728" i="17"/>
  <c r="K1728" i="17"/>
  <c r="J1728" i="17"/>
  <c r="I1728" i="17"/>
  <c r="H1728" i="17"/>
  <c r="G1728" i="17"/>
  <c r="L1727" i="17"/>
  <c r="K1727" i="17"/>
  <c r="J1727" i="17"/>
  <c r="I1727" i="17"/>
  <c r="H1727" i="17"/>
  <c r="G1727" i="17"/>
  <c r="L1726" i="17"/>
  <c r="K1726" i="17"/>
  <c r="J1726" i="17"/>
  <c r="I1726" i="17"/>
  <c r="H1726" i="17"/>
  <c r="G1726" i="17"/>
  <c r="L1725" i="17"/>
  <c r="K1725" i="17"/>
  <c r="J1725" i="17"/>
  <c r="I1725" i="17"/>
  <c r="H1725" i="17"/>
  <c r="G1725" i="17"/>
  <c r="L1724" i="17"/>
  <c r="K1724" i="17"/>
  <c r="J1724" i="17"/>
  <c r="I1724" i="17"/>
  <c r="H1724" i="17"/>
  <c r="G1724" i="17"/>
  <c r="L1723" i="17"/>
  <c r="K1723" i="17"/>
  <c r="J1723" i="17"/>
  <c r="I1723" i="17"/>
  <c r="H1723" i="17"/>
  <c r="G1723" i="17"/>
  <c r="L1722" i="17"/>
  <c r="K1722" i="17"/>
  <c r="J1722" i="17"/>
  <c r="I1722" i="17"/>
  <c r="H1722" i="17"/>
  <c r="G1722" i="17"/>
  <c r="L1721" i="17"/>
  <c r="K1721" i="17"/>
  <c r="J1721" i="17"/>
  <c r="I1721" i="17"/>
  <c r="H1721" i="17"/>
  <c r="G1721" i="17"/>
  <c r="L1720" i="17"/>
  <c r="K1720" i="17"/>
  <c r="J1720" i="17"/>
  <c r="I1720" i="17"/>
  <c r="H1720" i="17"/>
  <c r="G1720" i="17"/>
  <c r="L1719" i="17"/>
  <c r="K1719" i="17"/>
  <c r="J1719" i="17"/>
  <c r="I1719" i="17"/>
  <c r="H1719" i="17"/>
  <c r="G1719" i="17"/>
  <c r="L1718" i="17"/>
  <c r="K1718" i="17"/>
  <c r="J1718" i="17"/>
  <c r="I1718" i="17"/>
  <c r="H1718" i="17"/>
  <c r="G1718" i="17"/>
  <c r="L1717" i="17"/>
  <c r="K1717" i="17"/>
  <c r="J1717" i="17"/>
  <c r="I1717" i="17"/>
  <c r="H1717" i="17"/>
  <c r="G1717" i="17"/>
  <c r="L1716" i="17"/>
  <c r="K1716" i="17"/>
  <c r="J1716" i="17"/>
  <c r="I1716" i="17"/>
  <c r="H1716" i="17"/>
  <c r="G1716" i="17"/>
  <c r="L1715" i="17"/>
  <c r="K1715" i="17"/>
  <c r="J1715" i="17"/>
  <c r="I1715" i="17"/>
  <c r="H1715" i="17"/>
  <c r="G1715" i="17"/>
  <c r="L1714" i="17"/>
  <c r="K1714" i="17"/>
  <c r="J1714" i="17"/>
  <c r="I1714" i="17"/>
  <c r="H1714" i="17"/>
  <c r="G1714" i="17"/>
  <c r="L1713" i="17"/>
  <c r="K1713" i="17"/>
  <c r="J1713" i="17"/>
  <c r="I1713" i="17"/>
  <c r="H1713" i="17"/>
  <c r="G1713" i="17"/>
  <c r="L1712" i="17"/>
  <c r="K1712" i="17"/>
  <c r="J1712" i="17"/>
  <c r="I1712" i="17"/>
  <c r="H1712" i="17"/>
  <c r="G1712" i="17"/>
  <c r="L1711" i="17"/>
  <c r="K1711" i="17"/>
  <c r="J1711" i="17"/>
  <c r="I1711" i="17"/>
  <c r="H1711" i="17"/>
  <c r="G1711" i="17"/>
  <c r="L1710" i="17"/>
  <c r="K1710" i="17"/>
  <c r="J1710" i="17"/>
  <c r="I1710" i="17"/>
  <c r="H1710" i="17"/>
  <c r="G1710" i="17"/>
  <c r="L1709" i="17"/>
  <c r="K1709" i="17"/>
  <c r="J1709" i="17"/>
  <c r="I1709" i="17"/>
  <c r="H1709" i="17"/>
  <c r="G1709" i="17"/>
  <c r="L1708" i="17"/>
  <c r="K1708" i="17"/>
  <c r="J1708" i="17"/>
  <c r="I1708" i="17"/>
  <c r="H1708" i="17"/>
  <c r="G1708" i="17"/>
  <c r="L1707" i="17"/>
  <c r="K1707" i="17"/>
  <c r="J1707" i="17"/>
  <c r="I1707" i="17"/>
  <c r="H1707" i="17"/>
  <c r="G1707" i="17"/>
  <c r="L1706" i="17"/>
  <c r="K1706" i="17"/>
  <c r="J1706" i="17"/>
  <c r="I1706" i="17"/>
  <c r="H1706" i="17"/>
  <c r="G1706" i="17"/>
  <c r="L1705" i="17"/>
  <c r="K1705" i="17"/>
  <c r="J1705" i="17"/>
  <c r="I1705" i="17"/>
  <c r="H1705" i="17"/>
  <c r="G1705" i="17"/>
  <c r="L1704" i="17"/>
  <c r="K1704" i="17"/>
  <c r="J1704" i="17"/>
  <c r="I1704" i="17"/>
  <c r="H1704" i="17"/>
  <c r="G1704" i="17"/>
  <c r="L1703" i="17"/>
  <c r="K1703" i="17"/>
  <c r="J1703" i="17"/>
  <c r="I1703" i="17"/>
  <c r="H1703" i="17"/>
  <c r="G1703" i="17"/>
  <c r="L1702" i="17"/>
  <c r="K1702" i="17"/>
  <c r="J1702" i="17"/>
  <c r="I1702" i="17"/>
  <c r="H1702" i="17"/>
  <c r="G1702" i="17"/>
  <c r="L1701" i="17"/>
  <c r="K1701" i="17"/>
  <c r="J1701" i="17"/>
  <c r="I1701" i="17"/>
  <c r="H1701" i="17"/>
  <c r="G1701" i="17"/>
  <c r="L1700" i="17"/>
  <c r="K1700" i="17"/>
  <c r="J1700" i="17"/>
  <c r="I1700" i="17"/>
  <c r="H1700" i="17"/>
  <c r="G1700" i="17"/>
  <c r="L1699" i="17"/>
  <c r="K1699" i="17"/>
  <c r="J1699" i="17"/>
  <c r="I1699" i="17"/>
  <c r="H1699" i="17"/>
  <c r="G1699" i="17"/>
  <c r="L1698" i="17"/>
  <c r="K1698" i="17"/>
  <c r="J1698" i="17"/>
  <c r="I1698" i="17"/>
  <c r="H1698" i="17"/>
  <c r="G1698" i="17"/>
  <c r="L1697" i="17"/>
  <c r="K1697" i="17"/>
  <c r="J1697" i="17"/>
  <c r="I1697" i="17"/>
  <c r="H1697" i="17"/>
  <c r="G1697" i="17"/>
  <c r="L1696" i="17"/>
  <c r="K1696" i="17"/>
  <c r="J1696" i="17"/>
  <c r="I1696" i="17"/>
  <c r="H1696" i="17"/>
  <c r="G1696" i="17"/>
  <c r="L1695" i="17"/>
  <c r="K1695" i="17"/>
  <c r="J1695" i="17"/>
  <c r="I1695" i="17"/>
  <c r="H1695" i="17"/>
  <c r="G1695" i="17"/>
  <c r="L1694" i="17"/>
  <c r="K1694" i="17"/>
  <c r="J1694" i="17"/>
  <c r="I1694" i="17"/>
  <c r="H1694" i="17"/>
  <c r="G1694" i="17"/>
  <c r="L1693" i="17"/>
  <c r="K1693" i="17"/>
  <c r="J1693" i="17"/>
  <c r="I1693" i="17"/>
  <c r="H1693" i="17"/>
  <c r="G1693" i="17"/>
  <c r="L1692" i="17"/>
  <c r="K1692" i="17"/>
  <c r="J1692" i="17"/>
  <c r="I1692" i="17"/>
  <c r="H1692" i="17"/>
  <c r="G1692" i="17"/>
  <c r="L1691" i="17"/>
  <c r="K1691" i="17"/>
  <c r="J1691" i="17"/>
  <c r="I1691" i="17"/>
  <c r="H1691" i="17"/>
  <c r="G1691" i="17"/>
  <c r="L1690" i="17"/>
  <c r="K1690" i="17"/>
  <c r="J1690" i="17"/>
  <c r="I1690" i="17"/>
  <c r="H1690" i="17"/>
  <c r="G1690" i="17"/>
  <c r="L1689" i="17"/>
  <c r="K1689" i="17"/>
  <c r="J1689" i="17"/>
  <c r="I1689" i="17"/>
  <c r="H1689" i="17"/>
  <c r="G1689" i="17"/>
  <c r="L1688" i="17"/>
  <c r="K1688" i="17"/>
  <c r="J1688" i="17"/>
  <c r="I1688" i="17"/>
  <c r="H1688" i="17"/>
  <c r="G1688" i="17"/>
  <c r="L1687" i="17"/>
  <c r="K1687" i="17"/>
  <c r="J1687" i="17"/>
  <c r="I1687" i="17"/>
  <c r="H1687" i="17"/>
  <c r="G1687" i="17"/>
  <c r="L1686" i="17"/>
  <c r="K1686" i="17"/>
  <c r="J1686" i="17"/>
  <c r="I1686" i="17"/>
  <c r="H1686" i="17"/>
  <c r="G1686" i="17"/>
  <c r="L1685" i="17"/>
  <c r="K1685" i="17"/>
  <c r="J1685" i="17"/>
  <c r="I1685" i="17"/>
  <c r="H1685" i="17"/>
  <c r="G1685" i="17"/>
  <c r="L1684" i="17"/>
  <c r="K1684" i="17"/>
  <c r="J1684" i="17"/>
  <c r="I1684" i="17"/>
  <c r="H1684" i="17"/>
  <c r="G1684" i="17"/>
  <c r="L1683" i="17"/>
  <c r="K1683" i="17"/>
  <c r="J1683" i="17"/>
  <c r="I1683" i="17"/>
  <c r="H1683" i="17"/>
  <c r="G1683" i="17"/>
  <c r="L1682" i="17"/>
  <c r="K1682" i="17"/>
  <c r="J1682" i="17"/>
  <c r="I1682" i="17"/>
  <c r="H1682" i="17"/>
  <c r="G1682" i="17"/>
  <c r="L1681" i="17"/>
  <c r="K1681" i="17"/>
  <c r="J1681" i="17"/>
  <c r="I1681" i="17"/>
  <c r="H1681" i="17"/>
  <c r="G1681" i="17"/>
  <c r="L1680" i="17"/>
  <c r="K1680" i="17"/>
  <c r="J1680" i="17"/>
  <c r="I1680" i="17"/>
  <c r="H1680" i="17"/>
  <c r="G1680" i="17"/>
  <c r="L1679" i="17"/>
  <c r="K1679" i="17"/>
  <c r="J1679" i="17"/>
  <c r="I1679" i="17"/>
  <c r="H1679" i="17"/>
  <c r="G1679" i="17"/>
  <c r="L1678" i="17"/>
  <c r="K1678" i="17"/>
  <c r="J1678" i="17"/>
  <c r="I1678" i="17"/>
  <c r="H1678" i="17"/>
  <c r="G1678" i="17"/>
  <c r="L1677" i="17"/>
  <c r="K1677" i="17"/>
  <c r="J1677" i="17"/>
  <c r="I1677" i="17"/>
  <c r="H1677" i="17"/>
  <c r="G1677" i="17"/>
  <c r="L1676" i="17"/>
  <c r="K1676" i="17"/>
  <c r="J1676" i="17"/>
  <c r="I1676" i="17"/>
  <c r="H1676" i="17"/>
  <c r="G1676" i="17"/>
  <c r="L1675" i="17"/>
  <c r="K1675" i="17"/>
  <c r="J1675" i="17"/>
  <c r="I1675" i="17"/>
  <c r="H1675" i="17"/>
  <c r="G1675" i="17"/>
  <c r="L1674" i="17"/>
  <c r="K1674" i="17"/>
  <c r="J1674" i="17"/>
  <c r="I1674" i="17"/>
  <c r="H1674" i="17"/>
  <c r="G1674" i="17"/>
  <c r="L1673" i="17"/>
  <c r="K1673" i="17"/>
  <c r="J1673" i="17"/>
  <c r="I1673" i="17"/>
  <c r="H1673" i="17"/>
  <c r="G1673" i="17"/>
  <c r="L1672" i="17"/>
  <c r="K1672" i="17"/>
  <c r="J1672" i="17"/>
  <c r="I1672" i="17"/>
  <c r="H1672" i="17"/>
  <c r="G1672" i="17"/>
  <c r="L1671" i="17"/>
  <c r="K1671" i="17"/>
  <c r="J1671" i="17"/>
  <c r="I1671" i="17"/>
  <c r="H1671" i="17"/>
  <c r="G1671" i="17"/>
  <c r="L1670" i="17"/>
  <c r="K1670" i="17"/>
  <c r="J1670" i="17"/>
  <c r="I1670" i="17"/>
  <c r="H1670" i="17"/>
  <c r="G1670" i="17"/>
  <c r="L1669" i="17"/>
  <c r="K1669" i="17"/>
  <c r="J1669" i="17"/>
  <c r="I1669" i="17"/>
  <c r="H1669" i="17"/>
  <c r="G1669" i="17"/>
  <c r="L1668" i="17"/>
  <c r="K1668" i="17"/>
  <c r="J1668" i="17"/>
  <c r="I1668" i="17"/>
  <c r="H1668" i="17"/>
  <c r="G1668" i="17"/>
  <c r="L1667" i="17"/>
  <c r="K1667" i="17"/>
  <c r="J1667" i="17"/>
  <c r="I1667" i="17"/>
  <c r="H1667" i="17"/>
  <c r="G1667" i="17"/>
  <c r="L1666" i="17"/>
  <c r="K1666" i="17"/>
  <c r="J1666" i="17"/>
  <c r="I1666" i="17"/>
  <c r="H1666" i="17"/>
  <c r="G1666" i="17"/>
  <c r="L1665" i="17"/>
  <c r="K1665" i="17"/>
  <c r="J1665" i="17"/>
  <c r="I1665" i="17"/>
  <c r="H1665" i="17"/>
  <c r="G1665" i="17"/>
  <c r="L1664" i="17"/>
  <c r="K1664" i="17"/>
  <c r="J1664" i="17"/>
  <c r="I1664" i="17"/>
  <c r="H1664" i="17"/>
  <c r="G1664" i="17"/>
  <c r="L1663" i="17"/>
  <c r="K1663" i="17"/>
  <c r="J1663" i="17"/>
  <c r="I1663" i="17"/>
  <c r="H1663" i="17"/>
  <c r="G1663" i="17"/>
  <c r="L1662" i="17"/>
  <c r="K1662" i="17"/>
  <c r="J1662" i="17"/>
  <c r="I1662" i="17"/>
  <c r="H1662" i="17"/>
  <c r="G1662" i="17"/>
  <c r="L1661" i="17"/>
  <c r="K1661" i="17"/>
  <c r="J1661" i="17"/>
  <c r="I1661" i="17"/>
  <c r="H1661" i="17"/>
  <c r="G1661" i="17"/>
  <c r="L1660" i="17"/>
  <c r="K1660" i="17"/>
  <c r="J1660" i="17"/>
  <c r="I1660" i="17"/>
  <c r="H1660" i="17"/>
  <c r="G1660" i="17"/>
  <c r="L1659" i="17"/>
  <c r="K1659" i="17"/>
  <c r="J1659" i="17"/>
  <c r="I1659" i="17"/>
  <c r="H1659" i="17"/>
  <c r="G1659" i="17"/>
  <c r="L1658" i="17"/>
  <c r="K1658" i="17"/>
  <c r="J1658" i="17"/>
  <c r="I1658" i="17"/>
  <c r="H1658" i="17"/>
  <c r="G1658" i="17"/>
  <c r="L1657" i="17"/>
  <c r="K1657" i="17"/>
  <c r="J1657" i="17"/>
  <c r="I1657" i="17"/>
  <c r="H1657" i="17"/>
  <c r="G1657" i="17"/>
  <c r="L1656" i="17"/>
  <c r="K1656" i="17"/>
  <c r="J1656" i="17"/>
  <c r="I1656" i="17"/>
  <c r="H1656" i="17"/>
  <c r="G1656" i="17"/>
  <c r="L1655" i="17"/>
  <c r="K1655" i="17"/>
  <c r="J1655" i="17"/>
  <c r="I1655" i="17"/>
  <c r="H1655" i="17"/>
  <c r="G1655" i="17"/>
  <c r="L1654" i="17"/>
  <c r="K1654" i="17"/>
  <c r="J1654" i="17"/>
  <c r="I1654" i="17"/>
  <c r="H1654" i="17"/>
  <c r="G1654" i="17"/>
  <c r="L1653" i="17"/>
  <c r="K1653" i="17"/>
  <c r="J1653" i="17"/>
  <c r="I1653" i="17"/>
  <c r="H1653" i="17"/>
  <c r="G1653" i="17"/>
  <c r="L1652" i="17"/>
  <c r="K1652" i="17"/>
  <c r="J1652" i="17"/>
  <c r="I1652" i="17"/>
  <c r="H1652" i="17"/>
  <c r="G1652" i="17"/>
  <c r="L1651" i="17"/>
  <c r="K1651" i="17"/>
  <c r="J1651" i="17"/>
  <c r="I1651" i="17"/>
  <c r="H1651" i="17"/>
  <c r="G1651" i="17"/>
  <c r="L1650" i="17"/>
  <c r="K1650" i="17"/>
  <c r="J1650" i="17"/>
  <c r="I1650" i="17"/>
  <c r="H1650" i="17"/>
  <c r="G1650" i="17"/>
  <c r="L1649" i="17"/>
  <c r="K1649" i="17"/>
  <c r="J1649" i="17"/>
  <c r="I1649" i="17"/>
  <c r="H1649" i="17"/>
  <c r="G1649" i="17"/>
  <c r="L1648" i="17"/>
  <c r="K1648" i="17"/>
  <c r="J1648" i="17"/>
  <c r="I1648" i="17"/>
  <c r="H1648" i="17"/>
  <c r="G1648" i="17"/>
  <c r="L1647" i="17"/>
  <c r="K1647" i="17"/>
  <c r="J1647" i="17"/>
  <c r="I1647" i="17"/>
  <c r="H1647" i="17"/>
  <c r="G1647" i="17"/>
  <c r="L1646" i="17"/>
  <c r="K1646" i="17"/>
  <c r="J1646" i="17"/>
  <c r="I1646" i="17"/>
  <c r="H1646" i="17"/>
  <c r="G1646" i="17"/>
  <c r="L1645" i="17"/>
  <c r="K1645" i="17"/>
  <c r="J1645" i="17"/>
  <c r="I1645" i="17"/>
  <c r="H1645" i="17"/>
  <c r="G1645" i="17"/>
  <c r="L1644" i="17"/>
  <c r="K1644" i="17"/>
  <c r="J1644" i="17"/>
  <c r="I1644" i="17"/>
  <c r="H1644" i="17"/>
  <c r="G1644" i="17"/>
  <c r="L1643" i="17"/>
  <c r="K1643" i="17"/>
  <c r="J1643" i="17"/>
  <c r="I1643" i="17"/>
  <c r="H1643" i="17"/>
  <c r="G1643" i="17"/>
  <c r="L1642" i="17"/>
  <c r="K1642" i="17"/>
  <c r="J1642" i="17"/>
  <c r="I1642" i="17"/>
  <c r="H1642" i="17"/>
  <c r="G1642" i="17"/>
  <c r="L1641" i="17"/>
  <c r="K1641" i="17"/>
  <c r="J1641" i="17"/>
  <c r="I1641" i="17"/>
  <c r="H1641" i="17"/>
  <c r="G1641" i="17"/>
  <c r="L1640" i="17"/>
  <c r="K1640" i="17"/>
  <c r="J1640" i="17"/>
  <c r="I1640" i="17"/>
  <c r="H1640" i="17"/>
  <c r="G1640" i="17"/>
  <c r="L1639" i="17"/>
  <c r="K1639" i="17"/>
  <c r="J1639" i="17"/>
  <c r="I1639" i="17"/>
  <c r="H1639" i="17"/>
  <c r="G1639" i="17"/>
  <c r="L1638" i="17"/>
  <c r="K1638" i="17"/>
  <c r="J1638" i="17"/>
  <c r="I1638" i="17"/>
  <c r="H1638" i="17"/>
  <c r="G1638" i="17"/>
  <c r="L1637" i="17"/>
  <c r="K1637" i="17"/>
  <c r="J1637" i="17"/>
  <c r="I1637" i="17"/>
  <c r="H1637" i="17"/>
  <c r="G1637" i="17"/>
  <c r="L1636" i="17"/>
  <c r="K1636" i="17"/>
  <c r="J1636" i="17"/>
  <c r="I1636" i="17"/>
  <c r="H1636" i="17"/>
  <c r="G1636" i="17"/>
  <c r="L1635" i="17"/>
  <c r="K1635" i="17"/>
  <c r="J1635" i="17"/>
  <c r="I1635" i="17"/>
  <c r="H1635" i="17"/>
  <c r="G1635" i="17"/>
  <c r="L1634" i="17"/>
  <c r="K1634" i="17"/>
  <c r="J1634" i="17"/>
  <c r="I1634" i="17"/>
  <c r="H1634" i="17"/>
  <c r="G1634" i="17"/>
  <c r="L1633" i="17"/>
  <c r="K1633" i="17"/>
  <c r="J1633" i="17"/>
  <c r="I1633" i="17"/>
  <c r="H1633" i="17"/>
  <c r="G1633" i="17"/>
  <c r="L1632" i="17"/>
  <c r="K1632" i="17"/>
  <c r="J1632" i="17"/>
  <c r="I1632" i="17"/>
  <c r="H1632" i="17"/>
  <c r="G1632" i="17"/>
  <c r="L1631" i="17"/>
  <c r="K1631" i="17"/>
  <c r="J1631" i="17"/>
  <c r="I1631" i="17"/>
  <c r="H1631" i="17"/>
  <c r="G1631" i="17"/>
  <c r="L1630" i="17"/>
  <c r="K1630" i="17"/>
  <c r="J1630" i="17"/>
  <c r="I1630" i="17"/>
  <c r="H1630" i="17"/>
  <c r="G1630" i="17"/>
  <c r="L1629" i="17"/>
  <c r="K1629" i="17"/>
  <c r="J1629" i="17"/>
  <c r="I1629" i="17"/>
  <c r="H1629" i="17"/>
  <c r="G1629" i="17"/>
  <c r="L1628" i="17"/>
  <c r="K1628" i="17"/>
  <c r="J1628" i="17"/>
  <c r="I1628" i="17"/>
  <c r="H1628" i="17"/>
  <c r="G1628" i="17"/>
  <c r="L1627" i="17"/>
  <c r="K1627" i="17"/>
  <c r="J1627" i="17"/>
  <c r="I1627" i="17"/>
  <c r="H1627" i="17"/>
  <c r="G1627" i="17"/>
  <c r="L1626" i="17"/>
  <c r="K1626" i="17"/>
  <c r="J1626" i="17"/>
  <c r="I1626" i="17"/>
  <c r="H1626" i="17"/>
  <c r="G1626" i="17"/>
  <c r="L1625" i="17"/>
  <c r="K1625" i="17"/>
  <c r="J1625" i="17"/>
  <c r="I1625" i="17"/>
  <c r="H1625" i="17"/>
  <c r="G1625" i="17"/>
  <c r="L1624" i="17"/>
  <c r="K1624" i="17"/>
  <c r="J1624" i="17"/>
  <c r="I1624" i="17"/>
  <c r="H1624" i="17"/>
  <c r="G1624" i="17"/>
  <c r="L1623" i="17"/>
  <c r="K1623" i="17"/>
  <c r="J1623" i="17"/>
  <c r="I1623" i="17"/>
  <c r="H1623" i="17"/>
  <c r="G1623" i="17"/>
  <c r="L1622" i="17"/>
  <c r="K1622" i="17"/>
  <c r="J1622" i="17"/>
  <c r="I1622" i="17"/>
  <c r="H1622" i="17"/>
  <c r="G1622" i="17"/>
  <c r="L1621" i="17"/>
  <c r="K1621" i="17"/>
  <c r="J1621" i="17"/>
  <c r="I1621" i="17"/>
  <c r="H1621" i="17"/>
  <c r="G1621" i="17"/>
  <c r="L1620" i="17"/>
  <c r="K1620" i="17"/>
  <c r="J1620" i="17"/>
  <c r="I1620" i="17"/>
  <c r="H1620" i="17"/>
  <c r="G1620" i="17"/>
  <c r="L1619" i="17"/>
  <c r="K1619" i="17"/>
  <c r="J1619" i="17"/>
  <c r="I1619" i="17"/>
  <c r="H1619" i="17"/>
  <c r="G1619" i="17"/>
  <c r="L1618" i="17"/>
  <c r="K1618" i="17"/>
  <c r="J1618" i="17"/>
  <c r="I1618" i="17"/>
  <c r="H1618" i="17"/>
  <c r="G1618" i="17"/>
  <c r="L1617" i="17"/>
  <c r="K1617" i="17"/>
  <c r="J1617" i="17"/>
  <c r="I1617" i="17"/>
  <c r="H1617" i="17"/>
  <c r="G1617" i="17"/>
  <c r="L1616" i="17"/>
  <c r="K1616" i="17"/>
  <c r="J1616" i="17"/>
  <c r="I1616" i="17"/>
  <c r="H1616" i="17"/>
  <c r="G1616" i="17"/>
  <c r="L1615" i="17"/>
  <c r="K1615" i="17"/>
  <c r="J1615" i="17"/>
  <c r="I1615" i="17"/>
  <c r="H1615" i="17"/>
  <c r="G1615" i="17"/>
  <c r="L1614" i="17"/>
  <c r="K1614" i="17"/>
  <c r="J1614" i="17"/>
  <c r="I1614" i="17"/>
  <c r="H1614" i="17"/>
  <c r="G1614" i="17"/>
  <c r="L1613" i="17"/>
  <c r="K1613" i="17"/>
  <c r="J1613" i="17"/>
  <c r="I1613" i="17"/>
  <c r="H1613" i="17"/>
  <c r="G1613" i="17"/>
  <c r="L1612" i="17"/>
  <c r="K1612" i="17"/>
  <c r="J1612" i="17"/>
  <c r="I1612" i="17"/>
  <c r="H1612" i="17"/>
  <c r="G1612" i="17"/>
  <c r="L1611" i="17"/>
  <c r="K1611" i="17"/>
  <c r="J1611" i="17"/>
  <c r="I1611" i="17"/>
  <c r="H1611" i="17"/>
  <c r="G1611" i="17"/>
  <c r="L1610" i="17"/>
  <c r="K1610" i="17"/>
  <c r="J1610" i="17"/>
  <c r="I1610" i="17"/>
  <c r="H1610" i="17"/>
  <c r="G1610" i="17"/>
  <c r="L1609" i="17"/>
  <c r="K1609" i="17"/>
  <c r="J1609" i="17"/>
  <c r="I1609" i="17"/>
  <c r="H1609" i="17"/>
  <c r="G1609" i="17"/>
  <c r="L1608" i="17"/>
  <c r="K1608" i="17"/>
  <c r="J1608" i="17"/>
  <c r="I1608" i="17"/>
  <c r="H1608" i="17"/>
  <c r="G1608" i="17"/>
  <c r="L1607" i="17"/>
  <c r="K1607" i="17"/>
  <c r="J1607" i="17"/>
  <c r="I1607" i="17"/>
  <c r="H1607" i="17"/>
  <c r="G1607" i="17"/>
  <c r="L1606" i="17"/>
  <c r="K1606" i="17"/>
  <c r="J1606" i="17"/>
  <c r="I1606" i="17"/>
  <c r="H1606" i="17"/>
  <c r="G1606" i="17"/>
  <c r="L1605" i="17"/>
  <c r="K1605" i="17"/>
  <c r="J1605" i="17"/>
  <c r="I1605" i="17"/>
  <c r="H1605" i="17"/>
  <c r="G1605" i="17"/>
  <c r="L1604" i="17"/>
  <c r="K1604" i="17"/>
  <c r="J1604" i="17"/>
  <c r="I1604" i="17"/>
  <c r="H1604" i="17"/>
  <c r="G1604" i="17"/>
  <c r="L1603" i="17"/>
  <c r="K1603" i="17"/>
  <c r="J1603" i="17"/>
  <c r="I1603" i="17"/>
  <c r="H1603" i="17"/>
  <c r="G1603" i="17"/>
  <c r="L1602" i="17"/>
  <c r="K1602" i="17"/>
  <c r="J1602" i="17"/>
  <c r="I1602" i="17"/>
  <c r="H1602" i="17"/>
  <c r="G1602" i="17"/>
  <c r="L1601" i="17"/>
  <c r="K1601" i="17"/>
  <c r="J1601" i="17"/>
  <c r="I1601" i="17"/>
  <c r="H1601" i="17"/>
  <c r="G1601" i="17"/>
  <c r="L1600" i="17"/>
  <c r="K1600" i="17"/>
  <c r="J1600" i="17"/>
  <c r="I1600" i="17"/>
  <c r="H1600" i="17"/>
  <c r="G1600" i="17"/>
  <c r="L1599" i="17"/>
  <c r="K1599" i="17"/>
  <c r="J1599" i="17"/>
  <c r="I1599" i="17"/>
  <c r="H1599" i="17"/>
  <c r="G1599" i="17"/>
  <c r="L1598" i="17"/>
  <c r="K1598" i="17"/>
  <c r="J1598" i="17"/>
  <c r="I1598" i="17"/>
  <c r="H1598" i="17"/>
  <c r="G1598" i="17"/>
  <c r="L1597" i="17"/>
  <c r="K1597" i="17"/>
  <c r="J1597" i="17"/>
  <c r="I1597" i="17"/>
  <c r="H1597" i="17"/>
  <c r="G1597" i="17"/>
  <c r="L1596" i="17"/>
  <c r="K1596" i="17"/>
  <c r="J1596" i="17"/>
  <c r="I1596" i="17"/>
  <c r="H1596" i="17"/>
  <c r="G1596" i="17"/>
  <c r="L1595" i="17"/>
  <c r="K1595" i="17"/>
  <c r="J1595" i="17"/>
  <c r="I1595" i="17"/>
  <c r="H1595" i="17"/>
  <c r="G1595" i="17"/>
  <c r="L1594" i="17"/>
  <c r="K1594" i="17"/>
  <c r="J1594" i="17"/>
  <c r="I1594" i="17"/>
  <c r="H1594" i="17"/>
  <c r="G1594" i="17"/>
  <c r="L1593" i="17"/>
  <c r="K1593" i="17"/>
  <c r="J1593" i="17"/>
  <c r="I1593" i="17"/>
  <c r="H1593" i="17"/>
  <c r="G1593" i="17"/>
  <c r="L1592" i="17"/>
  <c r="K1592" i="17"/>
  <c r="J1592" i="17"/>
  <c r="I1592" i="17"/>
  <c r="H1592" i="17"/>
  <c r="G1592" i="17"/>
  <c r="L1591" i="17"/>
  <c r="K1591" i="17"/>
  <c r="J1591" i="17"/>
  <c r="I1591" i="17"/>
  <c r="H1591" i="17"/>
  <c r="G1591" i="17"/>
  <c r="L1590" i="17"/>
  <c r="K1590" i="17"/>
  <c r="J1590" i="17"/>
  <c r="I1590" i="17"/>
  <c r="H1590" i="17"/>
  <c r="G1590" i="17"/>
  <c r="L1589" i="17"/>
  <c r="K1589" i="17"/>
  <c r="J1589" i="17"/>
  <c r="I1589" i="17"/>
  <c r="H1589" i="17"/>
  <c r="G1589" i="17"/>
  <c r="L1588" i="17"/>
  <c r="K1588" i="17"/>
  <c r="J1588" i="17"/>
  <c r="I1588" i="17"/>
  <c r="H1588" i="17"/>
  <c r="G1588" i="17"/>
  <c r="L1587" i="17"/>
  <c r="K1587" i="17"/>
  <c r="J1587" i="17"/>
  <c r="I1587" i="17"/>
  <c r="H1587" i="17"/>
  <c r="G1587" i="17"/>
  <c r="L1586" i="17"/>
  <c r="K1586" i="17"/>
  <c r="J1586" i="17"/>
  <c r="I1586" i="17"/>
  <c r="H1586" i="17"/>
  <c r="G1586" i="17"/>
  <c r="L1585" i="17"/>
  <c r="K1585" i="17"/>
  <c r="J1585" i="17"/>
  <c r="I1585" i="17"/>
  <c r="H1585" i="17"/>
  <c r="G1585" i="17"/>
  <c r="L1584" i="17"/>
  <c r="K1584" i="17"/>
  <c r="J1584" i="17"/>
  <c r="I1584" i="17"/>
  <c r="H1584" i="17"/>
  <c r="G1584" i="17"/>
  <c r="L1583" i="17"/>
  <c r="K1583" i="17"/>
  <c r="J1583" i="17"/>
  <c r="I1583" i="17"/>
  <c r="H1583" i="17"/>
  <c r="G1583" i="17"/>
  <c r="L1582" i="17"/>
  <c r="K1582" i="17"/>
  <c r="J1582" i="17"/>
  <c r="I1582" i="17"/>
  <c r="H1582" i="17"/>
  <c r="G1582" i="17"/>
  <c r="L1581" i="17"/>
  <c r="K1581" i="17"/>
  <c r="J1581" i="17"/>
  <c r="I1581" i="17"/>
  <c r="H1581" i="17"/>
  <c r="G1581" i="17"/>
  <c r="L1580" i="17"/>
  <c r="K1580" i="17"/>
  <c r="J1580" i="17"/>
  <c r="I1580" i="17"/>
  <c r="H1580" i="17"/>
  <c r="G1580" i="17"/>
  <c r="L1579" i="17"/>
  <c r="K1579" i="17"/>
  <c r="J1579" i="17"/>
  <c r="I1579" i="17"/>
  <c r="H1579" i="17"/>
  <c r="G1579" i="17"/>
  <c r="L1578" i="17"/>
  <c r="K1578" i="17"/>
  <c r="J1578" i="17"/>
  <c r="I1578" i="17"/>
  <c r="H1578" i="17"/>
  <c r="G1578" i="17"/>
  <c r="L1577" i="17"/>
  <c r="K1577" i="17"/>
  <c r="J1577" i="17"/>
  <c r="I1577" i="17"/>
  <c r="H1577" i="17"/>
  <c r="G1577" i="17"/>
  <c r="L1576" i="17"/>
  <c r="K1576" i="17"/>
  <c r="J1576" i="17"/>
  <c r="I1576" i="17"/>
  <c r="H1576" i="17"/>
  <c r="G1576" i="17"/>
  <c r="L1575" i="17"/>
  <c r="K1575" i="17"/>
  <c r="J1575" i="17"/>
  <c r="I1575" i="17"/>
  <c r="H1575" i="17"/>
  <c r="G1575" i="17"/>
  <c r="L1574" i="17"/>
  <c r="K1574" i="17"/>
  <c r="J1574" i="17"/>
  <c r="I1574" i="17"/>
  <c r="H1574" i="17"/>
  <c r="G1574" i="17"/>
  <c r="L1573" i="17"/>
  <c r="K1573" i="17"/>
  <c r="J1573" i="17"/>
  <c r="I1573" i="17"/>
  <c r="H1573" i="17"/>
  <c r="G1573" i="17"/>
  <c r="L1572" i="17"/>
  <c r="K1572" i="17"/>
  <c r="J1572" i="17"/>
  <c r="I1572" i="17"/>
  <c r="H1572" i="17"/>
  <c r="G1572" i="17"/>
  <c r="L1571" i="17"/>
  <c r="K1571" i="17"/>
  <c r="J1571" i="17"/>
  <c r="I1571" i="17"/>
  <c r="H1571" i="17"/>
  <c r="G1571" i="17"/>
  <c r="L1570" i="17"/>
  <c r="K1570" i="17"/>
  <c r="J1570" i="17"/>
  <c r="I1570" i="17"/>
  <c r="H1570" i="17"/>
  <c r="G1570" i="17"/>
  <c r="L1569" i="17"/>
  <c r="K1569" i="17"/>
  <c r="J1569" i="17"/>
  <c r="I1569" i="17"/>
  <c r="H1569" i="17"/>
  <c r="G1569" i="17"/>
  <c r="L1568" i="17"/>
  <c r="K1568" i="17"/>
  <c r="J1568" i="17"/>
  <c r="I1568" i="17"/>
  <c r="H1568" i="17"/>
  <c r="G1568" i="17"/>
  <c r="L1567" i="17"/>
  <c r="K1567" i="17"/>
  <c r="J1567" i="17"/>
  <c r="I1567" i="17"/>
  <c r="H1567" i="17"/>
  <c r="G1567" i="17"/>
  <c r="L1566" i="17"/>
  <c r="K1566" i="17"/>
  <c r="J1566" i="17"/>
  <c r="I1566" i="17"/>
  <c r="H1566" i="17"/>
  <c r="G1566" i="17"/>
  <c r="L1565" i="17"/>
  <c r="K1565" i="17"/>
  <c r="J1565" i="17"/>
  <c r="I1565" i="17"/>
  <c r="H1565" i="17"/>
  <c r="G1565" i="17"/>
  <c r="L1564" i="17"/>
  <c r="K1564" i="17"/>
  <c r="J1564" i="17"/>
  <c r="I1564" i="17"/>
  <c r="H1564" i="17"/>
  <c r="G1564" i="17"/>
  <c r="L1563" i="17"/>
  <c r="K1563" i="17"/>
  <c r="J1563" i="17"/>
  <c r="I1563" i="17"/>
  <c r="H1563" i="17"/>
  <c r="G1563" i="17"/>
  <c r="L1562" i="17"/>
  <c r="K1562" i="17"/>
  <c r="J1562" i="17"/>
  <c r="I1562" i="17"/>
  <c r="H1562" i="17"/>
  <c r="G1562" i="17"/>
  <c r="L1561" i="17"/>
  <c r="K1561" i="17"/>
  <c r="J1561" i="17"/>
  <c r="I1561" i="17"/>
  <c r="H1561" i="17"/>
  <c r="G1561" i="17"/>
  <c r="L1560" i="17"/>
  <c r="K1560" i="17"/>
  <c r="J1560" i="17"/>
  <c r="I1560" i="17"/>
  <c r="H1560" i="17"/>
  <c r="G1560" i="17"/>
  <c r="L1559" i="17"/>
  <c r="K1559" i="17"/>
  <c r="J1559" i="17"/>
  <c r="I1559" i="17"/>
  <c r="H1559" i="17"/>
  <c r="G1559" i="17"/>
  <c r="L1558" i="17"/>
  <c r="K1558" i="17"/>
  <c r="J1558" i="17"/>
  <c r="I1558" i="17"/>
  <c r="H1558" i="17"/>
  <c r="G1558" i="17"/>
  <c r="L1557" i="17"/>
  <c r="K1557" i="17"/>
  <c r="J1557" i="17"/>
  <c r="I1557" i="17"/>
  <c r="H1557" i="17"/>
  <c r="G1557" i="17"/>
  <c r="L1556" i="17"/>
  <c r="K1556" i="17"/>
  <c r="J1556" i="17"/>
  <c r="I1556" i="17"/>
  <c r="H1556" i="17"/>
  <c r="G1556" i="17"/>
  <c r="L1555" i="17"/>
  <c r="K1555" i="17"/>
  <c r="J1555" i="17"/>
  <c r="I1555" i="17"/>
  <c r="H1555" i="17"/>
  <c r="G1555" i="17"/>
  <c r="L1554" i="17"/>
  <c r="K1554" i="17"/>
  <c r="J1554" i="17"/>
  <c r="I1554" i="17"/>
  <c r="H1554" i="17"/>
  <c r="G1554" i="17"/>
  <c r="L1553" i="17"/>
  <c r="K1553" i="17"/>
  <c r="J1553" i="17"/>
  <c r="I1553" i="17"/>
  <c r="H1553" i="17"/>
  <c r="G1553" i="17"/>
  <c r="L1552" i="17"/>
  <c r="K1552" i="17"/>
  <c r="J1552" i="17"/>
  <c r="I1552" i="17"/>
  <c r="H1552" i="17"/>
  <c r="G1552" i="17"/>
  <c r="L1551" i="17"/>
  <c r="K1551" i="17"/>
  <c r="J1551" i="17"/>
  <c r="I1551" i="17"/>
  <c r="H1551" i="17"/>
  <c r="G1551" i="17"/>
  <c r="L1550" i="17"/>
  <c r="K1550" i="17"/>
  <c r="J1550" i="17"/>
  <c r="I1550" i="17"/>
  <c r="H1550" i="17"/>
  <c r="G1550" i="17"/>
  <c r="L1549" i="17"/>
  <c r="K1549" i="17"/>
  <c r="J1549" i="17"/>
  <c r="I1549" i="17"/>
  <c r="H1549" i="17"/>
  <c r="G1549" i="17"/>
  <c r="L1548" i="17"/>
  <c r="K1548" i="17"/>
  <c r="J1548" i="17"/>
  <c r="I1548" i="17"/>
  <c r="H1548" i="17"/>
  <c r="G1548" i="17"/>
  <c r="L1547" i="17"/>
  <c r="K1547" i="17"/>
  <c r="J1547" i="17"/>
  <c r="I1547" i="17"/>
  <c r="H1547" i="17"/>
  <c r="G1547" i="17"/>
  <c r="L1546" i="17"/>
  <c r="K1546" i="17"/>
  <c r="J1546" i="17"/>
  <c r="I1546" i="17"/>
  <c r="H1546" i="17"/>
  <c r="G1546" i="17"/>
  <c r="L1545" i="17"/>
  <c r="K1545" i="17"/>
  <c r="J1545" i="17"/>
  <c r="I1545" i="17"/>
  <c r="H1545" i="17"/>
  <c r="G1545" i="17"/>
  <c r="L1544" i="17"/>
  <c r="K1544" i="17"/>
  <c r="J1544" i="17"/>
  <c r="I1544" i="17"/>
  <c r="H1544" i="17"/>
  <c r="G1544" i="17"/>
  <c r="L1543" i="17"/>
  <c r="K1543" i="17"/>
  <c r="J1543" i="17"/>
  <c r="I1543" i="17"/>
  <c r="H1543" i="17"/>
  <c r="G1543" i="17"/>
  <c r="L1542" i="17"/>
  <c r="K1542" i="17"/>
  <c r="J1542" i="17"/>
  <c r="I1542" i="17"/>
  <c r="H1542" i="17"/>
  <c r="G1542" i="17"/>
  <c r="L1541" i="17"/>
  <c r="K1541" i="17"/>
  <c r="J1541" i="17"/>
  <c r="I1541" i="17"/>
  <c r="H1541" i="17"/>
  <c r="G1541" i="17"/>
  <c r="L1540" i="17"/>
  <c r="K1540" i="17"/>
  <c r="J1540" i="17"/>
  <c r="I1540" i="17"/>
  <c r="H1540" i="17"/>
  <c r="G1540" i="17"/>
  <c r="L1539" i="17"/>
  <c r="K1539" i="17"/>
  <c r="J1539" i="17"/>
  <c r="I1539" i="17"/>
  <c r="H1539" i="17"/>
  <c r="G1539" i="17"/>
  <c r="L1538" i="17"/>
  <c r="K1538" i="17"/>
  <c r="J1538" i="17"/>
  <c r="I1538" i="17"/>
  <c r="H1538" i="17"/>
  <c r="G1538" i="17"/>
  <c r="L1537" i="17"/>
  <c r="K1537" i="17"/>
  <c r="J1537" i="17"/>
  <c r="I1537" i="17"/>
  <c r="H1537" i="17"/>
  <c r="G1537" i="17"/>
  <c r="L1536" i="17"/>
  <c r="K1536" i="17"/>
  <c r="J1536" i="17"/>
  <c r="I1536" i="17"/>
  <c r="H1536" i="17"/>
  <c r="G1536" i="17"/>
  <c r="L1535" i="17"/>
  <c r="K1535" i="17"/>
  <c r="J1535" i="17"/>
  <c r="I1535" i="17"/>
  <c r="H1535" i="17"/>
  <c r="G1535" i="17"/>
  <c r="L1534" i="17"/>
  <c r="K1534" i="17"/>
  <c r="J1534" i="17"/>
  <c r="I1534" i="17"/>
  <c r="H1534" i="17"/>
  <c r="G1534" i="17"/>
  <c r="L1533" i="17"/>
  <c r="K1533" i="17"/>
  <c r="J1533" i="17"/>
  <c r="I1533" i="17"/>
  <c r="H1533" i="17"/>
  <c r="G1533" i="17"/>
  <c r="L1532" i="17"/>
  <c r="K1532" i="17"/>
  <c r="J1532" i="17"/>
  <c r="I1532" i="17"/>
  <c r="H1532" i="17"/>
  <c r="G1532" i="17"/>
  <c r="L1531" i="17"/>
  <c r="K1531" i="17"/>
  <c r="J1531" i="17"/>
  <c r="I1531" i="17"/>
  <c r="H1531" i="17"/>
  <c r="G1531" i="17"/>
  <c r="L1530" i="17"/>
  <c r="K1530" i="17"/>
  <c r="J1530" i="17"/>
  <c r="I1530" i="17"/>
  <c r="H1530" i="17"/>
  <c r="G1530" i="17"/>
  <c r="L1529" i="17"/>
  <c r="K1529" i="17"/>
  <c r="J1529" i="17"/>
  <c r="I1529" i="17"/>
  <c r="H1529" i="17"/>
  <c r="G1529" i="17"/>
  <c r="L1528" i="17"/>
  <c r="K1528" i="17"/>
  <c r="J1528" i="17"/>
  <c r="I1528" i="17"/>
  <c r="H1528" i="17"/>
  <c r="G1528" i="17"/>
  <c r="L1527" i="17"/>
  <c r="K1527" i="17"/>
  <c r="J1527" i="17"/>
  <c r="I1527" i="17"/>
  <c r="H1527" i="17"/>
  <c r="G1527" i="17"/>
  <c r="L1526" i="17"/>
  <c r="K1526" i="17"/>
  <c r="J1526" i="17"/>
  <c r="I1526" i="17"/>
  <c r="H1526" i="17"/>
  <c r="G1526" i="17"/>
  <c r="L1525" i="17"/>
  <c r="K1525" i="17"/>
  <c r="J1525" i="17"/>
  <c r="I1525" i="17"/>
  <c r="H1525" i="17"/>
  <c r="G1525" i="17"/>
  <c r="L1524" i="17"/>
  <c r="K1524" i="17"/>
  <c r="J1524" i="17"/>
  <c r="I1524" i="17"/>
  <c r="H1524" i="17"/>
  <c r="G1524" i="17"/>
  <c r="L1523" i="17"/>
  <c r="K1523" i="17"/>
  <c r="J1523" i="17"/>
  <c r="I1523" i="17"/>
  <c r="H1523" i="17"/>
  <c r="G1523" i="17"/>
  <c r="L1522" i="17"/>
  <c r="K1522" i="17"/>
  <c r="J1522" i="17"/>
  <c r="I1522" i="17"/>
  <c r="H1522" i="17"/>
  <c r="G1522" i="17"/>
  <c r="L1521" i="17"/>
  <c r="K1521" i="17"/>
  <c r="J1521" i="17"/>
  <c r="I1521" i="17"/>
  <c r="H1521" i="17"/>
  <c r="G1521" i="17"/>
  <c r="L1520" i="17"/>
  <c r="K1520" i="17"/>
  <c r="J1520" i="17"/>
  <c r="I1520" i="17"/>
  <c r="H1520" i="17"/>
  <c r="G1520" i="17"/>
  <c r="L1519" i="17"/>
  <c r="K1519" i="17"/>
  <c r="J1519" i="17"/>
  <c r="I1519" i="17"/>
  <c r="H1519" i="17"/>
  <c r="G1519" i="17"/>
  <c r="L1518" i="17"/>
  <c r="K1518" i="17"/>
  <c r="J1518" i="17"/>
  <c r="I1518" i="17"/>
  <c r="H1518" i="17"/>
  <c r="G1518" i="17"/>
  <c r="L1517" i="17"/>
  <c r="K1517" i="17"/>
  <c r="J1517" i="17"/>
  <c r="I1517" i="17"/>
  <c r="H1517" i="17"/>
  <c r="G1517" i="17"/>
  <c r="L1516" i="17"/>
  <c r="K1516" i="17"/>
  <c r="J1516" i="17"/>
  <c r="I1516" i="17"/>
  <c r="H1516" i="17"/>
  <c r="G1516" i="17"/>
  <c r="L1515" i="17"/>
  <c r="K1515" i="17"/>
  <c r="J1515" i="17"/>
  <c r="I1515" i="17"/>
  <c r="H1515" i="17"/>
  <c r="G1515" i="17"/>
  <c r="L1514" i="17"/>
  <c r="K1514" i="17"/>
  <c r="J1514" i="17"/>
  <c r="I1514" i="17"/>
  <c r="H1514" i="17"/>
  <c r="G1514" i="17"/>
  <c r="L1513" i="17"/>
  <c r="K1513" i="17"/>
  <c r="J1513" i="17"/>
  <c r="I1513" i="17"/>
  <c r="H1513" i="17"/>
  <c r="G1513" i="17"/>
  <c r="L1512" i="17"/>
  <c r="K1512" i="17"/>
  <c r="J1512" i="17"/>
  <c r="I1512" i="17"/>
  <c r="H1512" i="17"/>
  <c r="G1512" i="17"/>
  <c r="L1511" i="17"/>
  <c r="K1511" i="17"/>
  <c r="J1511" i="17"/>
  <c r="I1511" i="17"/>
  <c r="H1511" i="17"/>
  <c r="G1511" i="17"/>
  <c r="L1510" i="17"/>
  <c r="K1510" i="17"/>
  <c r="J1510" i="17"/>
  <c r="I1510" i="17"/>
  <c r="H1510" i="17"/>
  <c r="G1510" i="17"/>
  <c r="L1509" i="17"/>
  <c r="K1509" i="17"/>
  <c r="J1509" i="17"/>
  <c r="I1509" i="17"/>
  <c r="H1509" i="17"/>
  <c r="G1509" i="17"/>
  <c r="L1508" i="17"/>
  <c r="K1508" i="17"/>
  <c r="J1508" i="17"/>
  <c r="I1508" i="17"/>
  <c r="H1508" i="17"/>
  <c r="G1508" i="17"/>
  <c r="L1507" i="17"/>
  <c r="K1507" i="17"/>
  <c r="J1507" i="17"/>
  <c r="I1507" i="17"/>
  <c r="H1507" i="17"/>
  <c r="G1507" i="17"/>
  <c r="L1506" i="17"/>
  <c r="K1506" i="17"/>
  <c r="J1506" i="17"/>
  <c r="I1506" i="17"/>
  <c r="H1506" i="17"/>
  <c r="G1506" i="17"/>
  <c r="L1505" i="17"/>
  <c r="K1505" i="17"/>
  <c r="J1505" i="17"/>
  <c r="I1505" i="17"/>
  <c r="H1505" i="17"/>
  <c r="G1505" i="17"/>
  <c r="L1504" i="17"/>
  <c r="K1504" i="17"/>
  <c r="J1504" i="17"/>
  <c r="I1504" i="17"/>
  <c r="H1504" i="17"/>
  <c r="G1504" i="17"/>
  <c r="L1503" i="17"/>
  <c r="K1503" i="17"/>
  <c r="J1503" i="17"/>
  <c r="I1503" i="17"/>
  <c r="H1503" i="17"/>
  <c r="G1503" i="17"/>
  <c r="L1502" i="17"/>
  <c r="K1502" i="17"/>
  <c r="J1502" i="17"/>
  <c r="I1502" i="17"/>
  <c r="H1502" i="17"/>
  <c r="G1502" i="17"/>
  <c r="L1501" i="17"/>
  <c r="K1501" i="17"/>
  <c r="J1501" i="17"/>
  <c r="I1501" i="17"/>
  <c r="H1501" i="17"/>
  <c r="G1501" i="17"/>
  <c r="L1500" i="17"/>
  <c r="K1500" i="17"/>
  <c r="J1500" i="17"/>
  <c r="I1500" i="17"/>
  <c r="H1500" i="17"/>
  <c r="G1500" i="17"/>
  <c r="L1499" i="17"/>
  <c r="K1499" i="17"/>
  <c r="J1499" i="17"/>
  <c r="I1499" i="17"/>
  <c r="H1499" i="17"/>
  <c r="G1499" i="17"/>
  <c r="L1498" i="17"/>
  <c r="K1498" i="17"/>
  <c r="J1498" i="17"/>
  <c r="I1498" i="17"/>
  <c r="H1498" i="17"/>
  <c r="G1498" i="17"/>
  <c r="L1497" i="17"/>
  <c r="K1497" i="17"/>
  <c r="J1497" i="17"/>
  <c r="I1497" i="17"/>
  <c r="H1497" i="17"/>
  <c r="G1497" i="17"/>
  <c r="L1496" i="17"/>
  <c r="K1496" i="17"/>
  <c r="J1496" i="17"/>
  <c r="I1496" i="17"/>
  <c r="H1496" i="17"/>
  <c r="G1496" i="17"/>
  <c r="L1495" i="17"/>
  <c r="K1495" i="17"/>
  <c r="J1495" i="17"/>
  <c r="I1495" i="17"/>
  <c r="H1495" i="17"/>
  <c r="G1495" i="17"/>
  <c r="L1494" i="17"/>
  <c r="K1494" i="17"/>
  <c r="J1494" i="17"/>
  <c r="I1494" i="17"/>
  <c r="H1494" i="17"/>
  <c r="G1494" i="17"/>
  <c r="L1493" i="17"/>
  <c r="K1493" i="17"/>
  <c r="J1493" i="17"/>
  <c r="I1493" i="17"/>
  <c r="H1493" i="17"/>
  <c r="G1493" i="17"/>
  <c r="L1492" i="17"/>
  <c r="K1492" i="17"/>
  <c r="J1492" i="17"/>
  <c r="I1492" i="17"/>
  <c r="H1492" i="17"/>
  <c r="G1492" i="17"/>
  <c r="L1491" i="17"/>
  <c r="K1491" i="17"/>
  <c r="J1491" i="17"/>
  <c r="I1491" i="17"/>
  <c r="H1491" i="17"/>
  <c r="G1491" i="17"/>
  <c r="L1490" i="17"/>
  <c r="K1490" i="17"/>
  <c r="J1490" i="17"/>
  <c r="I1490" i="17"/>
  <c r="H1490" i="17"/>
  <c r="G1490" i="17"/>
  <c r="L1489" i="17"/>
  <c r="K1489" i="17"/>
  <c r="J1489" i="17"/>
  <c r="I1489" i="17"/>
  <c r="H1489" i="17"/>
  <c r="G1489" i="17"/>
  <c r="L1488" i="17"/>
  <c r="K1488" i="17"/>
  <c r="J1488" i="17"/>
  <c r="I1488" i="17"/>
  <c r="H1488" i="17"/>
  <c r="G1488" i="17"/>
  <c r="L1487" i="17"/>
  <c r="K1487" i="17"/>
  <c r="J1487" i="17"/>
  <c r="I1487" i="17"/>
  <c r="H1487" i="17"/>
  <c r="G1487" i="17"/>
  <c r="L1486" i="17"/>
  <c r="K1486" i="17"/>
  <c r="J1486" i="17"/>
  <c r="I1486" i="17"/>
  <c r="H1486" i="17"/>
  <c r="G1486" i="17"/>
  <c r="L1485" i="17"/>
  <c r="K1485" i="17"/>
  <c r="J1485" i="17"/>
  <c r="I1485" i="17"/>
  <c r="H1485" i="17"/>
  <c r="G1485" i="17"/>
  <c r="L1484" i="17"/>
  <c r="K1484" i="17"/>
  <c r="J1484" i="17"/>
  <c r="I1484" i="17"/>
  <c r="H1484" i="17"/>
  <c r="G1484" i="17"/>
  <c r="L1483" i="17"/>
  <c r="K1483" i="17"/>
  <c r="J1483" i="17"/>
  <c r="I1483" i="17"/>
  <c r="H1483" i="17"/>
  <c r="G1483" i="17"/>
  <c r="L1482" i="17"/>
  <c r="K1482" i="17"/>
  <c r="J1482" i="17"/>
  <c r="I1482" i="17"/>
  <c r="H1482" i="17"/>
  <c r="G1482" i="17"/>
  <c r="L1481" i="17"/>
  <c r="K1481" i="17"/>
  <c r="J1481" i="17"/>
  <c r="I1481" i="17"/>
  <c r="H1481" i="17"/>
  <c r="G1481" i="17"/>
  <c r="L1480" i="17"/>
  <c r="K1480" i="17"/>
  <c r="J1480" i="17"/>
  <c r="I1480" i="17"/>
  <c r="H1480" i="17"/>
  <c r="G1480" i="17"/>
  <c r="L1479" i="17"/>
  <c r="K1479" i="17"/>
  <c r="J1479" i="17"/>
  <c r="I1479" i="17"/>
  <c r="H1479" i="17"/>
  <c r="G1479" i="17"/>
  <c r="L1478" i="17"/>
  <c r="K1478" i="17"/>
  <c r="J1478" i="17"/>
  <c r="I1478" i="17"/>
  <c r="H1478" i="17"/>
  <c r="G1478" i="17"/>
  <c r="L1477" i="17"/>
  <c r="K1477" i="17"/>
  <c r="J1477" i="17"/>
  <c r="I1477" i="17"/>
  <c r="H1477" i="17"/>
  <c r="G1477" i="17"/>
  <c r="L1476" i="17"/>
  <c r="K1476" i="17"/>
  <c r="J1476" i="17"/>
  <c r="I1476" i="17"/>
  <c r="H1476" i="17"/>
  <c r="G1476" i="17"/>
  <c r="L1475" i="17"/>
  <c r="K1475" i="17"/>
  <c r="J1475" i="17"/>
  <c r="I1475" i="17"/>
  <c r="H1475" i="17"/>
  <c r="G1475" i="17"/>
  <c r="L1474" i="17"/>
  <c r="K1474" i="17"/>
  <c r="J1474" i="17"/>
  <c r="I1474" i="17"/>
  <c r="H1474" i="17"/>
  <c r="G1474" i="17"/>
  <c r="L1473" i="17"/>
  <c r="K1473" i="17"/>
  <c r="J1473" i="17"/>
  <c r="I1473" i="17"/>
  <c r="H1473" i="17"/>
  <c r="G1473" i="17"/>
  <c r="L1472" i="17"/>
  <c r="K1472" i="17"/>
  <c r="J1472" i="17"/>
  <c r="I1472" i="17"/>
  <c r="H1472" i="17"/>
  <c r="G1472" i="17"/>
  <c r="L1471" i="17"/>
  <c r="K1471" i="17"/>
  <c r="J1471" i="17"/>
  <c r="I1471" i="17"/>
  <c r="H1471" i="17"/>
  <c r="G1471" i="17"/>
  <c r="L1470" i="17"/>
  <c r="K1470" i="17"/>
  <c r="J1470" i="17"/>
  <c r="I1470" i="17"/>
  <c r="H1470" i="17"/>
  <c r="G1470" i="17"/>
  <c r="L1469" i="17"/>
  <c r="K1469" i="17"/>
  <c r="J1469" i="17"/>
  <c r="I1469" i="17"/>
  <c r="H1469" i="17"/>
  <c r="G1469" i="17"/>
  <c r="L1468" i="17"/>
  <c r="K1468" i="17"/>
  <c r="J1468" i="17"/>
  <c r="I1468" i="17"/>
  <c r="H1468" i="17"/>
  <c r="G1468" i="17"/>
  <c r="L1467" i="17"/>
  <c r="K1467" i="17"/>
  <c r="J1467" i="17"/>
  <c r="I1467" i="17"/>
  <c r="H1467" i="17"/>
  <c r="G1467" i="17"/>
  <c r="L1466" i="17"/>
  <c r="K1466" i="17"/>
  <c r="J1466" i="17"/>
  <c r="I1466" i="17"/>
  <c r="H1466" i="17"/>
  <c r="G1466" i="17"/>
  <c r="L1465" i="17"/>
  <c r="K1465" i="17"/>
  <c r="J1465" i="17"/>
  <c r="I1465" i="17"/>
  <c r="H1465" i="17"/>
  <c r="G1465" i="17"/>
  <c r="L1464" i="17"/>
  <c r="K1464" i="17"/>
  <c r="J1464" i="17"/>
  <c r="I1464" i="17"/>
  <c r="H1464" i="17"/>
  <c r="G1464" i="17"/>
  <c r="L1463" i="17"/>
  <c r="K1463" i="17"/>
  <c r="J1463" i="17"/>
  <c r="I1463" i="17"/>
  <c r="H1463" i="17"/>
  <c r="G1463" i="17"/>
  <c r="L1462" i="17"/>
  <c r="K1462" i="17"/>
  <c r="J1462" i="17"/>
  <c r="I1462" i="17"/>
  <c r="H1462" i="17"/>
  <c r="G1462" i="17"/>
  <c r="L1461" i="17"/>
  <c r="K1461" i="17"/>
  <c r="J1461" i="17"/>
  <c r="I1461" i="17"/>
  <c r="H1461" i="17"/>
  <c r="G1461" i="17"/>
  <c r="L1460" i="17"/>
  <c r="K1460" i="17"/>
  <c r="J1460" i="17"/>
  <c r="I1460" i="17"/>
  <c r="H1460" i="17"/>
  <c r="G1460" i="17"/>
  <c r="L1459" i="17"/>
  <c r="K1459" i="17"/>
  <c r="J1459" i="17"/>
  <c r="I1459" i="17"/>
  <c r="H1459" i="17"/>
  <c r="G1459" i="17"/>
  <c r="L1458" i="17"/>
  <c r="K1458" i="17"/>
  <c r="J1458" i="17"/>
  <c r="I1458" i="17"/>
  <c r="H1458" i="17"/>
  <c r="G1458" i="17"/>
  <c r="L1457" i="17"/>
  <c r="K1457" i="17"/>
  <c r="J1457" i="17"/>
  <c r="I1457" i="17"/>
  <c r="H1457" i="17"/>
  <c r="G1457" i="17"/>
  <c r="L1456" i="17"/>
  <c r="K1456" i="17"/>
  <c r="J1456" i="17"/>
  <c r="I1456" i="17"/>
  <c r="H1456" i="17"/>
  <c r="G1456" i="17"/>
  <c r="L1455" i="17"/>
  <c r="K1455" i="17"/>
  <c r="J1455" i="17"/>
  <c r="I1455" i="17"/>
  <c r="H1455" i="17"/>
  <c r="G1455" i="17"/>
  <c r="L1454" i="17"/>
  <c r="K1454" i="17"/>
  <c r="J1454" i="17"/>
  <c r="I1454" i="17"/>
  <c r="H1454" i="17"/>
  <c r="G1454" i="17"/>
  <c r="L1453" i="17"/>
  <c r="K1453" i="17"/>
  <c r="J1453" i="17"/>
  <c r="I1453" i="17"/>
  <c r="H1453" i="17"/>
  <c r="G1453" i="17"/>
  <c r="L1452" i="17"/>
  <c r="K1452" i="17"/>
  <c r="J1452" i="17"/>
  <c r="I1452" i="17"/>
  <c r="H1452" i="17"/>
  <c r="G1452" i="17"/>
  <c r="L1451" i="17"/>
  <c r="K1451" i="17"/>
  <c r="J1451" i="17"/>
  <c r="I1451" i="17"/>
  <c r="H1451" i="17"/>
  <c r="G1451" i="17"/>
  <c r="L1450" i="17"/>
  <c r="K1450" i="17"/>
  <c r="J1450" i="17"/>
  <c r="I1450" i="17"/>
  <c r="H1450" i="17"/>
  <c r="G1450" i="17"/>
  <c r="L1449" i="17"/>
  <c r="K1449" i="17"/>
  <c r="J1449" i="17"/>
  <c r="I1449" i="17"/>
  <c r="H1449" i="17"/>
  <c r="G1449" i="17"/>
  <c r="L1448" i="17"/>
  <c r="K1448" i="17"/>
  <c r="J1448" i="17"/>
  <c r="I1448" i="17"/>
  <c r="H1448" i="17"/>
  <c r="G1448" i="17"/>
  <c r="L1447" i="17"/>
  <c r="K1447" i="17"/>
  <c r="J1447" i="17"/>
  <c r="I1447" i="17"/>
  <c r="H1447" i="17"/>
  <c r="G1447" i="17"/>
  <c r="L1446" i="17"/>
  <c r="K1446" i="17"/>
  <c r="J1446" i="17"/>
  <c r="I1446" i="17"/>
  <c r="H1446" i="17"/>
  <c r="G1446" i="17"/>
  <c r="L1445" i="17"/>
  <c r="K1445" i="17"/>
  <c r="J1445" i="17"/>
  <c r="I1445" i="17"/>
  <c r="H1445" i="17"/>
  <c r="G1445" i="17"/>
  <c r="L1444" i="17"/>
  <c r="K1444" i="17"/>
  <c r="J1444" i="17"/>
  <c r="I1444" i="17"/>
  <c r="H1444" i="17"/>
  <c r="G1444" i="17"/>
  <c r="L1443" i="17"/>
  <c r="K1443" i="17"/>
  <c r="J1443" i="17"/>
  <c r="I1443" i="17"/>
  <c r="H1443" i="17"/>
  <c r="G1443" i="17"/>
  <c r="L1442" i="17"/>
  <c r="K1442" i="17"/>
  <c r="J1442" i="17"/>
  <c r="I1442" i="17"/>
  <c r="H1442" i="17"/>
  <c r="G1442" i="17"/>
  <c r="L1441" i="17"/>
  <c r="K1441" i="17"/>
  <c r="J1441" i="17"/>
  <c r="I1441" i="17"/>
  <c r="H1441" i="17"/>
  <c r="G1441" i="17"/>
  <c r="L1440" i="17"/>
  <c r="K1440" i="17"/>
  <c r="J1440" i="17"/>
  <c r="I1440" i="17"/>
  <c r="H1440" i="17"/>
  <c r="G1440" i="17"/>
  <c r="L1439" i="17"/>
  <c r="K1439" i="17"/>
  <c r="J1439" i="17"/>
  <c r="I1439" i="17"/>
  <c r="H1439" i="17"/>
  <c r="G1439" i="17"/>
  <c r="L1438" i="17"/>
  <c r="K1438" i="17"/>
  <c r="J1438" i="17"/>
  <c r="I1438" i="17"/>
  <c r="H1438" i="17"/>
  <c r="G1438" i="17"/>
  <c r="L1437" i="17"/>
  <c r="K1437" i="17"/>
  <c r="J1437" i="17"/>
  <c r="I1437" i="17"/>
  <c r="H1437" i="17"/>
  <c r="G1437" i="17"/>
  <c r="L1436" i="17"/>
  <c r="K1436" i="17"/>
  <c r="J1436" i="17"/>
  <c r="I1436" i="17"/>
  <c r="H1436" i="17"/>
  <c r="G1436" i="17"/>
  <c r="L1435" i="17"/>
  <c r="K1435" i="17"/>
  <c r="J1435" i="17"/>
  <c r="I1435" i="17"/>
  <c r="H1435" i="17"/>
  <c r="G1435" i="17"/>
  <c r="L1434" i="17"/>
  <c r="K1434" i="17"/>
  <c r="J1434" i="17"/>
  <c r="I1434" i="17"/>
  <c r="H1434" i="17"/>
  <c r="G1434" i="17"/>
  <c r="L1433" i="17"/>
  <c r="K1433" i="17"/>
  <c r="J1433" i="17"/>
  <c r="I1433" i="17"/>
  <c r="H1433" i="17"/>
  <c r="G1433" i="17"/>
  <c r="L1432" i="17"/>
  <c r="K1432" i="17"/>
  <c r="J1432" i="17"/>
  <c r="I1432" i="17"/>
  <c r="H1432" i="17"/>
  <c r="G1432" i="17"/>
  <c r="L1431" i="17"/>
  <c r="K1431" i="17"/>
  <c r="J1431" i="17"/>
  <c r="I1431" i="17"/>
  <c r="H1431" i="17"/>
  <c r="G1431" i="17"/>
  <c r="L1430" i="17"/>
  <c r="K1430" i="17"/>
  <c r="J1430" i="17"/>
  <c r="I1430" i="17"/>
  <c r="H1430" i="17"/>
  <c r="G1430" i="17"/>
  <c r="L1429" i="17"/>
  <c r="K1429" i="17"/>
  <c r="J1429" i="17"/>
  <c r="I1429" i="17"/>
  <c r="H1429" i="17"/>
  <c r="G1429" i="17"/>
  <c r="L1428" i="17"/>
  <c r="K1428" i="17"/>
  <c r="J1428" i="17"/>
  <c r="I1428" i="17"/>
  <c r="H1428" i="17"/>
  <c r="G1428" i="17"/>
  <c r="L1427" i="17"/>
  <c r="K1427" i="17"/>
  <c r="J1427" i="17"/>
  <c r="I1427" i="17"/>
  <c r="H1427" i="17"/>
  <c r="G1427" i="17"/>
  <c r="L1426" i="17"/>
  <c r="K1426" i="17"/>
  <c r="J1426" i="17"/>
  <c r="I1426" i="17"/>
  <c r="H1426" i="17"/>
  <c r="G1426" i="17"/>
  <c r="L1425" i="17"/>
  <c r="K1425" i="17"/>
  <c r="J1425" i="17"/>
  <c r="I1425" i="17"/>
  <c r="H1425" i="17"/>
  <c r="G1425" i="17"/>
  <c r="L1424" i="17"/>
  <c r="K1424" i="17"/>
  <c r="J1424" i="17"/>
  <c r="I1424" i="17"/>
  <c r="H1424" i="17"/>
  <c r="G1424" i="17"/>
  <c r="L1423" i="17"/>
  <c r="K1423" i="17"/>
  <c r="J1423" i="17"/>
  <c r="I1423" i="17"/>
  <c r="H1423" i="17"/>
  <c r="G1423" i="17"/>
  <c r="L1422" i="17"/>
  <c r="K1422" i="17"/>
  <c r="J1422" i="17"/>
  <c r="I1422" i="17"/>
  <c r="H1422" i="17"/>
  <c r="G1422" i="17"/>
  <c r="L1421" i="17"/>
  <c r="K1421" i="17"/>
  <c r="J1421" i="17"/>
  <c r="I1421" i="17"/>
  <c r="H1421" i="17"/>
  <c r="G1421" i="17"/>
  <c r="L1420" i="17"/>
  <c r="K1420" i="17"/>
  <c r="J1420" i="17"/>
  <c r="I1420" i="17"/>
  <c r="H1420" i="17"/>
  <c r="G1420" i="17"/>
  <c r="L1419" i="17"/>
  <c r="K1419" i="17"/>
  <c r="J1419" i="17"/>
  <c r="I1419" i="17"/>
  <c r="H1419" i="17"/>
  <c r="G1419" i="17"/>
  <c r="L1418" i="17"/>
  <c r="K1418" i="17"/>
  <c r="J1418" i="17"/>
  <c r="I1418" i="17"/>
  <c r="H1418" i="17"/>
  <c r="G1418" i="17"/>
  <c r="L1417" i="17"/>
  <c r="K1417" i="17"/>
  <c r="J1417" i="17"/>
  <c r="I1417" i="17"/>
  <c r="H1417" i="17"/>
  <c r="G1417" i="17"/>
  <c r="L1416" i="17"/>
  <c r="K1416" i="17"/>
  <c r="J1416" i="17"/>
  <c r="I1416" i="17"/>
  <c r="H1416" i="17"/>
  <c r="G1416" i="17"/>
  <c r="L1415" i="17"/>
  <c r="K1415" i="17"/>
  <c r="J1415" i="17"/>
  <c r="I1415" i="17"/>
  <c r="H1415" i="17"/>
  <c r="G1415" i="17"/>
  <c r="L1414" i="17"/>
  <c r="K1414" i="17"/>
  <c r="J1414" i="17"/>
  <c r="I1414" i="17"/>
  <c r="H1414" i="17"/>
  <c r="G1414" i="17"/>
  <c r="L1413" i="17"/>
  <c r="K1413" i="17"/>
  <c r="J1413" i="17"/>
  <c r="I1413" i="17"/>
  <c r="H1413" i="17"/>
  <c r="G1413" i="17"/>
  <c r="L1412" i="17"/>
  <c r="K1412" i="17"/>
  <c r="J1412" i="17"/>
  <c r="I1412" i="17"/>
  <c r="H1412" i="17"/>
  <c r="G1412" i="17"/>
  <c r="L1411" i="17"/>
  <c r="K1411" i="17"/>
  <c r="J1411" i="17"/>
  <c r="I1411" i="17"/>
  <c r="H1411" i="17"/>
  <c r="G1411" i="17"/>
  <c r="L1410" i="17"/>
  <c r="K1410" i="17"/>
  <c r="J1410" i="17"/>
  <c r="I1410" i="17"/>
  <c r="H1410" i="17"/>
  <c r="G1410" i="17"/>
  <c r="L1409" i="17"/>
  <c r="K1409" i="17"/>
  <c r="J1409" i="17"/>
  <c r="I1409" i="17"/>
  <c r="H1409" i="17"/>
  <c r="G1409" i="17"/>
  <c r="L1408" i="17"/>
  <c r="K1408" i="17"/>
  <c r="J1408" i="17"/>
  <c r="I1408" i="17"/>
  <c r="H1408" i="17"/>
  <c r="G1408" i="17"/>
  <c r="L1407" i="17"/>
  <c r="K1407" i="17"/>
  <c r="J1407" i="17"/>
  <c r="I1407" i="17"/>
  <c r="H1407" i="17"/>
  <c r="G1407" i="17"/>
  <c r="L1406" i="17"/>
  <c r="K1406" i="17"/>
  <c r="J1406" i="17"/>
  <c r="I1406" i="17"/>
  <c r="H1406" i="17"/>
  <c r="G1406" i="17"/>
  <c r="L1405" i="17"/>
  <c r="K1405" i="17"/>
  <c r="J1405" i="17"/>
  <c r="I1405" i="17"/>
  <c r="H1405" i="17"/>
  <c r="G1405" i="17"/>
  <c r="L1404" i="17"/>
  <c r="K1404" i="17"/>
  <c r="J1404" i="17"/>
  <c r="I1404" i="17"/>
  <c r="H1404" i="17"/>
  <c r="G1404" i="17"/>
  <c r="L1403" i="17"/>
  <c r="K1403" i="17"/>
  <c r="J1403" i="17"/>
  <c r="I1403" i="17"/>
  <c r="H1403" i="17"/>
  <c r="G1403" i="17"/>
  <c r="L1402" i="17"/>
  <c r="K1402" i="17"/>
  <c r="J1402" i="17"/>
  <c r="I1402" i="17"/>
  <c r="H1402" i="17"/>
  <c r="G1402" i="17"/>
  <c r="L1401" i="17"/>
  <c r="K1401" i="17"/>
  <c r="J1401" i="17"/>
  <c r="I1401" i="17"/>
  <c r="H1401" i="17"/>
  <c r="G1401" i="17"/>
  <c r="L1400" i="17"/>
  <c r="K1400" i="17"/>
  <c r="J1400" i="17"/>
  <c r="I1400" i="17"/>
  <c r="H1400" i="17"/>
  <c r="G1400" i="17"/>
  <c r="L1399" i="17"/>
  <c r="K1399" i="17"/>
  <c r="J1399" i="17"/>
  <c r="I1399" i="17"/>
  <c r="H1399" i="17"/>
  <c r="G1399" i="17"/>
  <c r="L1398" i="17"/>
  <c r="K1398" i="17"/>
  <c r="J1398" i="17"/>
  <c r="I1398" i="17"/>
  <c r="H1398" i="17"/>
  <c r="G1398" i="17"/>
  <c r="L1397" i="17"/>
  <c r="K1397" i="17"/>
  <c r="J1397" i="17"/>
  <c r="I1397" i="17"/>
  <c r="H1397" i="17"/>
  <c r="G1397" i="17"/>
  <c r="L1396" i="17"/>
  <c r="K1396" i="17"/>
  <c r="J1396" i="17"/>
  <c r="I1396" i="17"/>
  <c r="H1396" i="17"/>
  <c r="G1396" i="17"/>
  <c r="L1395" i="17"/>
  <c r="K1395" i="17"/>
  <c r="J1395" i="17"/>
  <c r="I1395" i="17"/>
  <c r="H1395" i="17"/>
  <c r="G1395" i="17"/>
  <c r="L1394" i="17"/>
  <c r="K1394" i="17"/>
  <c r="J1394" i="17"/>
  <c r="I1394" i="17"/>
  <c r="H1394" i="17"/>
  <c r="G1394" i="17"/>
  <c r="L1393" i="17"/>
  <c r="K1393" i="17"/>
  <c r="J1393" i="17"/>
  <c r="I1393" i="17"/>
  <c r="H1393" i="17"/>
  <c r="G1393" i="17"/>
  <c r="L1392" i="17"/>
  <c r="K1392" i="17"/>
  <c r="J1392" i="17"/>
  <c r="I1392" i="17"/>
  <c r="H1392" i="17"/>
  <c r="G1392" i="17"/>
  <c r="L1391" i="17"/>
  <c r="K1391" i="17"/>
  <c r="J1391" i="17"/>
  <c r="I1391" i="17"/>
  <c r="H1391" i="17"/>
  <c r="G1391" i="17"/>
  <c r="L1390" i="17"/>
  <c r="K1390" i="17"/>
  <c r="J1390" i="17"/>
  <c r="I1390" i="17"/>
  <c r="H1390" i="17"/>
  <c r="G1390" i="17"/>
  <c r="L1389" i="17"/>
  <c r="K1389" i="17"/>
  <c r="J1389" i="17"/>
  <c r="I1389" i="17"/>
  <c r="H1389" i="17"/>
  <c r="G1389" i="17"/>
  <c r="L1388" i="17"/>
  <c r="K1388" i="17"/>
  <c r="J1388" i="17"/>
  <c r="I1388" i="17"/>
  <c r="H1388" i="17"/>
  <c r="G1388" i="17"/>
  <c r="L1387" i="17"/>
  <c r="K1387" i="17"/>
  <c r="J1387" i="17"/>
  <c r="I1387" i="17"/>
  <c r="H1387" i="17"/>
  <c r="G1387" i="17"/>
  <c r="L1386" i="17"/>
  <c r="K1386" i="17"/>
  <c r="J1386" i="17"/>
  <c r="I1386" i="17"/>
  <c r="H1386" i="17"/>
  <c r="G1386" i="17"/>
  <c r="L1385" i="17"/>
  <c r="K1385" i="17"/>
  <c r="J1385" i="17"/>
  <c r="I1385" i="17"/>
  <c r="H1385" i="17"/>
  <c r="G1385" i="17"/>
  <c r="L1384" i="17"/>
  <c r="K1384" i="17"/>
  <c r="J1384" i="17"/>
  <c r="I1384" i="17"/>
  <c r="H1384" i="17"/>
  <c r="G1384" i="17"/>
  <c r="L1383" i="17"/>
  <c r="K1383" i="17"/>
  <c r="J1383" i="17"/>
  <c r="I1383" i="17"/>
  <c r="H1383" i="17"/>
  <c r="G1383" i="17"/>
  <c r="L1382" i="17"/>
  <c r="K1382" i="17"/>
  <c r="J1382" i="17"/>
  <c r="I1382" i="17"/>
  <c r="H1382" i="17"/>
  <c r="G1382" i="17"/>
  <c r="L1381" i="17"/>
  <c r="K1381" i="17"/>
  <c r="J1381" i="17"/>
  <c r="I1381" i="17"/>
  <c r="H1381" i="17"/>
  <c r="G1381" i="17"/>
  <c r="L1380" i="17"/>
  <c r="K1380" i="17"/>
  <c r="J1380" i="17"/>
  <c r="I1380" i="17"/>
  <c r="H1380" i="17"/>
  <c r="G1380" i="17"/>
  <c r="L1379" i="17"/>
  <c r="K1379" i="17"/>
  <c r="J1379" i="17"/>
  <c r="I1379" i="17"/>
  <c r="H1379" i="17"/>
  <c r="G1379" i="17"/>
  <c r="L1378" i="17"/>
  <c r="K1378" i="17"/>
  <c r="J1378" i="17"/>
  <c r="I1378" i="17"/>
  <c r="H1378" i="17"/>
  <c r="G1378" i="17"/>
  <c r="L1377" i="17"/>
  <c r="K1377" i="17"/>
  <c r="J1377" i="17"/>
  <c r="I1377" i="17"/>
  <c r="H1377" i="17"/>
  <c r="G1377" i="17"/>
  <c r="L1376" i="17"/>
  <c r="K1376" i="17"/>
  <c r="J1376" i="17"/>
  <c r="I1376" i="17"/>
  <c r="H1376" i="17"/>
  <c r="G1376" i="17"/>
  <c r="L1375" i="17"/>
  <c r="K1375" i="17"/>
  <c r="J1375" i="17"/>
  <c r="I1375" i="17"/>
  <c r="H1375" i="17"/>
  <c r="G1375" i="17"/>
  <c r="L1374" i="17"/>
  <c r="K1374" i="17"/>
  <c r="J1374" i="17"/>
  <c r="I1374" i="17"/>
  <c r="H1374" i="17"/>
  <c r="G1374" i="17"/>
  <c r="L1373" i="17"/>
  <c r="K1373" i="17"/>
  <c r="J1373" i="17"/>
  <c r="I1373" i="17"/>
  <c r="H1373" i="17"/>
  <c r="G1373" i="17"/>
  <c r="L1372" i="17"/>
  <c r="K1372" i="17"/>
  <c r="J1372" i="17"/>
  <c r="I1372" i="17"/>
  <c r="H1372" i="17"/>
  <c r="G1372" i="17"/>
  <c r="L1371" i="17"/>
  <c r="K1371" i="17"/>
  <c r="J1371" i="17"/>
  <c r="I1371" i="17"/>
  <c r="H1371" i="17"/>
  <c r="G1371" i="17"/>
  <c r="L1370" i="17"/>
  <c r="K1370" i="17"/>
  <c r="J1370" i="17"/>
  <c r="I1370" i="17"/>
  <c r="H1370" i="17"/>
  <c r="G1370" i="17"/>
  <c r="L1369" i="17"/>
  <c r="K1369" i="17"/>
  <c r="J1369" i="17"/>
  <c r="I1369" i="17"/>
  <c r="H1369" i="17"/>
  <c r="G1369" i="17"/>
  <c r="L1368" i="17"/>
  <c r="K1368" i="17"/>
  <c r="J1368" i="17"/>
  <c r="I1368" i="17"/>
  <c r="H1368" i="17"/>
  <c r="G1368" i="17"/>
  <c r="L1367" i="17"/>
  <c r="K1367" i="17"/>
  <c r="J1367" i="17"/>
  <c r="I1367" i="17"/>
  <c r="H1367" i="17"/>
  <c r="G1367" i="17"/>
  <c r="L1366" i="17"/>
  <c r="K1366" i="17"/>
  <c r="J1366" i="17"/>
  <c r="I1366" i="17"/>
  <c r="H1366" i="17"/>
  <c r="G1366" i="17"/>
  <c r="L1365" i="17"/>
  <c r="K1365" i="17"/>
  <c r="J1365" i="17"/>
  <c r="I1365" i="17"/>
  <c r="H1365" i="17"/>
  <c r="G1365" i="17"/>
  <c r="L1364" i="17"/>
  <c r="K1364" i="17"/>
  <c r="J1364" i="17"/>
  <c r="I1364" i="17"/>
  <c r="H1364" i="17"/>
  <c r="G1364" i="17"/>
  <c r="L1363" i="17"/>
  <c r="K1363" i="17"/>
  <c r="J1363" i="17"/>
  <c r="I1363" i="17"/>
  <c r="H1363" i="17"/>
  <c r="G1363" i="17"/>
  <c r="L1362" i="17"/>
  <c r="K1362" i="17"/>
  <c r="J1362" i="17"/>
  <c r="I1362" i="17"/>
  <c r="H1362" i="17"/>
  <c r="G1362" i="17"/>
  <c r="L1361" i="17"/>
  <c r="K1361" i="17"/>
  <c r="J1361" i="17"/>
  <c r="I1361" i="17"/>
  <c r="H1361" i="17"/>
  <c r="G1361" i="17"/>
  <c r="L1360" i="17"/>
  <c r="K1360" i="17"/>
  <c r="J1360" i="17"/>
  <c r="I1360" i="17"/>
  <c r="H1360" i="17"/>
  <c r="G1360" i="17"/>
  <c r="L1359" i="17"/>
  <c r="K1359" i="17"/>
  <c r="J1359" i="17"/>
  <c r="I1359" i="17"/>
  <c r="H1359" i="17"/>
  <c r="G1359" i="17"/>
  <c r="L1358" i="17"/>
  <c r="K1358" i="17"/>
  <c r="J1358" i="17"/>
  <c r="I1358" i="17"/>
  <c r="H1358" i="17"/>
  <c r="G1358" i="17"/>
  <c r="L1357" i="17"/>
  <c r="K1357" i="17"/>
  <c r="J1357" i="17"/>
  <c r="I1357" i="17"/>
  <c r="H1357" i="17"/>
  <c r="G1357" i="17"/>
  <c r="L1356" i="17"/>
  <c r="K1356" i="17"/>
  <c r="J1356" i="17"/>
  <c r="I1356" i="17"/>
  <c r="H1356" i="17"/>
  <c r="G1356" i="17"/>
  <c r="L1355" i="17"/>
  <c r="K1355" i="17"/>
  <c r="J1355" i="17"/>
  <c r="I1355" i="17"/>
  <c r="H1355" i="17"/>
  <c r="G1355" i="17"/>
  <c r="L1354" i="17"/>
  <c r="K1354" i="17"/>
  <c r="J1354" i="17"/>
  <c r="I1354" i="17"/>
  <c r="H1354" i="17"/>
  <c r="G1354" i="17"/>
  <c r="L1353" i="17"/>
  <c r="K1353" i="17"/>
  <c r="J1353" i="17"/>
  <c r="I1353" i="17"/>
  <c r="H1353" i="17"/>
  <c r="G1353" i="17"/>
  <c r="L1352" i="17"/>
  <c r="K1352" i="17"/>
  <c r="J1352" i="17"/>
  <c r="I1352" i="17"/>
  <c r="H1352" i="17"/>
  <c r="G1352" i="17"/>
  <c r="L1351" i="17"/>
  <c r="K1351" i="17"/>
  <c r="J1351" i="17"/>
  <c r="I1351" i="17"/>
  <c r="H1351" i="17"/>
  <c r="G1351" i="17"/>
  <c r="L1350" i="17"/>
  <c r="K1350" i="17"/>
  <c r="J1350" i="17"/>
  <c r="I1350" i="17"/>
  <c r="H1350" i="17"/>
  <c r="G1350" i="17"/>
  <c r="L1349" i="17"/>
  <c r="K1349" i="17"/>
  <c r="J1349" i="17"/>
  <c r="I1349" i="17"/>
  <c r="H1349" i="17"/>
  <c r="G1349" i="17"/>
  <c r="L1348" i="17"/>
  <c r="K1348" i="17"/>
  <c r="J1348" i="17"/>
  <c r="I1348" i="17"/>
  <c r="H1348" i="17"/>
  <c r="G1348" i="17"/>
  <c r="L1347" i="17"/>
  <c r="K1347" i="17"/>
  <c r="J1347" i="17"/>
  <c r="I1347" i="17"/>
  <c r="H1347" i="17"/>
  <c r="G1347" i="17"/>
  <c r="L1346" i="17"/>
  <c r="K1346" i="17"/>
  <c r="J1346" i="17"/>
  <c r="I1346" i="17"/>
  <c r="H1346" i="17"/>
  <c r="G1346" i="17"/>
  <c r="L1345" i="17"/>
  <c r="K1345" i="17"/>
  <c r="J1345" i="17"/>
  <c r="I1345" i="17"/>
  <c r="H1345" i="17"/>
  <c r="G1345" i="17"/>
  <c r="L1344" i="17"/>
  <c r="K1344" i="17"/>
  <c r="J1344" i="17"/>
  <c r="I1344" i="17"/>
  <c r="H1344" i="17"/>
  <c r="G1344" i="17"/>
  <c r="L1343" i="17"/>
  <c r="K1343" i="17"/>
  <c r="J1343" i="17"/>
  <c r="I1343" i="17"/>
  <c r="H1343" i="17"/>
  <c r="G1343" i="17"/>
  <c r="L1342" i="17"/>
  <c r="K1342" i="17"/>
  <c r="J1342" i="17"/>
  <c r="I1342" i="17"/>
  <c r="H1342" i="17"/>
  <c r="G1342" i="17"/>
  <c r="L1341" i="17"/>
  <c r="K1341" i="17"/>
  <c r="J1341" i="17"/>
  <c r="I1341" i="17"/>
  <c r="H1341" i="17"/>
  <c r="G1341" i="17"/>
  <c r="L1340" i="17"/>
  <c r="K1340" i="17"/>
  <c r="J1340" i="17"/>
  <c r="I1340" i="17"/>
  <c r="H1340" i="17"/>
  <c r="G1340" i="17"/>
  <c r="L1339" i="17"/>
  <c r="K1339" i="17"/>
  <c r="J1339" i="17"/>
  <c r="I1339" i="17"/>
  <c r="H1339" i="17"/>
  <c r="G1339" i="17"/>
  <c r="L1338" i="17"/>
  <c r="K1338" i="17"/>
  <c r="J1338" i="17"/>
  <c r="I1338" i="17"/>
  <c r="H1338" i="17"/>
  <c r="G1338" i="17"/>
  <c r="L1337" i="17"/>
  <c r="K1337" i="17"/>
  <c r="J1337" i="17"/>
  <c r="I1337" i="17"/>
  <c r="H1337" i="17"/>
  <c r="G1337" i="17"/>
  <c r="L1336" i="17"/>
  <c r="K1336" i="17"/>
  <c r="J1336" i="17"/>
  <c r="I1336" i="17"/>
  <c r="H1336" i="17"/>
  <c r="G1336" i="17"/>
  <c r="L1335" i="17"/>
  <c r="K1335" i="17"/>
  <c r="J1335" i="17"/>
  <c r="I1335" i="17"/>
  <c r="H1335" i="17"/>
  <c r="G1335" i="17"/>
  <c r="L1334" i="17"/>
  <c r="K1334" i="17"/>
  <c r="J1334" i="17"/>
  <c r="I1334" i="17"/>
  <c r="H1334" i="17"/>
  <c r="G1334" i="17"/>
  <c r="L1333" i="17"/>
  <c r="K1333" i="17"/>
  <c r="J1333" i="17"/>
  <c r="I1333" i="17"/>
  <c r="H1333" i="17"/>
  <c r="G1333" i="17"/>
  <c r="L1332" i="17"/>
  <c r="K1332" i="17"/>
  <c r="J1332" i="17"/>
  <c r="I1332" i="17"/>
  <c r="H1332" i="17"/>
  <c r="G1332" i="17"/>
  <c r="L1331" i="17"/>
  <c r="K1331" i="17"/>
  <c r="J1331" i="17"/>
  <c r="I1331" i="17"/>
  <c r="H1331" i="17"/>
  <c r="G1331" i="17"/>
  <c r="L1330" i="17"/>
  <c r="K1330" i="17"/>
  <c r="J1330" i="17"/>
  <c r="I1330" i="17"/>
  <c r="H1330" i="17"/>
  <c r="G1330" i="17"/>
  <c r="L1329" i="17"/>
  <c r="K1329" i="17"/>
  <c r="J1329" i="17"/>
  <c r="I1329" i="17"/>
  <c r="H1329" i="17"/>
  <c r="G1329" i="17"/>
  <c r="L1328" i="17"/>
  <c r="K1328" i="17"/>
  <c r="J1328" i="17"/>
  <c r="I1328" i="17"/>
  <c r="H1328" i="17"/>
  <c r="G1328" i="17"/>
  <c r="L1327" i="17"/>
  <c r="K1327" i="17"/>
  <c r="J1327" i="17"/>
  <c r="I1327" i="17"/>
  <c r="H1327" i="17"/>
  <c r="G1327" i="17"/>
  <c r="L1326" i="17"/>
  <c r="K1326" i="17"/>
  <c r="J1326" i="17"/>
  <c r="I1326" i="17"/>
  <c r="H1326" i="17"/>
  <c r="G1326" i="17"/>
  <c r="L1325" i="17"/>
  <c r="K1325" i="17"/>
  <c r="J1325" i="17"/>
  <c r="I1325" i="17"/>
  <c r="H1325" i="17"/>
  <c r="G1325" i="17"/>
  <c r="L1324" i="17"/>
  <c r="K1324" i="17"/>
  <c r="J1324" i="17"/>
  <c r="I1324" i="17"/>
  <c r="H1324" i="17"/>
  <c r="G1324" i="17"/>
  <c r="L1323" i="17"/>
  <c r="K1323" i="17"/>
  <c r="J1323" i="17"/>
  <c r="I1323" i="17"/>
  <c r="H1323" i="17"/>
  <c r="G1323" i="17"/>
  <c r="L1322" i="17"/>
  <c r="K1322" i="17"/>
  <c r="J1322" i="17"/>
  <c r="I1322" i="17"/>
  <c r="H1322" i="17"/>
  <c r="G1322" i="17"/>
  <c r="L1321" i="17"/>
  <c r="K1321" i="17"/>
  <c r="J1321" i="17"/>
  <c r="I1321" i="17"/>
  <c r="H1321" i="17"/>
  <c r="G1321" i="17"/>
  <c r="L1320" i="17"/>
  <c r="K1320" i="17"/>
  <c r="J1320" i="17"/>
  <c r="I1320" i="17"/>
  <c r="H1320" i="17"/>
  <c r="G1320" i="17"/>
  <c r="L1319" i="17"/>
  <c r="K1319" i="17"/>
  <c r="J1319" i="17"/>
  <c r="I1319" i="17"/>
  <c r="H1319" i="17"/>
  <c r="G1319" i="17"/>
  <c r="L1318" i="17"/>
  <c r="K1318" i="17"/>
  <c r="J1318" i="17"/>
  <c r="I1318" i="17"/>
  <c r="H1318" i="17"/>
  <c r="G1318" i="17"/>
  <c r="L1317" i="17"/>
  <c r="K1317" i="17"/>
  <c r="J1317" i="17"/>
  <c r="I1317" i="17"/>
  <c r="H1317" i="17"/>
  <c r="G1317" i="17"/>
  <c r="L1316" i="17"/>
  <c r="K1316" i="17"/>
  <c r="J1316" i="17"/>
  <c r="I1316" i="17"/>
  <c r="H1316" i="17"/>
  <c r="G1316" i="17"/>
  <c r="L1315" i="17"/>
  <c r="K1315" i="17"/>
  <c r="J1315" i="17"/>
  <c r="I1315" i="17"/>
  <c r="H1315" i="17"/>
  <c r="G1315" i="17"/>
  <c r="L1314" i="17"/>
  <c r="K1314" i="17"/>
  <c r="J1314" i="17"/>
  <c r="I1314" i="17"/>
  <c r="H1314" i="17"/>
  <c r="G1314" i="17"/>
  <c r="L1313" i="17"/>
  <c r="K1313" i="17"/>
  <c r="J1313" i="17"/>
  <c r="I1313" i="17"/>
  <c r="H1313" i="17"/>
  <c r="G1313" i="17"/>
  <c r="L1312" i="17"/>
  <c r="K1312" i="17"/>
  <c r="J1312" i="17"/>
  <c r="I1312" i="17"/>
  <c r="H1312" i="17"/>
  <c r="G1312" i="17"/>
  <c r="L1311" i="17"/>
  <c r="K1311" i="17"/>
  <c r="J1311" i="17"/>
  <c r="I1311" i="17"/>
  <c r="H1311" i="17"/>
  <c r="G1311" i="17"/>
  <c r="L1310" i="17"/>
  <c r="K1310" i="17"/>
  <c r="J1310" i="17"/>
  <c r="I1310" i="17"/>
  <c r="H1310" i="17"/>
  <c r="G1310" i="17"/>
  <c r="L1309" i="17"/>
  <c r="K1309" i="17"/>
  <c r="J1309" i="17"/>
  <c r="I1309" i="17"/>
  <c r="H1309" i="17"/>
  <c r="G1309" i="17"/>
  <c r="L1308" i="17"/>
  <c r="K1308" i="17"/>
  <c r="J1308" i="17"/>
  <c r="I1308" i="17"/>
  <c r="H1308" i="17"/>
  <c r="G1308" i="17"/>
  <c r="L1307" i="17"/>
  <c r="K1307" i="17"/>
  <c r="J1307" i="17"/>
  <c r="I1307" i="17"/>
  <c r="H1307" i="17"/>
  <c r="G1307" i="17"/>
  <c r="L1306" i="17"/>
  <c r="K1306" i="17"/>
  <c r="J1306" i="17"/>
  <c r="I1306" i="17"/>
  <c r="H1306" i="17"/>
  <c r="G1306" i="17"/>
  <c r="L1305" i="17"/>
  <c r="K1305" i="17"/>
  <c r="J1305" i="17"/>
  <c r="I1305" i="17"/>
  <c r="H1305" i="17"/>
  <c r="G1305" i="17"/>
  <c r="L1304" i="17"/>
  <c r="K1304" i="17"/>
  <c r="J1304" i="17"/>
  <c r="I1304" i="17"/>
  <c r="H1304" i="17"/>
  <c r="G1304" i="17"/>
  <c r="L1303" i="17"/>
  <c r="K1303" i="17"/>
  <c r="J1303" i="17"/>
  <c r="I1303" i="17"/>
  <c r="H1303" i="17"/>
  <c r="G1303" i="17"/>
  <c r="L1302" i="17"/>
  <c r="K1302" i="17"/>
  <c r="J1302" i="17"/>
  <c r="I1302" i="17"/>
  <c r="H1302" i="17"/>
  <c r="G1302" i="17"/>
  <c r="L1301" i="17"/>
  <c r="K1301" i="17"/>
  <c r="J1301" i="17"/>
  <c r="I1301" i="17"/>
  <c r="H1301" i="17"/>
  <c r="G1301" i="17"/>
  <c r="L1300" i="17"/>
  <c r="K1300" i="17"/>
  <c r="J1300" i="17"/>
  <c r="I1300" i="17"/>
  <c r="H1300" i="17"/>
  <c r="G1300" i="17"/>
  <c r="L1299" i="17"/>
  <c r="K1299" i="17"/>
  <c r="J1299" i="17"/>
  <c r="I1299" i="17"/>
  <c r="H1299" i="17"/>
  <c r="G1299" i="17"/>
  <c r="L1298" i="17"/>
  <c r="K1298" i="17"/>
  <c r="J1298" i="17"/>
  <c r="I1298" i="17"/>
  <c r="H1298" i="17"/>
  <c r="G1298" i="17"/>
  <c r="L1297" i="17"/>
  <c r="K1297" i="17"/>
  <c r="J1297" i="17"/>
  <c r="I1297" i="17"/>
  <c r="H1297" i="17"/>
  <c r="G1297" i="17"/>
  <c r="L1296" i="17"/>
  <c r="K1296" i="17"/>
  <c r="J1296" i="17"/>
  <c r="I1296" i="17"/>
  <c r="H1296" i="17"/>
  <c r="G1296" i="17"/>
  <c r="L1295" i="17"/>
  <c r="K1295" i="17"/>
  <c r="J1295" i="17"/>
  <c r="I1295" i="17"/>
  <c r="H1295" i="17"/>
  <c r="G1295" i="17"/>
  <c r="L1294" i="17"/>
  <c r="K1294" i="17"/>
  <c r="J1294" i="17"/>
  <c r="I1294" i="17"/>
  <c r="H1294" i="17"/>
  <c r="G1294" i="17"/>
  <c r="L1293" i="17"/>
  <c r="K1293" i="17"/>
  <c r="J1293" i="17"/>
  <c r="I1293" i="17"/>
  <c r="H1293" i="17"/>
  <c r="G1293" i="17"/>
  <c r="L1292" i="17"/>
  <c r="K1292" i="17"/>
  <c r="J1292" i="17"/>
  <c r="I1292" i="17"/>
  <c r="H1292" i="17"/>
  <c r="G1292" i="17"/>
  <c r="L1291" i="17"/>
  <c r="K1291" i="17"/>
  <c r="J1291" i="17"/>
  <c r="I1291" i="17"/>
  <c r="H1291" i="17"/>
  <c r="G1291" i="17"/>
  <c r="L1290" i="17"/>
  <c r="K1290" i="17"/>
  <c r="J1290" i="17"/>
  <c r="I1290" i="17"/>
  <c r="H1290" i="17"/>
  <c r="G1290" i="17"/>
  <c r="L1289" i="17"/>
  <c r="K1289" i="17"/>
  <c r="J1289" i="17"/>
  <c r="I1289" i="17"/>
  <c r="H1289" i="17"/>
  <c r="G1289" i="17"/>
  <c r="L1288" i="17"/>
  <c r="K1288" i="17"/>
  <c r="J1288" i="17"/>
  <c r="I1288" i="17"/>
  <c r="H1288" i="17"/>
  <c r="G1288" i="17"/>
  <c r="L1287" i="17"/>
  <c r="K1287" i="17"/>
  <c r="J1287" i="17"/>
  <c r="I1287" i="17"/>
  <c r="H1287" i="17"/>
  <c r="G1287" i="17"/>
  <c r="L1286" i="17"/>
  <c r="K1286" i="17"/>
  <c r="J1286" i="17"/>
  <c r="I1286" i="17"/>
  <c r="H1286" i="17"/>
  <c r="G1286" i="17"/>
  <c r="L1285" i="17"/>
  <c r="K1285" i="17"/>
  <c r="J1285" i="17"/>
  <c r="I1285" i="17"/>
  <c r="H1285" i="17"/>
  <c r="G1285" i="17"/>
  <c r="L1284" i="17"/>
  <c r="K1284" i="17"/>
  <c r="J1284" i="17"/>
  <c r="I1284" i="17"/>
  <c r="H1284" i="17"/>
  <c r="G1284" i="17"/>
  <c r="L1283" i="17"/>
  <c r="K1283" i="17"/>
  <c r="J1283" i="17"/>
  <c r="I1283" i="17"/>
  <c r="H1283" i="17"/>
  <c r="G1283" i="17"/>
  <c r="L1282" i="17"/>
  <c r="K1282" i="17"/>
  <c r="J1282" i="17"/>
  <c r="I1282" i="17"/>
  <c r="H1282" i="17"/>
  <c r="G1282" i="17"/>
  <c r="L1281" i="17"/>
  <c r="K1281" i="17"/>
  <c r="J1281" i="17"/>
  <c r="I1281" i="17"/>
  <c r="H1281" i="17"/>
  <c r="G1281" i="17"/>
  <c r="L1280" i="17"/>
  <c r="K1280" i="17"/>
  <c r="J1280" i="17"/>
  <c r="I1280" i="17"/>
  <c r="H1280" i="17"/>
  <c r="G1280" i="17"/>
  <c r="L1279" i="17"/>
  <c r="K1279" i="17"/>
  <c r="J1279" i="17"/>
  <c r="I1279" i="17"/>
  <c r="H1279" i="17"/>
  <c r="G1279" i="17"/>
  <c r="L1278" i="17"/>
  <c r="K1278" i="17"/>
  <c r="J1278" i="17"/>
  <c r="I1278" i="17"/>
  <c r="H1278" i="17"/>
  <c r="G1278" i="17"/>
  <c r="L1277" i="17"/>
  <c r="K1277" i="17"/>
  <c r="J1277" i="17"/>
  <c r="I1277" i="17"/>
  <c r="H1277" i="17"/>
  <c r="G1277" i="17"/>
  <c r="L1276" i="17"/>
  <c r="K1276" i="17"/>
  <c r="J1276" i="17"/>
  <c r="I1276" i="17"/>
  <c r="H1276" i="17"/>
  <c r="G1276" i="17"/>
  <c r="L1275" i="17"/>
  <c r="K1275" i="17"/>
  <c r="J1275" i="17"/>
  <c r="I1275" i="17"/>
  <c r="H1275" i="17"/>
  <c r="G1275" i="17"/>
  <c r="L1274" i="17"/>
  <c r="K1274" i="17"/>
  <c r="J1274" i="17"/>
  <c r="I1274" i="17"/>
  <c r="H1274" i="17"/>
  <c r="G1274" i="17"/>
  <c r="L1273" i="17"/>
  <c r="K1273" i="17"/>
  <c r="J1273" i="17"/>
  <c r="I1273" i="17"/>
  <c r="H1273" i="17"/>
  <c r="G1273" i="17"/>
  <c r="L1272" i="17"/>
  <c r="K1272" i="17"/>
  <c r="J1272" i="17"/>
  <c r="I1272" i="17"/>
  <c r="H1272" i="17"/>
  <c r="G1272" i="17"/>
  <c r="L1271" i="17"/>
  <c r="K1271" i="17"/>
  <c r="J1271" i="17"/>
  <c r="I1271" i="17"/>
  <c r="H1271" i="17"/>
  <c r="G1271" i="17"/>
  <c r="L1270" i="17"/>
  <c r="K1270" i="17"/>
  <c r="J1270" i="17"/>
  <c r="I1270" i="17"/>
  <c r="H1270" i="17"/>
  <c r="G1270" i="17"/>
  <c r="L1269" i="17"/>
  <c r="K1269" i="17"/>
  <c r="J1269" i="17"/>
  <c r="I1269" i="17"/>
  <c r="H1269" i="17"/>
  <c r="G1269" i="17"/>
  <c r="L1268" i="17"/>
  <c r="K1268" i="17"/>
  <c r="J1268" i="17"/>
  <c r="I1268" i="17"/>
  <c r="H1268" i="17"/>
  <c r="G1268" i="17"/>
  <c r="L1267" i="17"/>
  <c r="K1267" i="17"/>
  <c r="J1267" i="17"/>
  <c r="I1267" i="17"/>
  <c r="H1267" i="17"/>
  <c r="G1267" i="17"/>
  <c r="L1266" i="17"/>
  <c r="K1266" i="17"/>
  <c r="J1266" i="17"/>
  <c r="I1266" i="17"/>
  <c r="H1266" i="17"/>
  <c r="G1266" i="17"/>
  <c r="L1265" i="17"/>
  <c r="K1265" i="17"/>
  <c r="J1265" i="17"/>
  <c r="I1265" i="17"/>
  <c r="H1265" i="17"/>
  <c r="G1265" i="17"/>
  <c r="L1264" i="17"/>
  <c r="K1264" i="17"/>
  <c r="J1264" i="17"/>
  <c r="I1264" i="17"/>
  <c r="H1264" i="17"/>
  <c r="G1264" i="17"/>
  <c r="L1263" i="17"/>
  <c r="K1263" i="17"/>
  <c r="J1263" i="17"/>
  <c r="I1263" i="17"/>
  <c r="H1263" i="17"/>
  <c r="G1263" i="17"/>
  <c r="L1262" i="17"/>
  <c r="K1262" i="17"/>
  <c r="J1262" i="17"/>
  <c r="I1262" i="17"/>
  <c r="H1262" i="17"/>
  <c r="G1262" i="17"/>
  <c r="L1261" i="17"/>
  <c r="K1261" i="17"/>
  <c r="J1261" i="17"/>
  <c r="I1261" i="17"/>
  <c r="H1261" i="17"/>
  <c r="G1261" i="17"/>
  <c r="L1260" i="17"/>
  <c r="K1260" i="17"/>
  <c r="J1260" i="17"/>
  <c r="I1260" i="17"/>
  <c r="H1260" i="17"/>
  <c r="G1260" i="17"/>
  <c r="L1259" i="17"/>
  <c r="K1259" i="17"/>
  <c r="J1259" i="17"/>
  <c r="I1259" i="17"/>
  <c r="H1259" i="17"/>
  <c r="G1259" i="17"/>
  <c r="L1258" i="17"/>
  <c r="K1258" i="17"/>
  <c r="J1258" i="17"/>
  <c r="I1258" i="17"/>
  <c r="H1258" i="17"/>
  <c r="G1258" i="17"/>
  <c r="L1257" i="17"/>
  <c r="K1257" i="17"/>
  <c r="J1257" i="17"/>
  <c r="I1257" i="17"/>
  <c r="H1257" i="17"/>
  <c r="G1257" i="17"/>
  <c r="L1256" i="17"/>
  <c r="K1256" i="17"/>
  <c r="J1256" i="17"/>
  <c r="I1256" i="17"/>
  <c r="H1256" i="17"/>
  <c r="G1256" i="17"/>
  <c r="L1255" i="17"/>
  <c r="K1255" i="17"/>
  <c r="J1255" i="17"/>
  <c r="I1255" i="17"/>
  <c r="H1255" i="17"/>
  <c r="G1255" i="17"/>
  <c r="L1254" i="17"/>
  <c r="K1254" i="17"/>
  <c r="J1254" i="17"/>
  <c r="I1254" i="17"/>
  <c r="H1254" i="17"/>
  <c r="G1254" i="17"/>
  <c r="L1253" i="17"/>
  <c r="K1253" i="17"/>
  <c r="J1253" i="17"/>
  <c r="I1253" i="17"/>
  <c r="H1253" i="17"/>
  <c r="G1253" i="17"/>
  <c r="L1252" i="17"/>
  <c r="K1252" i="17"/>
  <c r="J1252" i="17"/>
  <c r="I1252" i="17"/>
  <c r="H1252" i="17"/>
  <c r="G1252" i="17"/>
  <c r="L1251" i="17"/>
  <c r="K1251" i="17"/>
  <c r="J1251" i="17"/>
  <c r="I1251" i="17"/>
  <c r="H1251" i="17"/>
  <c r="G1251" i="17"/>
  <c r="L1250" i="17"/>
  <c r="K1250" i="17"/>
  <c r="J1250" i="17"/>
  <c r="I1250" i="17"/>
  <c r="H1250" i="17"/>
  <c r="G1250" i="17"/>
  <c r="L1249" i="17"/>
  <c r="K1249" i="17"/>
  <c r="J1249" i="17"/>
  <c r="I1249" i="17"/>
  <c r="H1249" i="17"/>
  <c r="G1249" i="17"/>
  <c r="L1248" i="17"/>
  <c r="K1248" i="17"/>
  <c r="J1248" i="17"/>
  <c r="I1248" i="17"/>
  <c r="H1248" i="17"/>
  <c r="G1248" i="17"/>
  <c r="L1247" i="17"/>
  <c r="K1247" i="17"/>
  <c r="J1247" i="17"/>
  <c r="I1247" i="17"/>
  <c r="H1247" i="17"/>
  <c r="G1247" i="17"/>
  <c r="L1246" i="17"/>
  <c r="K1246" i="17"/>
  <c r="J1246" i="17"/>
  <c r="I1246" i="17"/>
  <c r="H1246" i="17"/>
  <c r="G1246" i="17"/>
  <c r="L1245" i="17"/>
  <c r="K1245" i="17"/>
  <c r="J1245" i="17"/>
  <c r="I1245" i="17"/>
  <c r="H1245" i="17"/>
  <c r="G1245" i="17"/>
  <c r="L1244" i="17"/>
  <c r="K1244" i="17"/>
  <c r="J1244" i="17"/>
  <c r="I1244" i="17"/>
  <c r="H1244" i="17"/>
  <c r="G1244" i="17"/>
  <c r="L1243" i="17"/>
  <c r="K1243" i="17"/>
  <c r="J1243" i="17"/>
  <c r="I1243" i="17"/>
  <c r="H1243" i="17"/>
  <c r="G1243" i="17"/>
  <c r="L1242" i="17"/>
  <c r="K1242" i="17"/>
  <c r="J1242" i="17"/>
  <c r="I1242" i="17"/>
  <c r="H1242" i="17"/>
  <c r="G1242" i="17"/>
  <c r="L1241" i="17"/>
  <c r="K1241" i="17"/>
  <c r="J1241" i="17"/>
  <c r="I1241" i="17"/>
  <c r="H1241" i="17"/>
  <c r="G1241" i="17"/>
  <c r="L1240" i="17"/>
  <c r="K1240" i="17"/>
  <c r="J1240" i="17"/>
  <c r="I1240" i="17"/>
  <c r="H1240" i="17"/>
  <c r="G1240" i="17"/>
  <c r="L1239" i="17"/>
  <c r="K1239" i="17"/>
  <c r="J1239" i="17"/>
  <c r="I1239" i="17"/>
  <c r="H1239" i="17"/>
  <c r="G1239" i="17"/>
  <c r="L1238" i="17"/>
  <c r="K1238" i="17"/>
  <c r="J1238" i="17"/>
  <c r="I1238" i="17"/>
  <c r="H1238" i="17"/>
  <c r="G1238" i="17"/>
  <c r="L1237" i="17"/>
  <c r="K1237" i="17"/>
  <c r="J1237" i="17"/>
  <c r="I1237" i="17"/>
  <c r="H1237" i="17"/>
  <c r="G1237" i="17"/>
  <c r="L1236" i="17"/>
  <c r="K1236" i="17"/>
  <c r="J1236" i="17"/>
  <c r="I1236" i="17"/>
  <c r="H1236" i="17"/>
  <c r="G1236" i="17"/>
  <c r="L1235" i="17"/>
  <c r="K1235" i="17"/>
  <c r="J1235" i="17"/>
  <c r="I1235" i="17"/>
  <c r="H1235" i="17"/>
  <c r="G1235" i="17"/>
  <c r="L1234" i="17"/>
  <c r="K1234" i="17"/>
  <c r="J1234" i="17"/>
  <c r="I1234" i="17"/>
  <c r="H1234" i="17"/>
  <c r="G1234" i="17"/>
  <c r="L1233" i="17"/>
  <c r="K1233" i="17"/>
  <c r="J1233" i="17"/>
  <c r="I1233" i="17"/>
  <c r="H1233" i="17"/>
  <c r="G1233" i="17"/>
  <c r="L1232" i="17"/>
  <c r="K1232" i="17"/>
  <c r="J1232" i="17"/>
  <c r="I1232" i="17"/>
  <c r="H1232" i="17"/>
  <c r="G1232" i="17"/>
  <c r="L1231" i="17"/>
  <c r="K1231" i="17"/>
  <c r="J1231" i="17"/>
  <c r="I1231" i="17"/>
  <c r="H1231" i="17"/>
  <c r="G1231" i="17"/>
  <c r="L1230" i="17"/>
  <c r="K1230" i="17"/>
  <c r="J1230" i="17"/>
  <c r="I1230" i="17"/>
  <c r="H1230" i="17"/>
  <c r="G1230" i="17"/>
  <c r="L1229" i="17"/>
  <c r="K1229" i="17"/>
  <c r="J1229" i="17"/>
  <c r="I1229" i="17"/>
  <c r="H1229" i="17"/>
  <c r="G1229" i="17"/>
  <c r="L1228" i="17"/>
  <c r="K1228" i="17"/>
  <c r="J1228" i="17"/>
  <c r="I1228" i="17"/>
  <c r="H1228" i="17"/>
  <c r="G1228" i="17"/>
  <c r="L1227" i="17"/>
  <c r="K1227" i="17"/>
  <c r="J1227" i="17"/>
  <c r="I1227" i="17"/>
  <c r="H1227" i="17"/>
  <c r="G1227" i="17"/>
  <c r="L1226" i="17"/>
  <c r="K1226" i="17"/>
  <c r="J1226" i="17"/>
  <c r="I1226" i="17"/>
  <c r="H1226" i="17"/>
  <c r="G1226" i="17"/>
  <c r="L1225" i="17"/>
  <c r="K1225" i="17"/>
  <c r="J1225" i="17"/>
  <c r="I1225" i="17"/>
  <c r="H1225" i="17"/>
  <c r="G1225" i="17"/>
  <c r="L1224" i="17"/>
  <c r="K1224" i="17"/>
  <c r="J1224" i="17"/>
  <c r="I1224" i="17"/>
  <c r="H1224" i="17"/>
  <c r="G1224" i="17"/>
  <c r="L1223" i="17"/>
  <c r="K1223" i="17"/>
  <c r="J1223" i="17"/>
  <c r="I1223" i="17"/>
  <c r="H1223" i="17"/>
  <c r="G1223" i="17"/>
  <c r="L1222" i="17"/>
  <c r="K1222" i="17"/>
  <c r="J1222" i="17"/>
  <c r="I1222" i="17"/>
  <c r="H1222" i="17"/>
  <c r="G1222" i="17"/>
  <c r="L1221" i="17"/>
  <c r="K1221" i="17"/>
  <c r="J1221" i="17"/>
  <c r="I1221" i="17"/>
  <c r="H1221" i="17"/>
  <c r="G1221" i="17"/>
  <c r="L1220" i="17"/>
  <c r="K1220" i="17"/>
  <c r="J1220" i="17"/>
  <c r="I1220" i="17"/>
  <c r="H1220" i="17"/>
  <c r="G1220" i="17"/>
  <c r="L1219" i="17"/>
  <c r="K1219" i="17"/>
  <c r="J1219" i="17"/>
  <c r="I1219" i="17"/>
  <c r="H1219" i="17"/>
  <c r="G1219" i="17"/>
  <c r="L1218" i="17"/>
  <c r="K1218" i="17"/>
  <c r="J1218" i="17"/>
  <c r="I1218" i="17"/>
  <c r="H1218" i="17"/>
  <c r="G1218" i="17"/>
  <c r="L1217" i="17"/>
  <c r="K1217" i="17"/>
  <c r="J1217" i="17"/>
  <c r="I1217" i="17"/>
  <c r="H1217" i="17"/>
  <c r="G1217" i="17"/>
  <c r="L1216" i="17"/>
  <c r="K1216" i="17"/>
  <c r="J1216" i="17"/>
  <c r="I1216" i="17"/>
  <c r="H1216" i="17"/>
  <c r="G1216" i="17"/>
  <c r="L1215" i="17"/>
  <c r="K1215" i="17"/>
  <c r="J1215" i="17"/>
  <c r="I1215" i="17"/>
  <c r="H1215" i="17"/>
  <c r="G1215" i="17"/>
  <c r="L1214" i="17"/>
  <c r="K1214" i="17"/>
  <c r="J1214" i="17"/>
  <c r="I1214" i="17"/>
  <c r="H1214" i="17"/>
  <c r="G1214" i="17"/>
  <c r="L1213" i="17"/>
  <c r="K1213" i="17"/>
  <c r="J1213" i="17"/>
  <c r="I1213" i="17"/>
  <c r="H1213" i="17"/>
  <c r="G1213" i="17"/>
  <c r="L1212" i="17"/>
  <c r="K1212" i="17"/>
  <c r="J1212" i="17"/>
  <c r="I1212" i="17"/>
  <c r="H1212" i="17"/>
  <c r="G1212" i="17"/>
  <c r="L1211" i="17"/>
  <c r="K1211" i="17"/>
  <c r="J1211" i="17"/>
  <c r="I1211" i="17"/>
  <c r="H1211" i="17"/>
  <c r="G1211" i="17"/>
  <c r="L1210" i="17"/>
  <c r="K1210" i="17"/>
  <c r="J1210" i="17"/>
  <c r="I1210" i="17"/>
  <c r="H1210" i="17"/>
  <c r="G1210" i="17"/>
  <c r="L1209" i="17"/>
  <c r="K1209" i="17"/>
  <c r="J1209" i="17"/>
  <c r="I1209" i="17"/>
  <c r="H1209" i="17"/>
  <c r="G1209" i="17"/>
  <c r="L1208" i="17"/>
  <c r="K1208" i="17"/>
  <c r="J1208" i="17"/>
  <c r="I1208" i="17"/>
  <c r="H1208" i="17"/>
  <c r="G1208" i="17"/>
  <c r="L1207" i="17"/>
  <c r="K1207" i="17"/>
  <c r="J1207" i="17"/>
  <c r="I1207" i="17"/>
  <c r="H1207" i="17"/>
  <c r="G1207" i="17"/>
  <c r="L1206" i="17"/>
  <c r="K1206" i="17"/>
  <c r="J1206" i="17"/>
  <c r="I1206" i="17"/>
  <c r="H1206" i="17"/>
  <c r="G1206" i="17"/>
  <c r="L1205" i="17"/>
  <c r="K1205" i="17"/>
  <c r="J1205" i="17"/>
  <c r="I1205" i="17"/>
  <c r="H1205" i="17"/>
  <c r="G1205" i="17"/>
  <c r="L1204" i="17"/>
  <c r="K1204" i="17"/>
  <c r="J1204" i="17"/>
  <c r="I1204" i="17"/>
  <c r="H1204" i="17"/>
  <c r="G1204" i="17"/>
  <c r="L1203" i="17"/>
  <c r="K1203" i="17"/>
  <c r="J1203" i="17"/>
  <c r="I1203" i="17"/>
  <c r="H1203" i="17"/>
  <c r="G1203" i="17"/>
  <c r="L1202" i="17"/>
  <c r="K1202" i="17"/>
  <c r="J1202" i="17"/>
  <c r="I1202" i="17"/>
  <c r="H1202" i="17"/>
  <c r="G1202" i="17"/>
  <c r="L1201" i="17"/>
  <c r="K1201" i="17"/>
  <c r="J1201" i="17"/>
  <c r="I1201" i="17"/>
  <c r="H1201" i="17"/>
  <c r="G1201" i="17"/>
  <c r="L1200" i="17"/>
  <c r="K1200" i="17"/>
  <c r="J1200" i="17"/>
  <c r="I1200" i="17"/>
  <c r="H1200" i="17"/>
  <c r="G1200" i="17"/>
  <c r="L1199" i="17"/>
  <c r="K1199" i="17"/>
  <c r="J1199" i="17"/>
  <c r="I1199" i="17"/>
  <c r="H1199" i="17"/>
  <c r="G1199" i="17"/>
  <c r="L1198" i="17"/>
  <c r="K1198" i="17"/>
  <c r="J1198" i="17"/>
  <c r="I1198" i="17"/>
  <c r="H1198" i="17"/>
  <c r="G1198" i="17"/>
  <c r="L1197" i="17"/>
  <c r="K1197" i="17"/>
  <c r="J1197" i="17"/>
  <c r="I1197" i="17"/>
  <c r="H1197" i="17"/>
  <c r="G1197" i="17"/>
  <c r="L1196" i="17"/>
  <c r="K1196" i="17"/>
  <c r="J1196" i="17"/>
  <c r="I1196" i="17"/>
  <c r="H1196" i="17"/>
  <c r="G1196" i="17"/>
  <c r="L1195" i="17"/>
  <c r="K1195" i="17"/>
  <c r="J1195" i="17"/>
  <c r="I1195" i="17"/>
  <c r="H1195" i="17"/>
  <c r="G1195" i="17"/>
  <c r="L1194" i="17"/>
  <c r="K1194" i="17"/>
  <c r="J1194" i="17"/>
  <c r="I1194" i="17"/>
  <c r="H1194" i="17"/>
  <c r="G1194" i="17"/>
  <c r="L1193" i="17"/>
  <c r="K1193" i="17"/>
  <c r="J1193" i="17"/>
  <c r="I1193" i="17"/>
  <c r="H1193" i="17"/>
  <c r="G1193" i="17"/>
  <c r="L1192" i="17"/>
  <c r="K1192" i="17"/>
  <c r="J1192" i="17"/>
  <c r="I1192" i="17"/>
  <c r="H1192" i="17"/>
  <c r="G1192" i="17"/>
  <c r="L1191" i="17"/>
  <c r="K1191" i="17"/>
  <c r="J1191" i="17"/>
  <c r="I1191" i="17"/>
  <c r="H1191" i="17"/>
  <c r="G1191" i="17"/>
  <c r="L1190" i="17"/>
  <c r="K1190" i="17"/>
  <c r="J1190" i="17"/>
  <c r="I1190" i="17"/>
  <c r="H1190" i="17"/>
  <c r="G1190" i="17"/>
  <c r="L1189" i="17"/>
  <c r="K1189" i="17"/>
  <c r="J1189" i="17"/>
  <c r="I1189" i="17"/>
  <c r="H1189" i="17"/>
  <c r="G1189" i="17"/>
  <c r="L1188" i="17"/>
  <c r="K1188" i="17"/>
  <c r="J1188" i="17"/>
  <c r="I1188" i="17"/>
  <c r="H1188" i="17"/>
  <c r="G1188" i="17"/>
  <c r="L1187" i="17"/>
  <c r="K1187" i="17"/>
  <c r="J1187" i="17"/>
  <c r="I1187" i="17"/>
  <c r="H1187" i="17"/>
  <c r="G1187" i="17"/>
  <c r="L1186" i="17"/>
  <c r="K1186" i="17"/>
  <c r="J1186" i="17"/>
  <c r="I1186" i="17"/>
  <c r="H1186" i="17"/>
  <c r="G1186" i="17"/>
  <c r="L1185" i="17"/>
  <c r="K1185" i="17"/>
  <c r="J1185" i="17"/>
  <c r="I1185" i="17"/>
  <c r="H1185" i="17"/>
  <c r="G1185" i="17"/>
  <c r="L1184" i="17"/>
  <c r="K1184" i="17"/>
  <c r="J1184" i="17"/>
  <c r="I1184" i="17"/>
  <c r="H1184" i="17"/>
  <c r="G1184" i="17"/>
  <c r="L1183" i="17"/>
  <c r="K1183" i="17"/>
  <c r="J1183" i="17"/>
  <c r="I1183" i="17"/>
  <c r="H1183" i="17"/>
  <c r="G1183" i="17"/>
  <c r="L1182" i="17"/>
  <c r="K1182" i="17"/>
  <c r="J1182" i="17"/>
  <c r="I1182" i="17"/>
  <c r="H1182" i="17"/>
  <c r="G1182" i="17"/>
  <c r="L1181" i="17"/>
  <c r="K1181" i="17"/>
  <c r="J1181" i="17"/>
  <c r="I1181" i="17"/>
  <c r="H1181" i="17"/>
  <c r="G1181" i="17"/>
  <c r="L1180" i="17"/>
  <c r="K1180" i="17"/>
  <c r="J1180" i="17"/>
  <c r="I1180" i="17"/>
  <c r="H1180" i="17"/>
  <c r="G1180" i="17"/>
  <c r="L1179" i="17"/>
  <c r="K1179" i="17"/>
  <c r="J1179" i="17"/>
  <c r="I1179" i="17"/>
  <c r="H1179" i="17"/>
  <c r="G1179" i="17"/>
  <c r="L1178" i="17"/>
  <c r="K1178" i="17"/>
  <c r="J1178" i="17"/>
  <c r="I1178" i="17"/>
  <c r="H1178" i="17"/>
  <c r="G1178" i="17"/>
  <c r="L1177" i="17"/>
  <c r="K1177" i="17"/>
  <c r="J1177" i="17"/>
  <c r="I1177" i="17"/>
  <c r="H1177" i="17"/>
  <c r="G1177" i="17"/>
  <c r="L1176" i="17"/>
  <c r="K1176" i="17"/>
  <c r="J1176" i="17"/>
  <c r="I1176" i="17"/>
  <c r="H1176" i="17"/>
  <c r="G1176" i="17"/>
  <c r="L1175" i="17"/>
  <c r="K1175" i="17"/>
  <c r="J1175" i="17"/>
  <c r="I1175" i="17"/>
  <c r="H1175" i="17"/>
  <c r="G1175" i="17"/>
  <c r="L1174" i="17"/>
  <c r="K1174" i="17"/>
  <c r="J1174" i="17"/>
  <c r="I1174" i="17"/>
  <c r="H1174" i="17"/>
  <c r="G1174" i="17"/>
  <c r="L1173" i="17"/>
  <c r="K1173" i="17"/>
  <c r="J1173" i="17"/>
  <c r="I1173" i="17"/>
  <c r="H1173" i="17"/>
  <c r="G1173" i="17"/>
  <c r="L1172" i="17"/>
  <c r="K1172" i="17"/>
  <c r="J1172" i="17"/>
  <c r="I1172" i="17"/>
  <c r="H1172" i="17"/>
  <c r="G1172" i="17"/>
  <c r="L1171" i="17"/>
  <c r="K1171" i="17"/>
  <c r="J1171" i="17"/>
  <c r="I1171" i="17"/>
  <c r="H1171" i="17"/>
  <c r="G1171" i="17"/>
  <c r="L1170" i="17"/>
  <c r="K1170" i="17"/>
  <c r="J1170" i="17"/>
  <c r="I1170" i="17"/>
  <c r="H1170" i="17"/>
  <c r="G1170" i="17"/>
  <c r="L1169" i="17"/>
  <c r="K1169" i="17"/>
  <c r="J1169" i="17"/>
  <c r="I1169" i="17"/>
  <c r="H1169" i="17"/>
  <c r="G1169" i="17"/>
  <c r="L1168" i="17"/>
  <c r="K1168" i="17"/>
  <c r="J1168" i="17"/>
  <c r="I1168" i="17"/>
  <c r="H1168" i="17"/>
  <c r="G1168" i="17"/>
  <c r="L1167" i="17"/>
  <c r="K1167" i="17"/>
  <c r="J1167" i="17"/>
  <c r="I1167" i="17"/>
  <c r="H1167" i="17"/>
  <c r="G1167" i="17"/>
  <c r="L1166" i="17"/>
  <c r="K1166" i="17"/>
  <c r="J1166" i="17"/>
  <c r="I1166" i="17"/>
  <c r="H1166" i="17"/>
  <c r="G1166" i="17"/>
  <c r="L1165" i="17"/>
  <c r="K1165" i="17"/>
  <c r="J1165" i="17"/>
  <c r="I1165" i="17"/>
  <c r="H1165" i="17"/>
  <c r="G1165" i="17"/>
  <c r="L1164" i="17"/>
  <c r="K1164" i="17"/>
  <c r="J1164" i="17"/>
  <c r="I1164" i="17"/>
  <c r="H1164" i="17"/>
  <c r="G1164" i="17"/>
  <c r="L1163" i="17"/>
  <c r="K1163" i="17"/>
  <c r="J1163" i="17"/>
  <c r="I1163" i="17"/>
  <c r="H1163" i="17"/>
  <c r="G1163" i="17"/>
  <c r="L1162" i="17"/>
  <c r="K1162" i="17"/>
  <c r="J1162" i="17"/>
  <c r="I1162" i="17"/>
  <c r="H1162" i="17"/>
  <c r="G1162" i="17"/>
  <c r="L1161" i="17"/>
  <c r="K1161" i="17"/>
  <c r="J1161" i="17"/>
  <c r="I1161" i="17"/>
  <c r="H1161" i="17"/>
  <c r="G1161" i="17"/>
  <c r="L1160" i="17"/>
  <c r="K1160" i="17"/>
  <c r="J1160" i="17"/>
  <c r="I1160" i="17"/>
  <c r="H1160" i="17"/>
  <c r="G1160" i="17"/>
  <c r="L1159" i="17"/>
  <c r="K1159" i="17"/>
  <c r="J1159" i="17"/>
  <c r="I1159" i="17"/>
  <c r="H1159" i="17"/>
  <c r="G1159" i="17"/>
  <c r="L1158" i="17"/>
  <c r="K1158" i="17"/>
  <c r="J1158" i="17"/>
  <c r="I1158" i="17"/>
  <c r="H1158" i="17"/>
  <c r="G1158" i="17"/>
  <c r="L1157" i="17"/>
  <c r="K1157" i="17"/>
  <c r="J1157" i="17"/>
  <c r="I1157" i="17"/>
  <c r="H1157" i="17"/>
  <c r="G1157" i="17"/>
  <c r="L1156" i="17"/>
  <c r="K1156" i="17"/>
  <c r="J1156" i="17"/>
  <c r="I1156" i="17"/>
  <c r="H1156" i="17"/>
  <c r="G1156" i="17"/>
  <c r="L1155" i="17"/>
  <c r="K1155" i="17"/>
  <c r="J1155" i="17"/>
  <c r="I1155" i="17"/>
  <c r="H1155" i="17"/>
  <c r="G1155" i="17"/>
  <c r="L1154" i="17"/>
  <c r="K1154" i="17"/>
  <c r="J1154" i="17"/>
  <c r="I1154" i="17"/>
  <c r="H1154" i="17"/>
  <c r="G1154" i="17"/>
  <c r="L1153" i="17"/>
  <c r="K1153" i="17"/>
  <c r="J1153" i="17"/>
  <c r="I1153" i="17"/>
  <c r="H1153" i="17"/>
  <c r="G1153" i="17"/>
  <c r="L1152" i="17"/>
  <c r="K1152" i="17"/>
  <c r="J1152" i="17"/>
  <c r="I1152" i="17"/>
  <c r="H1152" i="17"/>
  <c r="G1152" i="17"/>
  <c r="L1151" i="17"/>
  <c r="K1151" i="17"/>
  <c r="J1151" i="17"/>
  <c r="I1151" i="17"/>
  <c r="H1151" i="17"/>
  <c r="G1151" i="17"/>
  <c r="L1150" i="17"/>
  <c r="K1150" i="17"/>
  <c r="J1150" i="17"/>
  <c r="I1150" i="17"/>
  <c r="H1150" i="17"/>
  <c r="G1150" i="17"/>
  <c r="L1149" i="17"/>
  <c r="K1149" i="17"/>
  <c r="J1149" i="17"/>
  <c r="I1149" i="17"/>
  <c r="H1149" i="17"/>
  <c r="G1149" i="17"/>
  <c r="L1148" i="17"/>
  <c r="K1148" i="17"/>
  <c r="J1148" i="17"/>
  <c r="I1148" i="17"/>
  <c r="H1148" i="17"/>
  <c r="G1148" i="17"/>
  <c r="L1147" i="17"/>
  <c r="K1147" i="17"/>
  <c r="J1147" i="17"/>
  <c r="I1147" i="17"/>
  <c r="H1147" i="17"/>
  <c r="G1147" i="17"/>
  <c r="L1146" i="17"/>
  <c r="K1146" i="17"/>
  <c r="J1146" i="17"/>
  <c r="I1146" i="17"/>
  <c r="H1146" i="17"/>
  <c r="G1146" i="17"/>
  <c r="L1145" i="17"/>
  <c r="K1145" i="17"/>
  <c r="J1145" i="17"/>
  <c r="I1145" i="17"/>
  <c r="H1145" i="17"/>
  <c r="G1145" i="17"/>
  <c r="L1144" i="17"/>
  <c r="K1144" i="17"/>
  <c r="J1144" i="17"/>
  <c r="I1144" i="17"/>
  <c r="H1144" i="17"/>
  <c r="G1144" i="17"/>
  <c r="L1143" i="17"/>
  <c r="K1143" i="17"/>
  <c r="J1143" i="17"/>
  <c r="I1143" i="17"/>
  <c r="H1143" i="17"/>
  <c r="G1143" i="17"/>
  <c r="L1142" i="17"/>
  <c r="K1142" i="17"/>
  <c r="J1142" i="17"/>
  <c r="I1142" i="17"/>
  <c r="H1142" i="17"/>
  <c r="G1142" i="17"/>
  <c r="L1141" i="17"/>
  <c r="K1141" i="17"/>
  <c r="J1141" i="17"/>
  <c r="I1141" i="17"/>
  <c r="H1141" i="17"/>
  <c r="G1141" i="17"/>
  <c r="L1140" i="17"/>
  <c r="K1140" i="17"/>
  <c r="J1140" i="17"/>
  <c r="I1140" i="17"/>
  <c r="H1140" i="17"/>
  <c r="G1140" i="17"/>
  <c r="L1139" i="17"/>
  <c r="K1139" i="17"/>
  <c r="J1139" i="17"/>
  <c r="I1139" i="17"/>
  <c r="H1139" i="17"/>
  <c r="G1139" i="17"/>
  <c r="L1138" i="17"/>
  <c r="K1138" i="17"/>
  <c r="J1138" i="17"/>
  <c r="I1138" i="17"/>
  <c r="H1138" i="17"/>
  <c r="G1138" i="17"/>
  <c r="L1137" i="17"/>
  <c r="K1137" i="17"/>
  <c r="J1137" i="17"/>
  <c r="I1137" i="17"/>
  <c r="H1137" i="17"/>
  <c r="G1137" i="17"/>
  <c r="L1136" i="17"/>
  <c r="K1136" i="17"/>
  <c r="J1136" i="17"/>
  <c r="I1136" i="17"/>
  <c r="H1136" i="17"/>
  <c r="G1136" i="17"/>
  <c r="L1135" i="17"/>
  <c r="K1135" i="17"/>
  <c r="J1135" i="17"/>
  <c r="I1135" i="17"/>
  <c r="H1135" i="17"/>
  <c r="G1135" i="17"/>
  <c r="L1134" i="17"/>
  <c r="K1134" i="17"/>
  <c r="J1134" i="17"/>
  <c r="I1134" i="17"/>
  <c r="H1134" i="17"/>
  <c r="G1134" i="17"/>
  <c r="L1133" i="17"/>
  <c r="K1133" i="17"/>
  <c r="J1133" i="17"/>
  <c r="I1133" i="17"/>
  <c r="H1133" i="17"/>
  <c r="G1133" i="17"/>
  <c r="L1132" i="17"/>
  <c r="K1132" i="17"/>
  <c r="J1132" i="17"/>
  <c r="I1132" i="17"/>
  <c r="H1132" i="17"/>
  <c r="G1132" i="17"/>
  <c r="L1131" i="17"/>
  <c r="K1131" i="17"/>
  <c r="J1131" i="17"/>
  <c r="I1131" i="17"/>
  <c r="H1131" i="17"/>
  <c r="G1131" i="17"/>
  <c r="L1130" i="17"/>
  <c r="K1130" i="17"/>
  <c r="J1130" i="17"/>
  <c r="I1130" i="17"/>
  <c r="H1130" i="17"/>
  <c r="G1130" i="17"/>
  <c r="L1129" i="17"/>
  <c r="K1129" i="17"/>
  <c r="J1129" i="17"/>
  <c r="I1129" i="17"/>
  <c r="H1129" i="17"/>
  <c r="G1129" i="17"/>
  <c r="L1128" i="17"/>
  <c r="K1128" i="17"/>
  <c r="J1128" i="17"/>
  <c r="I1128" i="17"/>
  <c r="H1128" i="17"/>
  <c r="G1128" i="17"/>
  <c r="L1127" i="17"/>
  <c r="K1127" i="17"/>
  <c r="J1127" i="17"/>
  <c r="I1127" i="17"/>
  <c r="H1127" i="17"/>
  <c r="G1127" i="17"/>
  <c r="L1126" i="17"/>
  <c r="K1126" i="17"/>
  <c r="J1126" i="17"/>
  <c r="I1126" i="17"/>
  <c r="H1126" i="17"/>
  <c r="G1126" i="17"/>
  <c r="L1125" i="17"/>
  <c r="K1125" i="17"/>
  <c r="J1125" i="17"/>
  <c r="I1125" i="17"/>
  <c r="H1125" i="17"/>
  <c r="G1125" i="17"/>
  <c r="L1124" i="17"/>
  <c r="K1124" i="17"/>
  <c r="J1124" i="17"/>
  <c r="I1124" i="17"/>
  <c r="H1124" i="17"/>
  <c r="G1124" i="17"/>
  <c r="L1123" i="17"/>
  <c r="K1123" i="17"/>
  <c r="J1123" i="17"/>
  <c r="I1123" i="17"/>
  <c r="H1123" i="17"/>
  <c r="G1123" i="17"/>
  <c r="L1122" i="17"/>
  <c r="K1122" i="17"/>
  <c r="J1122" i="17"/>
  <c r="I1122" i="17"/>
  <c r="H1122" i="17"/>
  <c r="G1122" i="17"/>
  <c r="L1121" i="17"/>
  <c r="K1121" i="17"/>
  <c r="J1121" i="17"/>
  <c r="I1121" i="17"/>
  <c r="H1121" i="17"/>
  <c r="G1121" i="17"/>
  <c r="L1120" i="17"/>
  <c r="K1120" i="17"/>
  <c r="J1120" i="17"/>
  <c r="I1120" i="17"/>
  <c r="H1120" i="17"/>
  <c r="G1120" i="17"/>
  <c r="L1119" i="17"/>
  <c r="K1119" i="17"/>
  <c r="J1119" i="17"/>
  <c r="I1119" i="17"/>
  <c r="H1119" i="17"/>
  <c r="G1119" i="17"/>
  <c r="L1118" i="17"/>
  <c r="K1118" i="17"/>
  <c r="J1118" i="17"/>
  <c r="I1118" i="17"/>
  <c r="H1118" i="17"/>
  <c r="G1118" i="17"/>
  <c r="L1117" i="17"/>
  <c r="K1117" i="17"/>
  <c r="J1117" i="17"/>
  <c r="I1117" i="17"/>
  <c r="H1117" i="17"/>
  <c r="G1117" i="17"/>
  <c r="L1116" i="17"/>
  <c r="K1116" i="17"/>
  <c r="J1116" i="17"/>
  <c r="I1116" i="17"/>
  <c r="H1116" i="17"/>
  <c r="G1116" i="17"/>
  <c r="L1115" i="17"/>
  <c r="K1115" i="17"/>
  <c r="J1115" i="17"/>
  <c r="I1115" i="17"/>
  <c r="H1115" i="17"/>
  <c r="G1115" i="17"/>
  <c r="L1114" i="17"/>
  <c r="K1114" i="17"/>
  <c r="J1114" i="17"/>
  <c r="I1114" i="17"/>
  <c r="H1114" i="17"/>
  <c r="G1114" i="17"/>
  <c r="L1113" i="17"/>
  <c r="K1113" i="17"/>
  <c r="J1113" i="17"/>
  <c r="I1113" i="17"/>
  <c r="H1113" i="17"/>
  <c r="G1113" i="17"/>
  <c r="L1112" i="17"/>
  <c r="K1112" i="17"/>
  <c r="J1112" i="17"/>
  <c r="I1112" i="17"/>
  <c r="H1112" i="17"/>
  <c r="G1112" i="17"/>
  <c r="L1111" i="17"/>
  <c r="K1111" i="17"/>
  <c r="J1111" i="17"/>
  <c r="I1111" i="17"/>
  <c r="H1111" i="17"/>
  <c r="G1111" i="17"/>
  <c r="L1110" i="17"/>
  <c r="K1110" i="17"/>
  <c r="J1110" i="17"/>
  <c r="I1110" i="17"/>
  <c r="H1110" i="17"/>
  <c r="G1110" i="17"/>
  <c r="L1109" i="17"/>
  <c r="K1109" i="17"/>
  <c r="J1109" i="17"/>
  <c r="I1109" i="17"/>
  <c r="H1109" i="17"/>
  <c r="G1109" i="17"/>
  <c r="L1108" i="17"/>
  <c r="K1108" i="17"/>
  <c r="J1108" i="17"/>
  <c r="I1108" i="17"/>
  <c r="H1108" i="17"/>
  <c r="G1108" i="17"/>
  <c r="L1107" i="17"/>
  <c r="K1107" i="17"/>
  <c r="J1107" i="17"/>
  <c r="I1107" i="17"/>
  <c r="H1107" i="17"/>
  <c r="G1107" i="17"/>
  <c r="L1106" i="17"/>
  <c r="K1106" i="17"/>
  <c r="J1106" i="17"/>
  <c r="I1106" i="17"/>
  <c r="H1106" i="17"/>
  <c r="G1106" i="17"/>
  <c r="L1105" i="17"/>
  <c r="K1105" i="17"/>
  <c r="J1105" i="17"/>
  <c r="I1105" i="17"/>
  <c r="H1105" i="17"/>
  <c r="G1105" i="17"/>
  <c r="L1104" i="17"/>
  <c r="K1104" i="17"/>
  <c r="J1104" i="17"/>
  <c r="I1104" i="17"/>
  <c r="H1104" i="17"/>
  <c r="G1104" i="17"/>
  <c r="L1103" i="17"/>
  <c r="K1103" i="17"/>
  <c r="J1103" i="17"/>
  <c r="I1103" i="17"/>
  <c r="H1103" i="17"/>
  <c r="G1103" i="17"/>
  <c r="L1102" i="17"/>
  <c r="K1102" i="17"/>
  <c r="J1102" i="17"/>
  <c r="I1102" i="17"/>
  <c r="H1102" i="17"/>
  <c r="G1102" i="17"/>
  <c r="L1101" i="17"/>
  <c r="K1101" i="17"/>
  <c r="J1101" i="17"/>
  <c r="I1101" i="17"/>
  <c r="H1101" i="17"/>
  <c r="G1101" i="17"/>
  <c r="L1100" i="17"/>
  <c r="K1100" i="17"/>
  <c r="J1100" i="17"/>
  <c r="I1100" i="17"/>
  <c r="H1100" i="17"/>
  <c r="G1100" i="17"/>
  <c r="L1099" i="17"/>
  <c r="K1099" i="17"/>
  <c r="J1099" i="17"/>
  <c r="I1099" i="17"/>
  <c r="H1099" i="17"/>
  <c r="G1099" i="17"/>
  <c r="L1098" i="17"/>
  <c r="K1098" i="17"/>
  <c r="J1098" i="17"/>
  <c r="I1098" i="17"/>
  <c r="H1098" i="17"/>
  <c r="G1098" i="17"/>
  <c r="L1097" i="17"/>
  <c r="K1097" i="17"/>
  <c r="J1097" i="17"/>
  <c r="I1097" i="17"/>
  <c r="H1097" i="17"/>
  <c r="G1097" i="17"/>
  <c r="L1096" i="17"/>
  <c r="K1096" i="17"/>
  <c r="J1096" i="17"/>
  <c r="I1096" i="17"/>
  <c r="H1096" i="17"/>
  <c r="G1096" i="17"/>
  <c r="L1095" i="17"/>
  <c r="K1095" i="17"/>
  <c r="J1095" i="17"/>
  <c r="I1095" i="17"/>
  <c r="H1095" i="17"/>
  <c r="G1095" i="17"/>
  <c r="L1094" i="17"/>
  <c r="K1094" i="17"/>
  <c r="J1094" i="17"/>
  <c r="I1094" i="17"/>
  <c r="H1094" i="17"/>
  <c r="G1094" i="17"/>
  <c r="L1093" i="17"/>
  <c r="K1093" i="17"/>
  <c r="J1093" i="17"/>
  <c r="I1093" i="17"/>
  <c r="H1093" i="17"/>
  <c r="G1093" i="17"/>
  <c r="L1092" i="17"/>
  <c r="K1092" i="17"/>
  <c r="J1092" i="17"/>
  <c r="I1092" i="17"/>
  <c r="H1092" i="17"/>
  <c r="G1092" i="17"/>
  <c r="L1091" i="17"/>
  <c r="K1091" i="17"/>
  <c r="J1091" i="17"/>
  <c r="I1091" i="17"/>
  <c r="H1091" i="17"/>
  <c r="G1091" i="17"/>
  <c r="L1090" i="17"/>
  <c r="K1090" i="17"/>
  <c r="J1090" i="17"/>
  <c r="I1090" i="17"/>
  <c r="H1090" i="17"/>
  <c r="G1090" i="17"/>
  <c r="L1089" i="17"/>
  <c r="K1089" i="17"/>
  <c r="J1089" i="17"/>
  <c r="I1089" i="17"/>
  <c r="H1089" i="17"/>
  <c r="G1089" i="17"/>
  <c r="L1088" i="17"/>
  <c r="K1088" i="17"/>
  <c r="J1088" i="17"/>
  <c r="I1088" i="17"/>
  <c r="H1088" i="17"/>
  <c r="G1088" i="17"/>
  <c r="L1087" i="17"/>
  <c r="K1087" i="17"/>
  <c r="J1087" i="17"/>
  <c r="I1087" i="17"/>
  <c r="H1087" i="17"/>
  <c r="G1087" i="17"/>
  <c r="L1086" i="17"/>
  <c r="K1086" i="17"/>
  <c r="J1086" i="17"/>
  <c r="I1086" i="17"/>
  <c r="H1086" i="17"/>
  <c r="G1086" i="17"/>
  <c r="L1085" i="17"/>
  <c r="K1085" i="17"/>
  <c r="J1085" i="17"/>
  <c r="I1085" i="17"/>
  <c r="H1085" i="17"/>
  <c r="G1085" i="17"/>
  <c r="L1084" i="17"/>
  <c r="K1084" i="17"/>
  <c r="J1084" i="17"/>
  <c r="I1084" i="17"/>
  <c r="H1084" i="17"/>
  <c r="G1084" i="17"/>
  <c r="L1083" i="17"/>
  <c r="K1083" i="17"/>
  <c r="J1083" i="17"/>
  <c r="I1083" i="17"/>
  <c r="H1083" i="17"/>
  <c r="G1083" i="17"/>
  <c r="L1082" i="17"/>
  <c r="K1082" i="17"/>
  <c r="J1082" i="17"/>
  <c r="I1082" i="17"/>
  <c r="H1082" i="17"/>
  <c r="G1082" i="17"/>
  <c r="L1081" i="17"/>
  <c r="K1081" i="17"/>
  <c r="J1081" i="17"/>
  <c r="I1081" i="17"/>
  <c r="H1081" i="17"/>
  <c r="G1081" i="17"/>
  <c r="L1080" i="17"/>
  <c r="K1080" i="17"/>
  <c r="J1080" i="17"/>
  <c r="I1080" i="17"/>
  <c r="H1080" i="17"/>
  <c r="G1080" i="17"/>
  <c r="L1079" i="17"/>
  <c r="K1079" i="17"/>
  <c r="J1079" i="17"/>
  <c r="I1079" i="17"/>
  <c r="H1079" i="17"/>
  <c r="G1079" i="17"/>
  <c r="L1078" i="17"/>
  <c r="K1078" i="17"/>
  <c r="J1078" i="17"/>
  <c r="I1078" i="17"/>
  <c r="H1078" i="17"/>
  <c r="G1078" i="17"/>
  <c r="L1077" i="17"/>
  <c r="K1077" i="17"/>
  <c r="J1077" i="17"/>
  <c r="I1077" i="17"/>
  <c r="H1077" i="17"/>
  <c r="G1077" i="17"/>
  <c r="L1076" i="17"/>
  <c r="K1076" i="17"/>
  <c r="J1076" i="17"/>
  <c r="I1076" i="17"/>
  <c r="H1076" i="17"/>
  <c r="G1076" i="17"/>
  <c r="L1075" i="17"/>
  <c r="K1075" i="17"/>
  <c r="J1075" i="17"/>
  <c r="I1075" i="17"/>
  <c r="H1075" i="17"/>
  <c r="G1075" i="17"/>
  <c r="L1074" i="17"/>
  <c r="K1074" i="17"/>
  <c r="J1074" i="17"/>
  <c r="I1074" i="17"/>
  <c r="H1074" i="17"/>
  <c r="G1074" i="17"/>
  <c r="L1073" i="17"/>
  <c r="K1073" i="17"/>
  <c r="J1073" i="17"/>
  <c r="I1073" i="17"/>
  <c r="H1073" i="17"/>
  <c r="G1073" i="17"/>
  <c r="L1072" i="17"/>
  <c r="K1072" i="17"/>
  <c r="J1072" i="17"/>
  <c r="I1072" i="17"/>
  <c r="H1072" i="17"/>
  <c r="G1072" i="17"/>
  <c r="L1071" i="17"/>
  <c r="K1071" i="17"/>
  <c r="J1071" i="17"/>
  <c r="I1071" i="17"/>
  <c r="H1071" i="17"/>
  <c r="G1071" i="17"/>
  <c r="L1070" i="17"/>
  <c r="K1070" i="17"/>
  <c r="J1070" i="17"/>
  <c r="I1070" i="17"/>
  <c r="H1070" i="17"/>
  <c r="G1070" i="17"/>
  <c r="L1069" i="17"/>
  <c r="K1069" i="17"/>
  <c r="J1069" i="17"/>
  <c r="I1069" i="17"/>
  <c r="H1069" i="17"/>
  <c r="G1069" i="17"/>
  <c r="L1068" i="17"/>
  <c r="K1068" i="17"/>
  <c r="J1068" i="17"/>
  <c r="I1068" i="17"/>
  <c r="H1068" i="17"/>
  <c r="G1068" i="17"/>
  <c r="L1067" i="17"/>
  <c r="K1067" i="17"/>
  <c r="J1067" i="17"/>
  <c r="I1067" i="17"/>
  <c r="H1067" i="17"/>
  <c r="G1067" i="17"/>
  <c r="L1066" i="17"/>
  <c r="K1066" i="17"/>
  <c r="J1066" i="17"/>
  <c r="I1066" i="17"/>
  <c r="H1066" i="17"/>
  <c r="G1066" i="17"/>
  <c r="L1065" i="17"/>
  <c r="K1065" i="17"/>
  <c r="J1065" i="17"/>
  <c r="I1065" i="17"/>
  <c r="H1065" i="17"/>
  <c r="G1065" i="17"/>
  <c r="L1064" i="17"/>
  <c r="K1064" i="17"/>
  <c r="J1064" i="17"/>
  <c r="I1064" i="17"/>
  <c r="H1064" i="17"/>
  <c r="G1064" i="17"/>
  <c r="L1063" i="17"/>
  <c r="K1063" i="17"/>
  <c r="J1063" i="17"/>
  <c r="I1063" i="17"/>
  <c r="H1063" i="17"/>
  <c r="G1063" i="17"/>
  <c r="L1062" i="17"/>
  <c r="K1062" i="17"/>
  <c r="J1062" i="17"/>
  <c r="I1062" i="17"/>
  <c r="H1062" i="17"/>
  <c r="G1062" i="17"/>
  <c r="L1061" i="17"/>
  <c r="K1061" i="17"/>
  <c r="J1061" i="17"/>
  <c r="I1061" i="17"/>
  <c r="H1061" i="17"/>
  <c r="G1061" i="17"/>
  <c r="L1060" i="17"/>
  <c r="K1060" i="17"/>
  <c r="J1060" i="17"/>
  <c r="I1060" i="17"/>
  <c r="H1060" i="17"/>
  <c r="G1060" i="17"/>
  <c r="L1059" i="17"/>
  <c r="K1059" i="17"/>
  <c r="J1059" i="17"/>
  <c r="I1059" i="17"/>
  <c r="H1059" i="17"/>
  <c r="G1059" i="17"/>
  <c r="L1058" i="17"/>
  <c r="K1058" i="17"/>
  <c r="J1058" i="17"/>
  <c r="I1058" i="17"/>
  <c r="H1058" i="17"/>
  <c r="G1058" i="17"/>
  <c r="L1057" i="17"/>
  <c r="K1057" i="17"/>
  <c r="J1057" i="17"/>
  <c r="I1057" i="17"/>
  <c r="H1057" i="17"/>
  <c r="G1057" i="17"/>
  <c r="L1056" i="17"/>
  <c r="K1056" i="17"/>
  <c r="J1056" i="17"/>
  <c r="I1056" i="17"/>
  <c r="H1056" i="17"/>
  <c r="G1056" i="17"/>
  <c r="L1055" i="17"/>
  <c r="K1055" i="17"/>
  <c r="J1055" i="17"/>
  <c r="I1055" i="17"/>
  <c r="H1055" i="17"/>
  <c r="G1055" i="17"/>
  <c r="L1054" i="17"/>
  <c r="K1054" i="17"/>
  <c r="J1054" i="17"/>
  <c r="I1054" i="17"/>
  <c r="H1054" i="17"/>
  <c r="G1054" i="17"/>
  <c r="L1053" i="17"/>
  <c r="K1053" i="17"/>
  <c r="J1053" i="17"/>
  <c r="I1053" i="17"/>
  <c r="H1053" i="17"/>
  <c r="G1053" i="17"/>
  <c r="L1052" i="17"/>
  <c r="K1052" i="17"/>
  <c r="J1052" i="17"/>
  <c r="I1052" i="17"/>
  <c r="H1052" i="17"/>
  <c r="G1052" i="17"/>
  <c r="L1051" i="17"/>
  <c r="K1051" i="17"/>
  <c r="J1051" i="17"/>
  <c r="I1051" i="17"/>
  <c r="H1051" i="17"/>
  <c r="G1051" i="17"/>
  <c r="L1050" i="17"/>
  <c r="K1050" i="17"/>
  <c r="J1050" i="17"/>
  <c r="I1050" i="17"/>
  <c r="H1050" i="17"/>
  <c r="G1050" i="17"/>
  <c r="L1049" i="17"/>
  <c r="K1049" i="17"/>
  <c r="J1049" i="17"/>
  <c r="I1049" i="17"/>
  <c r="H1049" i="17"/>
  <c r="G1049" i="17"/>
  <c r="L1048" i="17"/>
  <c r="K1048" i="17"/>
  <c r="J1048" i="17"/>
  <c r="I1048" i="17"/>
  <c r="H1048" i="17"/>
  <c r="G1048" i="17"/>
  <c r="L1047" i="17"/>
  <c r="K1047" i="17"/>
  <c r="J1047" i="17"/>
  <c r="I1047" i="17"/>
  <c r="H1047" i="17"/>
  <c r="G1047" i="17"/>
  <c r="L1046" i="17"/>
  <c r="K1046" i="17"/>
  <c r="J1046" i="17"/>
  <c r="I1046" i="17"/>
  <c r="H1046" i="17"/>
  <c r="G1046" i="17"/>
  <c r="L1045" i="17"/>
  <c r="K1045" i="17"/>
  <c r="J1045" i="17"/>
  <c r="I1045" i="17"/>
  <c r="H1045" i="17"/>
  <c r="G1045" i="17"/>
  <c r="L1044" i="17"/>
  <c r="K1044" i="17"/>
  <c r="J1044" i="17"/>
  <c r="I1044" i="17"/>
  <c r="H1044" i="17"/>
  <c r="G1044" i="17"/>
  <c r="L1043" i="17"/>
  <c r="K1043" i="17"/>
  <c r="J1043" i="17"/>
  <c r="I1043" i="17"/>
  <c r="H1043" i="17"/>
  <c r="G1043" i="17"/>
  <c r="L1042" i="17"/>
  <c r="K1042" i="17"/>
  <c r="J1042" i="17"/>
  <c r="I1042" i="17"/>
  <c r="H1042" i="17"/>
  <c r="G1042" i="17"/>
  <c r="L1041" i="17"/>
  <c r="K1041" i="17"/>
  <c r="J1041" i="17"/>
  <c r="I1041" i="17"/>
  <c r="H1041" i="17"/>
  <c r="G1041" i="17"/>
  <c r="L1040" i="17"/>
  <c r="K1040" i="17"/>
  <c r="J1040" i="17"/>
  <c r="I1040" i="17"/>
  <c r="H1040" i="17"/>
  <c r="G1040" i="17"/>
  <c r="L1039" i="17"/>
  <c r="K1039" i="17"/>
  <c r="J1039" i="17"/>
  <c r="I1039" i="17"/>
  <c r="H1039" i="17"/>
  <c r="G1039" i="17"/>
  <c r="L1038" i="17"/>
  <c r="K1038" i="17"/>
  <c r="J1038" i="17"/>
  <c r="I1038" i="17"/>
  <c r="H1038" i="17"/>
  <c r="G1038" i="17"/>
  <c r="L1037" i="17"/>
  <c r="K1037" i="17"/>
  <c r="J1037" i="17"/>
  <c r="I1037" i="17"/>
  <c r="H1037" i="17"/>
  <c r="G1037" i="17"/>
  <c r="L1036" i="17"/>
  <c r="K1036" i="17"/>
  <c r="J1036" i="17"/>
  <c r="I1036" i="17"/>
  <c r="H1036" i="17"/>
  <c r="G1036" i="17"/>
  <c r="L1035" i="17"/>
  <c r="K1035" i="17"/>
  <c r="J1035" i="17"/>
  <c r="I1035" i="17"/>
  <c r="H1035" i="17"/>
  <c r="G1035" i="17"/>
  <c r="L1034" i="17"/>
  <c r="K1034" i="17"/>
  <c r="J1034" i="17"/>
  <c r="I1034" i="17"/>
  <c r="H1034" i="17"/>
  <c r="G1034" i="17"/>
  <c r="L1033" i="17"/>
  <c r="K1033" i="17"/>
  <c r="J1033" i="17"/>
  <c r="I1033" i="17"/>
  <c r="H1033" i="17"/>
  <c r="G1033" i="17"/>
  <c r="L1032" i="17"/>
  <c r="K1032" i="17"/>
  <c r="J1032" i="17"/>
  <c r="I1032" i="17"/>
  <c r="H1032" i="17"/>
  <c r="G1032" i="17"/>
  <c r="L1031" i="17"/>
  <c r="K1031" i="17"/>
  <c r="J1031" i="17"/>
  <c r="I1031" i="17"/>
  <c r="H1031" i="17"/>
  <c r="G1031" i="17"/>
  <c r="L1030" i="17"/>
  <c r="K1030" i="17"/>
  <c r="J1030" i="17"/>
  <c r="I1030" i="17"/>
  <c r="H1030" i="17"/>
  <c r="G1030" i="17"/>
  <c r="L1029" i="17"/>
  <c r="K1029" i="17"/>
  <c r="J1029" i="17"/>
  <c r="I1029" i="17"/>
  <c r="H1029" i="17"/>
  <c r="G1029" i="17"/>
  <c r="L1028" i="17"/>
  <c r="K1028" i="17"/>
  <c r="J1028" i="17"/>
  <c r="I1028" i="17"/>
  <c r="H1028" i="17"/>
  <c r="G1028" i="17"/>
  <c r="L1027" i="17"/>
  <c r="K1027" i="17"/>
  <c r="J1027" i="17"/>
  <c r="I1027" i="17"/>
  <c r="H1027" i="17"/>
  <c r="G1027" i="17"/>
  <c r="L1026" i="17"/>
  <c r="K1026" i="17"/>
  <c r="J1026" i="17"/>
  <c r="I1026" i="17"/>
  <c r="H1026" i="17"/>
  <c r="G1026" i="17"/>
  <c r="L1025" i="17"/>
  <c r="K1025" i="17"/>
  <c r="J1025" i="17"/>
  <c r="I1025" i="17"/>
  <c r="H1025" i="17"/>
  <c r="G1025" i="17"/>
  <c r="L1024" i="17"/>
  <c r="K1024" i="17"/>
  <c r="J1024" i="17"/>
  <c r="I1024" i="17"/>
  <c r="H1024" i="17"/>
  <c r="G1024" i="17"/>
  <c r="L1023" i="17"/>
  <c r="K1023" i="17"/>
  <c r="J1023" i="17"/>
  <c r="I1023" i="17"/>
  <c r="H1023" i="17"/>
  <c r="G1023" i="17"/>
  <c r="L1022" i="17"/>
  <c r="K1022" i="17"/>
  <c r="J1022" i="17"/>
  <c r="I1022" i="17"/>
  <c r="H1022" i="17"/>
  <c r="G1022" i="17"/>
  <c r="L1021" i="17"/>
  <c r="K1021" i="17"/>
  <c r="J1021" i="17"/>
  <c r="I1021" i="17"/>
  <c r="H1021" i="17"/>
  <c r="G1021" i="17"/>
  <c r="L1020" i="17"/>
  <c r="K1020" i="17"/>
  <c r="J1020" i="17"/>
  <c r="I1020" i="17"/>
  <c r="H1020" i="17"/>
  <c r="G1020" i="17"/>
  <c r="L1019" i="17"/>
  <c r="K1019" i="17"/>
  <c r="J1019" i="17"/>
  <c r="I1019" i="17"/>
  <c r="H1019" i="17"/>
  <c r="G1019" i="17"/>
  <c r="L1018" i="17"/>
  <c r="K1018" i="17"/>
  <c r="J1018" i="17"/>
  <c r="I1018" i="17"/>
  <c r="H1018" i="17"/>
  <c r="G1018" i="17"/>
  <c r="L1017" i="17"/>
  <c r="K1017" i="17"/>
  <c r="J1017" i="17"/>
  <c r="I1017" i="17"/>
  <c r="H1017" i="17"/>
  <c r="G1017" i="17"/>
  <c r="L1016" i="17"/>
  <c r="K1016" i="17"/>
  <c r="J1016" i="17"/>
  <c r="I1016" i="17"/>
  <c r="H1016" i="17"/>
  <c r="G1016" i="17"/>
  <c r="L1015" i="17"/>
  <c r="K1015" i="17"/>
  <c r="J1015" i="17"/>
  <c r="I1015" i="17"/>
  <c r="H1015" i="17"/>
  <c r="G1015" i="17"/>
  <c r="L1014" i="17"/>
  <c r="K1014" i="17"/>
  <c r="J1014" i="17"/>
  <c r="I1014" i="17"/>
  <c r="H1014" i="17"/>
  <c r="G1014" i="17"/>
  <c r="L1013" i="17"/>
  <c r="K1013" i="17"/>
  <c r="J1013" i="17"/>
  <c r="I1013" i="17"/>
  <c r="H1013" i="17"/>
  <c r="G1013" i="17"/>
  <c r="L1012" i="17"/>
  <c r="K1012" i="17"/>
  <c r="J1012" i="17"/>
  <c r="I1012" i="17"/>
  <c r="H1012" i="17"/>
  <c r="G1012" i="17"/>
  <c r="L1011" i="17"/>
  <c r="K1011" i="17"/>
  <c r="J1011" i="17"/>
  <c r="I1011" i="17"/>
  <c r="H1011" i="17"/>
  <c r="G1011" i="17"/>
  <c r="L1010" i="17"/>
  <c r="K1010" i="17"/>
  <c r="J1010" i="17"/>
  <c r="I1010" i="17"/>
  <c r="H1010" i="17"/>
  <c r="G1010" i="17"/>
  <c r="L1009" i="17"/>
  <c r="K1009" i="17"/>
  <c r="J1009" i="17"/>
  <c r="I1009" i="17"/>
  <c r="H1009" i="17"/>
  <c r="G1009" i="17"/>
  <c r="L1008" i="17"/>
  <c r="K1008" i="17"/>
  <c r="J1008" i="17"/>
  <c r="I1008" i="17"/>
  <c r="H1008" i="17"/>
  <c r="G1008" i="17"/>
  <c r="L1007" i="17"/>
  <c r="K1007" i="17"/>
  <c r="J1007" i="17"/>
  <c r="I1007" i="17"/>
  <c r="H1007" i="17"/>
  <c r="G1007" i="17"/>
  <c r="L1006" i="17"/>
  <c r="K1006" i="17"/>
  <c r="J1006" i="17"/>
  <c r="I1006" i="17"/>
  <c r="H1006" i="17"/>
  <c r="G1006" i="17"/>
  <c r="L1005" i="17"/>
  <c r="K1005" i="17"/>
  <c r="J1005" i="17"/>
  <c r="I1005" i="17"/>
  <c r="H1005" i="17"/>
  <c r="G1005" i="17"/>
  <c r="L1004" i="17"/>
  <c r="K1004" i="17"/>
  <c r="J1004" i="17"/>
  <c r="I1004" i="17"/>
  <c r="H1004" i="17"/>
  <c r="G1004" i="17"/>
  <c r="L1003" i="17"/>
  <c r="K1003" i="17"/>
  <c r="J1003" i="17"/>
  <c r="I1003" i="17"/>
  <c r="H1003" i="17"/>
  <c r="G1003" i="17"/>
  <c r="L1002" i="17"/>
  <c r="K1002" i="17"/>
  <c r="J1002" i="17"/>
  <c r="I1002" i="17"/>
  <c r="H1002" i="17"/>
  <c r="G1002" i="17"/>
  <c r="L1001" i="17"/>
  <c r="K1001" i="17"/>
  <c r="J1001" i="17"/>
  <c r="I1001" i="17"/>
  <c r="H1001" i="17"/>
  <c r="G1001" i="17"/>
  <c r="L1000" i="17"/>
  <c r="K1000" i="17"/>
  <c r="J1000" i="17"/>
  <c r="I1000" i="17"/>
  <c r="H1000" i="17"/>
  <c r="G1000" i="17"/>
  <c r="L999" i="17"/>
  <c r="K999" i="17"/>
  <c r="J999" i="17"/>
  <c r="I999" i="17"/>
  <c r="H999" i="17"/>
  <c r="G999" i="17"/>
  <c r="L998" i="17"/>
  <c r="K998" i="17"/>
  <c r="J998" i="17"/>
  <c r="I998" i="17"/>
  <c r="H998" i="17"/>
  <c r="G998" i="17"/>
  <c r="L997" i="17"/>
  <c r="K997" i="17"/>
  <c r="J997" i="17"/>
  <c r="I997" i="17"/>
  <c r="H997" i="17"/>
  <c r="G997" i="17"/>
  <c r="L996" i="17"/>
  <c r="K996" i="17"/>
  <c r="J996" i="17"/>
  <c r="I996" i="17"/>
  <c r="H996" i="17"/>
  <c r="G996" i="17"/>
  <c r="L995" i="17"/>
  <c r="K995" i="17"/>
  <c r="J995" i="17"/>
  <c r="I995" i="17"/>
  <c r="H995" i="17"/>
  <c r="G995" i="17"/>
  <c r="L994" i="17"/>
  <c r="K994" i="17"/>
  <c r="J994" i="17"/>
  <c r="I994" i="17"/>
  <c r="H994" i="17"/>
  <c r="G994" i="17"/>
  <c r="L993" i="17"/>
  <c r="K993" i="17"/>
  <c r="J993" i="17"/>
  <c r="I993" i="17"/>
  <c r="H993" i="17"/>
  <c r="G993" i="17"/>
  <c r="L992" i="17"/>
  <c r="K992" i="17"/>
  <c r="J992" i="17"/>
  <c r="I992" i="17"/>
  <c r="H992" i="17"/>
  <c r="G992" i="17"/>
  <c r="L991" i="17"/>
  <c r="K991" i="17"/>
  <c r="J991" i="17"/>
  <c r="I991" i="17"/>
  <c r="H991" i="17"/>
  <c r="G991" i="17"/>
  <c r="L990" i="17"/>
  <c r="K990" i="17"/>
  <c r="J990" i="17"/>
  <c r="I990" i="17"/>
  <c r="H990" i="17"/>
  <c r="G990" i="17"/>
  <c r="L989" i="17"/>
  <c r="K989" i="17"/>
  <c r="J989" i="17"/>
  <c r="I989" i="17"/>
  <c r="H989" i="17"/>
  <c r="G989" i="17"/>
  <c r="L988" i="17"/>
  <c r="K988" i="17"/>
  <c r="J988" i="17"/>
  <c r="I988" i="17"/>
  <c r="H988" i="17"/>
  <c r="G988" i="17"/>
  <c r="L987" i="17"/>
  <c r="K987" i="17"/>
  <c r="J987" i="17"/>
  <c r="I987" i="17"/>
  <c r="H987" i="17"/>
  <c r="G987" i="17"/>
  <c r="L986" i="17"/>
  <c r="K986" i="17"/>
  <c r="J986" i="17"/>
  <c r="I986" i="17"/>
  <c r="H986" i="17"/>
  <c r="G986" i="17"/>
  <c r="L985" i="17"/>
  <c r="K985" i="17"/>
  <c r="J985" i="17"/>
  <c r="I985" i="17"/>
  <c r="H985" i="17"/>
  <c r="G985" i="17"/>
  <c r="L984" i="17"/>
  <c r="K984" i="17"/>
  <c r="J984" i="17"/>
  <c r="I984" i="17"/>
  <c r="H984" i="17"/>
  <c r="G984" i="17"/>
  <c r="L983" i="17"/>
  <c r="K983" i="17"/>
  <c r="J983" i="17"/>
  <c r="I983" i="17"/>
  <c r="H983" i="17"/>
  <c r="G983" i="17"/>
  <c r="L982" i="17"/>
  <c r="K982" i="17"/>
  <c r="J982" i="17"/>
  <c r="I982" i="17"/>
  <c r="H982" i="17"/>
  <c r="G982" i="17"/>
  <c r="L981" i="17"/>
  <c r="K981" i="17"/>
  <c r="J981" i="17"/>
  <c r="I981" i="17"/>
  <c r="H981" i="17"/>
  <c r="G981" i="17"/>
  <c r="L980" i="17"/>
  <c r="K980" i="17"/>
  <c r="J980" i="17"/>
  <c r="I980" i="17"/>
  <c r="H980" i="17"/>
  <c r="G980" i="17"/>
  <c r="L979" i="17"/>
  <c r="K979" i="17"/>
  <c r="J979" i="17"/>
  <c r="I979" i="17"/>
  <c r="H979" i="17"/>
  <c r="G979" i="17"/>
  <c r="L978" i="17"/>
  <c r="K978" i="17"/>
  <c r="J978" i="17"/>
  <c r="I978" i="17"/>
  <c r="H978" i="17"/>
  <c r="G978" i="17"/>
  <c r="L977" i="17"/>
  <c r="K977" i="17"/>
  <c r="J977" i="17"/>
  <c r="I977" i="17"/>
  <c r="H977" i="17"/>
  <c r="G977" i="17"/>
  <c r="L976" i="17"/>
  <c r="K976" i="17"/>
  <c r="J976" i="17"/>
  <c r="I976" i="17"/>
  <c r="H976" i="17"/>
  <c r="G976" i="17"/>
  <c r="L975" i="17"/>
  <c r="K975" i="17"/>
  <c r="J975" i="17"/>
  <c r="I975" i="17"/>
  <c r="H975" i="17"/>
  <c r="G975" i="17"/>
  <c r="L974" i="17"/>
  <c r="K974" i="17"/>
  <c r="J974" i="17"/>
  <c r="I974" i="17"/>
  <c r="H974" i="17"/>
  <c r="G974" i="17"/>
  <c r="L973" i="17"/>
  <c r="K973" i="17"/>
  <c r="J973" i="17"/>
  <c r="I973" i="17"/>
  <c r="H973" i="17"/>
  <c r="G973" i="17"/>
  <c r="L972" i="17"/>
  <c r="K972" i="17"/>
  <c r="J972" i="17"/>
  <c r="I972" i="17"/>
  <c r="H972" i="17"/>
  <c r="G972" i="17"/>
  <c r="L971" i="17"/>
  <c r="K971" i="17"/>
  <c r="J971" i="17"/>
  <c r="I971" i="17"/>
  <c r="H971" i="17"/>
  <c r="G971" i="17"/>
  <c r="L970" i="17"/>
  <c r="K970" i="17"/>
  <c r="J970" i="17"/>
  <c r="I970" i="17"/>
  <c r="H970" i="17"/>
  <c r="G970" i="17"/>
  <c r="L969" i="17"/>
  <c r="K969" i="17"/>
  <c r="J969" i="17"/>
  <c r="I969" i="17"/>
  <c r="H969" i="17"/>
  <c r="G969" i="17"/>
  <c r="L968" i="17"/>
  <c r="K968" i="17"/>
  <c r="J968" i="17"/>
  <c r="I968" i="17"/>
  <c r="H968" i="17"/>
  <c r="G968" i="17"/>
  <c r="L967" i="17"/>
  <c r="K967" i="17"/>
  <c r="J967" i="17"/>
  <c r="I967" i="17"/>
  <c r="H967" i="17"/>
  <c r="G967" i="17"/>
  <c r="L966" i="17"/>
  <c r="K966" i="17"/>
  <c r="J966" i="17"/>
  <c r="I966" i="17"/>
  <c r="H966" i="17"/>
  <c r="G966" i="17"/>
  <c r="L965" i="17"/>
  <c r="K965" i="17"/>
  <c r="J965" i="17"/>
  <c r="I965" i="17"/>
  <c r="H965" i="17"/>
  <c r="G965" i="17"/>
  <c r="L964" i="17"/>
  <c r="K964" i="17"/>
  <c r="J964" i="17"/>
  <c r="I964" i="17"/>
  <c r="H964" i="17"/>
  <c r="G964" i="17"/>
  <c r="L963" i="17"/>
  <c r="K963" i="17"/>
  <c r="J963" i="17"/>
  <c r="I963" i="17"/>
  <c r="H963" i="17"/>
  <c r="G963" i="17"/>
  <c r="L962" i="17"/>
  <c r="K962" i="17"/>
  <c r="J962" i="17"/>
  <c r="I962" i="17"/>
  <c r="H962" i="17"/>
  <c r="G962" i="17"/>
  <c r="L961" i="17"/>
  <c r="K961" i="17"/>
  <c r="J961" i="17"/>
  <c r="I961" i="17"/>
  <c r="H961" i="17"/>
  <c r="G961" i="17"/>
  <c r="L960" i="17"/>
  <c r="K960" i="17"/>
  <c r="J960" i="17"/>
  <c r="I960" i="17"/>
  <c r="H960" i="17"/>
  <c r="G960" i="17"/>
  <c r="L959" i="17"/>
  <c r="K959" i="17"/>
  <c r="J959" i="17"/>
  <c r="I959" i="17"/>
  <c r="H959" i="17"/>
  <c r="G959" i="17"/>
  <c r="L958" i="17"/>
  <c r="K958" i="17"/>
  <c r="J958" i="17"/>
  <c r="I958" i="17"/>
  <c r="H958" i="17"/>
  <c r="G958" i="17"/>
  <c r="L957" i="17"/>
  <c r="K957" i="17"/>
  <c r="J957" i="17"/>
  <c r="I957" i="17"/>
  <c r="H957" i="17"/>
  <c r="G957" i="17"/>
  <c r="L956" i="17"/>
  <c r="K956" i="17"/>
  <c r="J956" i="17"/>
  <c r="I956" i="17"/>
  <c r="H956" i="17"/>
  <c r="G956" i="17"/>
  <c r="L955" i="17"/>
  <c r="K955" i="17"/>
  <c r="J955" i="17"/>
  <c r="I955" i="17"/>
  <c r="H955" i="17"/>
  <c r="G955" i="17"/>
  <c r="L954" i="17"/>
  <c r="K954" i="17"/>
  <c r="J954" i="17"/>
  <c r="I954" i="17"/>
  <c r="H954" i="17"/>
  <c r="G954" i="17"/>
  <c r="L953" i="17"/>
  <c r="K953" i="17"/>
  <c r="J953" i="17"/>
  <c r="I953" i="17"/>
  <c r="H953" i="17"/>
  <c r="G953" i="17"/>
  <c r="L952" i="17"/>
  <c r="K952" i="17"/>
  <c r="J952" i="17"/>
  <c r="I952" i="17"/>
  <c r="H952" i="17"/>
  <c r="G952" i="17"/>
  <c r="L951" i="17"/>
  <c r="K951" i="17"/>
  <c r="J951" i="17"/>
  <c r="I951" i="17"/>
  <c r="H951" i="17"/>
  <c r="G951" i="17"/>
  <c r="L950" i="17"/>
  <c r="K950" i="17"/>
  <c r="J950" i="17"/>
  <c r="I950" i="17"/>
  <c r="H950" i="17"/>
  <c r="G950" i="17"/>
  <c r="L949" i="17"/>
  <c r="K949" i="17"/>
  <c r="J949" i="17"/>
  <c r="I949" i="17"/>
  <c r="H949" i="17"/>
  <c r="G949" i="17"/>
  <c r="L948" i="17"/>
  <c r="K948" i="17"/>
  <c r="J948" i="17"/>
  <c r="I948" i="17"/>
  <c r="H948" i="17"/>
  <c r="G948" i="17"/>
  <c r="L947" i="17"/>
  <c r="K947" i="17"/>
  <c r="J947" i="17"/>
  <c r="I947" i="17"/>
  <c r="H947" i="17"/>
  <c r="G947" i="17"/>
  <c r="L946" i="17"/>
  <c r="K946" i="17"/>
  <c r="J946" i="17"/>
  <c r="I946" i="17"/>
  <c r="H946" i="17"/>
  <c r="G946" i="17"/>
  <c r="L945" i="17"/>
  <c r="K945" i="17"/>
  <c r="J945" i="17"/>
  <c r="I945" i="17"/>
  <c r="H945" i="17"/>
  <c r="G945" i="17"/>
  <c r="L944" i="17"/>
  <c r="K944" i="17"/>
  <c r="J944" i="17"/>
  <c r="I944" i="17"/>
  <c r="H944" i="17"/>
  <c r="G944" i="17"/>
  <c r="L943" i="17"/>
  <c r="K943" i="17"/>
  <c r="J943" i="17"/>
  <c r="I943" i="17"/>
  <c r="H943" i="17"/>
  <c r="G943" i="17"/>
  <c r="L942" i="17"/>
  <c r="K942" i="17"/>
  <c r="J942" i="17"/>
  <c r="I942" i="17"/>
  <c r="H942" i="17"/>
  <c r="G942" i="17"/>
  <c r="L941" i="17"/>
  <c r="K941" i="17"/>
  <c r="J941" i="17"/>
  <c r="I941" i="17"/>
  <c r="H941" i="17"/>
  <c r="G941" i="17"/>
  <c r="L940" i="17"/>
  <c r="K940" i="17"/>
  <c r="J940" i="17"/>
  <c r="I940" i="17"/>
  <c r="H940" i="17"/>
  <c r="G940" i="17"/>
  <c r="L939" i="17"/>
  <c r="K939" i="17"/>
  <c r="J939" i="17"/>
  <c r="I939" i="17"/>
  <c r="H939" i="17"/>
  <c r="G939" i="17"/>
  <c r="L938" i="17"/>
  <c r="K938" i="17"/>
  <c r="J938" i="17"/>
  <c r="I938" i="17"/>
  <c r="H938" i="17"/>
  <c r="G938" i="17"/>
  <c r="L937" i="17"/>
  <c r="K937" i="17"/>
  <c r="J937" i="17"/>
  <c r="I937" i="17"/>
  <c r="H937" i="17"/>
  <c r="G937" i="17"/>
  <c r="L936" i="17"/>
  <c r="K936" i="17"/>
  <c r="J936" i="17"/>
  <c r="I936" i="17"/>
  <c r="H936" i="17"/>
  <c r="G936" i="17"/>
  <c r="L935" i="17"/>
  <c r="K935" i="17"/>
  <c r="J935" i="17"/>
  <c r="I935" i="17"/>
  <c r="H935" i="17"/>
  <c r="G935" i="17"/>
  <c r="L934" i="17"/>
  <c r="K934" i="17"/>
  <c r="J934" i="17"/>
  <c r="I934" i="17"/>
  <c r="H934" i="17"/>
  <c r="G934" i="17"/>
  <c r="L933" i="17"/>
  <c r="K933" i="17"/>
  <c r="J933" i="17"/>
  <c r="I933" i="17"/>
  <c r="H933" i="17"/>
  <c r="G933" i="17"/>
  <c r="L932" i="17"/>
  <c r="K932" i="17"/>
  <c r="J932" i="17"/>
  <c r="I932" i="17"/>
  <c r="H932" i="17"/>
  <c r="G932" i="17"/>
  <c r="L931" i="17"/>
  <c r="K931" i="17"/>
  <c r="J931" i="17"/>
  <c r="I931" i="17"/>
  <c r="H931" i="17"/>
  <c r="G931" i="17"/>
  <c r="L930" i="17"/>
  <c r="K930" i="17"/>
  <c r="J930" i="17"/>
  <c r="I930" i="17"/>
  <c r="H930" i="17"/>
  <c r="G930" i="17"/>
  <c r="L929" i="17"/>
  <c r="K929" i="17"/>
  <c r="J929" i="17"/>
  <c r="I929" i="17"/>
  <c r="H929" i="17"/>
  <c r="G929" i="17"/>
  <c r="L928" i="17"/>
  <c r="K928" i="17"/>
  <c r="J928" i="17"/>
  <c r="I928" i="17"/>
  <c r="H928" i="17"/>
  <c r="G928" i="17"/>
  <c r="L927" i="17"/>
  <c r="K927" i="17"/>
  <c r="J927" i="17"/>
  <c r="I927" i="17"/>
  <c r="H927" i="17"/>
  <c r="G927" i="17"/>
  <c r="L926" i="17"/>
  <c r="K926" i="17"/>
  <c r="J926" i="17"/>
  <c r="I926" i="17"/>
  <c r="H926" i="17"/>
  <c r="G926" i="17"/>
  <c r="L925" i="17"/>
  <c r="K925" i="17"/>
  <c r="J925" i="17"/>
  <c r="I925" i="17"/>
  <c r="H925" i="17"/>
  <c r="G925" i="17"/>
  <c r="L924" i="17"/>
  <c r="K924" i="17"/>
  <c r="J924" i="17"/>
  <c r="I924" i="17"/>
  <c r="H924" i="17"/>
  <c r="G924" i="17"/>
  <c r="L923" i="17"/>
  <c r="K923" i="17"/>
  <c r="J923" i="17"/>
  <c r="I923" i="17"/>
  <c r="H923" i="17"/>
  <c r="G923" i="17"/>
  <c r="L922" i="17"/>
  <c r="K922" i="17"/>
  <c r="J922" i="17"/>
  <c r="I922" i="17"/>
  <c r="H922" i="17"/>
  <c r="G922" i="17"/>
  <c r="L921" i="17"/>
  <c r="K921" i="17"/>
  <c r="J921" i="17"/>
  <c r="I921" i="17"/>
  <c r="H921" i="17"/>
  <c r="G921" i="17"/>
  <c r="L920" i="17"/>
  <c r="K920" i="17"/>
  <c r="J920" i="17"/>
  <c r="I920" i="17"/>
  <c r="H920" i="17"/>
  <c r="G920" i="17"/>
  <c r="L919" i="17"/>
  <c r="K919" i="17"/>
  <c r="J919" i="17"/>
  <c r="I919" i="17"/>
  <c r="H919" i="17"/>
  <c r="G919" i="17"/>
  <c r="L918" i="17"/>
  <c r="K918" i="17"/>
  <c r="J918" i="17"/>
  <c r="I918" i="17"/>
  <c r="H918" i="17"/>
  <c r="G918" i="17"/>
  <c r="L917" i="17"/>
  <c r="K917" i="17"/>
  <c r="J917" i="17"/>
  <c r="I917" i="17"/>
  <c r="H917" i="17"/>
  <c r="G917" i="17"/>
  <c r="L916" i="17"/>
  <c r="K916" i="17"/>
  <c r="J916" i="17"/>
  <c r="I916" i="17"/>
  <c r="H916" i="17"/>
  <c r="G916" i="17"/>
  <c r="L915" i="17"/>
  <c r="K915" i="17"/>
  <c r="J915" i="17"/>
  <c r="I915" i="17"/>
  <c r="H915" i="17"/>
  <c r="G915" i="17"/>
  <c r="L914" i="17"/>
  <c r="K914" i="17"/>
  <c r="J914" i="17"/>
  <c r="I914" i="17"/>
  <c r="H914" i="17"/>
  <c r="G914" i="17"/>
  <c r="L913" i="17"/>
  <c r="K913" i="17"/>
  <c r="J913" i="17"/>
  <c r="I913" i="17"/>
  <c r="H913" i="17"/>
  <c r="G913" i="17"/>
  <c r="L912" i="17"/>
  <c r="K912" i="17"/>
  <c r="J912" i="17"/>
  <c r="I912" i="17"/>
  <c r="H912" i="17"/>
  <c r="G912" i="17"/>
  <c r="L911" i="17"/>
  <c r="K911" i="17"/>
  <c r="J911" i="17"/>
  <c r="I911" i="17"/>
  <c r="H911" i="17"/>
  <c r="G911" i="17"/>
  <c r="L910" i="17"/>
  <c r="K910" i="17"/>
  <c r="J910" i="17"/>
  <c r="I910" i="17"/>
  <c r="H910" i="17"/>
  <c r="G910" i="17"/>
  <c r="L909" i="17"/>
  <c r="K909" i="17"/>
  <c r="J909" i="17"/>
  <c r="I909" i="17"/>
  <c r="H909" i="17"/>
  <c r="G909" i="17"/>
  <c r="L908" i="17"/>
  <c r="K908" i="17"/>
  <c r="J908" i="17"/>
  <c r="I908" i="17"/>
  <c r="H908" i="17"/>
  <c r="G908" i="17"/>
  <c r="L907" i="17"/>
  <c r="K907" i="17"/>
  <c r="J907" i="17"/>
  <c r="I907" i="17"/>
  <c r="H907" i="17"/>
  <c r="G907" i="17"/>
  <c r="L906" i="17"/>
  <c r="K906" i="17"/>
  <c r="J906" i="17"/>
  <c r="I906" i="17"/>
  <c r="H906" i="17"/>
  <c r="G906" i="17"/>
  <c r="L905" i="17"/>
  <c r="K905" i="17"/>
  <c r="J905" i="17"/>
  <c r="I905" i="17"/>
  <c r="H905" i="17"/>
  <c r="G905" i="17"/>
  <c r="L904" i="17"/>
  <c r="K904" i="17"/>
  <c r="J904" i="17"/>
  <c r="I904" i="17"/>
  <c r="H904" i="17"/>
  <c r="G904" i="17"/>
  <c r="L903" i="17"/>
  <c r="K903" i="17"/>
  <c r="J903" i="17"/>
  <c r="I903" i="17"/>
  <c r="H903" i="17"/>
  <c r="G903" i="17"/>
  <c r="L902" i="17"/>
  <c r="K902" i="17"/>
  <c r="J902" i="17"/>
  <c r="I902" i="17"/>
  <c r="H902" i="17"/>
  <c r="G902" i="17"/>
  <c r="L901" i="17"/>
  <c r="K901" i="17"/>
  <c r="J901" i="17"/>
  <c r="I901" i="17"/>
  <c r="H901" i="17"/>
  <c r="G901" i="17"/>
  <c r="L900" i="17"/>
  <c r="K900" i="17"/>
  <c r="J900" i="17"/>
  <c r="I900" i="17"/>
  <c r="H900" i="17"/>
  <c r="G900" i="17"/>
  <c r="L899" i="17"/>
  <c r="K899" i="17"/>
  <c r="J899" i="17"/>
  <c r="I899" i="17"/>
  <c r="H899" i="17"/>
  <c r="G899" i="17"/>
  <c r="L898" i="17"/>
  <c r="K898" i="17"/>
  <c r="J898" i="17"/>
  <c r="I898" i="17"/>
  <c r="H898" i="17"/>
  <c r="G898" i="17"/>
  <c r="L897" i="17"/>
  <c r="K897" i="17"/>
  <c r="J897" i="17"/>
  <c r="I897" i="17"/>
  <c r="H897" i="17"/>
  <c r="G897" i="17"/>
  <c r="L896" i="17"/>
  <c r="K896" i="17"/>
  <c r="J896" i="17"/>
  <c r="I896" i="17"/>
  <c r="H896" i="17"/>
  <c r="G896" i="17"/>
  <c r="L895" i="17"/>
  <c r="K895" i="17"/>
  <c r="J895" i="17"/>
  <c r="I895" i="17"/>
  <c r="H895" i="17"/>
  <c r="G895" i="17"/>
  <c r="L894" i="17"/>
  <c r="K894" i="17"/>
  <c r="J894" i="17"/>
  <c r="I894" i="17"/>
  <c r="H894" i="17"/>
  <c r="G894" i="17"/>
  <c r="L893" i="17"/>
  <c r="K893" i="17"/>
  <c r="J893" i="17"/>
  <c r="I893" i="17"/>
  <c r="H893" i="17"/>
  <c r="G893" i="17"/>
  <c r="L892" i="17"/>
  <c r="K892" i="17"/>
  <c r="J892" i="17"/>
  <c r="I892" i="17"/>
  <c r="H892" i="17"/>
  <c r="G892" i="17"/>
  <c r="L891" i="17"/>
  <c r="K891" i="17"/>
  <c r="J891" i="17"/>
  <c r="I891" i="17"/>
  <c r="H891" i="17"/>
  <c r="G891" i="17"/>
  <c r="L890" i="17"/>
  <c r="K890" i="17"/>
  <c r="J890" i="17"/>
  <c r="I890" i="17"/>
  <c r="H890" i="17"/>
  <c r="G890" i="17"/>
  <c r="L889" i="17"/>
  <c r="K889" i="17"/>
  <c r="J889" i="17"/>
  <c r="I889" i="17"/>
  <c r="H889" i="17"/>
  <c r="G889" i="17"/>
  <c r="L888" i="17"/>
  <c r="K888" i="17"/>
  <c r="J888" i="17"/>
  <c r="I888" i="17"/>
  <c r="H888" i="17"/>
  <c r="G888" i="17"/>
  <c r="L887" i="17"/>
  <c r="K887" i="17"/>
  <c r="J887" i="17"/>
  <c r="I887" i="17"/>
  <c r="H887" i="17"/>
  <c r="G887" i="17"/>
  <c r="L886" i="17"/>
  <c r="K886" i="17"/>
  <c r="J886" i="17"/>
  <c r="I886" i="17"/>
  <c r="H886" i="17"/>
  <c r="G886" i="17"/>
  <c r="L885" i="17"/>
  <c r="K885" i="17"/>
  <c r="J885" i="17"/>
  <c r="I885" i="17"/>
  <c r="H885" i="17"/>
  <c r="G885" i="17"/>
  <c r="L884" i="17"/>
  <c r="K884" i="17"/>
  <c r="J884" i="17"/>
  <c r="I884" i="17"/>
  <c r="H884" i="17"/>
  <c r="G884" i="17"/>
  <c r="L883" i="17"/>
  <c r="K883" i="17"/>
  <c r="J883" i="17"/>
  <c r="I883" i="17"/>
  <c r="H883" i="17"/>
  <c r="G883" i="17"/>
  <c r="L882" i="17"/>
  <c r="K882" i="17"/>
  <c r="J882" i="17"/>
  <c r="I882" i="17"/>
  <c r="H882" i="17"/>
  <c r="G882" i="17"/>
  <c r="L881" i="17"/>
  <c r="K881" i="17"/>
  <c r="J881" i="17"/>
  <c r="I881" i="17"/>
  <c r="H881" i="17"/>
  <c r="G881" i="17"/>
  <c r="L880" i="17"/>
  <c r="K880" i="17"/>
  <c r="J880" i="17"/>
  <c r="I880" i="17"/>
  <c r="H880" i="17"/>
  <c r="G880" i="17"/>
  <c r="L879" i="17"/>
  <c r="K879" i="17"/>
  <c r="J879" i="17"/>
  <c r="I879" i="17"/>
  <c r="H879" i="17"/>
  <c r="G879" i="17"/>
  <c r="L878" i="17"/>
  <c r="K878" i="17"/>
  <c r="J878" i="17"/>
  <c r="I878" i="17"/>
  <c r="H878" i="17"/>
  <c r="G878" i="17"/>
  <c r="L877" i="17"/>
  <c r="K877" i="17"/>
  <c r="J877" i="17"/>
  <c r="I877" i="17"/>
  <c r="H877" i="17"/>
  <c r="G877" i="17"/>
  <c r="L876" i="17"/>
  <c r="K876" i="17"/>
  <c r="J876" i="17"/>
  <c r="I876" i="17"/>
  <c r="H876" i="17"/>
  <c r="G876" i="17"/>
  <c r="L875" i="17"/>
  <c r="K875" i="17"/>
  <c r="J875" i="17"/>
  <c r="I875" i="17"/>
  <c r="H875" i="17"/>
  <c r="G875" i="17"/>
  <c r="L874" i="17"/>
  <c r="K874" i="17"/>
  <c r="J874" i="17"/>
  <c r="I874" i="17"/>
  <c r="H874" i="17"/>
  <c r="G874" i="17"/>
  <c r="L873" i="17"/>
  <c r="K873" i="17"/>
  <c r="J873" i="17"/>
  <c r="I873" i="17"/>
  <c r="H873" i="17"/>
  <c r="G873" i="17"/>
  <c r="L872" i="17"/>
  <c r="K872" i="17"/>
  <c r="J872" i="17"/>
  <c r="I872" i="17"/>
  <c r="H872" i="17"/>
  <c r="G872" i="17"/>
  <c r="L871" i="17"/>
  <c r="K871" i="17"/>
  <c r="J871" i="17"/>
  <c r="I871" i="17"/>
  <c r="H871" i="17"/>
  <c r="G871" i="17"/>
  <c r="L870" i="17"/>
  <c r="K870" i="17"/>
  <c r="J870" i="17"/>
  <c r="I870" i="17"/>
  <c r="H870" i="17"/>
  <c r="G870" i="17"/>
  <c r="L869" i="17"/>
  <c r="K869" i="17"/>
  <c r="J869" i="17"/>
  <c r="I869" i="17"/>
  <c r="H869" i="17"/>
  <c r="G869" i="17"/>
  <c r="L868" i="17"/>
  <c r="K868" i="17"/>
  <c r="J868" i="17"/>
  <c r="I868" i="17"/>
  <c r="H868" i="17"/>
  <c r="G868" i="17"/>
  <c r="L867" i="17"/>
  <c r="K867" i="17"/>
  <c r="J867" i="17"/>
  <c r="I867" i="17"/>
  <c r="H867" i="17"/>
  <c r="G867" i="17"/>
  <c r="L866" i="17"/>
  <c r="K866" i="17"/>
  <c r="J866" i="17"/>
  <c r="I866" i="17"/>
  <c r="H866" i="17"/>
  <c r="G866" i="17"/>
  <c r="L865" i="17"/>
  <c r="K865" i="17"/>
  <c r="J865" i="17"/>
  <c r="I865" i="17"/>
  <c r="H865" i="17"/>
  <c r="G865" i="17"/>
  <c r="L864" i="17"/>
  <c r="K864" i="17"/>
  <c r="J864" i="17"/>
  <c r="I864" i="17"/>
  <c r="H864" i="17"/>
  <c r="G864" i="17"/>
  <c r="L863" i="17"/>
  <c r="K863" i="17"/>
  <c r="J863" i="17"/>
  <c r="I863" i="17"/>
  <c r="H863" i="17"/>
  <c r="G863" i="17"/>
  <c r="L862" i="17"/>
  <c r="K862" i="17"/>
  <c r="J862" i="17"/>
  <c r="I862" i="17"/>
  <c r="H862" i="17"/>
  <c r="G862" i="17"/>
  <c r="L861" i="17"/>
  <c r="K861" i="17"/>
  <c r="J861" i="17"/>
  <c r="I861" i="17"/>
  <c r="H861" i="17"/>
  <c r="G861" i="17"/>
  <c r="L860" i="17"/>
  <c r="K860" i="17"/>
  <c r="J860" i="17"/>
  <c r="I860" i="17"/>
  <c r="H860" i="17"/>
  <c r="G860" i="17"/>
  <c r="L859" i="17"/>
  <c r="K859" i="17"/>
  <c r="J859" i="17"/>
  <c r="I859" i="17"/>
  <c r="H859" i="17"/>
  <c r="G859" i="17"/>
  <c r="L858" i="17"/>
  <c r="K858" i="17"/>
  <c r="J858" i="17"/>
  <c r="I858" i="17"/>
  <c r="H858" i="17"/>
  <c r="G858" i="17"/>
  <c r="L857" i="17"/>
  <c r="K857" i="17"/>
  <c r="J857" i="17"/>
  <c r="I857" i="17"/>
  <c r="H857" i="17"/>
  <c r="G857" i="17"/>
  <c r="L856" i="17"/>
  <c r="K856" i="17"/>
  <c r="J856" i="17"/>
  <c r="I856" i="17"/>
  <c r="H856" i="17"/>
  <c r="G856" i="17"/>
  <c r="L855" i="17"/>
  <c r="K855" i="17"/>
  <c r="J855" i="17"/>
  <c r="I855" i="17"/>
  <c r="H855" i="17"/>
  <c r="G855" i="17"/>
  <c r="L854" i="17"/>
  <c r="K854" i="17"/>
  <c r="J854" i="17"/>
  <c r="I854" i="17"/>
  <c r="H854" i="17"/>
  <c r="G854" i="17"/>
  <c r="L853" i="17"/>
  <c r="K853" i="17"/>
  <c r="J853" i="17"/>
  <c r="I853" i="17"/>
  <c r="H853" i="17"/>
  <c r="G853" i="17"/>
  <c r="L852" i="17"/>
  <c r="K852" i="17"/>
  <c r="J852" i="17"/>
  <c r="I852" i="17"/>
  <c r="H852" i="17"/>
  <c r="G852" i="17"/>
  <c r="L851" i="17"/>
  <c r="K851" i="17"/>
  <c r="J851" i="17"/>
  <c r="I851" i="17"/>
  <c r="H851" i="17"/>
  <c r="G851" i="17"/>
  <c r="L850" i="17"/>
  <c r="K850" i="17"/>
  <c r="J850" i="17"/>
  <c r="I850" i="17"/>
  <c r="H850" i="17"/>
  <c r="G850" i="17"/>
  <c r="L849" i="17"/>
  <c r="K849" i="17"/>
  <c r="J849" i="17"/>
  <c r="I849" i="17"/>
  <c r="H849" i="17"/>
  <c r="G849" i="17"/>
  <c r="L848" i="17"/>
  <c r="K848" i="17"/>
  <c r="J848" i="17"/>
  <c r="I848" i="17"/>
  <c r="H848" i="17"/>
  <c r="G848" i="17"/>
  <c r="L847" i="17"/>
  <c r="K847" i="17"/>
  <c r="J847" i="17"/>
  <c r="I847" i="17"/>
  <c r="H847" i="17"/>
  <c r="G847" i="17"/>
  <c r="L846" i="17"/>
  <c r="K846" i="17"/>
  <c r="J846" i="17"/>
  <c r="I846" i="17"/>
  <c r="H846" i="17"/>
  <c r="G846" i="17"/>
  <c r="L845" i="17"/>
  <c r="K845" i="17"/>
  <c r="J845" i="17"/>
  <c r="I845" i="17"/>
  <c r="H845" i="17"/>
  <c r="G845" i="17"/>
  <c r="L844" i="17"/>
  <c r="K844" i="17"/>
  <c r="J844" i="17"/>
  <c r="I844" i="17"/>
  <c r="H844" i="17"/>
  <c r="G844" i="17"/>
  <c r="L843" i="17"/>
  <c r="K843" i="17"/>
  <c r="J843" i="17"/>
  <c r="I843" i="17"/>
  <c r="H843" i="17"/>
  <c r="G843" i="17"/>
  <c r="L842" i="17"/>
  <c r="K842" i="17"/>
  <c r="J842" i="17"/>
  <c r="I842" i="17"/>
  <c r="H842" i="17"/>
  <c r="G842" i="17"/>
  <c r="L841" i="17"/>
  <c r="K841" i="17"/>
  <c r="J841" i="17"/>
  <c r="I841" i="17"/>
  <c r="H841" i="17"/>
  <c r="G841" i="17"/>
  <c r="L840" i="17"/>
  <c r="K840" i="17"/>
  <c r="J840" i="17"/>
  <c r="I840" i="17"/>
  <c r="H840" i="17"/>
  <c r="G840" i="17"/>
  <c r="L839" i="17"/>
  <c r="K839" i="17"/>
  <c r="J839" i="17"/>
  <c r="I839" i="17"/>
  <c r="H839" i="17"/>
  <c r="G839" i="17"/>
  <c r="L838" i="17"/>
  <c r="K838" i="17"/>
  <c r="J838" i="17"/>
  <c r="I838" i="17"/>
  <c r="H838" i="17"/>
  <c r="G838" i="17"/>
  <c r="L837" i="17"/>
  <c r="K837" i="17"/>
  <c r="J837" i="17"/>
  <c r="I837" i="17"/>
  <c r="H837" i="17"/>
  <c r="G837" i="17"/>
  <c r="L836" i="17"/>
  <c r="K836" i="17"/>
  <c r="J836" i="17"/>
  <c r="I836" i="17"/>
  <c r="H836" i="17"/>
  <c r="G836" i="17"/>
  <c r="L835" i="17"/>
  <c r="K835" i="17"/>
  <c r="J835" i="17"/>
  <c r="I835" i="17"/>
  <c r="H835" i="17"/>
  <c r="G835" i="17"/>
  <c r="L834" i="17"/>
  <c r="K834" i="17"/>
  <c r="J834" i="17"/>
  <c r="I834" i="17"/>
  <c r="H834" i="17"/>
  <c r="G834" i="17"/>
  <c r="L833" i="17"/>
  <c r="K833" i="17"/>
  <c r="J833" i="17"/>
  <c r="I833" i="17"/>
  <c r="H833" i="17"/>
  <c r="G833" i="17"/>
  <c r="L832" i="17"/>
  <c r="K832" i="17"/>
  <c r="J832" i="17"/>
  <c r="I832" i="17"/>
  <c r="H832" i="17"/>
  <c r="G832" i="17"/>
  <c r="L831" i="17"/>
  <c r="K831" i="17"/>
  <c r="J831" i="17"/>
  <c r="I831" i="17"/>
  <c r="H831" i="17"/>
  <c r="G831" i="17"/>
  <c r="L830" i="17"/>
  <c r="K830" i="17"/>
  <c r="J830" i="17"/>
  <c r="I830" i="17"/>
  <c r="H830" i="17"/>
  <c r="G830" i="17"/>
  <c r="L829" i="17"/>
  <c r="K829" i="17"/>
  <c r="J829" i="17"/>
  <c r="I829" i="17"/>
  <c r="H829" i="17"/>
  <c r="G829" i="17"/>
  <c r="L828" i="17"/>
  <c r="K828" i="17"/>
  <c r="J828" i="17"/>
  <c r="I828" i="17"/>
  <c r="H828" i="17"/>
  <c r="G828" i="17"/>
  <c r="L827" i="17"/>
  <c r="K827" i="17"/>
  <c r="J827" i="17"/>
  <c r="I827" i="17"/>
  <c r="H827" i="17"/>
  <c r="G827" i="17"/>
  <c r="L826" i="17"/>
  <c r="K826" i="17"/>
  <c r="J826" i="17"/>
  <c r="I826" i="17"/>
  <c r="H826" i="17"/>
  <c r="G826" i="17"/>
  <c r="L825" i="17"/>
  <c r="K825" i="17"/>
  <c r="J825" i="17"/>
  <c r="I825" i="17"/>
  <c r="H825" i="17"/>
  <c r="G825" i="17"/>
  <c r="L824" i="17"/>
  <c r="K824" i="17"/>
  <c r="J824" i="17"/>
  <c r="I824" i="17"/>
  <c r="H824" i="17"/>
  <c r="G824" i="17"/>
  <c r="L823" i="17"/>
  <c r="K823" i="17"/>
  <c r="J823" i="17"/>
  <c r="I823" i="17"/>
  <c r="H823" i="17"/>
  <c r="G823" i="17"/>
  <c r="L822" i="17"/>
  <c r="K822" i="17"/>
  <c r="J822" i="17"/>
  <c r="I822" i="17"/>
  <c r="H822" i="17"/>
  <c r="G822" i="17"/>
  <c r="L821" i="17"/>
  <c r="K821" i="17"/>
  <c r="J821" i="17"/>
  <c r="I821" i="17"/>
  <c r="H821" i="17"/>
  <c r="G821" i="17"/>
  <c r="L820" i="17"/>
  <c r="K820" i="17"/>
  <c r="J820" i="17"/>
  <c r="I820" i="17"/>
  <c r="H820" i="17"/>
  <c r="G820" i="17"/>
  <c r="L819" i="17"/>
  <c r="K819" i="17"/>
  <c r="J819" i="17"/>
  <c r="I819" i="17"/>
  <c r="H819" i="17"/>
  <c r="G819" i="17"/>
  <c r="L818" i="17"/>
  <c r="K818" i="17"/>
  <c r="J818" i="17"/>
  <c r="I818" i="17"/>
  <c r="H818" i="17"/>
  <c r="G818" i="17"/>
  <c r="L817" i="17"/>
  <c r="K817" i="17"/>
  <c r="J817" i="17"/>
  <c r="I817" i="17"/>
  <c r="H817" i="17"/>
  <c r="G817" i="17"/>
  <c r="L816" i="17"/>
  <c r="K816" i="17"/>
  <c r="J816" i="17"/>
  <c r="I816" i="17"/>
  <c r="H816" i="17"/>
  <c r="G816" i="17"/>
  <c r="L815" i="17"/>
  <c r="K815" i="17"/>
  <c r="J815" i="17"/>
  <c r="I815" i="17"/>
  <c r="H815" i="17"/>
  <c r="G815" i="17"/>
  <c r="L814" i="17"/>
  <c r="K814" i="17"/>
  <c r="J814" i="17"/>
  <c r="I814" i="17"/>
  <c r="H814" i="17"/>
  <c r="G814" i="17"/>
  <c r="L813" i="17"/>
  <c r="K813" i="17"/>
  <c r="J813" i="17"/>
  <c r="I813" i="17"/>
  <c r="H813" i="17"/>
  <c r="G813" i="17"/>
  <c r="L812" i="17"/>
  <c r="K812" i="17"/>
  <c r="J812" i="17"/>
  <c r="I812" i="17"/>
  <c r="H812" i="17"/>
  <c r="G812" i="17"/>
  <c r="L811" i="17"/>
  <c r="K811" i="17"/>
  <c r="J811" i="17"/>
  <c r="I811" i="17"/>
  <c r="H811" i="17"/>
  <c r="G811" i="17"/>
  <c r="L810" i="17"/>
  <c r="K810" i="17"/>
  <c r="J810" i="17"/>
  <c r="I810" i="17"/>
  <c r="H810" i="17"/>
  <c r="G810" i="17"/>
  <c r="L809" i="17"/>
  <c r="K809" i="17"/>
  <c r="J809" i="17"/>
  <c r="I809" i="17"/>
  <c r="H809" i="17"/>
  <c r="G809" i="17"/>
  <c r="L808" i="17"/>
  <c r="K808" i="17"/>
  <c r="J808" i="17"/>
  <c r="I808" i="17"/>
  <c r="H808" i="17"/>
  <c r="G808" i="17"/>
  <c r="L807" i="17"/>
  <c r="K807" i="17"/>
  <c r="J807" i="17"/>
  <c r="I807" i="17"/>
  <c r="H807" i="17"/>
  <c r="G807" i="17"/>
  <c r="L806" i="17"/>
  <c r="K806" i="17"/>
  <c r="J806" i="17"/>
  <c r="I806" i="17"/>
  <c r="H806" i="17"/>
  <c r="G806" i="17"/>
  <c r="L805" i="17"/>
  <c r="K805" i="17"/>
  <c r="J805" i="17"/>
  <c r="I805" i="17"/>
  <c r="H805" i="17"/>
  <c r="G805" i="17"/>
  <c r="L804" i="17"/>
  <c r="K804" i="17"/>
  <c r="J804" i="17"/>
  <c r="I804" i="17"/>
  <c r="H804" i="17"/>
  <c r="G804" i="17"/>
  <c r="L803" i="17"/>
  <c r="K803" i="17"/>
  <c r="J803" i="17"/>
  <c r="I803" i="17"/>
  <c r="H803" i="17"/>
  <c r="G803" i="17"/>
  <c r="L802" i="17"/>
  <c r="K802" i="17"/>
  <c r="J802" i="17"/>
  <c r="I802" i="17"/>
  <c r="H802" i="17"/>
  <c r="G802" i="17"/>
  <c r="L801" i="17"/>
  <c r="K801" i="17"/>
  <c r="J801" i="17"/>
  <c r="I801" i="17"/>
  <c r="H801" i="17"/>
  <c r="G801" i="17"/>
  <c r="L800" i="17"/>
  <c r="K800" i="17"/>
  <c r="J800" i="17"/>
  <c r="I800" i="17"/>
  <c r="H800" i="17"/>
  <c r="G800" i="17"/>
  <c r="L799" i="17"/>
  <c r="K799" i="17"/>
  <c r="J799" i="17"/>
  <c r="I799" i="17"/>
  <c r="H799" i="17"/>
  <c r="G799" i="17"/>
  <c r="L798" i="17"/>
  <c r="K798" i="17"/>
  <c r="J798" i="17"/>
  <c r="I798" i="17"/>
  <c r="H798" i="17"/>
  <c r="G798" i="17"/>
  <c r="L797" i="17"/>
  <c r="K797" i="17"/>
  <c r="J797" i="17"/>
  <c r="I797" i="17"/>
  <c r="H797" i="17"/>
  <c r="G797" i="17"/>
  <c r="L796" i="17"/>
  <c r="K796" i="17"/>
  <c r="J796" i="17"/>
  <c r="I796" i="17"/>
  <c r="H796" i="17"/>
  <c r="G796" i="17"/>
  <c r="L795" i="17"/>
  <c r="K795" i="17"/>
  <c r="J795" i="17"/>
  <c r="I795" i="17"/>
  <c r="H795" i="17"/>
  <c r="G795" i="17"/>
  <c r="L794" i="17"/>
  <c r="K794" i="17"/>
  <c r="J794" i="17"/>
  <c r="I794" i="17"/>
  <c r="H794" i="17"/>
  <c r="G794" i="17"/>
  <c r="L793" i="17"/>
  <c r="K793" i="17"/>
  <c r="J793" i="17"/>
  <c r="I793" i="17"/>
  <c r="H793" i="17"/>
  <c r="G793" i="17"/>
  <c r="L792" i="17"/>
  <c r="K792" i="17"/>
  <c r="J792" i="17"/>
  <c r="I792" i="17"/>
  <c r="H792" i="17"/>
  <c r="G792" i="17"/>
  <c r="L791" i="17"/>
  <c r="K791" i="17"/>
  <c r="J791" i="17"/>
  <c r="I791" i="17"/>
  <c r="H791" i="17"/>
  <c r="G791" i="17"/>
  <c r="L790" i="17"/>
  <c r="K790" i="17"/>
  <c r="J790" i="17"/>
  <c r="I790" i="17"/>
  <c r="H790" i="17"/>
  <c r="G790" i="17"/>
  <c r="L789" i="17"/>
  <c r="K789" i="17"/>
  <c r="J789" i="17"/>
  <c r="I789" i="17"/>
  <c r="H789" i="17"/>
  <c r="G789" i="17"/>
  <c r="L788" i="17"/>
  <c r="K788" i="17"/>
  <c r="J788" i="17"/>
  <c r="I788" i="17"/>
  <c r="H788" i="17"/>
  <c r="G788" i="17"/>
  <c r="L787" i="17"/>
  <c r="K787" i="17"/>
  <c r="J787" i="17"/>
  <c r="I787" i="17"/>
  <c r="H787" i="17"/>
  <c r="G787" i="17"/>
  <c r="L786" i="17"/>
  <c r="K786" i="17"/>
  <c r="J786" i="17"/>
  <c r="I786" i="17"/>
  <c r="H786" i="17"/>
  <c r="G786" i="17"/>
  <c r="L785" i="17"/>
  <c r="K785" i="17"/>
  <c r="J785" i="17"/>
  <c r="I785" i="17"/>
  <c r="H785" i="17"/>
  <c r="G785" i="17"/>
  <c r="L784" i="17"/>
  <c r="K784" i="17"/>
  <c r="J784" i="17"/>
  <c r="I784" i="17"/>
  <c r="H784" i="17"/>
  <c r="G784" i="17"/>
  <c r="L783" i="17"/>
  <c r="K783" i="17"/>
  <c r="J783" i="17"/>
  <c r="I783" i="17"/>
  <c r="H783" i="17"/>
  <c r="G783" i="17"/>
  <c r="L782" i="17"/>
  <c r="K782" i="17"/>
  <c r="J782" i="17"/>
  <c r="I782" i="17"/>
  <c r="H782" i="17"/>
  <c r="G782" i="17"/>
  <c r="L781" i="17"/>
  <c r="K781" i="17"/>
  <c r="J781" i="17"/>
  <c r="I781" i="17"/>
  <c r="H781" i="17"/>
  <c r="G781" i="17"/>
  <c r="L780" i="17"/>
  <c r="K780" i="17"/>
  <c r="J780" i="17"/>
  <c r="I780" i="17"/>
  <c r="H780" i="17"/>
  <c r="G780" i="17"/>
  <c r="L779" i="17"/>
  <c r="K779" i="17"/>
  <c r="J779" i="17"/>
  <c r="I779" i="17"/>
  <c r="H779" i="17"/>
  <c r="G779" i="17"/>
  <c r="L778" i="17"/>
  <c r="K778" i="17"/>
  <c r="J778" i="17"/>
  <c r="I778" i="17"/>
  <c r="H778" i="17"/>
  <c r="G778" i="17"/>
  <c r="L777" i="17"/>
  <c r="K777" i="17"/>
  <c r="J777" i="17"/>
  <c r="I777" i="17"/>
  <c r="H777" i="17"/>
  <c r="G777" i="17"/>
  <c r="L776" i="17"/>
  <c r="K776" i="17"/>
  <c r="J776" i="17"/>
  <c r="I776" i="17"/>
  <c r="H776" i="17"/>
  <c r="G776" i="17"/>
  <c r="L775" i="17"/>
  <c r="K775" i="17"/>
  <c r="J775" i="17"/>
  <c r="I775" i="17"/>
  <c r="H775" i="17"/>
  <c r="G775" i="17"/>
  <c r="L774" i="17"/>
  <c r="K774" i="17"/>
  <c r="J774" i="17"/>
  <c r="I774" i="17"/>
  <c r="H774" i="17"/>
  <c r="G774" i="17"/>
  <c r="L773" i="17"/>
  <c r="K773" i="17"/>
  <c r="J773" i="17"/>
  <c r="I773" i="17"/>
  <c r="H773" i="17"/>
  <c r="G773" i="17"/>
  <c r="L772" i="17"/>
  <c r="K772" i="17"/>
  <c r="J772" i="17"/>
  <c r="I772" i="17"/>
  <c r="H772" i="17"/>
  <c r="G772" i="17"/>
  <c r="L771" i="17"/>
  <c r="K771" i="17"/>
  <c r="J771" i="17"/>
  <c r="I771" i="17"/>
  <c r="H771" i="17"/>
  <c r="G771" i="17"/>
  <c r="L770" i="17"/>
  <c r="K770" i="17"/>
  <c r="J770" i="17"/>
  <c r="I770" i="17"/>
  <c r="H770" i="17"/>
  <c r="G770" i="17"/>
  <c r="L769" i="17"/>
  <c r="K769" i="17"/>
  <c r="J769" i="17"/>
  <c r="I769" i="17"/>
  <c r="H769" i="17"/>
  <c r="G769" i="17"/>
  <c r="L768" i="17"/>
  <c r="K768" i="17"/>
  <c r="J768" i="17"/>
  <c r="I768" i="17"/>
  <c r="H768" i="17"/>
  <c r="G768" i="17"/>
  <c r="L767" i="17"/>
  <c r="K767" i="17"/>
  <c r="J767" i="17"/>
  <c r="I767" i="17"/>
  <c r="H767" i="17"/>
  <c r="G767" i="17"/>
  <c r="L766" i="17"/>
  <c r="K766" i="17"/>
  <c r="J766" i="17"/>
  <c r="I766" i="17"/>
  <c r="H766" i="17"/>
  <c r="G766" i="17"/>
  <c r="L765" i="17"/>
  <c r="K765" i="17"/>
  <c r="J765" i="17"/>
  <c r="I765" i="17"/>
  <c r="H765" i="17"/>
  <c r="G765" i="17"/>
  <c r="L764" i="17"/>
  <c r="K764" i="17"/>
  <c r="J764" i="17"/>
  <c r="I764" i="17"/>
  <c r="H764" i="17"/>
  <c r="G764" i="17"/>
  <c r="L763" i="17"/>
  <c r="K763" i="17"/>
  <c r="J763" i="17"/>
  <c r="I763" i="17"/>
  <c r="H763" i="17"/>
  <c r="G763" i="17"/>
  <c r="L762" i="17"/>
  <c r="K762" i="17"/>
  <c r="J762" i="17"/>
  <c r="I762" i="17"/>
  <c r="H762" i="17"/>
  <c r="G762" i="17"/>
  <c r="L761" i="17"/>
  <c r="K761" i="17"/>
  <c r="J761" i="17"/>
  <c r="I761" i="17"/>
  <c r="H761" i="17"/>
  <c r="G761" i="17"/>
  <c r="L760" i="17"/>
  <c r="K760" i="17"/>
  <c r="J760" i="17"/>
  <c r="I760" i="17"/>
  <c r="H760" i="17"/>
  <c r="G760" i="17"/>
  <c r="L759" i="17"/>
  <c r="K759" i="17"/>
  <c r="J759" i="17"/>
  <c r="I759" i="17"/>
  <c r="H759" i="17"/>
  <c r="G759" i="17"/>
  <c r="L758" i="17"/>
  <c r="K758" i="17"/>
  <c r="J758" i="17"/>
  <c r="I758" i="17"/>
  <c r="H758" i="17"/>
  <c r="G758" i="17"/>
  <c r="L757" i="17"/>
  <c r="K757" i="17"/>
  <c r="J757" i="17"/>
  <c r="I757" i="17"/>
  <c r="H757" i="17"/>
  <c r="G757" i="17"/>
  <c r="L756" i="17"/>
  <c r="K756" i="17"/>
  <c r="J756" i="17"/>
  <c r="I756" i="17"/>
  <c r="H756" i="17"/>
  <c r="G756" i="17"/>
  <c r="L755" i="17"/>
  <c r="K755" i="17"/>
  <c r="J755" i="17"/>
  <c r="I755" i="17"/>
  <c r="H755" i="17"/>
  <c r="G755" i="17"/>
  <c r="L754" i="17"/>
  <c r="K754" i="17"/>
  <c r="J754" i="17"/>
  <c r="I754" i="17"/>
  <c r="H754" i="17"/>
  <c r="G754" i="17"/>
  <c r="L753" i="17"/>
  <c r="K753" i="17"/>
  <c r="J753" i="17"/>
  <c r="I753" i="17"/>
  <c r="H753" i="17"/>
  <c r="G753" i="17"/>
  <c r="L752" i="17"/>
  <c r="K752" i="17"/>
  <c r="J752" i="17"/>
  <c r="I752" i="17"/>
  <c r="H752" i="17"/>
  <c r="G752" i="17"/>
  <c r="L751" i="17"/>
  <c r="K751" i="17"/>
  <c r="J751" i="17"/>
  <c r="I751" i="17"/>
  <c r="H751" i="17"/>
  <c r="G751" i="17"/>
  <c r="L750" i="17"/>
  <c r="K750" i="17"/>
  <c r="J750" i="17"/>
  <c r="I750" i="17"/>
  <c r="H750" i="17"/>
  <c r="G750" i="17"/>
  <c r="L749" i="17"/>
  <c r="K749" i="17"/>
  <c r="J749" i="17"/>
  <c r="I749" i="17"/>
  <c r="H749" i="17"/>
  <c r="G749" i="17"/>
  <c r="L748" i="17"/>
  <c r="K748" i="17"/>
  <c r="J748" i="17"/>
  <c r="I748" i="17"/>
  <c r="H748" i="17"/>
  <c r="G748" i="17"/>
  <c r="L747" i="17"/>
  <c r="K747" i="17"/>
  <c r="J747" i="17"/>
  <c r="I747" i="17"/>
  <c r="H747" i="17"/>
  <c r="G747" i="17"/>
  <c r="L746" i="17"/>
  <c r="K746" i="17"/>
  <c r="J746" i="17"/>
  <c r="I746" i="17"/>
  <c r="H746" i="17"/>
  <c r="G746" i="17"/>
  <c r="L745" i="17"/>
  <c r="K745" i="17"/>
  <c r="J745" i="17"/>
  <c r="I745" i="17"/>
  <c r="H745" i="17"/>
  <c r="G745" i="17"/>
  <c r="L744" i="17"/>
  <c r="K744" i="17"/>
  <c r="J744" i="17"/>
  <c r="I744" i="17"/>
  <c r="H744" i="17"/>
  <c r="G744" i="17"/>
  <c r="L743" i="17"/>
  <c r="K743" i="17"/>
  <c r="J743" i="17"/>
  <c r="I743" i="17"/>
  <c r="H743" i="17"/>
  <c r="G743" i="17"/>
  <c r="L742" i="17"/>
  <c r="K742" i="17"/>
  <c r="J742" i="17"/>
  <c r="I742" i="17"/>
  <c r="H742" i="17"/>
  <c r="G742" i="17"/>
  <c r="L741" i="17"/>
  <c r="K741" i="17"/>
  <c r="J741" i="17"/>
  <c r="I741" i="17"/>
  <c r="H741" i="17"/>
  <c r="G741" i="17"/>
  <c r="L740" i="17"/>
  <c r="K740" i="17"/>
  <c r="J740" i="17"/>
  <c r="I740" i="17"/>
  <c r="H740" i="17"/>
  <c r="G740" i="17"/>
  <c r="L739" i="17"/>
  <c r="K739" i="17"/>
  <c r="J739" i="17"/>
  <c r="I739" i="17"/>
  <c r="H739" i="17"/>
  <c r="G739" i="17"/>
  <c r="L738" i="17"/>
  <c r="K738" i="17"/>
  <c r="J738" i="17"/>
  <c r="I738" i="17"/>
  <c r="H738" i="17"/>
  <c r="G738" i="17"/>
  <c r="L737" i="17"/>
  <c r="K737" i="17"/>
  <c r="J737" i="17"/>
  <c r="I737" i="17"/>
  <c r="H737" i="17"/>
  <c r="G737" i="17"/>
  <c r="L736" i="17"/>
  <c r="K736" i="17"/>
  <c r="J736" i="17"/>
  <c r="I736" i="17"/>
  <c r="H736" i="17"/>
  <c r="G736" i="17"/>
  <c r="L735" i="17"/>
  <c r="K735" i="17"/>
  <c r="J735" i="17"/>
  <c r="I735" i="17"/>
  <c r="H735" i="17"/>
  <c r="G735" i="17"/>
  <c r="L734" i="17"/>
  <c r="K734" i="17"/>
  <c r="J734" i="17"/>
  <c r="I734" i="17"/>
  <c r="H734" i="17"/>
  <c r="G734" i="17"/>
  <c r="L733" i="17"/>
  <c r="K733" i="17"/>
  <c r="J733" i="17"/>
  <c r="I733" i="17"/>
  <c r="H733" i="17"/>
  <c r="G733" i="17"/>
  <c r="L732" i="17"/>
  <c r="K732" i="17"/>
  <c r="J732" i="17"/>
  <c r="I732" i="17"/>
  <c r="H732" i="17"/>
  <c r="G732" i="17"/>
  <c r="L731" i="17"/>
  <c r="K731" i="17"/>
  <c r="J731" i="17"/>
  <c r="I731" i="17"/>
  <c r="H731" i="17"/>
  <c r="G731" i="17"/>
  <c r="L730" i="17"/>
  <c r="K730" i="17"/>
  <c r="J730" i="17"/>
  <c r="I730" i="17"/>
  <c r="H730" i="17"/>
  <c r="G730" i="17"/>
  <c r="L729" i="17"/>
  <c r="K729" i="17"/>
  <c r="J729" i="17"/>
  <c r="I729" i="17"/>
  <c r="H729" i="17"/>
  <c r="G729" i="17"/>
  <c r="L728" i="17"/>
  <c r="K728" i="17"/>
  <c r="J728" i="17"/>
  <c r="I728" i="17"/>
  <c r="H728" i="17"/>
  <c r="G728" i="17"/>
  <c r="L727" i="17"/>
  <c r="K727" i="17"/>
  <c r="J727" i="17"/>
  <c r="I727" i="17"/>
  <c r="H727" i="17"/>
  <c r="G727" i="17"/>
  <c r="L726" i="17"/>
  <c r="K726" i="17"/>
  <c r="J726" i="17"/>
  <c r="I726" i="17"/>
  <c r="H726" i="17"/>
  <c r="G726" i="17"/>
  <c r="L725" i="17"/>
  <c r="K725" i="17"/>
  <c r="J725" i="17"/>
  <c r="I725" i="17"/>
  <c r="H725" i="17"/>
  <c r="G725" i="17"/>
  <c r="L724" i="17"/>
  <c r="K724" i="17"/>
  <c r="J724" i="17"/>
  <c r="I724" i="17"/>
  <c r="H724" i="17"/>
  <c r="G724" i="17"/>
  <c r="L723" i="17"/>
  <c r="K723" i="17"/>
  <c r="J723" i="17"/>
  <c r="I723" i="17"/>
  <c r="H723" i="17"/>
  <c r="G723" i="17"/>
  <c r="L722" i="17"/>
  <c r="K722" i="17"/>
  <c r="J722" i="17"/>
  <c r="I722" i="17"/>
  <c r="H722" i="17"/>
  <c r="G722" i="17"/>
  <c r="L721" i="17"/>
  <c r="K721" i="17"/>
  <c r="J721" i="17"/>
  <c r="I721" i="17"/>
  <c r="H721" i="17"/>
  <c r="G721" i="17"/>
  <c r="L720" i="17"/>
  <c r="K720" i="17"/>
  <c r="J720" i="17"/>
  <c r="I720" i="17"/>
  <c r="H720" i="17"/>
  <c r="G720" i="17"/>
  <c r="L719" i="17"/>
  <c r="K719" i="17"/>
  <c r="J719" i="17"/>
  <c r="I719" i="17"/>
  <c r="H719" i="17"/>
  <c r="G719" i="17"/>
  <c r="L718" i="17"/>
  <c r="K718" i="17"/>
  <c r="J718" i="17"/>
  <c r="I718" i="17"/>
  <c r="H718" i="17"/>
  <c r="G718" i="17"/>
  <c r="L717" i="17"/>
  <c r="K717" i="17"/>
  <c r="J717" i="17"/>
  <c r="I717" i="17"/>
  <c r="H717" i="17"/>
  <c r="G717" i="17"/>
  <c r="L716" i="17"/>
  <c r="K716" i="17"/>
  <c r="J716" i="17"/>
  <c r="I716" i="17"/>
  <c r="H716" i="17"/>
  <c r="G716" i="17"/>
  <c r="L715" i="17"/>
  <c r="K715" i="17"/>
  <c r="J715" i="17"/>
  <c r="I715" i="17"/>
  <c r="H715" i="17"/>
  <c r="G715" i="17"/>
  <c r="L714" i="17"/>
  <c r="K714" i="17"/>
  <c r="J714" i="17"/>
  <c r="I714" i="17"/>
  <c r="H714" i="17"/>
  <c r="G714" i="17"/>
  <c r="L713" i="17"/>
  <c r="K713" i="17"/>
  <c r="J713" i="17"/>
  <c r="I713" i="17"/>
  <c r="H713" i="17"/>
  <c r="G713" i="17"/>
  <c r="L712" i="17"/>
  <c r="K712" i="17"/>
  <c r="J712" i="17"/>
  <c r="I712" i="17"/>
  <c r="H712" i="17"/>
  <c r="G712" i="17"/>
  <c r="L711" i="17"/>
  <c r="K711" i="17"/>
  <c r="J711" i="17"/>
  <c r="I711" i="17"/>
  <c r="H711" i="17"/>
  <c r="G711" i="17"/>
  <c r="L710" i="17"/>
  <c r="K710" i="17"/>
  <c r="J710" i="17"/>
  <c r="I710" i="17"/>
  <c r="H710" i="17"/>
  <c r="G710" i="17"/>
  <c r="L709" i="17"/>
  <c r="K709" i="17"/>
  <c r="J709" i="17"/>
  <c r="I709" i="17"/>
  <c r="H709" i="17"/>
  <c r="G709" i="17"/>
  <c r="L708" i="17"/>
  <c r="K708" i="17"/>
  <c r="J708" i="17"/>
  <c r="I708" i="17"/>
  <c r="H708" i="17"/>
  <c r="G708" i="17"/>
  <c r="L707" i="17"/>
  <c r="K707" i="17"/>
  <c r="J707" i="17"/>
  <c r="I707" i="17"/>
  <c r="H707" i="17"/>
  <c r="G707" i="17"/>
  <c r="L706" i="17"/>
  <c r="K706" i="17"/>
  <c r="J706" i="17"/>
  <c r="I706" i="17"/>
  <c r="H706" i="17"/>
  <c r="G706" i="17"/>
  <c r="L705" i="17"/>
  <c r="K705" i="17"/>
  <c r="J705" i="17"/>
  <c r="I705" i="17"/>
  <c r="H705" i="17"/>
  <c r="G705" i="17"/>
  <c r="L704" i="17"/>
  <c r="K704" i="17"/>
  <c r="J704" i="17"/>
  <c r="I704" i="17"/>
  <c r="H704" i="17"/>
  <c r="G704" i="17"/>
  <c r="L703" i="17"/>
  <c r="K703" i="17"/>
  <c r="J703" i="17"/>
  <c r="I703" i="17"/>
  <c r="H703" i="17"/>
  <c r="G703" i="17"/>
  <c r="L702" i="17"/>
  <c r="K702" i="17"/>
  <c r="J702" i="17"/>
  <c r="I702" i="17"/>
  <c r="H702" i="17"/>
  <c r="G702" i="17"/>
  <c r="L701" i="17"/>
  <c r="K701" i="17"/>
  <c r="J701" i="17"/>
  <c r="I701" i="17"/>
  <c r="H701" i="17"/>
  <c r="G701" i="17"/>
  <c r="L700" i="17"/>
  <c r="K700" i="17"/>
  <c r="J700" i="17"/>
  <c r="I700" i="17"/>
  <c r="H700" i="17"/>
  <c r="G700" i="17"/>
  <c r="L699" i="17"/>
  <c r="K699" i="17"/>
  <c r="J699" i="17"/>
  <c r="I699" i="17"/>
  <c r="H699" i="17"/>
  <c r="G699" i="17"/>
  <c r="L698" i="17"/>
  <c r="K698" i="17"/>
  <c r="J698" i="17"/>
  <c r="I698" i="17"/>
  <c r="H698" i="17"/>
  <c r="G698" i="17"/>
  <c r="L697" i="17"/>
  <c r="K697" i="17"/>
  <c r="J697" i="17"/>
  <c r="I697" i="17"/>
  <c r="H697" i="17"/>
  <c r="G697" i="17"/>
  <c r="L696" i="17"/>
  <c r="K696" i="17"/>
  <c r="J696" i="17"/>
  <c r="I696" i="17"/>
  <c r="H696" i="17"/>
  <c r="G696" i="17"/>
  <c r="L695" i="17"/>
  <c r="K695" i="17"/>
  <c r="J695" i="17"/>
  <c r="I695" i="17"/>
  <c r="H695" i="17"/>
  <c r="G695" i="17"/>
  <c r="L694" i="17"/>
  <c r="K694" i="17"/>
  <c r="J694" i="17"/>
  <c r="I694" i="17"/>
  <c r="H694" i="17"/>
  <c r="G694" i="17"/>
  <c r="L693" i="17"/>
  <c r="K693" i="17"/>
  <c r="J693" i="17"/>
  <c r="I693" i="17"/>
  <c r="H693" i="17"/>
  <c r="G693" i="17"/>
  <c r="L692" i="17"/>
  <c r="K692" i="17"/>
  <c r="J692" i="17"/>
  <c r="I692" i="17"/>
  <c r="H692" i="17"/>
  <c r="G692" i="17"/>
  <c r="L691" i="17"/>
  <c r="K691" i="17"/>
  <c r="J691" i="17"/>
  <c r="I691" i="17"/>
  <c r="H691" i="17"/>
  <c r="G691" i="17"/>
  <c r="L690" i="17"/>
  <c r="K690" i="17"/>
  <c r="J690" i="17"/>
  <c r="I690" i="17"/>
  <c r="H690" i="17"/>
  <c r="G690" i="17"/>
  <c r="L689" i="17"/>
  <c r="K689" i="17"/>
  <c r="J689" i="17"/>
  <c r="I689" i="17"/>
  <c r="H689" i="17"/>
  <c r="G689" i="17"/>
  <c r="L688" i="17"/>
  <c r="K688" i="17"/>
  <c r="J688" i="17"/>
  <c r="I688" i="17"/>
  <c r="H688" i="17"/>
  <c r="G688" i="17"/>
  <c r="L687" i="17"/>
  <c r="K687" i="17"/>
  <c r="J687" i="17"/>
  <c r="I687" i="17"/>
  <c r="H687" i="17"/>
  <c r="G687" i="17"/>
  <c r="L686" i="17"/>
  <c r="K686" i="17"/>
  <c r="J686" i="17"/>
  <c r="I686" i="17"/>
  <c r="H686" i="17"/>
  <c r="G686" i="17"/>
  <c r="L685" i="17"/>
  <c r="K685" i="17"/>
  <c r="J685" i="17"/>
  <c r="I685" i="17"/>
  <c r="H685" i="17"/>
  <c r="G685" i="17"/>
  <c r="L684" i="17"/>
  <c r="K684" i="17"/>
  <c r="J684" i="17"/>
  <c r="I684" i="17"/>
  <c r="H684" i="17"/>
  <c r="G684" i="17"/>
  <c r="L683" i="17"/>
  <c r="K683" i="17"/>
  <c r="J683" i="17"/>
  <c r="I683" i="17"/>
  <c r="H683" i="17"/>
  <c r="G683" i="17"/>
  <c r="L682" i="17"/>
  <c r="K682" i="17"/>
  <c r="J682" i="17"/>
  <c r="I682" i="17"/>
  <c r="H682" i="17"/>
  <c r="G682" i="17"/>
  <c r="L681" i="17"/>
  <c r="K681" i="17"/>
  <c r="J681" i="17"/>
  <c r="I681" i="17"/>
  <c r="H681" i="17"/>
  <c r="G681" i="17"/>
  <c r="L680" i="17"/>
  <c r="K680" i="17"/>
  <c r="J680" i="17"/>
  <c r="I680" i="17"/>
  <c r="H680" i="17"/>
  <c r="G680" i="17"/>
  <c r="L679" i="17"/>
  <c r="K679" i="17"/>
  <c r="J679" i="17"/>
  <c r="I679" i="17"/>
  <c r="H679" i="17"/>
  <c r="G679" i="17"/>
  <c r="L678" i="17"/>
  <c r="K678" i="17"/>
  <c r="J678" i="17"/>
  <c r="I678" i="17"/>
  <c r="H678" i="17"/>
  <c r="G678" i="17"/>
  <c r="L677" i="17"/>
  <c r="K677" i="17"/>
  <c r="J677" i="17"/>
  <c r="I677" i="17"/>
  <c r="H677" i="17"/>
  <c r="G677" i="17"/>
  <c r="L676" i="17"/>
  <c r="K676" i="17"/>
  <c r="J676" i="17"/>
  <c r="I676" i="17"/>
  <c r="H676" i="17"/>
  <c r="G676" i="17"/>
  <c r="L675" i="17"/>
  <c r="K675" i="17"/>
  <c r="J675" i="17"/>
  <c r="I675" i="17"/>
  <c r="H675" i="17"/>
  <c r="G675" i="17"/>
  <c r="L674" i="17"/>
  <c r="K674" i="17"/>
  <c r="J674" i="17"/>
  <c r="I674" i="17"/>
  <c r="H674" i="17"/>
  <c r="G674" i="17"/>
  <c r="L673" i="17"/>
  <c r="K673" i="17"/>
  <c r="J673" i="17"/>
  <c r="I673" i="17"/>
  <c r="H673" i="17"/>
  <c r="G673" i="17"/>
  <c r="L672" i="17"/>
  <c r="K672" i="17"/>
  <c r="J672" i="17"/>
  <c r="I672" i="17"/>
  <c r="H672" i="17"/>
  <c r="G672" i="17"/>
  <c r="L671" i="17"/>
  <c r="K671" i="17"/>
  <c r="J671" i="17"/>
  <c r="I671" i="17"/>
  <c r="H671" i="17"/>
  <c r="G671" i="17"/>
  <c r="L670" i="17"/>
  <c r="K670" i="17"/>
  <c r="J670" i="17"/>
  <c r="I670" i="17"/>
  <c r="H670" i="17"/>
  <c r="G670" i="17"/>
  <c r="L669" i="17"/>
  <c r="K669" i="17"/>
  <c r="J669" i="17"/>
  <c r="I669" i="17"/>
  <c r="H669" i="17"/>
  <c r="G669" i="17"/>
  <c r="L668" i="17"/>
  <c r="K668" i="17"/>
  <c r="J668" i="17"/>
  <c r="I668" i="17"/>
  <c r="H668" i="17"/>
  <c r="G668" i="17"/>
  <c r="L667" i="17"/>
  <c r="K667" i="17"/>
  <c r="J667" i="17"/>
  <c r="I667" i="17"/>
  <c r="H667" i="17"/>
  <c r="G667" i="17"/>
  <c r="L666" i="17"/>
  <c r="K666" i="17"/>
  <c r="J666" i="17"/>
  <c r="I666" i="17"/>
  <c r="H666" i="17"/>
  <c r="G666" i="17"/>
  <c r="L665" i="17"/>
  <c r="K665" i="17"/>
  <c r="J665" i="17"/>
  <c r="I665" i="17"/>
  <c r="H665" i="17"/>
  <c r="G665" i="17"/>
  <c r="L664" i="17"/>
  <c r="K664" i="17"/>
  <c r="J664" i="17"/>
  <c r="I664" i="17"/>
  <c r="H664" i="17"/>
  <c r="G664" i="17"/>
  <c r="L663" i="17"/>
  <c r="K663" i="17"/>
  <c r="J663" i="17"/>
  <c r="I663" i="17"/>
  <c r="H663" i="17"/>
  <c r="G663" i="17"/>
  <c r="L662" i="17"/>
  <c r="K662" i="17"/>
  <c r="J662" i="17"/>
  <c r="I662" i="17"/>
  <c r="H662" i="17"/>
  <c r="G662" i="17"/>
  <c r="L661" i="17"/>
  <c r="K661" i="17"/>
  <c r="J661" i="17"/>
  <c r="I661" i="17"/>
  <c r="H661" i="17"/>
  <c r="G661" i="17"/>
  <c r="L660" i="17"/>
  <c r="K660" i="17"/>
  <c r="J660" i="17"/>
  <c r="I660" i="17"/>
  <c r="H660" i="17"/>
  <c r="G660" i="17"/>
  <c r="L659" i="17"/>
  <c r="K659" i="17"/>
  <c r="J659" i="17"/>
  <c r="I659" i="17"/>
  <c r="H659" i="17"/>
  <c r="G659" i="17"/>
  <c r="L658" i="17"/>
  <c r="K658" i="17"/>
  <c r="J658" i="17"/>
  <c r="I658" i="17"/>
  <c r="H658" i="17"/>
  <c r="G658" i="17"/>
  <c r="L657" i="17"/>
  <c r="K657" i="17"/>
  <c r="J657" i="17"/>
  <c r="I657" i="17"/>
  <c r="H657" i="17"/>
  <c r="G657" i="17"/>
  <c r="L656" i="17"/>
  <c r="K656" i="17"/>
  <c r="J656" i="17"/>
  <c r="I656" i="17"/>
  <c r="H656" i="17"/>
  <c r="G656" i="17"/>
  <c r="L655" i="17"/>
  <c r="K655" i="17"/>
  <c r="J655" i="17"/>
  <c r="I655" i="17"/>
  <c r="H655" i="17"/>
  <c r="G655" i="17"/>
  <c r="L654" i="17"/>
  <c r="K654" i="17"/>
  <c r="J654" i="17"/>
  <c r="I654" i="17"/>
  <c r="H654" i="17"/>
  <c r="G654" i="17"/>
  <c r="L653" i="17"/>
  <c r="K653" i="17"/>
  <c r="J653" i="17"/>
  <c r="I653" i="17"/>
  <c r="H653" i="17"/>
  <c r="G653" i="17"/>
  <c r="L652" i="17"/>
  <c r="K652" i="17"/>
  <c r="J652" i="17"/>
  <c r="I652" i="17"/>
  <c r="H652" i="17"/>
  <c r="G652" i="17"/>
  <c r="L651" i="17"/>
  <c r="K651" i="17"/>
  <c r="J651" i="17"/>
  <c r="I651" i="17"/>
  <c r="H651" i="17"/>
  <c r="G651" i="17"/>
  <c r="L650" i="17"/>
  <c r="K650" i="17"/>
  <c r="J650" i="17"/>
  <c r="I650" i="17"/>
  <c r="H650" i="17"/>
  <c r="G650" i="17"/>
  <c r="L649" i="17"/>
  <c r="K649" i="17"/>
  <c r="J649" i="17"/>
  <c r="I649" i="17"/>
  <c r="H649" i="17"/>
  <c r="G649" i="17"/>
  <c r="L648" i="17"/>
  <c r="K648" i="17"/>
  <c r="J648" i="17"/>
  <c r="I648" i="17"/>
  <c r="H648" i="17"/>
  <c r="G648" i="17"/>
  <c r="L647" i="17"/>
  <c r="K647" i="17"/>
  <c r="J647" i="17"/>
  <c r="I647" i="17"/>
  <c r="H647" i="17"/>
  <c r="G647" i="17"/>
  <c r="L646" i="17"/>
  <c r="K646" i="17"/>
  <c r="J646" i="17"/>
  <c r="I646" i="17"/>
  <c r="H646" i="17"/>
  <c r="G646" i="17"/>
  <c r="L645" i="17"/>
  <c r="K645" i="17"/>
  <c r="J645" i="17"/>
  <c r="I645" i="17"/>
  <c r="H645" i="17"/>
  <c r="G645" i="17"/>
  <c r="L644" i="17"/>
  <c r="K644" i="17"/>
  <c r="J644" i="17"/>
  <c r="I644" i="17"/>
  <c r="H644" i="17"/>
  <c r="G644" i="17"/>
  <c r="L643" i="17"/>
  <c r="K643" i="17"/>
  <c r="J643" i="17"/>
  <c r="I643" i="17"/>
  <c r="H643" i="17"/>
  <c r="G643" i="17"/>
  <c r="L642" i="17"/>
  <c r="K642" i="17"/>
  <c r="J642" i="17"/>
  <c r="I642" i="17"/>
  <c r="H642" i="17"/>
  <c r="G642" i="17"/>
  <c r="L641" i="17"/>
  <c r="K641" i="17"/>
  <c r="J641" i="17"/>
  <c r="I641" i="17"/>
  <c r="H641" i="17"/>
  <c r="G641" i="17"/>
  <c r="L640" i="17"/>
  <c r="K640" i="17"/>
  <c r="J640" i="17"/>
  <c r="I640" i="17"/>
  <c r="H640" i="17"/>
  <c r="G640" i="17"/>
  <c r="L639" i="17"/>
  <c r="K639" i="17"/>
  <c r="J639" i="17"/>
  <c r="I639" i="17"/>
  <c r="H639" i="17"/>
  <c r="G639" i="17"/>
  <c r="L638" i="17"/>
  <c r="K638" i="17"/>
  <c r="J638" i="17"/>
  <c r="I638" i="17"/>
  <c r="H638" i="17"/>
  <c r="G638" i="17"/>
  <c r="L637" i="17"/>
  <c r="K637" i="17"/>
  <c r="J637" i="17"/>
  <c r="I637" i="17"/>
  <c r="H637" i="17"/>
  <c r="G637" i="17"/>
  <c r="L636" i="17"/>
  <c r="K636" i="17"/>
  <c r="J636" i="17"/>
  <c r="I636" i="17"/>
  <c r="H636" i="17"/>
  <c r="G636" i="17"/>
  <c r="L635" i="17"/>
  <c r="K635" i="17"/>
  <c r="J635" i="17"/>
  <c r="I635" i="17"/>
  <c r="H635" i="17"/>
  <c r="G635" i="17"/>
  <c r="L634" i="17"/>
  <c r="K634" i="17"/>
  <c r="J634" i="17"/>
  <c r="I634" i="17"/>
  <c r="H634" i="17"/>
  <c r="G634" i="17"/>
  <c r="L633" i="17"/>
  <c r="K633" i="17"/>
  <c r="J633" i="17"/>
  <c r="I633" i="17"/>
  <c r="H633" i="17"/>
  <c r="G633" i="17"/>
  <c r="L632" i="17"/>
  <c r="K632" i="17"/>
  <c r="J632" i="17"/>
  <c r="I632" i="17"/>
  <c r="H632" i="17"/>
  <c r="G632" i="17"/>
  <c r="L631" i="17"/>
  <c r="K631" i="17"/>
  <c r="J631" i="17"/>
  <c r="I631" i="17"/>
  <c r="H631" i="17"/>
  <c r="G631" i="17"/>
  <c r="L630" i="17"/>
  <c r="K630" i="17"/>
  <c r="J630" i="17"/>
  <c r="I630" i="17"/>
  <c r="H630" i="17"/>
  <c r="G630" i="17"/>
  <c r="L629" i="17"/>
  <c r="K629" i="17"/>
  <c r="J629" i="17"/>
  <c r="I629" i="17"/>
  <c r="H629" i="17"/>
  <c r="G629" i="17"/>
  <c r="L628" i="17"/>
  <c r="K628" i="17"/>
  <c r="J628" i="17"/>
  <c r="I628" i="17"/>
  <c r="H628" i="17"/>
  <c r="G628" i="17"/>
  <c r="L627" i="17"/>
  <c r="K627" i="17"/>
  <c r="J627" i="17"/>
  <c r="I627" i="17"/>
  <c r="H627" i="17"/>
  <c r="G627" i="17"/>
  <c r="L626" i="17"/>
  <c r="K626" i="17"/>
  <c r="J626" i="17"/>
  <c r="I626" i="17"/>
  <c r="H626" i="17"/>
  <c r="G626" i="17"/>
  <c r="L625" i="17"/>
  <c r="K625" i="17"/>
  <c r="J625" i="17"/>
  <c r="I625" i="17"/>
  <c r="H625" i="17"/>
  <c r="G625" i="17"/>
  <c r="L624" i="17"/>
  <c r="K624" i="17"/>
  <c r="J624" i="17"/>
  <c r="I624" i="17"/>
  <c r="H624" i="17"/>
  <c r="G624" i="17"/>
  <c r="L623" i="17"/>
  <c r="K623" i="17"/>
  <c r="J623" i="17"/>
  <c r="I623" i="17"/>
  <c r="H623" i="17"/>
  <c r="G623" i="17"/>
  <c r="L622" i="17"/>
  <c r="K622" i="17"/>
  <c r="J622" i="17"/>
  <c r="I622" i="17"/>
  <c r="H622" i="17"/>
  <c r="G622" i="17"/>
  <c r="L621" i="17"/>
  <c r="K621" i="17"/>
  <c r="J621" i="17"/>
  <c r="I621" i="17"/>
  <c r="H621" i="17"/>
  <c r="G621" i="17"/>
  <c r="L620" i="17"/>
  <c r="K620" i="17"/>
  <c r="J620" i="17"/>
  <c r="I620" i="17"/>
  <c r="H620" i="17"/>
  <c r="G620" i="17"/>
  <c r="L619" i="17"/>
  <c r="K619" i="17"/>
  <c r="J619" i="17"/>
  <c r="I619" i="17"/>
  <c r="H619" i="17"/>
  <c r="G619" i="17"/>
  <c r="L618" i="17"/>
  <c r="K618" i="17"/>
  <c r="J618" i="17"/>
  <c r="I618" i="17"/>
  <c r="H618" i="17"/>
  <c r="G618" i="17"/>
  <c r="L617" i="17"/>
  <c r="K617" i="17"/>
  <c r="J617" i="17"/>
  <c r="I617" i="17"/>
  <c r="H617" i="17"/>
  <c r="G617" i="17"/>
  <c r="L616" i="17"/>
  <c r="K616" i="17"/>
  <c r="J616" i="17"/>
  <c r="I616" i="17"/>
  <c r="H616" i="17"/>
  <c r="G616" i="17"/>
  <c r="L615" i="17"/>
  <c r="K615" i="17"/>
  <c r="J615" i="17"/>
  <c r="I615" i="17"/>
  <c r="H615" i="17"/>
  <c r="G615" i="17"/>
  <c r="L614" i="17"/>
  <c r="K614" i="17"/>
  <c r="J614" i="17"/>
  <c r="I614" i="17"/>
  <c r="H614" i="17"/>
  <c r="G614" i="17"/>
  <c r="L613" i="17"/>
  <c r="K613" i="17"/>
  <c r="J613" i="17"/>
  <c r="I613" i="17"/>
  <c r="H613" i="17"/>
  <c r="G613" i="17"/>
  <c r="L612" i="17"/>
  <c r="K612" i="17"/>
  <c r="J612" i="17"/>
  <c r="I612" i="17"/>
  <c r="H612" i="17"/>
  <c r="G612" i="17"/>
  <c r="L611" i="17"/>
  <c r="K611" i="17"/>
  <c r="J611" i="17"/>
  <c r="I611" i="17"/>
  <c r="H611" i="17"/>
  <c r="G611" i="17"/>
  <c r="L610" i="17"/>
  <c r="K610" i="17"/>
  <c r="J610" i="17"/>
  <c r="I610" i="17"/>
  <c r="H610" i="17"/>
  <c r="G610" i="17"/>
  <c r="L609" i="17"/>
  <c r="K609" i="17"/>
  <c r="J609" i="17"/>
  <c r="I609" i="17"/>
  <c r="H609" i="17"/>
  <c r="G609" i="17"/>
  <c r="L608" i="17"/>
  <c r="K608" i="17"/>
  <c r="J608" i="17"/>
  <c r="I608" i="17"/>
  <c r="H608" i="17"/>
  <c r="G608" i="17"/>
  <c r="L607" i="17"/>
  <c r="K607" i="17"/>
  <c r="J607" i="17"/>
  <c r="I607" i="17"/>
  <c r="H607" i="17"/>
  <c r="G607" i="17"/>
  <c r="L606" i="17"/>
  <c r="K606" i="17"/>
  <c r="J606" i="17"/>
  <c r="I606" i="17"/>
  <c r="H606" i="17"/>
  <c r="G606" i="17"/>
  <c r="L605" i="17"/>
  <c r="K605" i="17"/>
  <c r="J605" i="17"/>
  <c r="I605" i="17"/>
  <c r="H605" i="17"/>
  <c r="G605" i="17"/>
  <c r="L604" i="17"/>
  <c r="K604" i="17"/>
  <c r="J604" i="17"/>
  <c r="I604" i="17"/>
  <c r="H604" i="17"/>
  <c r="G604" i="17"/>
  <c r="L603" i="17"/>
  <c r="K603" i="17"/>
  <c r="J603" i="17"/>
  <c r="I603" i="17"/>
  <c r="H603" i="17"/>
  <c r="G603" i="17"/>
  <c r="L602" i="17"/>
  <c r="K602" i="17"/>
  <c r="J602" i="17"/>
  <c r="I602" i="17"/>
  <c r="H602" i="17"/>
  <c r="G602" i="17"/>
  <c r="L601" i="17"/>
  <c r="K601" i="17"/>
  <c r="J601" i="17"/>
  <c r="I601" i="17"/>
  <c r="H601" i="17"/>
  <c r="G601" i="17"/>
  <c r="L600" i="17"/>
  <c r="K600" i="17"/>
  <c r="J600" i="17"/>
  <c r="I600" i="17"/>
  <c r="H600" i="17"/>
  <c r="G600" i="17"/>
  <c r="L599" i="17"/>
  <c r="K599" i="17"/>
  <c r="J599" i="17"/>
  <c r="I599" i="17"/>
  <c r="H599" i="17"/>
  <c r="G599" i="17"/>
  <c r="L598" i="17"/>
  <c r="K598" i="17"/>
  <c r="J598" i="17"/>
  <c r="I598" i="17"/>
  <c r="H598" i="17"/>
  <c r="G598" i="17"/>
  <c r="L597" i="17"/>
  <c r="K597" i="17"/>
  <c r="J597" i="17"/>
  <c r="I597" i="17"/>
  <c r="H597" i="17"/>
  <c r="G597" i="17"/>
  <c r="L596" i="17"/>
  <c r="K596" i="17"/>
  <c r="J596" i="17"/>
  <c r="I596" i="17"/>
  <c r="H596" i="17"/>
  <c r="G596" i="17"/>
  <c r="L595" i="17"/>
  <c r="K595" i="17"/>
  <c r="J595" i="17"/>
  <c r="I595" i="17"/>
  <c r="H595" i="17"/>
  <c r="G595" i="17"/>
  <c r="L594" i="17"/>
  <c r="K594" i="17"/>
  <c r="J594" i="17"/>
  <c r="I594" i="17"/>
  <c r="H594" i="17"/>
  <c r="G594" i="17"/>
  <c r="L593" i="17"/>
  <c r="K593" i="17"/>
  <c r="J593" i="17"/>
  <c r="I593" i="17"/>
  <c r="H593" i="17"/>
  <c r="G593" i="17"/>
  <c r="L592" i="17"/>
  <c r="K592" i="17"/>
  <c r="J592" i="17"/>
  <c r="I592" i="17"/>
  <c r="H592" i="17"/>
  <c r="G592" i="17"/>
  <c r="L591" i="17"/>
  <c r="K591" i="17"/>
  <c r="J591" i="17"/>
  <c r="I591" i="17"/>
  <c r="H591" i="17"/>
  <c r="G591" i="17"/>
  <c r="L590" i="17"/>
  <c r="K590" i="17"/>
  <c r="J590" i="17"/>
  <c r="I590" i="17"/>
  <c r="H590" i="17"/>
  <c r="G590" i="17"/>
  <c r="L589" i="17"/>
  <c r="K589" i="17"/>
  <c r="J589" i="17"/>
  <c r="I589" i="17"/>
  <c r="H589" i="17"/>
  <c r="G589" i="17"/>
  <c r="L588" i="17"/>
  <c r="K588" i="17"/>
  <c r="J588" i="17"/>
  <c r="I588" i="17"/>
  <c r="H588" i="17"/>
  <c r="G588" i="17"/>
  <c r="L587" i="17"/>
  <c r="K587" i="17"/>
  <c r="J587" i="17"/>
  <c r="I587" i="17"/>
  <c r="H587" i="17"/>
  <c r="G587" i="17"/>
  <c r="L586" i="17"/>
  <c r="K586" i="17"/>
  <c r="J586" i="17"/>
  <c r="I586" i="17"/>
  <c r="H586" i="17"/>
  <c r="G586" i="17"/>
  <c r="L585" i="17"/>
  <c r="K585" i="17"/>
  <c r="J585" i="17"/>
  <c r="I585" i="17"/>
  <c r="H585" i="17"/>
  <c r="G585" i="17"/>
  <c r="L584" i="17"/>
  <c r="K584" i="17"/>
  <c r="J584" i="17"/>
  <c r="I584" i="17"/>
  <c r="H584" i="17"/>
  <c r="G584" i="17"/>
  <c r="L583" i="17"/>
  <c r="K583" i="17"/>
  <c r="J583" i="17"/>
  <c r="I583" i="17"/>
  <c r="H583" i="17"/>
  <c r="G583" i="17"/>
  <c r="L582" i="17"/>
  <c r="K582" i="17"/>
  <c r="J582" i="17"/>
  <c r="I582" i="17"/>
  <c r="H582" i="17"/>
  <c r="G582" i="17"/>
  <c r="L581" i="17"/>
  <c r="K581" i="17"/>
  <c r="J581" i="17"/>
  <c r="I581" i="17"/>
  <c r="H581" i="17"/>
  <c r="G581" i="17"/>
  <c r="L580" i="17"/>
  <c r="K580" i="17"/>
  <c r="J580" i="17"/>
  <c r="I580" i="17"/>
  <c r="H580" i="17"/>
  <c r="G580" i="17"/>
  <c r="L579" i="17"/>
  <c r="K579" i="17"/>
  <c r="J579" i="17"/>
  <c r="I579" i="17"/>
  <c r="H579" i="17"/>
  <c r="G579" i="17"/>
  <c r="L578" i="17"/>
  <c r="K578" i="17"/>
  <c r="J578" i="17"/>
  <c r="I578" i="17"/>
  <c r="H578" i="17"/>
  <c r="G578" i="17"/>
  <c r="L577" i="17"/>
  <c r="K577" i="17"/>
  <c r="J577" i="17"/>
  <c r="I577" i="17"/>
  <c r="H577" i="17"/>
  <c r="G577" i="17"/>
  <c r="L576" i="17"/>
  <c r="K576" i="17"/>
  <c r="J576" i="17"/>
  <c r="I576" i="17"/>
  <c r="H576" i="17"/>
  <c r="G576" i="17"/>
  <c r="L575" i="17"/>
  <c r="K575" i="17"/>
  <c r="J575" i="17"/>
  <c r="I575" i="17"/>
  <c r="H575" i="17"/>
  <c r="G575" i="17"/>
  <c r="L574" i="17"/>
  <c r="K574" i="17"/>
  <c r="J574" i="17"/>
  <c r="I574" i="17"/>
  <c r="H574" i="17"/>
  <c r="G574" i="17"/>
  <c r="L573" i="17"/>
  <c r="K573" i="17"/>
  <c r="J573" i="17"/>
  <c r="I573" i="17"/>
  <c r="H573" i="17"/>
  <c r="G573" i="17"/>
  <c r="L572" i="17"/>
  <c r="K572" i="17"/>
  <c r="J572" i="17"/>
  <c r="I572" i="17"/>
  <c r="H572" i="17"/>
  <c r="G572" i="17"/>
  <c r="L571" i="17"/>
  <c r="K571" i="17"/>
  <c r="J571" i="17"/>
  <c r="I571" i="17"/>
  <c r="H571" i="17"/>
  <c r="G571" i="17"/>
  <c r="L570" i="17"/>
  <c r="K570" i="17"/>
  <c r="J570" i="17"/>
  <c r="I570" i="17"/>
  <c r="H570" i="17"/>
  <c r="G570" i="17"/>
  <c r="L569" i="17"/>
  <c r="K569" i="17"/>
  <c r="J569" i="17"/>
  <c r="I569" i="17"/>
  <c r="H569" i="17"/>
  <c r="G569" i="17"/>
  <c r="L568" i="17"/>
  <c r="K568" i="17"/>
  <c r="J568" i="17"/>
  <c r="I568" i="17"/>
  <c r="H568" i="17"/>
  <c r="G568" i="17"/>
  <c r="L567" i="17"/>
  <c r="K567" i="17"/>
  <c r="J567" i="17"/>
  <c r="I567" i="17"/>
  <c r="H567" i="17"/>
  <c r="G567" i="17"/>
  <c r="L566" i="17"/>
  <c r="K566" i="17"/>
  <c r="J566" i="17"/>
  <c r="I566" i="17"/>
  <c r="H566" i="17"/>
  <c r="G566" i="17"/>
  <c r="L565" i="17"/>
  <c r="K565" i="17"/>
  <c r="J565" i="17"/>
  <c r="I565" i="17"/>
  <c r="H565" i="17"/>
  <c r="G565" i="17"/>
  <c r="L564" i="17"/>
  <c r="K564" i="17"/>
  <c r="J564" i="17"/>
  <c r="I564" i="17"/>
  <c r="H564" i="17"/>
  <c r="G564" i="17"/>
  <c r="L563" i="17"/>
  <c r="K563" i="17"/>
  <c r="J563" i="17"/>
  <c r="I563" i="17"/>
  <c r="H563" i="17"/>
  <c r="G563" i="17"/>
  <c r="L562" i="17"/>
  <c r="K562" i="17"/>
  <c r="J562" i="17"/>
  <c r="I562" i="17"/>
  <c r="H562" i="17"/>
  <c r="G562" i="17"/>
  <c r="L561" i="17"/>
  <c r="K561" i="17"/>
  <c r="J561" i="17"/>
  <c r="I561" i="17"/>
  <c r="H561" i="17"/>
  <c r="G561" i="17"/>
  <c r="L560" i="17"/>
  <c r="K560" i="17"/>
  <c r="J560" i="17"/>
  <c r="I560" i="17"/>
  <c r="H560" i="17"/>
  <c r="G560" i="17"/>
  <c r="L559" i="17"/>
  <c r="K559" i="17"/>
  <c r="J559" i="17"/>
  <c r="I559" i="17"/>
  <c r="H559" i="17"/>
  <c r="G559" i="17"/>
  <c r="L558" i="17"/>
  <c r="K558" i="17"/>
  <c r="J558" i="17"/>
  <c r="I558" i="17"/>
  <c r="H558" i="17"/>
  <c r="G558" i="17"/>
  <c r="L557" i="17"/>
  <c r="K557" i="17"/>
  <c r="J557" i="17"/>
  <c r="I557" i="17"/>
  <c r="H557" i="17"/>
  <c r="G557" i="17"/>
  <c r="L556" i="17"/>
  <c r="K556" i="17"/>
  <c r="J556" i="17"/>
  <c r="I556" i="17"/>
  <c r="H556" i="17"/>
  <c r="G556" i="17"/>
  <c r="L555" i="17"/>
  <c r="K555" i="17"/>
  <c r="J555" i="17"/>
  <c r="I555" i="17"/>
  <c r="H555" i="17"/>
  <c r="G555" i="17"/>
  <c r="L554" i="17"/>
  <c r="K554" i="17"/>
  <c r="J554" i="17"/>
  <c r="I554" i="17"/>
  <c r="H554" i="17"/>
  <c r="G554" i="17"/>
  <c r="L553" i="17"/>
  <c r="K553" i="17"/>
  <c r="J553" i="17"/>
  <c r="I553" i="17"/>
  <c r="H553" i="17"/>
  <c r="G553" i="17"/>
  <c r="L552" i="17"/>
  <c r="K552" i="17"/>
  <c r="J552" i="17"/>
  <c r="I552" i="17"/>
  <c r="H552" i="17"/>
  <c r="G552" i="17"/>
  <c r="L551" i="17"/>
  <c r="K551" i="17"/>
  <c r="J551" i="17"/>
  <c r="I551" i="17"/>
  <c r="H551" i="17"/>
  <c r="G551" i="17"/>
  <c r="L550" i="17"/>
  <c r="K550" i="17"/>
  <c r="J550" i="17"/>
  <c r="I550" i="17"/>
  <c r="H550" i="17"/>
  <c r="G550" i="17"/>
  <c r="L549" i="17"/>
  <c r="K549" i="17"/>
  <c r="J549" i="17"/>
  <c r="I549" i="17"/>
  <c r="H549" i="17"/>
  <c r="G549" i="17"/>
  <c r="L548" i="17"/>
  <c r="K548" i="17"/>
  <c r="J548" i="17"/>
  <c r="I548" i="17"/>
  <c r="H548" i="17"/>
  <c r="G548" i="17"/>
  <c r="L547" i="17"/>
  <c r="K547" i="17"/>
  <c r="J547" i="17"/>
  <c r="I547" i="17"/>
  <c r="H547" i="17"/>
  <c r="G547" i="17"/>
  <c r="L546" i="17"/>
  <c r="K546" i="17"/>
  <c r="J546" i="17"/>
  <c r="I546" i="17"/>
  <c r="H546" i="17"/>
  <c r="G546" i="17"/>
  <c r="L545" i="17"/>
  <c r="K545" i="17"/>
  <c r="J545" i="17"/>
  <c r="I545" i="17"/>
  <c r="H545" i="17"/>
  <c r="G545" i="17"/>
  <c r="L544" i="17"/>
  <c r="K544" i="17"/>
  <c r="J544" i="17"/>
  <c r="I544" i="17"/>
  <c r="H544" i="17"/>
  <c r="G544" i="17"/>
  <c r="L543" i="17"/>
  <c r="K543" i="17"/>
  <c r="J543" i="17"/>
  <c r="I543" i="17"/>
  <c r="H543" i="17"/>
  <c r="G543" i="17"/>
  <c r="L542" i="17"/>
  <c r="K542" i="17"/>
  <c r="J542" i="17"/>
  <c r="I542" i="17"/>
  <c r="H542" i="17"/>
  <c r="G542" i="17"/>
  <c r="L541" i="17"/>
  <c r="K541" i="17"/>
  <c r="J541" i="17"/>
  <c r="I541" i="17"/>
  <c r="H541" i="17"/>
  <c r="G541" i="17"/>
  <c r="L540" i="17"/>
  <c r="K540" i="17"/>
  <c r="J540" i="17"/>
  <c r="I540" i="17"/>
  <c r="H540" i="17"/>
  <c r="G540" i="17"/>
  <c r="L539" i="17"/>
  <c r="K539" i="17"/>
  <c r="J539" i="17"/>
  <c r="I539" i="17"/>
  <c r="H539" i="17"/>
  <c r="G539" i="17"/>
  <c r="L538" i="17"/>
  <c r="K538" i="17"/>
  <c r="J538" i="17"/>
  <c r="I538" i="17"/>
  <c r="H538" i="17"/>
  <c r="G538" i="17"/>
  <c r="L537" i="17"/>
  <c r="K537" i="17"/>
  <c r="J537" i="17"/>
  <c r="I537" i="17"/>
  <c r="H537" i="17"/>
  <c r="G537" i="17"/>
  <c r="L536" i="17"/>
  <c r="K536" i="17"/>
  <c r="J536" i="17"/>
  <c r="I536" i="17"/>
  <c r="H536" i="17"/>
  <c r="G536" i="17"/>
  <c r="L535" i="17"/>
  <c r="K535" i="17"/>
  <c r="J535" i="17"/>
  <c r="I535" i="17"/>
  <c r="H535" i="17"/>
  <c r="G535" i="17"/>
  <c r="L534" i="17"/>
  <c r="K534" i="17"/>
  <c r="J534" i="17"/>
  <c r="I534" i="17"/>
  <c r="H534" i="17"/>
  <c r="G534" i="17"/>
  <c r="L533" i="17"/>
  <c r="K533" i="17"/>
  <c r="J533" i="17"/>
  <c r="I533" i="17"/>
  <c r="H533" i="17"/>
  <c r="G533" i="17"/>
  <c r="L532" i="17"/>
  <c r="K532" i="17"/>
  <c r="J532" i="17"/>
  <c r="I532" i="17"/>
  <c r="H532" i="17"/>
  <c r="G532" i="17"/>
  <c r="L531" i="17"/>
  <c r="K531" i="17"/>
  <c r="J531" i="17"/>
  <c r="I531" i="17"/>
  <c r="H531" i="17"/>
  <c r="G531" i="17"/>
  <c r="L530" i="17"/>
  <c r="K530" i="17"/>
  <c r="J530" i="17"/>
  <c r="I530" i="17"/>
  <c r="H530" i="17"/>
  <c r="G530" i="17"/>
  <c r="L529" i="17"/>
  <c r="K529" i="17"/>
  <c r="J529" i="17"/>
  <c r="I529" i="17"/>
  <c r="H529" i="17"/>
  <c r="G529" i="17"/>
  <c r="L528" i="17"/>
  <c r="K528" i="17"/>
  <c r="J528" i="17"/>
  <c r="I528" i="17"/>
  <c r="H528" i="17"/>
  <c r="G528" i="17"/>
  <c r="L527" i="17"/>
  <c r="K527" i="17"/>
  <c r="J527" i="17"/>
  <c r="I527" i="17"/>
  <c r="H527" i="17"/>
  <c r="G527" i="17"/>
  <c r="L526" i="17"/>
  <c r="K526" i="17"/>
  <c r="J526" i="17"/>
  <c r="I526" i="17"/>
  <c r="H526" i="17"/>
  <c r="G526" i="17"/>
  <c r="L525" i="17"/>
  <c r="K525" i="17"/>
  <c r="J525" i="17"/>
  <c r="I525" i="17"/>
  <c r="H525" i="17"/>
  <c r="G525" i="17"/>
  <c r="L524" i="17"/>
  <c r="K524" i="17"/>
  <c r="J524" i="17"/>
  <c r="I524" i="17"/>
  <c r="H524" i="17"/>
  <c r="G524" i="17"/>
  <c r="L523" i="17"/>
  <c r="K523" i="17"/>
  <c r="J523" i="17"/>
  <c r="I523" i="17"/>
  <c r="H523" i="17"/>
  <c r="G523" i="17"/>
  <c r="L522" i="17"/>
  <c r="K522" i="17"/>
  <c r="J522" i="17"/>
  <c r="I522" i="17"/>
  <c r="H522" i="17"/>
  <c r="G522" i="17"/>
  <c r="L521" i="17"/>
  <c r="K521" i="17"/>
  <c r="J521" i="17"/>
  <c r="I521" i="17"/>
  <c r="H521" i="17"/>
  <c r="G521" i="17"/>
  <c r="L520" i="17"/>
  <c r="K520" i="17"/>
  <c r="J520" i="17"/>
  <c r="I520" i="17"/>
  <c r="H520" i="17"/>
  <c r="G520" i="17"/>
  <c r="L519" i="17"/>
  <c r="K519" i="17"/>
  <c r="J519" i="17"/>
  <c r="I519" i="17"/>
  <c r="H519" i="17"/>
  <c r="G519" i="17"/>
  <c r="L518" i="17"/>
  <c r="K518" i="17"/>
  <c r="J518" i="17"/>
  <c r="I518" i="17"/>
  <c r="H518" i="17"/>
  <c r="G518" i="17"/>
  <c r="L517" i="17"/>
  <c r="K517" i="17"/>
  <c r="J517" i="17"/>
  <c r="I517" i="17"/>
  <c r="H517" i="17"/>
  <c r="G517" i="17"/>
  <c r="L516" i="17"/>
  <c r="K516" i="17"/>
  <c r="J516" i="17"/>
  <c r="I516" i="17"/>
  <c r="H516" i="17"/>
  <c r="G516" i="17"/>
  <c r="L515" i="17"/>
  <c r="K515" i="17"/>
  <c r="J515" i="17"/>
  <c r="I515" i="17"/>
  <c r="H515" i="17"/>
  <c r="G515" i="17"/>
  <c r="L514" i="17"/>
  <c r="K514" i="17"/>
  <c r="J514" i="17"/>
  <c r="I514" i="17"/>
  <c r="H514" i="17"/>
  <c r="G514" i="17"/>
  <c r="L513" i="17"/>
  <c r="K513" i="17"/>
  <c r="J513" i="17"/>
  <c r="I513" i="17"/>
  <c r="H513" i="17"/>
  <c r="G513" i="17"/>
  <c r="L512" i="17"/>
  <c r="K512" i="17"/>
  <c r="J512" i="17"/>
  <c r="I512" i="17"/>
  <c r="H512" i="17"/>
  <c r="G512" i="17"/>
  <c r="L511" i="17"/>
  <c r="K511" i="17"/>
  <c r="J511" i="17"/>
  <c r="I511" i="17"/>
  <c r="H511" i="17"/>
  <c r="G511" i="17"/>
  <c r="L510" i="17"/>
  <c r="K510" i="17"/>
  <c r="J510" i="17"/>
  <c r="I510" i="17"/>
  <c r="H510" i="17"/>
  <c r="G510" i="17"/>
  <c r="L509" i="17"/>
  <c r="K509" i="17"/>
  <c r="J509" i="17"/>
  <c r="I509" i="17"/>
  <c r="H509" i="17"/>
  <c r="G509" i="17"/>
  <c r="L508" i="17"/>
  <c r="K508" i="17"/>
  <c r="J508" i="17"/>
  <c r="I508" i="17"/>
  <c r="H508" i="17"/>
  <c r="G508" i="17"/>
  <c r="L507" i="17"/>
  <c r="K507" i="17"/>
  <c r="J507" i="17"/>
  <c r="I507" i="17"/>
  <c r="H507" i="17"/>
  <c r="G507" i="17"/>
  <c r="L506" i="17"/>
  <c r="K506" i="17"/>
  <c r="J506" i="17"/>
  <c r="I506" i="17"/>
  <c r="H506" i="17"/>
  <c r="G506" i="17"/>
  <c r="L505" i="17"/>
  <c r="K505" i="17"/>
  <c r="J505" i="17"/>
  <c r="I505" i="17"/>
  <c r="H505" i="17"/>
  <c r="G505" i="17"/>
  <c r="L504" i="17"/>
  <c r="K504" i="17"/>
  <c r="J504" i="17"/>
  <c r="I504" i="17"/>
  <c r="H504" i="17"/>
  <c r="G504" i="17"/>
  <c r="L503" i="17"/>
  <c r="K503" i="17"/>
  <c r="J503" i="17"/>
  <c r="I503" i="17"/>
  <c r="H503" i="17"/>
  <c r="G503" i="17"/>
  <c r="L502" i="17"/>
  <c r="K502" i="17"/>
  <c r="J502" i="17"/>
  <c r="I502" i="17"/>
  <c r="H502" i="17"/>
  <c r="G502" i="17"/>
  <c r="L501" i="17"/>
  <c r="K501" i="17"/>
  <c r="J501" i="17"/>
  <c r="I501" i="17"/>
  <c r="H501" i="17"/>
  <c r="G501" i="17"/>
  <c r="L500" i="17"/>
  <c r="K500" i="17"/>
  <c r="J500" i="17"/>
  <c r="I500" i="17"/>
  <c r="H500" i="17"/>
  <c r="G500" i="17"/>
  <c r="L499" i="17"/>
  <c r="K499" i="17"/>
  <c r="J499" i="17"/>
  <c r="I499" i="17"/>
  <c r="H499" i="17"/>
  <c r="G499" i="17"/>
  <c r="L498" i="17"/>
  <c r="K498" i="17"/>
  <c r="J498" i="17"/>
  <c r="I498" i="17"/>
  <c r="H498" i="17"/>
  <c r="G498" i="17"/>
  <c r="L497" i="17"/>
  <c r="K497" i="17"/>
  <c r="J497" i="17"/>
  <c r="I497" i="17"/>
  <c r="H497" i="17"/>
  <c r="G497" i="17"/>
  <c r="L496" i="17"/>
  <c r="K496" i="17"/>
  <c r="J496" i="17"/>
  <c r="I496" i="17"/>
  <c r="H496" i="17"/>
  <c r="G496" i="17"/>
  <c r="L495" i="17"/>
  <c r="K495" i="17"/>
  <c r="J495" i="17"/>
  <c r="I495" i="17"/>
  <c r="H495" i="17"/>
  <c r="G495" i="17"/>
  <c r="L494" i="17"/>
  <c r="K494" i="17"/>
  <c r="J494" i="17"/>
  <c r="I494" i="17"/>
  <c r="H494" i="17"/>
  <c r="G494" i="17"/>
  <c r="L493" i="17"/>
  <c r="K493" i="17"/>
  <c r="J493" i="17"/>
  <c r="I493" i="17"/>
  <c r="H493" i="17"/>
  <c r="G493" i="17"/>
  <c r="L492" i="17"/>
  <c r="K492" i="17"/>
  <c r="J492" i="17"/>
  <c r="I492" i="17"/>
  <c r="H492" i="17"/>
  <c r="G492" i="17"/>
  <c r="L491" i="17"/>
  <c r="K491" i="17"/>
  <c r="J491" i="17"/>
  <c r="I491" i="17"/>
  <c r="H491" i="17"/>
  <c r="G491" i="17"/>
  <c r="L490" i="17"/>
  <c r="K490" i="17"/>
  <c r="J490" i="17"/>
  <c r="I490" i="17"/>
  <c r="H490" i="17"/>
  <c r="G490" i="17"/>
  <c r="L489" i="17"/>
  <c r="K489" i="17"/>
  <c r="J489" i="17"/>
  <c r="I489" i="17"/>
  <c r="H489" i="17"/>
  <c r="G489" i="17"/>
  <c r="L488" i="17"/>
  <c r="K488" i="17"/>
  <c r="J488" i="17"/>
  <c r="I488" i="17"/>
  <c r="H488" i="17"/>
  <c r="G488" i="17"/>
  <c r="L487" i="17"/>
  <c r="K487" i="17"/>
  <c r="J487" i="17"/>
  <c r="I487" i="17"/>
  <c r="H487" i="17"/>
  <c r="G487" i="17"/>
  <c r="L486" i="17"/>
  <c r="K486" i="17"/>
  <c r="J486" i="17"/>
  <c r="I486" i="17"/>
  <c r="H486" i="17"/>
  <c r="G486" i="17"/>
  <c r="L485" i="17"/>
  <c r="K485" i="17"/>
  <c r="J485" i="17"/>
  <c r="I485" i="17"/>
  <c r="H485" i="17"/>
  <c r="G485" i="17"/>
  <c r="L484" i="17"/>
  <c r="K484" i="17"/>
  <c r="J484" i="17"/>
  <c r="I484" i="17"/>
  <c r="H484" i="17"/>
  <c r="G484" i="17"/>
  <c r="L483" i="17"/>
  <c r="K483" i="17"/>
  <c r="J483" i="17"/>
  <c r="I483" i="17"/>
  <c r="H483" i="17"/>
  <c r="G483" i="17"/>
  <c r="L482" i="17"/>
  <c r="K482" i="17"/>
  <c r="J482" i="17"/>
  <c r="I482" i="17"/>
  <c r="H482" i="17"/>
  <c r="G482" i="17"/>
  <c r="L481" i="17"/>
  <c r="K481" i="17"/>
  <c r="J481" i="17"/>
  <c r="I481" i="17"/>
  <c r="H481" i="17"/>
  <c r="G481" i="17"/>
  <c r="L480" i="17"/>
  <c r="K480" i="17"/>
  <c r="J480" i="17"/>
  <c r="I480" i="17"/>
  <c r="H480" i="17"/>
  <c r="G480" i="17"/>
  <c r="L479" i="17"/>
  <c r="K479" i="17"/>
  <c r="J479" i="17"/>
  <c r="I479" i="17"/>
  <c r="H479" i="17"/>
  <c r="G479" i="17"/>
  <c r="L478" i="17"/>
  <c r="K478" i="17"/>
  <c r="J478" i="17"/>
  <c r="I478" i="17"/>
  <c r="H478" i="17"/>
  <c r="G478" i="17"/>
  <c r="L477" i="17"/>
  <c r="K477" i="17"/>
  <c r="J477" i="17"/>
  <c r="I477" i="17"/>
  <c r="H477" i="17"/>
  <c r="G477" i="17"/>
  <c r="L476" i="17"/>
  <c r="K476" i="17"/>
  <c r="J476" i="17"/>
  <c r="I476" i="17"/>
  <c r="H476" i="17"/>
  <c r="G476" i="17"/>
  <c r="L475" i="17"/>
  <c r="K475" i="17"/>
  <c r="J475" i="17"/>
  <c r="I475" i="17"/>
  <c r="H475" i="17"/>
  <c r="G475" i="17"/>
  <c r="L474" i="17"/>
  <c r="K474" i="17"/>
  <c r="J474" i="17"/>
  <c r="I474" i="17"/>
  <c r="H474" i="17"/>
  <c r="G474" i="17"/>
  <c r="L473" i="17"/>
  <c r="K473" i="17"/>
  <c r="J473" i="17"/>
  <c r="I473" i="17"/>
  <c r="H473" i="17"/>
  <c r="G473" i="17"/>
  <c r="L472" i="17"/>
  <c r="K472" i="17"/>
  <c r="J472" i="17"/>
  <c r="I472" i="17"/>
  <c r="H472" i="17"/>
  <c r="G472" i="17"/>
  <c r="L471" i="17"/>
  <c r="K471" i="17"/>
  <c r="J471" i="17"/>
  <c r="I471" i="17"/>
  <c r="H471" i="17"/>
  <c r="G471" i="17"/>
  <c r="L470" i="17"/>
  <c r="K470" i="17"/>
  <c r="J470" i="17"/>
  <c r="I470" i="17"/>
  <c r="H470" i="17"/>
  <c r="G470" i="17"/>
  <c r="L469" i="17"/>
  <c r="K469" i="17"/>
  <c r="J469" i="17"/>
  <c r="I469" i="17"/>
  <c r="H469" i="17"/>
  <c r="G469" i="17"/>
  <c r="L468" i="17"/>
  <c r="K468" i="17"/>
  <c r="J468" i="17"/>
  <c r="I468" i="17"/>
  <c r="H468" i="17"/>
  <c r="G468" i="17"/>
  <c r="L467" i="17"/>
  <c r="K467" i="17"/>
  <c r="J467" i="17"/>
  <c r="I467" i="17"/>
  <c r="H467" i="17"/>
  <c r="G467" i="17"/>
  <c r="L466" i="17"/>
  <c r="K466" i="17"/>
  <c r="J466" i="17"/>
  <c r="I466" i="17"/>
  <c r="H466" i="17"/>
  <c r="G466" i="17"/>
  <c r="L465" i="17"/>
  <c r="K465" i="17"/>
  <c r="J465" i="17"/>
  <c r="I465" i="17"/>
  <c r="H465" i="17"/>
  <c r="G465" i="17"/>
  <c r="L464" i="17"/>
  <c r="K464" i="17"/>
  <c r="J464" i="17"/>
  <c r="I464" i="17"/>
  <c r="H464" i="17"/>
  <c r="G464" i="17"/>
  <c r="L463" i="17"/>
  <c r="K463" i="17"/>
  <c r="J463" i="17"/>
  <c r="I463" i="17"/>
  <c r="H463" i="17"/>
  <c r="G463" i="17"/>
  <c r="L462" i="17"/>
  <c r="K462" i="17"/>
  <c r="J462" i="17"/>
  <c r="I462" i="17"/>
  <c r="H462" i="17"/>
  <c r="G462" i="17"/>
  <c r="L461" i="17"/>
  <c r="K461" i="17"/>
  <c r="J461" i="17"/>
  <c r="I461" i="17"/>
  <c r="H461" i="17"/>
  <c r="G461" i="17"/>
  <c r="L460" i="17"/>
  <c r="K460" i="17"/>
  <c r="J460" i="17"/>
  <c r="I460" i="17"/>
  <c r="H460" i="17"/>
  <c r="G460" i="17"/>
  <c r="L459" i="17"/>
  <c r="K459" i="17"/>
  <c r="J459" i="17"/>
  <c r="I459" i="17"/>
  <c r="H459" i="17"/>
  <c r="G459" i="17"/>
  <c r="L458" i="17"/>
  <c r="K458" i="17"/>
  <c r="J458" i="17"/>
  <c r="I458" i="17"/>
  <c r="H458" i="17"/>
  <c r="G458" i="17"/>
  <c r="L457" i="17"/>
  <c r="K457" i="17"/>
  <c r="J457" i="17"/>
  <c r="I457" i="17"/>
  <c r="H457" i="17"/>
  <c r="G457" i="17"/>
  <c r="L456" i="17"/>
  <c r="K456" i="17"/>
  <c r="J456" i="17"/>
  <c r="I456" i="17"/>
  <c r="H456" i="17"/>
  <c r="G456" i="17"/>
  <c r="L455" i="17"/>
  <c r="K455" i="17"/>
  <c r="J455" i="17"/>
  <c r="I455" i="17"/>
  <c r="H455" i="17"/>
  <c r="G455" i="17"/>
  <c r="L454" i="17"/>
  <c r="K454" i="17"/>
  <c r="J454" i="17"/>
  <c r="I454" i="17"/>
  <c r="H454" i="17"/>
  <c r="G454" i="17"/>
  <c r="L453" i="17"/>
  <c r="K453" i="17"/>
  <c r="J453" i="17"/>
  <c r="I453" i="17"/>
  <c r="H453" i="17"/>
  <c r="G453" i="17"/>
  <c r="L452" i="17"/>
  <c r="K452" i="17"/>
  <c r="J452" i="17"/>
  <c r="I452" i="17"/>
  <c r="H452" i="17"/>
  <c r="G452" i="17"/>
  <c r="L451" i="17"/>
  <c r="K451" i="17"/>
  <c r="J451" i="17"/>
  <c r="I451" i="17"/>
  <c r="H451" i="17"/>
  <c r="G451" i="17"/>
  <c r="L450" i="17"/>
  <c r="K450" i="17"/>
  <c r="J450" i="17"/>
  <c r="I450" i="17"/>
  <c r="H450" i="17"/>
  <c r="G450" i="17"/>
  <c r="L449" i="17"/>
  <c r="K449" i="17"/>
  <c r="J449" i="17"/>
  <c r="I449" i="17"/>
  <c r="H449" i="17"/>
  <c r="G449" i="17"/>
  <c r="L448" i="17"/>
  <c r="K448" i="17"/>
  <c r="J448" i="17"/>
  <c r="I448" i="17"/>
  <c r="H448" i="17"/>
  <c r="G448" i="17"/>
  <c r="L447" i="17"/>
  <c r="K447" i="17"/>
  <c r="J447" i="17"/>
  <c r="I447" i="17"/>
  <c r="H447" i="17"/>
  <c r="G447" i="17"/>
  <c r="L446" i="17"/>
  <c r="K446" i="17"/>
  <c r="J446" i="17"/>
  <c r="I446" i="17"/>
  <c r="H446" i="17"/>
  <c r="G446" i="17"/>
  <c r="L445" i="17"/>
  <c r="K445" i="17"/>
  <c r="J445" i="17"/>
  <c r="I445" i="17"/>
  <c r="H445" i="17"/>
  <c r="G445" i="17"/>
  <c r="L444" i="17"/>
  <c r="K444" i="17"/>
  <c r="J444" i="17"/>
  <c r="I444" i="17"/>
  <c r="H444" i="17"/>
  <c r="G444" i="17"/>
  <c r="L443" i="17"/>
  <c r="K443" i="17"/>
  <c r="J443" i="17"/>
  <c r="I443" i="17"/>
  <c r="H443" i="17"/>
  <c r="G443" i="17"/>
  <c r="L442" i="17"/>
  <c r="K442" i="17"/>
  <c r="J442" i="17"/>
  <c r="I442" i="17"/>
  <c r="H442" i="17"/>
  <c r="G442" i="17"/>
  <c r="L441" i="17"/>
  <c r="K441" i="17"/>
  <c r="J441" i="17"/>
  <c r="I441" i="17"/>
  <c r="H441" i="17"/>
  <c r="G441" i="17"/>
  <c r="L440" i="17"/>
  <c r="K440" i="17"/>
  <c r="J440" i="17"/>
  <c r="I440" i="17"/>
  <c r="H440" i="17"/>
  <c r="G440" i="17"/>
  <c r="L439" i="17"/>
  <c r="K439" i="17"/>
  <c r="J439" i="17"/>
  <c r="I439" i="17"/>
  <c r="H439" i="17"/>
  <c r="G439" i="17"/>
  <c r="L438" i="17"/>
  <c r="K438" i="17"/>
  <c r="J438" i="17"/>
  <c r="I438" i="17"/>
  <c r="H438" i="17"/>
  <c r="G438" i="17"/>
  <c r="L437" i="17"/>
  <c r="K437" i="17"/>
  <c r="J437" i="17"/>
  <c r="I437" i="17"/>
  <c r="H437" i="17"/>
  <c r="G437" i="17"/>
  <c r="L436" i="17"/>
  <c r="K436" i="17"/>
  <c r="J436" i="17"/>
  <c r="I436" i="17"/>
  <c r="H436" i="17"/>
  <c r="G436" i="17"/>
  <c r="L435" i="17"/>
  <c r="K435" i="17"/>
  <c r="J435" i="17"/>
  <c r="I435" i="17"/>
  <c r="H435" i="17"/>
  <c r="G435" i="17"/>
  <c r="L434" i="17"/>
  <c r="K434" i="17"/>
  <c r="J434" i="17"/>
  <c r="I434" i="17"/>
  <c r="H434" i="17"/>
  <c r="G434" i="17"/>
  <c r="L433" i="17"/>
  <c r="K433" i="17"/>
  <c r="J433" i="17"/>
  <c r="I433" i="17"/>
  <c r="H433" i="17"/>
  <c r="G433" i="17"/>
  <c r="L432" i="17"/>
  <c r="K432" i="17"/>
  <c r="J432" i="17"/>
  <c r="I432" i="17"/>
  <c r="H432" i="17"/>
  <c r="G432" i="17"/>
  <c r="L431" i="17"/>
  <c r="K431" i="17"/>
  <c r="J431" i="17"/>
  <c r="I431" i="17"/>
  <c r="H431" i="17"/>
  <c r="G431" i="17"/>
  <c r="L430" i="17"/>
  <c r="K430" i="17"/>
  <c r="J430" i="17"/>
  <c r="I430" i="17"/>
  <c r="H430" i="17"/>
  <c r="G430" i="17"/>
  <c r="L429" i="17"/>
  <c r="K429" i="17"/>
  <c r="J429" i="17"/>
  <c r="I429" i="17"/>
  <c r="H429" i="17"/>
  <c r="G429" i="17"/>
  <c r="L428" i="17"/>
  <c r="K428" i="17"/>
  <c r="J428" i="17"/>
  <c r="I428" i="17"/>
  <c r="H428" i="17"/>
  <c r="G428" i="17"/>
  <c r="L427" i="17"/>
  <c r="K427" i="17"/>
  <c r="J427" i="17"/>
  <c r="I427" i="17"/>
  <c r="H427" i="17"/>
  <c r="G427" i="17"/>
  <c r="L426" i="17"/>
  <c r="K426" i="17"/>
  <c r="J426" i="17"/>
  <c r="I426" i="17"/>
  <c r="H426" i="17"/>
  <c r="G426" i="17"/>
  <c r="L425" i="17"/>
  <c r="K425" i="17"/>
  <c r="J425" i="17"/>
  <c r="I425" i="17"/>
  <c r="H425" i="17"/>
  <c r="G425" i="17"/>
  <c r="L424" i="17"/>
  <c r="K424" i="17"/>
  <c r="J424" i="17"/>
  <c r="I424" i="17"/>
  <c r="H424" i="17"/>
  <c r="G424" i="17"/>
  <c r="L423" i="17"/>
  <c r="K423" i="17"/>
  <c r="J423" i="17"/>
  <c r="I423" i="17"/>
  <c r="H423" i="17"/>
  <c r="G423" i="17"/>
  <c r="L422" i="17"/>
  <c r="K422" i="17"/>
  <c r="J422" i="17"/>
  <c r="I422" i="17"/>
  <c r="H422" i="17"/>
  <c r="G422" i="17"/>
  <c r="L421" i="17"/>
  <c r="K421" i="17"/>
  <c r="J421" i="17"/>
  <c r="I421" i="17"/>
  <c r="H421" i="17"/>
  <c r="G421" i="17"/>
  <c r="L420" i="17"/>
  <c r="K420" i="17"/>
  <c r="J420" i="17"/>
  <c r="I420" i="17"/>
  <c r="H420" i="17"/>
  <c r="G420" i="17"/>
  <c r="L419" i="17"/>
  <c r="K419" i="17"/>
  <c r="J419" i="17"/>
  <c r="I419" i="17"/>
  <c r="H419" i="17"/>
  <c r="G419" i="17"/>
  <c r="L418" i="17"/>
  <c r="K418" i="17"/>
  <c r="J418" i="17"/>
  <c r="I418" i="17"/>
  <c r="H418" i="17"/>
  <c r="G418" i="17"/>
  <c r="L417" i="17"/>
  <c r="K417" i="17"/>
  <c r="J417" i="17"/>
  <c r="I417" i="17"/>
  <c r="H417" i="17"/>
  <c r="G417" i="17"/>
  <c r="L416" i="17"/>
  <c r="K416" i="17"/>
  <c r="J416" i="17"/>
  <c r="I416" i="17"/>
  <c r="H416" i="17"/>
  <c r="G416" i="17"/>
  <c r="L415" i="17"/>
  <c r="K415" i="17"/>
  <c r="J415" i="17"/>
  <c r="I415" i="17"/>
  <c r="H415" i="17"/>
  <c r="G415" i="17"/>
  <c r="L414" i="17"/>
  <c r="K414" i="17"/>
  <c r="J414" i="17"/>
  <c r="I414" i="17"/>
  <c r="H414" i="17"/>
  <c r="G414" i="17"/>
  <c r="L413" i="17"/>
  <c r="K413" i="17"/>
  <c r="J413" i="17"/>
  <c r="I413" i="17"/>
  <c r="H413" i="17"/>
  <c r="G413" i="17"/>
  <c r="L412" i="17"/>
  <c r="K412" i="17"/>
  <c r="J412" i="17"/>
  <c r="I412" i="17"/>
  <c r="H412" i="17"/>
  <c r="G412" i="17"/>
  <c r="L411" i="17"/>
  <c r="K411" i="17"/>
  <c r="J411" i="17"/>
  <c r="I411" i="17"/>
  <c r="H411" i="17"/>
  <c r="G411" i="17"/>
  <c r="L410" i="17"/>
  <c r="K410" i="17"/>
  <c r="J410" i="17"/>
  <c r="I410" i="17"/>
  <c r="H410" i="17"/>
  <c r="G410" i="17"/>
  <c r="L409" i="17"/>
  <c r="K409" i="17"/>
  <c r="J409" i="17"/>
  <c r="I409" i="17"/>
  <c r="H409" i="17"/>
  <c r="G409" i="17"/>
  <c r="L408" i="17"/>
  <c r="K408" i="17"/>
  <c r="J408" i="17"/>
  <c r="I408" i="17"/>
  <c r="H408" i="17"/>
  <c r="G408" i="17"/>
  <c r="L407" i="17"/>
  <c r="K407" i="17"/>
  <c r="J407" i="17"/>
  <c r="I407" i="17"/>
  <c r="H407" i="17"/>
  <c r="G407" i="17"/>
  <c r="L406" i="17"/>
  <c r="K406" i="17"/>
  <c r="J406" i="17"/>
  <c r="I406" i="17"/>
  <c r="H406" i="17"/>
  <c r="G406" i="17"/>
  <c r="L405" i="17"/>
  <c r="K405" i="17"/>
  <c r="J405" i="17"/>
  <c r="I405" i="17"/>
  <c r="H405" i="17"/>
  <c r="G405" i="17"/>
  <c r="L404" i="17"/>
  <c r="K404" i="17"/>
  <c r="J404" i="17"/>
  <c r="I404" i="17"/>
  <c r="H404" i="17"/>
  <c r="G404" i="17"/>
  <c r="L403" i="17"/>
  <c r="K403" i="17"/>
  <c r="J403" i="17"/>
  <c r="I403" i="17"/>
  <c r="H403" i="17"/>
  <c r="G403" i="17"/>
  <c r="L402" i="17"/>
  <c r="K402" i="17"/>
  <c r="J402" i="17"/>
  <c r="I402" i="17"/>
  <c r="H402" i="17"/>
  <c r="G402" i="17"/>
  <c r="L401" i="17"/>
  <c r="K401" i="17"/>
  <c r="J401" i="17"/>
  <c r="I401" i="17"/>
  <c r="H401" i="17"/>
  <c r="G401" i="17"/>
  <c r="L400" i="17"/>
  <c r="K400" i="17"/>
  <c r="J400" i="17"/>
  <c r="I400" i="17"/>
  <c r="H400" i="17"/>
  <c r="G400" i="17"/>
  <c r="L399" i="17"/>
  <c r="K399" i="17"/>
  <c r="J399" i="17"/>
  <c r="I399" i="17"/>
  <c r="H399" i="17"/>
  <c r="G399" i="17"/>
  <c r="L398" i="17"/>
  <c r="K398" i="17"/>
  <c r="J398" i="17"/>
  <c r="I398" i="17"/>
  <c r="H398" i="17"/>
  <c r="G398" i="17"/>
  <c r="L397" i="17"/>
  <c r="K397" i="17"/>
  <c r="J397" i="17"/>
  <c r="I397" i="17"/>
  <c r="H397" i="17"/>
  <c r="G397" i="17"/>
  <c r="L396" i="17"/>
  <c r="K396" i="17"/>
  <c r="J396" i="17"/>
  <c r="I396" i="17"/>
  <c r="H396" i="17"/>
  <c r="G396" i="17"/>
  <c r="L395" i="17"/>
  <c r="K395" i="17"/>
  <c r="J395" i="17"/>
  <c r="I395" i="17"/>
  <c r="H395" i="17"/>
  <c r="G395" i="17"/>
  <c r="L394" i="17"/>
  <c r="K394" i="17"/>
  <c r="J394" i="17"/>
  <c r="I394" i="17"/>
  <c r="H394" i="17"/>
  <c r="G394" i="17"/>
  <c r="L393" i="17"/>
  <c r="K393" i="17"/>
  <c r="J393" i="17"/>
  <c r="I393" i="17"/>
  <c r="H393" i="17"/>
  <c r="G393" i="17"/>
  <c r="L392" i="17"/>
  <c r="K392" i="17"/>
  <c r="J392" i="17"/>
  <c r="I392" i="17"/>
  <c r="H392" i="17"/>
  <c r="G392" i="17"/>
  <c r="L391" i="17"/>
  <c r="K391" i="17"/>
  <c r="J391" i="17"/>
  <c r="I391" i="17"/>
  <c r="H391" i="17"/>
  <c r="G391" i="17"/>
  <c r="L390" i="17"/>
  <c r="K390" i="17"/>
  <c r="J390" i="17"/>
  <c r="I390" i="17"/>
  <c r="H390" i="17"/>
  <c r="G390" i="17"/>
  <c r="L389" i="17"/>
  <c r="K389" i="17"/>
  <c r="J389" i="17"/>
  <c r="I389" i="17"/>
  <c r="H389" i="17"/>
  <c r="G389" i="17"/>
  <c r="L388" i="17"/>
  <c r="K388" i="17"/>
  <c r="J388" i="17"/>
  <c r="I388" i="17"/>
  <c r="H388" i="17"/>
  <c r="G388" i="17"/>
  <c r="L387" i="17"/>
  <c r="K387" i="17"/>
  <c r="J387" i="17"/>
  <c r="I387" i="17"/>
  <c r="H387" i="17"/>
  <c r="G387" i="17"/>
  <c r="L386" i="17"/>
  <c r="K386" i="17"/>
  <c r="J386" i="17"/>
  <c r="I386" i="17"/>
  <c r="H386" i="17"/>
  <c r="G386" i="17"/>
  <c r="L385" i="17"/>
  <c r="K385" i="17"/>
  <c r="J385" i="17"/>
  <c r="I385" i="17"/>
  <c r="H385" i="17"/>
  <c r="G385" i="17"/>
  <c r="L384" i="17"/>
  <c r="K384" i="17"/>
  <c r="J384" i="17"/>
  <c r="I384" i="17"/>
  <c r="H384" i="17"/>
  <c r="G384" i="17"/>
  <c r="L383" i="17"/>
  <c r="K383" i="17"/>
  <c r="J383" i="17"/>
  <c r="I383" i="17"/>
  <c r="H383" i="17"/>
  <c r="G383" i="17"/>
  <c r="L382" i="17"/>
  <c r="K382" i="17"/>
  <c r="J382" i="17"/>
  <c r="I382" i="17"/>
  <c r="H382" i="17"/>
  <c r="G382" i="17"/>
  <c r="L381" i="17"/>
  <c r="K381" i="17"/>
  <c r="J381" i="17"/>
  <c r="I381" i="17"/>
  <c r="H381" i="17"/>
  <c r="G381" i="17"/>
  <c r="L380" i="17"/>
  <c r="K380" i="17"/>
  <c r="J380" i="17"/>
  <c r="I380" i="17"/>
  <c r="H380" i="17"/>
  <c r="G380" i="17"/>
  <c r="L379" i="17"/>
  <c r="K379" i="17"/>
  <c r="J379" i="17"/>
  <c r="I379" i="17"/>
  <c r="H379" i="17"/>
  <c r="G379" i="17"/>
  <c r="L378" i="17"/>
  <c r="K378" i="17"/>
  <c r="J378" i="17"/>
  <c r="I378" i="17"/>
  <c r="H378" i="17"/>
  <c r="G378" i="17"/>
  <c r="L377" i="17"/>
  <c r="K377" i="17"/>
  <c r="J377" i="17"/>
  <c r="I377" i="17"/>
  <c r="H377" i="17"/>
  <c r="G377" i="17"/>
  <c r="L376" i="17"/>
  <c r="K376" i="17"/>
  <c r="J376" i="17"/>
  <c r="I376" i="17"/>
  <c r="H376" i="17"/>
  <c r="G376" i="17"/>
  <c r="L375" i="17"/>
  <c r="K375" i="17"/>
  <c r="J375" i="17"/>
  <c r="I375" i="17"/>
  <c r="H375" i="17"/>
  <c r="G375" i="17"/>
  <c r="L374" i="17"/>
  <c r="K374" i="17"/>
  <c r="J374" i="17"/>
  <c r="I374" i="17"/>
  <c r="H374" i="17"/>
  <c r="G374" i="17"/>
  <c r="L373" i="17"/>
  <c r="K373" i="17"/>
  <c r="J373" i="17"/>
  <c r="I373" i="17"/>
  <c r="H373" i="17"/>
  <c r="G373" i="17"/>
  <c r="L372" i="17"/>
  <c r="K372" i="17"/>
  <c r="J372" i="17"/>
  <c r="I372" i="17"/>
  <c r="H372" i="17"/>
  <c r="G372" i="17"/>
  <c r="L371" i="17"/>
  <c r="K371" i="17"/>
  <c r="J371" i="17"/>
  <c r="I371" i="17"/>
  <c r="H371" i="17"/>
  <c r="G371" i="17"/>
  <c r="L370" i="17"/>
  <c r="K370" i="17"/>
  <c r="J370" i="17"/>
  <c r="I370" i="17"/>
  <c r="H370" i="17"/>
  <c r="G370" i="17"/>
  <c r="L369" i="17"/>
  <c r="K369" i="17"/>
  <c r="J369" i="17"/>
  <c r="I369" i="17"/>
  <c r="H369" i="17"/>
  <c r="G369" i="17"/>
  <c r="L368" i="17"/>
  <c r="K368" i="17"/>
  <c r="J368" i="17"/>
  <c r="I368" i="17"/>
  <c r="H368" i="17"/>
  <c r="G368" i="17"/>
  <c r="L367" i="17"/>
  <c r="K367" i="17"/>
  <c r="J367" i="17"/>
  <c r="I367" i="17"/>
  <c r="H367" i="17"/>
  <c r="G367" i="17"/>
  <c r="L366" i="17"/>
  <c r="K366" i="17"/>
  <c r="J366" i="17"/>
  <c r="I366" i="17"/>
  <c r="H366" i="17"/>
  <c r="G366" i="17"/>
  <c r="L365" i="17"/>
  <c r="K365" i="17"/>
  <c r="J365" i="17"/>
  <c r="I365" i="17"/>
  <c r="H365" i="17"/>
  <c r="G365" i="17"/>
  <c r="L364" i="17"/>
  <c r="K364" i="17"/>
  <c r="J364" i="17"/>
  <c r="I364" i="17"/>
  <c r="H364" i="17"/>
  <c r="G364" i="17"/>
  <c r="L363" i="17"/>
  <c r="K363" i="17"/>
  <c r="J363" i="17"/>
  <c r="I363" i="17"/>
  <c r="H363" i="17"/>
  <c r="G363" i="17"/>
  <c r="L362" i="17"/>
  <c r="K362" i="17"/>
  <c r="J362" i="17"/>
  <c r="I362" i="17"/>
  <c r="H362" i="17"/>
  <c r="G362" i="17"/>
  <c r="L361" i="17"/>
  <c r="K361" i="17"/>
  <c r="J361" i="17"/>
  <c r="I361" i="17"/>
  <c r="H361" i="17"/>
  <c r="G361" i="17"/>
  <c r="L360" i="17"/>
  <c r="K360" i="17"/>
  <c r="J360" i="17"/>
  <c r="I360" i="17"/>
  <c r="H360" i="17"/>
  <c r="G360" i="17"/>
  <c r="L359" i="17"/>
  <c r="K359" i="17"/>
  <c r="J359" i="17"/>
  <c r="I359" i="17"/>
  <c r="H359" i="17"/>
  <c r="G359" i="17"/>
  <c r="L358" i="17"/>
  <c r="K358" i="17"/>
  <c r="J358" i="17"/>
  <c r="I358" i="17"/>
  <c r="H358" i="17"/>
  <c r="G358" i="17"/>
  <c r="L357" i="17"/>
  <c r="K357" i="17"/>
  <c r="J357" i="17"/>
  <c r="I357" i="17"/>
  <c r="H357" i="17"/>
  <c r="G357" i="17"/>
  <c r="L356" i="17"/>
  <c r="K356" i="17"/>
  <c r="J356" i="17"/>
  <c r="I356" i="17"/>
  <c r="H356" i="17"/>
  <c r="G356" i="17"/>
  <c r="L355" i="17"/>
  <c r="K355" i="17"/>
  <c r="J355" i="17"/>
  <c r="I355" i="17"/>
  <c r="H355" i="17"/>
  <c r="G355" i="17"/>
  <c r="L354" i="17"/>
  <c r="K354" i="17"/>
  <c r="J354" i="17"/>
  <c r="I354" i="17"/>
  <c r="H354" i="17"/>
  <c r="G354" i="17"/>
  <c r="L353" i="17"/>
  <c r="K353" i="17"/>
  <c r="J353" i="17"/>
  <c r="I353" i="17"/>
  <c r="H353" i="17"/>
  <c r="G353" i="17"/>
  <c r="L352" i="17"/>
  <c r="K352" i="17"/>
  <c r="J352" i="17"/>
  <c r="I352" i="17"/>
  <c r="H352" i="17"/>
  <c r="G352" i="17"/>
  <c r="L351" i="17"/>
  <c r="K351" i="17"/>
  <c r="J351" i="17"/>
  <c r="I351" i="17"/>
  <c r="H351" i="17"/>
  <c r="G351" i="17"/>
  <c r="L350" i="17"/>
  <c r="K350" i="17"/>
  <c r="J350" i="17"/>
  <c r="I350" i="17"/>
  <c r="H350" i="17"/>
  <c r="G350" i="17"/>
  <c r="L349" i="17"/>
  <c r="K349" i="17"/>
  <c r="J349" i="17"/>
  <c r="I349" i="17"/>
  <c r="H349" i="17"/>
  <c r="G349" i="17"/>
  <c r="L348" i="17"/>
  <c r="K348" i="17"/>
  <c r="J348" i="17"/>
  <c r="I348" i="17"/>
  <c r="H348" i="17"/>
  <c r="G348" i="17"/>
  <c r="L347" i="17"/>
  <c r="K347" i="17"/>
  <c r="J347" i="17"/>
  <c r="I347" i="17"/>
  <c r="H347" i="17"/>
  <c r="G347" i="17"/>
  <c r="L346" i="17"/>
  <c r="K346" i="17"/>
  <c r="J346" i="17"/>
  <c r="I346" i="17"/>
  <c r="H346" i="17"/>
  <c r="G346" i="17"/>
  <c r="L345" i="17"/>
  <c r="K345" i="17"/>
  <c r="J345" i="17"/>
  <c r="I345" i="17"/>
  <c r="H345" i="17"/>
  <c r="G345" i="17"/>
  <c r="L344" i="17"/>
  <c r="K344" i="17"/>
  <c r="J344" i="17"/>
  <c r="I344" i="17"/>
  <c r="H344" i="17"/>
  <c r="G344" i="17"/>
  <c r="L343" i="17"/>
  <c r="K343" i="17"/>
  <c r="J343" i="17"/>
  <c r="I343" i="17"/>
  <c r="H343" i="17"/>
  <c r="G343" i="17"/>
  <c r="L342" i="17"/>
  <c r="K342" i="17"/>
  <c r="J342" i="17"/>
  <c r="I342" i="17"/>
  <c r="H342" i="17"/>
  <c r="G342" i="17"/>
  <c r="L341" i="17"/>
  <c r="K341" i="17"/>
  <c r="J341" i="17"/>
  <c r="I341" i="17"/>
  <c r="H341" i="17"/>
  <c r="G341" i="17"/>
  <c r="L340" i="17"/>
  <c r="K340" i="17"/>
  <c r="J340" i="17"/>
  <c r="I340" i="17"/>
  <c r="H340" i="17"/>
  <c r="G340" i="17"/>
  <c r="L339" i="17"/>
  <c r="K339" i="17"/>
  <c r="J339" i="17"/>
  <c r="I339" i="17"/>
  <c r="H339" i="17"/>
  <c r="G339" i="17"/>
  <c r="L338" i="17"/>
  <c r="K338" i="17"/>
  <c r="J338" i="17"/>
  <c r="I338" i="17"/>
  <c r="H338" i="17"/>
  <c r="G338" i="17"/>
  <c r="L337" i="17"/>
  <c r="K337" i="17"/>
  <c r="J337" i="17"/>
  <c r="I337" i="17"/>
  <c r="H337" i="17"/>
  <c r="G337" i="17"/>
  <c r="L336" i="17"/>
  <c r="K336" i="17"/>
  <c r="J336" i="17"/>
  <c r="I336" i="17"/>
  <c r="H336" i="17"/>
  <c r="G336" i="17"/>
  <c r="L335" i="17"/>
  <c r="K335" i="17"/>
  <c r="J335" i="17"/>
  <c r="I335" i="17"/>
  <c r="H335" i="17"/>
  <c r="G335" i="17"/>
  <c r="L334" i="17"/>
  <c r="K334" i="17"/>
  <c r="J334" i="17"/>
  <c r="I334" i="17"/>
  <c r="H334" i="17"/>
  <c r="G334" i="17"/>
  <c r="L333" i="17"/>
  <c r="K333" i="17"/>
  <c r="J333" i="17"/>
  <c r="I333" i="17"/>
  <c r="H333" i="17"/>
  <c r="G333" i="17"/>
  <c r="L332" i="17"/>
  <c r="K332" i="17"/>
  <c r="J332" i="17"/>
  <c r="I332" i="17"/>
  <c r="H332" i="17"/>
  <c r="G332" i="17"/>
  <c r="L331" i="17"/>
  <c r="K331" i="17"/>
  <c r="J331" i="17"/>
  <c r="I331" i="17"/>
  <c r="H331" i="17"/>
  <c r="G331" i="17"/>
  <c r="L330" i="17"/>
  <c r="K330" i="17"/>
  <c r="J330" i="17"/>
  <c r="I330" i="17"/>
  <c r="H330" i="17"/>
  <c r="G330" i="17"/>
  <c r="L329" i="17"/>
  <c r="K329" i="17"/>
  <c r="J329" i="17"/>
  <c r="I329" i="17"/>
  <c r="H329" i="17"/>
  <c r="G329" i="17"/>
  <c r="L328" i="17"/>
  <c r="K328" i="17"/>
  <c r="J328" i="17"/>
  <c r="I328" i="17"/>
  <c r="H328" i="17"/>
  <c r="G328" i="17"/>
  <c r="L327" i="17"/>
  <c r="K327" i="17"/>
  <c r="J327" i="17"/>
  <c r="I327" i="17"/>
  <c r="H327" i="17"/>
  <c r="G327" i="17"/>
  <c r="L326" i="17"/>
  <c r="K326" i="17"/>
  <c r="J326" i="17"/>
  <c r="I326" i="17"/>
  <c r="H326" i="17"/>
  <c r="G326" i="17"/>
  <c r="L325" i="17"/>
  <c r="K325" i="17"/>
  <c r="J325" i="17"/>
  <c r="I325" i="17"/>
  <c r="H325" i="17"/>
  <c r="G325" i="17"/>
  <c r="L324" i="17"/>
  <c r="K324" i="17"/>
  <c r="J324" i="17"/>
  <c r="I324" i="17"/>
  <c r="H324" i="17"/>
  <c r="G324" i="17"/>
  <c r="L323" i="17"/>
  <c r="K323" i="17"/>
  <c r="J323" i="17"/>
  <c r="I323" i="17"/>
  <c r="H323" i="17"/>
  <c r="G323" i="17"/>
  <c r="L322" i="17"/>
  <c r="K322" i="17"/>
  <c r="J322" i="17"/>
  <c r="I322" i="17"/>
  <c r="H322" i="17"/>
  <c r="G322" i="17"/>
  <c r="L321" i="17"/>
  <c r="K321" i="17"/>
  <c r="J321" i="17"/>
  <c r="I321" i="17"/>
  <c r="H321" i="17"/>
  <c r="G321" i="17"/>
  <c r="L320" i="17"/>
  <c r="K320" i="17"/>
  <c r="J320" i="17"/>
  <c r="I320" i="17"/>
  <c r="H320" i="17"/>
  <c r="G320" i="17"/>
  <c r="L319" i="17"/>
  <c r="K319" i="17"/>
  <c r="J319" i="17"/>
  <c r="I319" i="17"/>
  <c r="H319" i="17"/>
  <c r="G319" i="17"/>
  <c r="L318" i="17"/>
  <c r="K318" i="17"/>
  <c r="J318" i="17"/>
  <c r="I318" i="17"/>
  <c r="H318" i="17"/>
  <c r="G318" i="17"/>
  <c r="L317" i="17"/>
  <c r="K317" i="17"/>
  <c r="J317" i="17"/>
  <c r="I317" i="17"/>
  <c r="H317" i="17"/>
  <c r="G317" i="17"/>
  <c r="L316" i="17"/>
  <c r="K316" i="17"/>
  <c r="J316" i="17"/>
  <c r="I316" i="17"/>
  <c r="H316" i="17"/>
  <c r="G316" i="17"/>
  <c r="L315" i="17"/>
  <c r="K315" i="17"/>
  <c r="J315" i="17"/>
  <c r="I315" i="17"/>
  <c r="H315" i="17"/>
  <c r="G315" i="17"/>
  <c r="L314" i="17"/>
  <c r="K314" i="17"/>
  <c r="J314" i="17"/>
  <c r="I314" i="17"/>
  <c r="H314" i="17"/>
  <c r="G314" i="17"/>
  <c r="L313" i="17"/>
  <c r="K313" i="17"/>
  <c r="J313" i="17"/>
  <c r="I313" i="17"/>
  <c r="H313" i="17"/>
  <c r="G313" i="17"/>
  <c r="L312" i="17"/>
  <c r="K312" i="17"/>
  <c r="J312" i="17"/>
  <c r="I312" i="17"/>
  <c r="H312" i="17"/>
  <c r="G312" i="17"/>
  <c r="L311" i="17"/>
  <c r="K311" i="17"/>
  <c r="J311" i="17"/>
  <c r="I311" i="17"/>
  <c r="H311" i="17"/>
  <c r="G311" i="17"/>
  <c r="L310" i="17"/>
  <c r="K310" i="17"/>
  <c r="J310" i="17"/>
  <c r="I310" i="17"/>
  <c r="H310" i="17"/>
  <c r="G310" i="17"/>
  <c r="L309" i="17"/>
  <c r="K309" i="17"/>
  <c r="J309" i="17"/>
  <c r="I309" i="17"/>
  <c r="H309" i="17"/>
  <c r="G309" i="17"/>
  <c r="L308" i="17"/>
  <c r="K308" i="17"/>
  <c r="J308" i="17"/>
  <c r="I308" i="17"/>
  <c r="H308" i="17"/>
  <c r="G308" i="17"/>
  <c r="L307" i="17"/>
  <c r="K307" i="17"/>
  <c r="J307" i="17"/>
  <c r="I307" i="17"/>
  <c r="H307" i="17"/>
  <c r="G307" i="17"/>
  <c r="L306" i="17"/>
  <c r="K306" i="17"/>
  <c r="J306" i="17"/>
  <c r="I306" i="17"/>
  <c r="H306" i="17"/>
  <c r="G306" i="17"/>
  <c r="L305" i="17"/>
  <c r="K305" i="17"/>
  <c r="J305" i="17"/>
  <c r="I305" i="17"/>
  <c r="H305" i="17"/>
  <c r="G305" i="17"/>
  <c r="L304" i="17"/>
  <c r="K304" i="17"/>
  <c r="J304" i="17"/>
  <c r="I304" i="17"/>
  <c r="H304" i="17"/>
  <c r="G304" i="17"/>
  <c r="L303" i="17"/>
  <c r="K303" i="17"/>
  <c r="J303" i="17"/>
  <c r="I303" i="17"/>
  <c r="H303" i="17"/>
  <c r="G303" i="17"/>
  <c r="L302" i="17"/>
  <c r="K302" i="17"/>
  <c r="J302" i="17"/>
  <c r="I302" i="17"/>
  <c r="H302" i="17"/>
  <c r="G302" i="17"/>
  <c r="L301" i="17"/>
  <c r="K301" i="17"/>
  <c r="J301" i="17"/>
  <c r="I301" i="17"/>
  <c r="H301" i="17"/>
  <c r="G301" i="17"/>
  <c r="L300" i="17"/>
  <c r="K300" i="17"/>
  <c r="J300" i="17"/>
  <c r="I300" i="17"/>
  <c r="H300" i="17"/>
  <c r="G300" i="17"/>
  <c r="L299" i="17"/>
  <c r="K299" i="17"/>
  <c r="J299" i="17"/>
  <c r="I299" i="17"/>
  <c r="H299" i="17"/>
  <c r="G299" i="17"/>
  <c r="L298" i="17"/>
  <c r="K298" i="17"/>
  <c r="J298" i="17"/>
  <c r="I298" i="17"/>
  <c r="H298" i="17"/>
  <c r="G298" i="17"/>
  <c r="L297" i="17"/>
  <c r="K297" i="17"/>
  <c r="J297" i="17"/>
  <c r="I297" i="17"/>
  <c r="H297" i="17"/>
  <c r="G297" i="17"/>
  <c r="L296" i="17"/>
  <c r="K296" i="17"/>
  <c r="J296" i="17"/>
  <c r="I296" i="17"/>
  <c r="H296" i="17"/>
  <c r="G296" i="17"/>
  <c r="L295" i="17"/>
  <c r="K295" i="17"/>
  <c r="J295" i="17"/>
  <c r="I295" i="17"/>
  <c r="H295" i="17"/>
  <c r="G295" i="17"/>
  <c r="L294" i="17"/>
  <c r="K294" i="17"/>
  <c r="J294" i="17"/>
  <c r="I294" i="17"/>
  <c r="H294" i="17"/>
  <c r="G294" i="17"/>
  <c r="L293" i="17"/>
  <c r="K293" i="17"/>
  <c r="J293" i="17"/>
  <c r="I293" i="17"/>
  <c r="H293" i="17"/>
  <c r="G293" i="17"/>
  <c r="L292" i="17"/>
  <c r="K292" i="17"/>
  <c r="J292" i="17"/>
  <c r="I292" i="17"/>
  <c r="H292" i="17"/>
  <c r="G292" i="17"/>
  <c r="L291" i="17"/>
  <c r="K291" i="17"/>
  <c r="J291" i="17"/>
  <c r="I291" i="17"/>
  <c r="H291" i="17"/>
  <c r="G291" i="17"/>
  <c r="L290" i="17"/>
  <c r="K290" i="17"/>
  <c r="J290" i="17"/>
  <c r="I290" i="17"/>
  <c r="H290" i="17"/>
  <c r="G290" i="17"/>
  <c r="L289" i="17"/>
  <c r="K289" i="17"/>
  <c r="J289" i="17"/>
  <c r="I289" i="17"/>
  <c r="H289" i="17"/>
  <c r="G289" i="17"/>
  <c r="L288" i="17"/>
  <c r="K288" i="17"/>
  <c r="J288" i="17"/>
  <c r="I288" i="17"/>
  <c r="H288" i="17"/>
  <c r="G288" i="17"/>
  <c r="L287" i="17"/>
  <c r="K287" i="17"/>
  <c r="J287" i="17"/>
  <c r="I287" i="17"/>
  <c r="H287" i="17"/>
  <c r="G287" i="17"/>
  <c r="L286" i="17"/>
  <c r="K286" i="17"/>
  <c r="J286" i="17"/>
  <c r="I286" i="17"/>
  <c r="H286" i="17"/>
  <c r="G286" i="17"/>
  <c r="L285" i="17"/>
  <c r="K285" i="17"/>
  <c r="J285" i="17"/>
  <c r="I285" i="17"/>
  <c r="H285" i="17"/>
  <c r="G285" i="17"/>
  <c r="L284" i="17"/>
  <c r="K284" i="17"/>
  <c r="J284" i="17"/>
  <c r="I284" i="17"/>
  <c r="H284" i="17"/>
  <c r="G284" i="17"/>
  <c r="L283" i="17"/>
  <c r="K283" i="17"/>
  <c r="J283" i="17"/>
  <c r="I283" i="17"/>
  <c r="H283" i="17"/>
  <c r="G283" i="17"/>
  <c r="L282" i="17"/>
  <c r="K282" i="17"/>
  <c r="J282" i="17"/>
  <c r="I282" i="17"/>
  <c r="H282" i="17"/>
  <c r="G282" i="17"/>
  <c r="L281" i="17"/>
  <c r="K281" i="17"/>
  <c r="J281" i="17"/>
  <c r="I281" i="17"/>
  <c r="H281" i="17"/>
  <c r="G281" i="17"/>
  <c r="L280" i="17"/>
  <c r="K280" i="17"/>
  <c r="J280" i="17"/>
  <c r="I280" i="17"/>
  <c r="H280" i="17"/>
  <c r="G280" i="17"/>
  <c r="L279" i="17"/>
  <c r="K279" i="17"/>
  <c r="J279" i="17"/>
  <c r="I279" i="17"/>
  <c r="H279" i="17"/>
  <c r="G279" i="17"/>
  <c r="L278" i="17"/>
  <c r="K278" i="17"/>
  <c r="J278" i="17"/>
  <c r="I278" i="17"/>
  <c r="H278" i="17"/>
  <c r="G278" i="17"/>
  <c r="L277" i="17"/>
  <c r="K277" i="17"/>
  <c r="J277" i="17"/>
  <c r="I277" i="17"/>
  <c r="H277" i="17"/>
  <c r="G277" i="17"/>
  <c r="L276" i="17"/>
  <c r="K276" i="17"/>
  <c r="J276" i="17"/>
  <c r="I276" i="17"/>
  <c r="H276" i="17"/>
  <c r="G276" i="17"/>
  <c r="L275" i="17"/>
  <c r="K275" i="17"/>
  <c r="J275" i="17"/>
  <c r="I275" i="17"/>
  <c r="H275" i="17"/>
  <c r="G275" i="17"/>
  <c r="L274" i="17"/>
  <c r="K274" i="17"/>
  <c r="J274" i="17"/>
  <c r="I274" i="17"/>
  <c r="H274" i="17"/>
  <c r="G274" i="17"/>
  <c r="L273" i="17"/>
  <c r="K273" i="17"/>
  <c r="J273" i="17"/>
  <c r="I273" i="17"/>
  <c r="H273" i="17"/>
  <c r="G273" i="17"/>
  <c r="L272" i="17"/>
  <c r="K272" i="17"/>
  <c r="J272" i="17"/>
  <c r="I272" i="17"/>
  <c r="H272" i="17"/>
  <c r="G272" i="17"/>
  <c r="L271" i="17"/>
  <c r="K271" i="17"/>
  <c r="J271" i="17"/>
  <c r="I271" i="17"/>
  <c r="H271" i="17"/>
  <c r="G271" i="17"/>
  <c r="L270" i="17"/>
  <c r="K270" i="17"/>
  <c r="J270" i="17"/>
  <c r="I270" i="17"/>
  <c r="H270" i="17"/>
  <c r="G270" i="17"/>
  <c r="L269" i="17"/>
  <c r="K269" i="17"/>
  <c r="J269" i="17"/>
  <c r="I269" i="17"/>
  <c r="H269" i="17"/>
  <c r="G269" i="17"/>
  <c r="L268" i="17"/>
  <c r="K268" i="17"/>
  <c r="J268" i="17"/>
  <c r="I268" i="17"/>
  <c r="H268" i="17"/>
  <c r="G268" i="17"/>
  <c r="L267" i="17"/>
  <c r="K267" i="17"/>
  <c r="J267" i="17"/>
  <c r="I267" i="17"/>
  <c r="H267" i="17"/>
  <c r="G267" i="17"/>
  <c r="L266" i="17"/>
  <c r="K266" i="17"/>
  <c r="J266" i="17"/>
  <c r="I266" i="17"/>
  <c r="H266" i="17"/>
  <c r="G266" i="17"/>
  <c r="L265" i="17"/>
  <c r="K265" i="17"/>
  <c r="J265" i="17"/>
  <c r="I265" i="17"/>
  <c r="H265" i="17"/>
  <c r="G265" i="17"/>
  <c r="L264" i="17"/>
  <c r="K264" i="17"/>
  <c r="J264" i="17"/>
  <c r="I264" i="17"/>
  <c r="H264" i="17"/>
  <c r="G264" i="17"/>
  <c r="L263" i="17"/>
  <c r="K263" i="17"/>
  <c r="J263" i="17"/>
  <c r="I263" i="17"/>
  <c r="H263" i="17"/>
  <c r="G263" i="17"/>
  <c r="L262" i="17"/>
  <c r="K262" i="17"/>
  <c r="J262" i="17"/>
  <c r="I262" i="17"/>
  <c r="H262" i="17"/>
  <c r="G262" i="17"/>
  <c r="L261" i="17"/>
  <c r="K261" i="17"/>
  <c r="J261" i="17"/>
  <c r="I261" i="17"/>
  <c r="H261" i="17"/>
  <c r="G261" i="17"/>
  <c r="L260" i="17"/>
  <c r="K260" i="17"/>
  <c r="J260" i="17"/>
  <c r="I260" i="17"/>
  <c r="H260" i="17"/>
  <c r="G260" i="17"/>
  <c r="L259" i="17"/>
  <c r="K259" i="17"/>
  <c r="J259" i="17"/>
  <c r="I259" i="17"/>
  <c r="H259" i="17"/>
  <c r="G259" i="17"/>
  <c r="L258" i="17"/>
  <c r="K258" i="17"/>
  <c r="J258" i="17"/>
  <c r="I258" i="17"/>
  <c r="H258" i="17"/>
  <c r="G258" i="17"/>
  <c r="L257" i="17"/>
  <c r="K257" i="17"/>
  <c r="J257" i="17"/>
  <c r="I257" i="17"/>
  <c r="H257" i="17"/>
  <c r="G257" i="17"/>
  <c r="L256" i="17"/>
  <c r="K256" i="17"/>
  <c r="J256" i="17"/>
  <c r="I256" i="17"/>
  <c r="H256" i="17"/>
  <c r="G256" i="17"/>
  <c r="L255" i="17"/>
  <c r="K255" i="17"/>
  <c r="J255" i="17"/>
  <c r="I255" i="17"/>
  <c r="H255" i="17"/>
  <c r="G255" i="17"/>
  <c r="L254" i="17"/>
  <c r="K254" i="17"/>
  <c r="J254" i="17"/>
  <c r="I254" i="17"/>
  <c r="H254" i="17"/>
  <c r="G254" i="17"/>
  <c r="L253" i="17"/>
  <c r="K253" i="17"/>
  <c r="J253" i="17"/>
  <c r="I253" i="17"/>
  <c r="H253" i="17"/>
  <c r="G253" i="17"/>
  <c r="L252" i="17"/>
  <c r="K252" i="17"/>
  <c r="J252" i="17"/>
  <c r="I252" i="17"/>
  <c r="H252" i="17"/>
  <c r="G252" i="17"/>
  <c r="L251" i="17"/>
  <c r="K251" i="17"/>
  <c r="J251" i="17"/>
  <c r="I251" i="17"/>
  <c r="H251" i="17"/>
  <c r="G251" i="17"/>
  <c r="L250" i="17"/>
  <c r="K250" i="17"/>
  <c r="J250" i="17"/>
  <c r="I250" i="17"/>
  <c r="H250" i="17"/>
  <c r="G250" i="17"/>
  <c r="L249" i="17"/>
  <c r="K249" i="17"/>
  <c r="J249" i="17"/>
  <c r="I249" i="17"/>
  <c r="H249" i="17"/>
  <c r="G249" i="17"/>
  <c r="L248" i="17"/>
  <c r="K248" i="17"/>
  <c r="J248" i="17"/>
  <c r="I248" i="17"/>
  <c r="H248" i="17"/>
  <c r="G248" i="17"/>
  <c r="L247" i="17"/>
  <c r="K247" i="17"/>
  <c r="J247" i="17"/>
  <c r="I247" i="17"/>
  <c r="H247" i="17"/>
  <c r="G247" i="17"/>
  <c r="L246" i="17"/>
  <c r="K246" i="17"/>
  <c r="J246" i="17"/>
  <c r="I246" i="17"/>
  <c r="H246" i="17"/>
  <c r="G246" i="17"/>
  <c r="L245" i="17"/>
  <c r="K245" i="17"/>
  <c r="J245" i="17"/>
  <c r="I245" i="17"/>
  <c r="H245" i="17"/>
  <c r="G245" i="17"/>
  <c r="L244" i="17"/>
  <c r="K244" i="17"/>
  <c r="J244" i="17"/>
  <c r="I244" i="17"/>
  <c r="H244" i="17"/>
  <c r="G244" i="17"/>
  <c r="L243" i="17"/>
  <c r="K243" i="17"/>
  <c r="J243" i="17"/>
  <c r="I243" i="17"/>
  <c r="H243" i="17"/>
  <c r="G243" i="17"/>
  <c r="L242" i="17"/>
  <c r="K242" i="17"/>
  <c r="J242" i="17"/>
  <c r="I242" i="17"/>
  <c r="H242" i="17"/>
  <c r="G242" i="17"/>
  <c r="L241" i="17"/>
  <c r="K241" i="17"/>
  <c r="J241" i="17"/>
  <c r="I241" i="17"/>
  <c r="H241" i="17"/>
  <c r="G241" i="17"/>
  <c r="L240" i="17"/>
  <c r="K240" i="17"/>
  <c r="J240" i="17"/>
  <c r="I240" i="17"/>
  <c r="H240" i="17"/>
  <c r="G240" i="17"/>
  <c r="L239" i="17"/>
  <c r="K239" i="17"/>
  <c r="J239" i="17"/>
  <c r="I239" i="17"/>
  <c r="H239" i="17"/>
  <c r="G239" i="17"/>
  <c r="L238" i="17"/>
  <c r="K238" i="17"/>
  <c r="J238" i="17"/>
  <c r="I238" i="17"/>
  <c r="H238" i="17"/>
  <c r="G238" i="17"/>
  <c r="L237" i="17"/>
  <c r="K237" i="17"/>
  <c r="J237" i="17"/>
  <c r="I237" i="17"/>
  <c r="H237" i="17"/>
  <c r="G237" i="17"/>
  <c r="L236" i="17"/>
  <c r="K236" i="17"/>
  <c r="J236" i="17"/>
  <c r="I236" i="17"/>
  <c r="H236" i="17"/>
  <c r="G236" i="17"/>
  <c r="L235" i="17"/>
  <c r="K235" i="17"/>
  <c r="J235" i="17"/>
  <c r="I235" i="17"/>
  <c r="H235" i="17"/>
  <c r="G235" i="17"/>
  <c r="L234" i="17"/>
  <c r="K234" i="17"/>
  <c r="J234" i="17"/>
  <c r="I234" i="17"/>
  <c r="H234" i="17"/>
  <c r="G234" i="17"/>
  <c r="L233" i="17"/>
  <c r="K233" i="17"/>
  <c r="J233" i="17"/>
  <c r="I233" i="17"/>
  <c r="H233" i="17"/>
  <c r="G233" i="17"/>
  <c r="L232" i="17"/>
  <c r="K232" i="17"/>
  <c r="J232" i="17"/>
  <c r="I232" i="17"/>
  <c r="H232" i="17"/>
  <c r="G232" i="17"/>
  <c r="L231" i="17"/>
  <c r="K231" i="17"/>
  <c r="J231" i="17"/>
  <c r="I231" i="17"/>
  <c r="H231" i="17"/>
  <c r="G231" i="17"/>
  <c r="L230" i="17"/>
  <c r="K230" i="17"/>
  <c r="J230" i="17"/>
  <c r="I230" i="17"/>
  <c r="H230" i="17"/>
  <c r="G230" i="17"/>
  <c r="L229" i="17"/>
  <c r="K229" i="17"/>
  <c r="J229" i="17"/>
  <c r="I229" i="17"/>
  <c r="H229" i="17"/>
  <c r="G229" i="17"/>
  <c r="L228" i="17"/>
  <c r="K228" i="17"/>
  <c r="J228" i="17"/>
  <c r="I228" i="17"/>
  <c r="H228" i="17"/>
  <c r="G228" i="17"/>
  <c r="L227" i="17"/>
  <c r="K227" i="17"/>
  <c r="J227" i="17"/>
  <c r="I227" i="17"/>
  <c r="H227" i="17"/>
  <c r="G227" i="17"/>
  <c r="L226" i="17"/>
  <c r="K226" i="17"/>
  <c r="J226" i="17"/>
  <c r="I226" i="17"/>
  <c r="H226" i="17"/>
  <c r="G226" i="17"/>
  <c r="L225" i="17"/>
  <c r="K225" i="17"/>
  <c r="J225" i="17"/>
  <c r="I225" i="17"/>
  <c r="H225" i="17"/>
  <c r="G225" i="17"/>
  <c r="L224" i="17"/>
  <c r="K224" i="17"/>
  <c r="J224" i="17"/>
  <c r="I224" i="17"/>
  <c r="H224" i="17"/>
  <c r="G224" i="17"/>
  <c r="L223" i="17"/>
  <c r="K223" i="17"/>
  <c r="J223" i="17"/>
  <c r="I223" i="17"/>
  <c r="H223" i="17"/>
  <c r="G223" i="17"/>
  <c r="L222" i="17"/>
  <c r="K222" i="17"/>
  <c r="J222" i="17"/>
  <c r="I222" i="17"/>
  <c r="H222" i="17"/>
  <c r="G222" i="17"/>
  <c r="L221" i="17"/>
  <c r="K221" i="17"/>
  <c r="J221" i="17"/>
  <c r="I221" i="17"/>
  <c r="H221" i="17"/>
  <c r="G221" i="17"/>
  <c r="L220" i="17"/>
  <c r="K220" i="17"/>
  <c r="J220" i="17"/>
  <c r="I220" i="17"/>
  <c r="H220" i="17"/>
  <c r="G220" i="17"/>
  <c r="L219" i="17"/>
  <c r="K219" i="17"/>
  <c r="J219" i="17"/>
  <c r="I219" i="17"/>
  <c r="H219" i="17"/>
  <c r="G219" i="17"/>
  <c r="L218" i="17"/>
  <c r="K218" i="17"/>
  <c r="J218" i="17"/>
  <c r="I218" i="17"/>
  <c r="H218" i="17"/>
  <c r="G218" i="17"/>
  <c r="L217" i="17"/>
  <c r="K217" i="17"/>
  <c r="J217" i="17"/>
  <c r="I217" i="17"/>
  <c r="H217" i="17"/>
  <c r="G217" i="17"/>
  <c r="L216" i="17"/>
  <c r="K216" i="17"/>
  <c r="J216" i="17"/>
  <c r="I216" i="17"/>
  <c r="H216" i="17"/>
  <c r="G216" i="17"/>
  <c r="L215" i="17"/>
  <c r="K215" i="17"/>
  <c r="J215" i="17"/>
  <c r="I215" i="17"/>
  <c r="H215" i="17"/>
  <c r="G215" i="17"/>
  <c r="L214" i="17"/>
  <c r="K214" i="17"/>
  <c r="J214" i="17"/>
  <c r="I214" i="17"/>
  <c r="H214" i="17"/>
  <c r="G214" i="17"/>
  <c r="L213" i="17"/>
  <c r="K213" i="17"/>
  <c r="J213" i="17"/>
  <c r="I213" i="17"/>
  <c r="H213" i="17"/>
  <c r="G213" i="17"/>
  <c r="L212" i="17"/>
  <c r="K212" i="17"/>
  <c r="J212" i="17"/>
  <c r="I212" i="17"/>
  <c r="H212" i="17"/>
  <c r="G212" i="17"/>
  <c r="L211" i="17"/>
  <c r="K211" i="17"/>
  <c r="J211" i="17"/>
  <c r="I211" i="17"/>
  <c r="H211" i="17"/>
  <c r="G211" i="17"/>
  <c r="L210" i="17"/>
  <c r="K210" i="17"/>
  <c r="J210" i="17"/>
  <c r="I210" i="17"/>
  <c r="H210" i="17"/>
  <c r="G210" i="17"/>
  <c r="L209" i="17"/>
  <c r="K209" i="17"/>
  <c r="J209" i="17"/>
  <c r="I209" i="17"/>
  <c r="H209" i="17"/>
  <c r="G209" i="17"/>
  <c r="L208" i="17"/>
  <c r="K208" i="17"/>
  <c r="J208" i="17"/>
  <c r="I208" i="17"/>
  <c r="H208" i="17"/>
  <c r="G208" i="17"/>
  <c r="L207" i="17"/>
  <c r="K207" i="17"/>
  <c r="J207" i="17"/>
  <c r="I207" i="17"/>
  <c r="H207" i="17"/>
  <c r="G207" i="17"/>
  <c r="L206" i="17"/>
  <c r="K206" i="17"/>
  <c r="J206" i="17"/>
  <c r="I206" i="17"/>
  <c r="H206" i="17"/>
  <c r="G206" i="17"/>
  <c r="L205" i="17"/>
  <c r="K205" i="17"/>
  <c r="J205" i="17"/>
  <c r="I205" i="17"/>
  <c r="H205" i="17"/>
  <c r="G205" i="17"/>
  <c r="L204" i="17"/>
  <c r="K204" i="17"/>
  <c r="J204" i="17"/>
  <c r="I204" i="17"/>
  <c r="H204" i="17"/>
  <c r="G204" i="17"/>
  <c r="L203" i="17"/>
  <c r="K203" i="17"/>
  <c r="J203" i="17"/>
  <c r="I203" i="17"/>
  <c r="H203" i="17"/>
  <c r="G203" i="17"/>
  <c r="L202" i="17"/>
  <c r="K202" i="17"/>
  <c r="J202" i="17"/>
  <c r="I202" i="17"/>
  <c r="H202" i="17"/>
  <c r="G202" i="17"/>
  <c r="L201" i="17"/>
  <c r="K201" i="17"/>
  <c r="J201" i="17"/>
  <c r="I201" i="17"/>
  <c r="H201" i="17"/>
  <c r="G201" i="17"/>
  <c r="L200" i="17"/>
  <c r="K200" i="17"/>
  <c r="J200" i="17"/>
  <c r="I200" i="17"/>
  <c r="H200" i="17"/>
  <c r="G200" i="17"/>
  <c r="L199" i="17"/>
  <c r="K199" i="17"/>
  <c r="J199" i="17"/>
  <c r="I199" i="17"/>
  <c r="H199" i="17"/>
  <c r="G199" i="17"/>
  <c r="L198" i="17"/>
  <c r="K198" i="17"/>
  <c r="J198" i="17"/>
  <c r="I198" i="17"/>
  <c r="H198" i="17"/>
  <c r="G198" i="17"/>
  <c r="L197" i="17"/>
  <c r="K197" i="17"/>
  <c r="J197" i="17"/>
  <c r="I197" i="17"/>
  <c r="H197" i="17"/>
  <c r="G197" i="17"/>
  <c r="L196" i="17"/>
  <c r="K196" i="17"/>
  <c r="J196" i="17"/>
  <c r="I196" i="17"/>
  <c r="H196" i="17"/>
  <c r="G196" i="17"/>
  <c r="L195" i="17"/>
  <c r="K195" i="17"/>
  <c r="J195" i="17"/>
  <c r="I195" i="17"/>
  <c r="H195" i="17"/>
  <c r="G195" i="17"/>
  <c r="L194" i="17"/>
  <c r="K194" i="17"/>
  <c r="J194" i="17"/>
  <c r="I194" i="17"/>
  <c r="H194" i="17"/>
  <c r="G194" i="17"/>
  <c r="L193" i="17"/>
  <c r="K193" i="17"/>
  <c r="J193" i="17"/>
  <c r="I193" i="17"/>
  <c r="H193" i="17"/>
  <c r="G193" i="17"/>
  <c r="L192" i="17"/>
  <c r="K192" i="17"/>
  <c r="J192" i="17"/>
  <c r="I192" i="17"/>
  <c r="H192" i="17"/>
  <c r="G192" i="17"/>
  <c r="L191" i="17"/>
  <c r="K191" i="17"/>
  <c r="J191" i="17"/>
  <c r="I191" i="17"/>
  <c r="H191" i="17"/>
  <c r="G191" i="17"/>
  <c r="L190" i="17"/>
  <c r="K190" i="17"/>
  <c r="J190" i="17"/>
  <c r="I190" i="17"/>
  <c r="H190" i="17"/>
  <c r="G190" i="17"/>
  <c r="L189" i="17"/>
  <c r="K189" i="17"/>
  <c r="J189" i="17"/>
  <c r="I189" i="17"/>
  <c r="H189" i="17"/>
  <c r="G189" i="17"/>
  <c r="L188" i="17"/>
  <c r="K188" i="17"/>
  <c r="J188" i="17"/>
  <c r="I188" i="17"/>
  <c r="H188" i="17"/>
  <c r="G188" i="17"/>
  <c r="L187" i="17"/>
  <c r="K187" i="17"/>
  <c r="J187" i="17"/>
  <c r="I187" i="17"/>
  <c r="H187" i="17"/>
  <c r="G187" i="17"/>
  <c r="L186" i="17"/>
  <c r="K186" i="17"/>
  <c r="J186" i="17"/>
  <c r="I186" i="17"/>
  <c r="H186" i="17"/>
  <c r="G186" i="17"/>
  <c r="L185" i="17"/>
  <c r="K185" i="17"/>
  <c r="J185" i="17"/>
  <c r="I185" i="17"/>
  <c r="H185" i="17"/>
  <c r="G185" i="17"/>
  <c r="L184" i="17"/>
  <c r="K184" i="17"/>
  <c r="J184" i="17"/>
  <c r="I184" i="17"/>
  <c r="H184" i="17"/>
  <c r="G184" i="17"/>
  <c r="L183" i="17"/>
  <c r="K183" i="17"/>
  <c r="J183" i="17"/>
  <c r="I183" i="17"/>
  <c r="H183" i="17"/>
  <c r="G183" i="17"/>
  <c r="L182" i="17"/>
  <c r="K182" i="17"/>
  <c r="J182" i="17"/>
  <c r="I182" i="17"/>
  <c r="H182" i="17"/>
  <c r="G182" i="17"/>
  <c r="L181" i="17"/>
  <c r="K181" i="17"/>
  <c r="J181" i="17"/>
  <c r="I181" i="17"/>
  <c r="H181" i="17"/>
  <c r="G181" i="17"/>
  <c r="L180" i="17"/>
  <c r="K180" i="17"/>
  <c r="J180" i="17"/>
  <c r="I180" i="17"/>
  <c r="H180" i="17"/>
  <c r="G180" i="17"/>
  <c r="L179" i="17"/>
  <c r="K179" i="17"/>
  <c r="J179" i="17"/>
  <c r="I179" i="17"/>
  <c r="H179" i="17"/>
  <c r="G179" i="17"/>
  <c r="L178" i="17"/>
  <c r="K178" i="17"/>
  <c r="J178" i="17"/>
  <c r="I178" i="17"/>
  <c r="H178" i="17"/>
  <c r="G178" i="17"/>
  <c r="L177" i="17"/>
  <c r="K177" i="17"/>
  <c r="J177" i="17"/>
  <c r="I177" i="17"/>
  <c r="H177" i="17"/>
  <c r="G177" i="17"/>
  <c r="L176" i="17"/>
  <c r="K176" i="17"/>
  <c r="J176" i="17"/>
  <c r="I176" i="17"/>
  <c r="H176" i="17"/>
  <c r="G176" i="17"/>
  <c r="L175" i="17"/>
  <c r="K175" i="17"/>
  <c r="J175" i="17"/>
  <c r="I175" i="17"/>
  <c r="H175" i="17"/>
  <c r="G175" i="17"/>
  <c r="L174" i="17"/>
  <c r="K174" i="17"/>
  <c r="J174" i="17"/>
  <c r="I174" i="17"/>
  <c r="H174" i="17"/>
  <c r="G174" i="17"/>
  <c r="L173" i="17"/>
  <c r="K173" i="17"/>
  <c r="J173" i="17"/>
  <c r="I173" i="17"/>
  <c r="H173" i="17"/>
  <c r="G173" i="17"/>
  <c r="L172" i="17"/>
  <c r="K172" i="17"/>
  <c r="J172" i="17"/>
  <c r="I172" i="17"/>
  <c r="H172" i="17"/>
  <c r="G172" i="17"/>
  <c r="L171" i="17"/>
  <c r="K171" i="17"/>
  <c r="J171" i="17"/>
  <c r="I171" i="17"/>
  <c r="H171" i="17"/>
  <c r="G171" i="17"/>
  <c r="L170" i="17"/>
  <c r="K170" i="17"/>
  <c r="J170" i="17"/>
  <c r="I170" i="17"/>
  <c r="H170" i="17"/>
  <c r="G170" i="17"/>
  <c r="L169" i="17"/>
  <c r="K169" i="17"/>
  <c r="J169" i="17"/>
  <c r="I169" i="17"/>
  <c r="H169" i="17"/>
  <c r="G169" i="17"/>
  <c r="L168" i="17"/>
  <c r="K168" i="17"/>
  <c r="J168" i="17"/>
  <c r="I168" i="17"/>
  <c r="H168" i="17"/>
  <c r="G168" i="17"/>
  <c r="L167" i="17"/>
  <c r="K167" i="17"/>
  <c r="J167" i="17"/>
  <c r="I167" i="17"/>
  <c r="H167" i="17"/>
  <c r="G167" i="17"/>
  <c r="L166" i="17"/>
  <c r="K166" i="17"/>
  <c r="J166" i="17"/>
  <c r="I166" i="17"/>
  <c r="H166" i="17"/>
  <c r="G166" i="17"/>
  <c r="L165" i="17"/>
  <c r="K165" i="17"/>
  <c r="J165" i="17"/>
  <c r="I165" i="17"/>
  <c r="H165" i="17"/>
  <c r="G165" i="17"/>
  <c r="L164" i="17"/>
  <c r="K164" i="17"/>
  <c r="J164" i="17"/>
  <c r="I164" i="17"/>
  <c r="H164" i="17"/>
  <c r="G164" i="17"/>
  <c r="L163" i="17"/>
  <c r="K163" i="17"/>
  <c r="J163" i="17"/>
  <c r="I163" i="17"/>
  <c r="H163" i="17"/>
  <c r="G163" i="17"/>
  <c r="L162" i="17"/>
  <c r="K162" i="17"/>
  <c r="J162" i="17"/>
  <c r="I162" i="17"/>
  <c r="H162" i="17"/>
  <c r="G162" i="17"/>
  <c r="L161" i="17"/>
  <c r="K161" i="17"/>
  <c r="J161" i="17"/>
  <c r="I161" i="17"/>
  <c r="H161" i="17"/>
  <c r="G161" i="17"/>
  <c r="L160" i="17"/>
  <c r="K160" i="17"/>
  <c r="J160" i="17"/>
  <c r="I160" i="17"/>
  <c r="H160" i="17"/>
  <c r="G160" i="17"/>
  <c r="L159" i="17"/>
  <c r="K159" i="17"/>
  <c r="J159" i="17"/>
  <c r="I159" i="17"/>
  <c r="H159" i="17"/>
  <c r="G159" i="17"/>
  <c r="L158" i="17"/>
  <c r="K158" i="17"/>
  <c r="J158" i="17"/>
  <c r="I158" i="17"/>
  <c r="H158" i="17"/>
  <c r="G158" i="17"/>
  <c r="L157" i="17"/>
  <c r="K157" i="17"/>
  <c r="J157" i="17"/>
  <c r="I157" i="17"/>
  <c r="H157" i="17"/>
  <c r="G157" i="17"/>
  <c r="L156" i="17"/>
  <c r="K156" i="17"/>
  <c r="J156" i="17"/>
  <c r="I156" i="17"/>
  <c r="H156" i="17"/>
  <c r="G156" i="17"/>
  <c r="L155" i="17"/>
  <c r="K155" i="17"/>
  <c r="J155" i="17"/>
  <c r="I155" i="17"/>
  <c r="H155" i="17"/>
  <c r="G155" i="17"/>
  <c r="L154" i="17"/>
  <c r="K154" i="17"/>
  <c r="J154" i="17"/>
  <c r="I154" i="17"/>
  <c r="H154" i="17"/>
  <c r="G154" i="17"/>
  <c r="L153" i="17"/>
  <c r="K153" i="17"/>
  <c r="J153" i="17"/>
  <c r="I153" i="17"/>
  <c r="H153" i="17"/>
  <c r="G153" i="17"/>
  <c r="L152" i="17"/>
  <c r="K152" i="17"/>
  <c r="J152" i="17"/>
  <c r="I152" i="17"/>
  <c r="H152" i="17"/>
  <c r="G152" i="17"/>
  <c r="L151" i="17"/>
  <c r="K151" i="17"/>
  <c r="J151" i="17"/>
  <c r="I151" i="17"/>
  <c r="H151" i="17"/>
  <c r="G151" i="17"/>
  <c r="L150" i="17"/>
  <c r="K150" i="17"/>
  <c r="J150" i="17"/>
  <c r="I150" i="17"/>
  <c r="H150" i="17"/>
  <c r="G150" i="17"/>
  <c r="L149" i="17"/>
  <c r="K149" i="17"/>
  <c r="J149" i="17"/>
  <c r="I149" i="17"/>
  <c r="H149" i="17"/>
  <c r="G149" i="17"/>
  <c r="L148" i="17"/>
  <c r="K148" i="17"/>
  <c r="J148" i="17"/>
  <c r="I148" i="17"/>
  <c r="H148" i="17"/>
  <c r="G148" i="17"/>
  <c r="L147" i="17"/>
  <c r="K147" i="17"/>
  <c r="J147" i="17"/>
  <c r="I147" i="17"/>
  <c r="H147" i="17"/>
  <c r="G147" i="17"/>
  <c r="L146" i="17"/>
  <c r="K146" i="17"/>
  <c r="J146" i="17"/>
  <c r="I146" i="17"/>
  <c r="H146" i="17"/>
  <c r="G146" i="17"/>
  <c r="L145" i="17"/>
  <c r="K145" i="17"/>
  <c r="J145" i="17"/>
  <c r="I145" i="17"/>
  <c r="H145" i="17"/>
  <c r="G145" i="17"/>
  <c r="L144" i="17"/>
  <c r="K144" i="17"/>
  <c r="J144" i="17"/>
  <c r="I144" i="17"/>
  <c r="H144" i="17"/>
  <c r="G144" i="17"/>
  <c r="L143" i="17"/>
  <c r="K143" i="17"/>
  <c r="J143" i="17"/>
  <c r="I143" i="17"/>
  <c r="H143" i="17"/>
  <c r="G143" i="17"/>
  <c r="L142" i="17"/>
  <c r="K142" i="17"/>
  <c r="J142" i="17"/>
  <c r="I142" i="17"/>
  <c r="H142" i="17"/>
  <c r="G142" i="17"/>
  <c r="L141" i="17"/>
  <c r="K141" i="17"/>
  <c r="J141" i="17"/>
  <c r="I141" i="17"/>
  <c r="H141" i="17"/>
  <c r="G141" i="17"/>
  <c r="L140" i="17"/>
  <c r="K140" i="17"/>
  <c r="J140" i="17"/>
  <c r="I140" i="17"/>
  <c r="H140" i="17"/>
  <c r="G140" i="17"/>
  <c r="L139" i="17"/>
  <c r="K139" i="17"/>
  <c r="J139" i="17"/>
  <c r="I139" i="17"/>
  <c r="H139" i="17"/>
  <c r="G139" i="17"/>
  <c r="L138" i="17"/>
  <c r="K138" i="17"/>
  <c r="J138" i="17"/>
  <c r="I138" i="17"/>
  <c r="H138" i="17"/>
  <c r="G138" i="17"/>
  <c r="L137" i="17"/>
  <c r="K137" i="17"/>
  <c r="J137" i="17"/>
  <c r="I137" i="17"/>
  <c r="H137" i="17"/>
  <c r="G137" i="17"/>
  <c r="L136" i="17"/>
  <c r="K136" i="17"/>
  <c r="J136" i="17"/>
  <c r="I136" i="17"/>
  <c r="H136" i="17"/>
  <c r="G136" i="17"/>
  <c r="L135" i="17"/>
  <c r="K135" i="17"/>
  <c r="J135" i="17"/>
  <c r="I135" i="17"/>
  <c r="H135" i="17"/>
  <c r="G135" i="17"/>
  <c r="L134" i="17"/>
  <c r="K134" i="17"/>
  <c r="J134" i="17"/>
  <c r="I134" i="17"/>
  <c r="H134" i="17"/>
  <c r="G134" i="17"/>
  <c r="L133" i="17"/>
  <c r="K133" i="17"/>
  <c r="J133" i="17"/>
  <c r="I133" i="17"/>
  <c r="H133" i="17"/>
  <c r="G133" i="17"/>
  <c r="L132" i="17"/>
  <c r="K132" i="17"/>
  <c r="J132" i="17"/>
  <c r="I132" i="17"/>
  <c r="H132" i="17"/>
  <c r="G132" i="17"/>
  <c r="L131" i="17"/>
  <c r="K131" i="17"/>
  <c r="J131" i="17"/>
  <c r="I131" i="17"/>
  <c r="H131" i="17"/>
  <c r="G131" i="17"/>
  <c r="L130" i="17"/>
  <c r="K130" i="17"/>
  <c r="J130" i="17"/>
  <c r="I130" i="17"/>
  <c r="H130" i="17"/>
  <c r="G130" i="17"/>
  <c r="L129" i="17"/>
  <c r="K129" i="17"/>
  <c r="J129" i="17"/>
  <c r="I129" i="17"/>
  <c r="H129" i="17"/>
  <c r="G129" i="17"/>
  <c r="L128" i="17"/>
  <c r="K128" i="17"/>
  <c r="J128" i="17"/>
  <c r="I128" i="17"/>
  <c r="H128" i="17"/>
  <c r="G128" i="17"/>
  <c r="L127" i="17"/>
  <c r="K127" i="17"/>
  <c r="J127" i="17"/>
  <c r="I127" i="17"/>
  <c r="H127" i="17"/>
  <c r="G127" i="17"/>
  <c r="L126" i="17"/>
  <c r="K126" i="17"/>
  <c r="J126" i="17"/>
  <c r="I126" i="17"/>
  <c r="H126" i="17"/>
  <c r="G126" i="17"/>
  <c r="L125" i="17"/>
  <c r="K125" i="17"/>
  <c r="J125" i="17"/>
  <c r="I125" i="17"/>
  <c r="H125" i="17"/>
  <c r="G125" i="17"/>
  <c r="L124" i="17"/>
  <c r="K124" i="17"/>
  <c r="J124" i="17"/>
  <c r="I124" i="17"/>
  <c r="H124" i="17"/>
  <c r="G124" i="17"/>
  <c r="L123" i="17"/>
  <c r="K123" i="17"/>
  <c r="J123" i="17"/>
  <c r="I123" i="17"/>
  <c r="H123" i="17"/>
  <c r="G123" i="17"/>
  <c r="L122" i="17"/>
  <c r="K122" i="17"/>
  <c r="J122" i="17"/>
  <c r="I122" i="17"/>
  <c r="H122" i="17"/>
  <c r="G122" i="17"/>
  <c r="L121" i="17"/>
  <c r="K121" i="17"/>
  <c r="J121" i="17"/>
  <c r="I121" i="17"/>
  <c r="H121" i="17"/>
  <c r="G121" i="17"/>
  <c r="L120" i="17"/>
  <c r="K120" i="17"/>
  <c r="J120" i="17"/>
  <c r="I120" i="17"/>
  <c r="H120" i="17"/>
  <c r="G120" i="17"/>
  <c r="L119" i="17"/>
  <c r="K119" i="17"/>
  <c r="J119" i="17"/>
  <c r="I119" i="17"/>
  <c r="H119" i="17"/>
  <c r="G119" i="17"/>
  <c r="L118" i="17"/>
  <c r="K118" i="17"/>
  <c r="J118" i="17"/>
  <c r="I118" i="17"/>
  <c r="H118" i="17"/>
  <c r="G118" i="17"/>
  <c r="L117" i="17"/>
  <c r="K117" i="17"/>
  <c r="J117" i="17"/>
  <c r="I117" i="17"/>
  <c r="H117" i="17"/>
  <c r="G117" i="17"/>
  <c r="L116" i="17"/>
  <c r="K116" i="17"/>
  <c r="J116" i="17"/>
  <c r="I116" i="17"/>
  <c r="H116" i="17"/>
  <c r="G116" i="17"/>
  <c r="L115" i="17"/>
  <c r="K115" i="17"/>
  <c r="J115" i="17"/>
  <c r="I115" i="17"/>
  <c r="H115" i="17"/>
  <c r="G115" i="17"/>
  <c r="L114" i="17"/>
  <c r="K114" i="17"/>
  <c r="J114" i="17"/>
  <c r="I114" i="17"/>
  <c r="H114" i="17"/>
  <c r="G114" i="17"/>
  <c r="L113" i="17"/>
  <c r="K113" i="17"/>
  <c r="J113" i="17"/>
  <c r="I113" i="17"/>
  <c r="H113" i="17"/>
  <c r="G113" i="17"/>
  <c r="L112" i="17"/>
  <c r="K112" i="17"/>
  <c r="J112" i="17"/>
  <c r="I112" i="17"/>
  <c r="H112" i="17"/>
  <c r="G112" i="17"/>
  <c r="L111" i="17"/>
  <c r="K111" i="17"/>
  <c r="J111" i="17"/>
  <c r="I111" i="17"/>
  <c r="H111" i="17"/>
  <c r="G111" i="17"/>
  <c r="L110" i="17"/>
  <c r="K110" i="17"/>
  <c r="J110" i="17"/>
  <c r="I110" i="17"/>
  <c r="H110" i="17"/>
  <c r="G110" i="17"/>
  <c r="L109" i="17"/>
  <c r="K109" i="17"/>
  <c r="J109" i="17"/>
  <c r="I109" i="17"/>
  <c r="H109" i="17"/>
  <c r="G109" i="17"/>
  <c r="L108" i="17"/>
  <c r="K108" i="17"/>
  <c r="J108" i="17"/>
  <c r="I108" i="17"/>
  <c r="H108" i="17"/>
  <c r="G108" i="17"/>
  <c r="L107" i="17"/>
  <c r="K107" i="17"/>
  <c r="J107" i="17"/>
  <c r="I107" i="17"/>
  <c r="H107" i="17"/>
  <c r="G107" i="17"/>
  <c r="L106" i="17"/>
  <c r="K106" i="17"/>
  <c r="J106" i="17"/>
  <c r="I106" i="17"/>
  <c r="H106" i="17"/>
  <c r="G106" i="17"/>
  <c r="L105" i="17"/>
  <c r="K105" i="17"/>
  <c r="J105" i="17"/>
  <c r="I105" i="17"/>
  <c r="H105" i="17"/>
  <c r="G105" i="17"/>
  <c r="L104" i="17"/>
  <c r="K104" i="17"/>
  <c r="J104" i="17"/>
  <c r="I104" i="17"/>
  <c r="H104" i="17"/>
  <c r="G104" i="17"/>
  <c r="L103" i="17"/>
  <c r="K103" i="17"/>
  <c r="J103" i="17"/>
  <c r="I103" i="17"/>
  <c r="H103" i="17"/>
  <c r="G103" i="17"/>
  <c r="L102" i="17"/>
  <c r="K102" i="17"/>
  <c r="J102" i="17"/>
  <c r="I102" i="17"/>
  <c r="H102" i="17"/>
  <c r="G102" i="17"/>
  <c r="L101" i="17"/>
  <c r="K101" i="17"/>
  <c r="J101" i="17"/>
  <c r="I101" i="17"/>
  <c r="H101" i="17"/>
  <c r="G101" i="17"/>
  <c r="L100" i="17"/>
  <c r="K100" i="17"/>
  <c r="J100" i="17"/>
  <c r="I100" i="17"/>
  <c r="H100" i="17"/>
  <c r="G100" i="17"/>
  <c r="L99" i="17"/>
  <c r="K99" i="17"/>
  <c r="J99" i="17"/>
  <c r="I99" i="17"/>
  <c r="H99" i="17"/>
  <c r="G99" i="17"/>
  <c r="L98" i="17"/>
  <c r="K98" i="17"/>
  <c r="J98" i="17"/>
  <c r="I98" i="17"/>
  <c r="H98" i="17"/>
  <c r="G98" i="17"/>
  <c r="L97" i="17"/>
  <c r="K97" i="17"/>
  <c r="J97" i="17"/>
  <c r="I97" i="17"/>
  <c r="H97" i="17"/>
  <c r="G97" i="17"/>
  <c r="L96" i="17"/>
  <c r="K96" i="17"/>
  <c r="J96" i="17"/>
  <c r="I96" i="17"/>
  <c r="H96" i="17"/>
  <c r="G96" i="17"/>
  <c r="L95" i="17"/>
  <c r="K95" i="17"/>
  <c r="J95" i="17"/>
  <c r="I95" i="17"/>
  <c r="H95" i="17"/>
  <c r="G95" i="17"/>
  <c r="L94" i="17"/>
  <c r="K94" i="17"/>
  <c r="J94" i="17"/>
  <c r="I94" i="17"/>
  <c r="H94" i="17"/>
  <c r="G94" i="17"/>
  <c r="L93" i="17"/>
  <c r="K93" i="17"/>
  <c r="J93" i="17"/>
  <c r="I93" i="17"/>
  <c r="H93" i="17"/>
  <c r="G93" i="17"/>
  <c r="L92" i="17"/>
  <c r="K92" i="17"/>
  <c r="J92" i="17"/>
  <c r="I92" i="17"/>
  <c r="H92" i="17"/>
  <c r="G92" i="17"/>
  <c r="L91" i="17"/>
  <c r="K91" i="17"/>
  <c r="J91" i="17"/>
  <c r="I91" i="17"/>
  <c r="H91" i="17"/>
  <c r="G91" i="17"/>
  <c r="L90" i="17"/>
  <c r="K90" i="17"/>
  <c r="J90" i="17"/>
  <c r="I90" i="17"/>
  <c r="H90" i="17"/>
  <c r="G90" i="17"/>
  <c r="L89" i="17"/>
  <c r="K89" i="17"/>
  <c r="J89" i="17"/>
  <c r="I89" i="17"/>
  <c r="H89" i="17"/>
  <c r="G89" i="17"/>
  <c r="L88" i="17"/>
  <c r="K88" i="17"/>
  <c r="J88" i="17"/>
  <c r="I88" i="17"/>
  <c r="H88" i="17"/>
  <c r="G88" i="17"/>
  <c r="L87" i="17"/>
  <c r="K87" i="17"/>
  <c r="J87" i="17"/>
  <c r="I87" i="17"/>
  <c r="H87" i="17"/>
  <c r="G87" i="17"/>
  <c r="L86" i="17"/>
  <c r="K86" i="17"/>
  <c r="J86" i="17"/>
  <c r="I86" i="17"/>
  <c r="H86" i="17"/>
  <c r="G86" i="17"/>
  <c r="L85" i="17"/>
  <c r="K85" i="17"/>
  <c r="J85" i="17"/>
  <c r="I85" i="17"/>
  <c r="H85" i="17"/>
  <c r="G85" i="17"/>
  <c r="L84" i="17"/>
  <c r="K84" i="17"/>
  <c r="J84" i="17"/>
  <c r="I84" i="17"/>
  <c r="H84" i="17"/>
  <c r="G84" i="17"/>
  <c r="L83" i="17"/>
  <c r="K83" i="17"/>
  <c r="J83" i="17"/>
  <c r="I83" i="17"/>
  <c r="H83" i="17"/>
  <c r="G83" i="17"/>
  <c r="L82" i="17"/>
  <c r="K82" i="17"/>
  <c r="J82" i="17"/>
  <c r="I82" i="17"/>
  <c r="H82" i="17"/>
  <c r="G82" i="17"/>
  <c r="L81" i="17"/>
  <c r="K81" i="17"/>
  <c r="J81" i="17"/>
  <c r="I81" i="17"/>
  <c r="H81" i="17"/>
  <c r="G81" i="17"/>
  <c r="L80" i="17"/>
  <c r="K80" i="17"/>
  <c r="J80" i="17"/>
  <c r="I80" i="17"/>
  <c r="H80" i="17"/>
  <c r="G80" i="17"/>
  <c r="L79" i="17"/>
  <c r="K79" i="17"/>
  <c r="J79" i="17"/>
  <c r="I79" i="17"/>
  <c r="H79" i="17"/>
  <c r="G79" i="17"/>
  <c r="L78" i="17"/>
  <c r="K78" i="17"/>
  <c r="J78" i="17"/>
  <c r="I78" i="17"/>
  <c r="H78" i="17"/>
  <c r="G78" i="17"/>
  <c r="L77" i="17"/>
  <c r="K77" i="17"/>
  <c r="J77" i="17"/>
  <c r="I77" i="17"/>
  <c r="H77" i="17"/>
  <c r="G77" i="17"/>
  <c r="L76" i="17"/>
  <c r="K76" i="17"/>
  <c r="J76" i="17"/>
  <c r="I76" i="17"/>
  <c r="H76" i="17"/>
  <c r="G76" i="17"/>
  <c r="L75" i="17"/>
  <c r="K75" i="17"/>
  <c r="J75" i="17"/>
  <c r="I75" i="17"/>
  <c r="H75" i="17"/>
  <c r="G75" i="17"/>
  <c r="L74" i="17"/>
  <c r="K74" i="17"/>
  <c r="J74" i="17"/>
  <c r="I74" i="17"/>
  <c r="H74" i="17"/>
  <c r="G74" i="17"/>
  <c r="L73" i="17"/>
  <c r="K73" i="17"/>
  <c r="J73" i="17"/>
  <c r="I73" i="17"/>
  <c r="H73" i="17"/>
  <c r="G73" i="17"/>
  <c r="L72" i="17"/>
  <c r="K72" i="17"/>
  <c r="J72" i="17"/>
  <c r="I72" i="17"/>
  <c r="H72" i="17"/>
  <c r="G72" i="17"/>
  <c r="L71" i="17"/>
  <c r="K71" i="17"/>
  <c r="J71" i="17"/>
  <c r="I71" i="17"/>
  <c r="H71" i="17"/>
  <c r="G71" i="17"/>
  <c r="L70" i="17"/>
  <c r="K70" i="17"/>
  <c r="J70" i="17"/>
  <c r="I70" i="17"/>
  <c r="H70" i="17"/>
  <c r="G70" i="17"/>
  <c r="L69" i="17"/>
  <c r="K69" i="17"/>
  <c r="J69" i="17"/>
  <c r="I69" i="17"/>
  <c r="H69" i="17"/>
  <c r="G69" i="17"/>
  <c r="L68" i="17"/>
  <c r="K68" i="17"/>
  <c r="J68" i="17"/>
  <c r="I68" i="17"/>
  <c r="H68" i="17"/>
  <c r="G68" i="17"/>
  <c r="L67" i="17"/>
  <c r="K67" i="17"/>
  <c r="J67" i="17"/>
  <c r="I67" i="17"/>
  <c r="H67" i="17"/>
  <c r="G67" i="17"/>
  <c r="L66" i="17"/>
  <c r="K66" i="17"/>
  <c r="J66" i="17"/>
  <c r="I66" i="17"/>
  <c r="H66" i="17"/>
  <c r="G66" i="17"/>
  <c r="L65" i="17"/>
  <c r="K65" i="17"/>
  <c r="J65" i="17"/>
  <c r="I65" i="17"/>
  <c r="H65" i="17"/>
  <c r="G65" i="17"/>
  <c r="L64" i="17"/>
  <c r="K64" i="17"/>
  <c r="J64" i="17"/>
  <c r="I64" i="17"/>
  <c r="H64" i="17"/>
  <c r="G64" i="17"/>
  <c r="L63" i="17"/>
  <c r="K63" i="17"/>
  <c r="J63" i="17"/>
  <c r="I63" i="17"/>
  <c r="H63" i="17"/>
  <c r="G63" i="17"/>
  <c r="L62" i="17"/>
  <c r="K62" i="17"/>
  <c r="J62" i="17"/>
  <c r="I62" i="17"/>
  <c r="H62" i="17"/>
  <c r="G62" i="17"/>
  <c r="L61" i="17"/>
  <c r="K61" i="17"/>
  <c r="J61" i="17"/>
  <c r="I61" i="17"/>
  <c r="H61" i="17"/>
  <c r="G61" i="17"/>
  <c r="L60" i="17"/>
  <c r="K60" i="17"/>
  <c r="J60" i="17"/>
  <c r="I60" i="17"/>
  <c r="H60" i="17"/>
  <c r="G60" i="17"/>
  <c r="L59" i="17"/>
  <c r="K59" i="17"/>
  <c r="J59" i="17"/>
  <c r="I59" i="17"/>
  <c r="H59" i="17"/>
  <c r="G59" i="17"/>
  <c r="L58" i="17"/>
  <c r="K58" i="17"/>
  <c r="J58" i="17"/>
  <c r="I58" i="17"/>
  <c r="H58" i="17"/>
  <c r="G58" i="17"/>
  <c r="L57" i="17"/>
  <c r="K57" i="17"/>
  <c r="J57" i="17"/>
  <c r="I57" i="17"/>
  <c r="H57" i="17"/>
  <c r="G57" i="17"/>
  <c r="L56" i="17"/>
  <c r="K56" i="17"/>
  <c r="J56" i="17"/>
  <c r="I56" i="17"/>
  <c r="H56" i="17"/>
  <c r="G56" i="17"/>
  <c r="L55" i="17"/>
  <c r="K55" i="17"/>
  <c r="J55" i="17"/>
  <c r="I55" i="17"/>
  <c r="H55" i="17"/>
  <c r="G55" i="17"/>
  <c r="L54" i="17"/>
  <c r="K54" i="17"/>
  <c r="J54" i="17"/>
  <c r="I54" i="17"/>
  <c r="H54" i="17"/>
  <c r="G54" i="17"/>
  <c r="L53" i="17"/>
  <c r="K53" i="17"/>
  <c r="J53" i="17"/>
  <c r="I53" i="17"/>
  <c r="H53" i="17"/>
  <c r="G53" i="17"/>
  <c r="L52" i="17"/>
  <c r="K52" i="17"/>
  <c r="J52" i="17"/>
  <c r="I52" i="17"/>
  <c r="H52" i="17"/>
  <c r="G52" i="17"/>
  <c r="L51" i="17"/>
  <c r="K51" i="17"/>
  <c r="J51" i="17"/>
  <c r="I51" i="17"/>
  <c r="H51" i="17"/>
  <c r="G51" i="17"/>
  <c r="L50" i="17"/>
  <c r="K50" i="17"/>
  <c r="J50" i="17"/>
  <c r="I50" i="17"/>
  <c r="H50" i="17"/>
  <c r="G50" i="17"/>
  <c r="L49" i="17"/>
  <c r="K49" i="17"/>
  <c r="J49" i="17"/>
  <c r="I49" i="17"/>
  <c r="H49" i="17"/>
  <c r="G49" i="17"/>
  <c r="L48" i="17"/>
  <c r="K48" i="17"/>
  <c r="J48" i="17"/>
  <c r="I48" i="17"/>
  <c r="H48" i="17"/>
  <c r="G48" i="17"/>
  <c r="L47" i="17"/>
  <c r="K47" i="17"/>
  <c r="J47" i="17"/>
  <c r="I47" i="17"/>
  <c r="H47" i="17"/>
  <c r="G47" i="17"/>
  <c r="L46" i="17"/>
  <c r="K46" i="17"/>
  <c r="J46" i="17"/>
  <c r="I46" i="17"/>
  <c r="H46" i="17"/>
  <c r="G46" i="17"/>
  <c r="L45" i="17"/>
  <c r="K45" i="17"/>
  <c r="J45" i="17"/>
  <c r="I45" i="17"/>
  <c r="H45" i="17"/>
  <c r="G45" i="17"/>
  <c r="L44" i="17"/>
  <c r="K44" i="17"/>
  <c r="J44" i="17"/>
  <c r="I44" i="17"/>
  <c r="H44" i="17"/>
  <c r="G44" i="17"/>
  <c r="L43" i="17"/>
  <c r="K43" i="17"/>
  <c r="J43" i="17"/>
  <c r="I43" i="17"/>
  <c r="H43" i="17"/>
  <c r="G43" i="17"/>
  <c r="L42" i="17"/>
  <c r="K42" i="17"/>
  <c r="J42" i="17"/>
  <c r="I42" i="17"/>
  <c r="H42" i="17"/>
  <c r="G42" i="17"/>
  <c r="L41" i="17"/>
  <c r="K41" i="17"/>
  <c r="J41" i="17"/>
  <c r="I41" i="17"/>
  <c r="H41" i="17"/>
  <c r="G41" i="17"/>
  <c r="L40" i="17"/>
  <c r="K40" i="17"/>
  <c r="J40" i="17"/>
  <c r="I40" i="17"/>
  <c r="H40" i="17"/>
  <c r="G40" i="17"/>
  <c r="L39" i="17"/>
  <c r="K39" i="17"/>
  <c r="J39" i="17"/>
  <c r="I39" i="17"/>
  <c r="H39" i="17"/>
  <c r="G39" i="17"/>
  <c r="L38" i="17"/>
  <c r="K38" i="17"/>
  <c r="J38" i="17"/>
  <c r="I38" i="17"/>
  <c r="H38" i="17"/>
  <c r="G38" i="17"/>
  <c r="L37" i="17"/>
  <c r="K37" i="17"/>
  <c r="J37" i="17"/>
  <c r="I37" i="17"/>
  <c r="H37" i="17"/>
  <c r="G37" i="17"/>
  <c r="L36" i="17"/>
  <c r="K36" i="17"/>
  <c r="J36" i="17"/>
  <c r="I36" i="17"/>
  <c r="H36" i="17"/>
  <c r="G36" i="17"/>
  <c r="L35" i="17"/>
  <c r="K35" i="17"/>
  <c r="J35" i="17"/>
  <c r="I35" i="17"/>
  <c r="H35" i="17"/>
  <c r="G35" i="17"/>
  <c r="L34" i="17"/>
  <c r="K34" i="17"/>
  <c r="J34" i="17"/>
  <c r="I34" i="17"/>
  <c r="H34" i="17"/>
  <c r="G34" i="17"/>
  <c r="L33" i="17"/>
  <c r="K33" i="17"/>
  <c r="J33" i="17"/>
  <c r="I33" i="17"/>
  <c r="H33" i="17"/>
  <c r="G33" i="17"/>
  <c r="L32" i="17"/>
  <c r="K32" i="17"/>
  <c r="J32" i="17"/>
  <c r="I32" i="17"/>
  <c r="H32" i="17"/>
  <c r="G32" i="17"/>
  <c r="L31" i="17"/>
  <c r="K31" i="17"/>
  <c r="J31" i="17"/>
  <c r="I31" i="17"/>
  <c r="H31" i="17"/>
  <c r="G31" i="17"/>
  <c r="L30" i="17"/>
  <c r="K30" i="17"/>
  <c r="J30" i="17"/>
  <c r="I30" i="17"/>
  <c r="H30" i="17"/>
  <c r="G30" i="17"/>
  <c r="L29" i="17"/>
  <c r="K29" i="17"/>
  <c r="J29" i="17"/>
  <c r="I29" i="17"/>
  <c r="H29" i="17"/>
  <c r="G29" i="17"/>
  <c r="L28" i="17"/>
  <c r="K28" i="17"/>
  <c r="J28" i="17"/>
  <c r="I28" i="17"/>
  <c r="H28" i="17"/>
  <c r="G28" i="17"/>
  <c r="L27" i="17"/>
  <c r="K27" i="17"/>
  <c r="J27" i="17"/>
  <c r="I27" i="17"/>
  <c r="H27" i="17"/>
  <c r="G27" i="17"/>
  <c r="L26" i="17"/>
  <c r="K26" i="17"/>
  <c r="J26" i="17"/>
  <c r="I26" i="17"/>
  <c r="H26" i="17"/>
  <c r="G26" i="17"/>
  <c r="L25" i="17"/>
  <c r="K25" i="17"/>
  <c r="J25" i="17"/>
  <c r="I25" i="17"/>
  <c r="H25" i="17"/>
  <c r="G25" i="17"/>
  <c r="L24" i="17"/>
  <c r="K24" i="17"/>
  <c r="J24" i="17"/>
  <c r="I24" i="17"/>
  <c r="H24" i="17"/>
  <c r="G24" i="17"/>
  <c r="L23" i="17"/>
  <c r="K23" i="17"/>
  <c r="J23" i="17"/>
  <c r="I23" i="17"/>
  <c r="H23" i="17"/>
  <c r="G23" i="17"/>
  <c r="L22" i="17"/>
  <c r="K22" i="17"/>
  <c r="J22" i="17"/>
  <c r="I22" i="17"/>
  <c r="H22" i="17"/>
  <c r="G22" i="17"/>
  <c r="L21" i="17"/>
  <c r="K21" i="17"/>
  <c r="J21" i="17"/>
  <c r="I21" i="17"/>
  <c r="H21" i="17"/>
  <c r="G21" i="17"/>
  <c r="L20" i="17"/>
  <c r="K20" i="17"/>
  <c r="J20" i="17"/>
  <c r="I20" i="17"/>
  <c r="H20" i="17"/>
  <c r="G20" i="17"/>
  <c r="L19" i="17"/>
  <c r="K19" i="17"/>
  <c r="J19" i="17"/>
  <c r="I19" i="17"/>
  <c r="H19" i="17"/>
  <c r="G19" i="17"/>
  <c r="L18" i="17"/>
  <c r="K18" i="17"/>
  <c r="J18" i="17"/>
  <c r="I18" i="17"/>
  <c r="H18" i="17"/>
  <c r="G18" i="17"/>
  <c r="L17" i="17"/>
  <c r="K17" i="17"/>
  <c r="J17" i="17"/>
  <c r="I17" i="17"/>
  <c r="H17" i="17"/>
  <c r="G17" i="17"/>
  <c r="L16" i="17"/>
  <c r="K16" i="17"/>
  <c r="J16" i="17"/>
  <c r="I16" i="17"/>
  <c r="H16" i="17"/>
  <c r="G16" i="17"/>
  <c r="L15" i="17"/>
  <c r="K15" i="17"/>
  <c r="J15" i="17"/>
  <c r="I15" i="17"/>
  <c r="H15" i="17"/>
  <c r="G15" i="17"/>
  <c r="L14" i="17"/>
  <c r="K14" i="17"/>
  <c r="J14" i="17"/>
  <c r="I14" i="17"/>
  <c r="H14" i="17"/>
  <c r="G14" i="17"/>
  <c r="L13" i="17"/>
  <c r="K13" i="17"/>
  <c r="J13" i="17"/>
  <c r="I13" i="17"/>
  <c r="H13" i="17"/>
  <c r="G13" i="17"/>
  <c r="L12" i="17"/>
  <c r="K12" i="17"/>
  <c r="J12" i="17"/>
  <c r="I12" i="17"/>
  <c r="H12" i="17"/>
  <c r="G12" i="17"/>
  <c r="L11" i="17"/>
  <c r="K11" i="17"/>
  <c r="J11" i="17"/>
  <c r="I11" i="17"/>
  <c r="H11" i="17"/>
  <c r="G11" i="17"/>
  <c r="L10" i="17"/>
  <c r="K10" i="17"/>
  <c r="J10" i="17"/>
  <c r="I10" i="17"/>
  <c r="H10" i="17"/>
  <c r="G10" i="17"/>
  <c r="L9" i="17"/>
  <c r="K9" i="17"/>
  <c r="J9" i="17"/>
  <c r="I9" i="17"/>
  <c r="H9" i="17"/>
  <c r="G9" i="17"/>
  <c r="L8" i="17"/>
  <c r="K8" i="17"/>
  <c r="J8" i="17"/>
  <c r="I8" i="17"/>
  <c r="H8" i="17"/>
  <c r="G8" i="17"/>
  <c r="L7" i="17"/>
  <c r="K7" i="17"/>
  <c r="J7" i="17"/>
  <c r="I7" i="17"/>
  <c r="H7" i="17"/>
  <c r="G7" i="17"/>
  <c r="L6" i="17"/>
  <c r="K6" i="17"/>
  <c r="J6" i="17"/>
  <c r="I6" i="17"/>
  <c r="H6" i="17"/>
  <c r="G6" i="17"/>
  <c r="L5" i="17"/>
  <c r="K5" i="17"/>
  <c r="J5" i="17"/>
  <c r="I5" i="17"/>
  <c r="H5" i="17"/>
  <c r="G5" i="17"/>
  <c r="L4" i="17"/>
  <c r="K4" i="17"/>
  <c r="J4" i="17"/>
  <c r="I4" i="17"/>
  <c r="H4" i="17"/>
  <c r="G4" i="17"/>
  <c r="L3" i="17"/>
  <c r="K3" i="17"/>
  <c r="J3" i="17"/>
  <c r="I3" i="17"/>
  <c r="H3" i="17"/>
  <c r="G3" i="17"/>
  <c r="L2" i="17"/>
  <c r="J2" i="17"/>
  <c r="I2" i="17"/>
  <c r="D12" i="18" s="1"/>
  <c r="H2" i="17"/>
  <c r="G2" i="17"/>
  <c r="H3070" i="9"/>
  <c r="G3070" i="9"/>
  <c r="H3069" i="9"/>
  <c r="G3069" i="9"/>
  <c r="H3068" i="9"/>
  <c r="G3068" i="9"/>
  <c r="H3067" i="9"/>
  <c r="G3067" i="9"/>
  <c r="H3066" i="9"/>
  <c r="G3066" i="9"/>
  <c r="H3065" i="9"/>
  <c r="G3065" i="9"/>
  <c r="H3064" i="9"/>
  <c r="G3064" i="9"/>
  <c r="H3063" i="9"/>
  <c r="G3063" i="9"/>
  <c r="H3062" i="9"/>
  <c r="G3062" i="9"/>
  <c r="H3061" i="9"/>
  <c r="G3061" i="9"/>
  <c r="H3060" i="9"/>
  <c r="G3060" i="9"/>
  <c r="H3059" i="9"/>
  <c r="G3059" i="9"/>
  <c r="H3058" i="9"/>
  <c r="G3058" i="9"/>
  <c r="H3057" i="9"/>
  <c r="G3057" i="9"/>
  <c r="H3056" i="9"/>
  <c r="G3056" i="9"/>
  <c r="H3055" i="9"/>
  <c r="G3055" i="9"/>
  <c r="H3054" i="9"/>
  <c r="G3054" i="9"/>
  <c r="H3053" i="9"/>
  <c r="G3053" i="9"/>
  <c r="H3052" i="9"/>
  <c r="G3052" i="9"/>
  <c r="H3051" i="9"/>
  <c r="G3051" i="9"/>
  <c r="H3050" i="9"/>
  <c r="G3050" i="9"/>
  <c r="H3049" i="9"/>
  <c r="G3049" i="9"/>
  <c r="H3048" i="9"/>
  <c r="G3048" i="9"/>
  <c r="H3047" i="9"/>
  <c r="G3047" i="9"/>
  <c r="H3046" i="9"/>
  <c r="G3046" i="9"/>
  <c r="H3045" i="9"/>
  <c r="G3045" i="9"/>
  <c r="H3044" i="9"/>
  <c r="G3044" i="9"/>
  <c r="H3043" i="9"/>
  <c r="G3043" i="9"/>
  <c r="H3042" i="9"/>
  <c r="G3042" i="9"/>
  <c r="H3041" i="9"/>
  <c r="G3041" i="9"/>
  <c r="H3040" i="9"/>
  <c r="G3040" i="9"/>
  <c r="H3039" i="9"/>
  <c r="G3039" i="9"/>
  <c r="H3038" i="9"/>
  <c r="G3038" i="9"/>
  <c r="H3037" i="9"/>
  <c r="G3037" i="9"/>
  <c r="H3036" i="9"/>
  <c r="G3036" i="9"/>
  <c r="H3035" i="9"/>
  <c r="G3035" i="9"/>
  <c r="H3034" i="9"/>
  <c r="G3034" i="9"/>
  <c r="H3033" i="9"/>
  <c r="G3033" i="9"/>
  <c r="H3032" i="9"/>
  <c r="G3032" i="9"/>
  <c r="H3031" i="9"/>
  <c r="G3031" i="9"/>
  <c r="H3030" i="9"/>
  <c r="G3030" i="9"/>
  <c r="H3029" i="9"/>
  <c r="G3029" i="9"/>
  <c r="H3028" i="9"/>
  <c r="G3028" i="9"/>
  <c r="H3027" i="9"/>
  <c r="G3027" i="9"/>
  <c r="H3026" i="9"/>
  <c r="G3026" i="9"/>
  <c r="H3025" i="9"/>
  <c r="G3025" i="9"/>
  <c r="H3024" i="9"/>
  <c r="G3024" i="9"/>
  <c r="H3023" i="9"/>
  <c r="G3023" i="9"/>
  <c r="H3022" i="9"/>
  <c r="G3022" i="9"/>
  <c r="H3021" i="9"/>
  <c r="G3021" i="9"/>
  <c r="H3020" i="9"/>
  <c r="G3020" i="9"/>
  <c r="H3019" i="9"/>
  <c r="G3019" i="9"/>
  <c r="H3018" i="9"/>
  <c r="G3018" i="9"/>
  <c r="H3017" i="9"/>
  <c r="G3017" i="9"/>
  <c r="H3016" i="9"/>
  <c r="G3016" i="9"/>
  <c r="H3015" i="9"/>
  <c r="G3015" i="9"/>
  <c r="H3014" i="9"/>
  <c r="G3014" i="9"/>
  <c r="H3013" i="9"/>
  <c r="G3013" i="9"/>
  <c r="H3012" i="9"/>
  <c r="G3012" i="9"/>
  <c r="H3011" i="9"/>
  <c r="G3011" i="9"/>
  <c r="H3010" i="9"/>
  <c r="G3010" i="9"/>
  <c r="H3009" i="9"/>
  <c r="G3009" i="9"/>
  <c r="H3008" i="9"/>
  <c r="G3008" i="9"/>
  <c r="H3007" i="9"/>
  <c r="G3007" i="9"/>
  <c r="H3006" i="9"/>
  <c r="G3006" i="9"/>
  <c r="H3005" i="9"/>
  <c r="G3005" i="9"/>
  <c r="H3004" i="9"/>
  <c r="G3004" i="9"/>
  <c r="H3003" i="9"/>
  <c r="G3003" i="9"/>
  <c r="H3002" i="9"/>
  <c r="G3002" i="9"/>
  <c r="H3001" i="9"/>
  <c r="G3001" i="9"/>
  <c r="H3000" i="9"/>
  <c r="G3000" i="9"/>
  <c r="H2999" i="9"/>
  <c r="G2999" i="9"/>
  <c r="H2998" i="9"/>
  <c r="G2998" i="9"/>
  <c r="H2997" i="9"/>
  <c r="G2997" i="9"/>
  <c r="H2996" i="9"/>
  <c r="G2996" i="9"/>
  <c r="H2995" i="9"/>
  <c r="G2995" i="9"/>
  <c r="H2994" i="9"/>
  <c r="G2994" i="9"/>
  <c r="H2993" i="9"/>
  <c r="G2993" i="9"/>
  <c r="H2992" i="9"/>
  <c r="G2992" i="9"/>
  <c r="H2991" i="9"/>
  <c r="G2991" i="9"/>
  <c r="H2990" i="9"/>
  <c r="G2990" i="9"/>
  <c r="H2989" i="9"/>
  <c r="G2989" i="9"/>
  <c r="H2988" i="9"/>
  <c r="G2988" i="9"/>
  <c r="H2987" i="9"/>
  <c r="G2987" i="9"/>
  <c r="H2986" i="9"/>
  <c r="G2986" i="9"/>
  <c r="H2985" i="9"/>
  <c r="G2985" i="9"/>
  <c r="H2984" i="9"/>
  <c r="G2984" i="9"/>
  <c r="H2983" i="9"/>
  <c r="G2983" i="9"/>
  <c r="H2982" i="9"/>
  <c r="G2982" i="9"/>
  <c r="H2981" i="9"/>
  <c r="G2981" i="9"/>
  <c r="H2980" i="9"/>
  <c r="G2980" i="9"/>
  <c r="H2979" i="9"/>
  <c r="G2979" i="9"/>
  <c r="H2978" i="9"/>
  <c r="G2978" i="9"/>
  <c r="H2977" i="9"/>
  <c r="G2977" i="9"/>
  <c r="H2976" i="9"/>
  <c r="G2976" i="9"/>
  <c r="H2975" i="9"/>
  <c r="G2975" i="9"/>
  <c r="H2974" i="9"/>
  <c r="G2974" i="9"/>
  <c r="H2973" i="9"/>
  <c r="G2973" i="9"/>
  <c r="H2972" i="9"/>
  <c r="G2972" i="9"/>
  <c r="H2971" i="9"/>
  <c r="G2971" i="9"/>
  <c r="H2970" i="9"/>
  <c r="G2970" i="9"/>
  <c r="H2969" i="9"/>
  <c r="G2969" i="9"/>
  <c r="H2968" i="9"/>
  <c r="G2968" i="9"/>
  <c r="H2967" i="9"/>
  <c r="G2967" i="9"/>
  <c r="H2966" i="9"/>
  <c r="G2966" i="9"/>
  <c r="H2965" i="9"/>
  <c r="G2965" i="9"/>
  <c r="H2964" i="9"/>
  <c r="G2964" i="9"/>
  <c r="H2963" i="9"/>
  <c r="G2963" i="9"/>
  <c r="H2962" i="9"/>
  <c r="G2962" i="9"/>
  <c r="H2961" i="9"/>
  <c r="G2961" i="9"/>
  <c r="H2960" i="9"/>
  <c r="G2960" i="9"/>
  <c r="H2959" i="9"/>
  <c r="G2959" i="9"/>
  <c r="H2958" i="9"/>
  <c r="G2958" i="9"/>
  <c r="H2957" i="9"/>
  <c r="G2957" i="9"/>
  <c r="H2956" i="9"/>
  <c r="G2956" i="9"/>
  <c r="H2955" i="9"/>
  <c r="G2955" i="9"/>
  <c r="H2954" i="9"/>
  <c r="G2954" i="9"/>
  <c r="H2953" i="9"/>
  <c r="G2953" i="9"/>
  <c r="H2952" i="9"/>
  <c r="G2952" i="9"/>
  <c r="H2951" i="9"/>
  <c r="G2951" i="9"/>
  <c r="H2950" i="9"/>
  <c r="G2950" i="9"/>
  <c r="H2949" i="9"/>
  <c r="G2949" i="9"/>
  <c r="H2948" i="9"/>
  <c r="G2948" i="9"/>
  <c r="H2947" i="9"/>
  <c r="G2947" i="9"/>
  <c r="H2946" i="9"/>
  <c r="G2946" i="9"/>
  <c r="H2945" i="9"/>
  <c r="G2945" i="9"/>
  <c r="H2944" i="9"/>
  <c r="G2944" i="9"/>
  <c r="H2943" i="9"/>
  <c r="G2943" i="9"/>
  <c r="H2942" i="9"/>
  <c r="G2942" i="9"/>
  <c r="H2941" i="9"/>
  <c r="G2941" i="9"/>
  <c r="H2940" i="9"/>
  <c r="G2940" i="9"/>
  <c r="H2939" i="9"/>
  <c r="G2939" i="9"/>
  <c r="H2938" i="9"/>
  <c r="G2938" i="9"/>
  <c r="H2937" i="9"/>
  <c r="G2937" i="9"/>
  <c r="H2936" i="9"/>
  <c r="G2936" i="9"/>
  <c r="H2935" i="9"/>
  <c r="G2935" i="9"/>
  <c r="H2934" i="9"/>
  <c r="G2934" i="9"/>
  <c r="H2933" i="9"/>
  <c r="G2933" i="9"/>
  <c r="H2932" i="9"/>
  <c r="G2932" i="9"/>
  <c r="H2931" i="9"/>
  <c r="G2931" i="9"/>
  <c r="H2930" i="9"/>
  <c r="G2930" i="9"/>
  <c r="H2929" i="9"/>
  <c r="G2929" i="9"/>
  <c r="H2928" i="9"/>
  <c r="G2928" i="9"/>
  <c r="H2927" i="9"/>
  <c r="G2927" i="9"/>
  <c r="H2926" i="9"/>
  <c r="G2926" i="9"/>
  <c r="H2925" i="9"/>
  <c r="G2925" i="9"/>
  <c r="H2924" i="9"/>
  <c r="G2924" i="9"/>
  <c r="H2923" i="9"/>
  <c r="G2923" i="9"/>
  <c r="H2922" i="9"/>
  <c r="G2922" i="9"/>
  <c r="H2921" i="9"/>
  <c r="G2921" i="9"/>
  <c r="H2920" i="9"/>
  <c r="G2920" i="9"/>
  <c r="H2919" i="9"/>
  <c r="G2919" i="9"/>
  <c r="H2918" i="9"/>
  <c r="G2918" i="9"/>
  <c r="H2917" i="9"/>
  <c r="G2917" i="9"/>
  <c r="H2916" i="9"/>
  <c r="G2916" i="9"/>
  <c r="H2915" i="9"/>
  <c r="G2915" i="9"/>
  <c r="H2914" i="9"/>
  <c r="G2914" i="9"/>
  <c r="H2913" i="9"/>
  <c r="G2913" i="9"/>
  <c r="H2912" i="9"/>
  <c r="G2912" i="9"/>
  <c r="H2911" i="9"/>
  <c r="G2911" i="9"/>
  <c r="H2910" i="9"/>
  <c r="G2910" i="9"/>
  <c r="H2909" i="9"/>
  <c r="G2909" i="9"/>
  <c r="H2908" i="9"/>
  <c r="G2908" i="9"/>
  <c r="H2907" i="9"/>
  <c r="G2907" i="9"/>
  <c r="H2906" i="9"/>
  <c r="G2906" i="9"/>
  <c r="H2905" i="9"/>
  <c r="G2905" i="9"/>
  <c r="H2904" i="9"/>
  <c r="G2904" i="9"/>
  <c r="H2903" i="9"/>
  <c r="G2903" i="9"/>
  <c r="H2902" i="9"/>
  <c r="G2902" i="9"/>
  <c r="H2901" i="9"/>
  <c r="G2901" i="9"/>
  <c r="H2900" i="9"/>
  <c r="G2900" i="9"/>
  <c r="H2899" i="9"/>
  <c r="G2899" i="9"/>
  <c r="H2898" i="9"/>
  <c r="G2898" i="9"/>
  <c r="H2897" i="9"/>
  <c r="G2897" i="9"/>
  <c r="H2896" i="9"/>
  <c r="G2896" i="9"/>
  <c r="H2895" i="9"/>
  <c r="G2895" i="9"/>
  <c r="H2894" i="9"/>
  <c r="G2894" i="9"/>
  <c r="H2893" i="9"/>
  <c r="G2893" i="9"/>
  <c r="H2892" i="9"/>
  <c r="G2892" i="9"/>
  <c r="H2891" i="9"/>
  <c r="G2891" i="9"/>
  <c r="H2890" i="9"/>
  <c r="G2890" i="9"/>
  <c r="H2889" i="9"/>
  <c r="G2889" i="9"/>
  <c r="H2888" i="9"/>
  <c r="G2888" i="9"/>
  <c r="H2887" i="9"/>
  <c r="G2887" i="9"/>
  <c r="H2886" i="9"/>
  <c r="G2886" i="9"/>
  <c r="H2885" i="9"/>
  <c r="G2885" i="9"/>
  <c r="H2884" i="9"/>
  <c r="G2884" i="9"/>
  <c r="H2883" i="9"/>
  <c r="G2883" i="9"/>
  <c r="H2882" i="9"/>
  <c r="G2882" i="9"/>
  <c r="H2881" i="9"/>
  <c r="G2881" i="9"/>
  <c r="H2880" i="9"/>
  <c r="G2880" i="9"/>
  <c r="H2879" i="9"/>
  <c r="G2879" i="9"/>
  <c r="H2878" i="9"/>
  <c r="G2878" i="9"/>
  <c r="H2877" i="9"/>
  <c r="G2877" i="9"/>
  <c r="H2876" i="9"/>
  <c r="G2876" i="9"/>
  <c r="H2875" i="9"/>
  <c r="G2875" i="9"/>
  <c r="H2874" i="9"/>
  <c r="G2874" i="9"/>
  <c r="H2873" i="9"/>
  <c r="G2873" i="9"/>
  <c r="H2872" i="9"/>
  <c r="G2872" i="9"/>
  <c r="H2871" i="9"/>
  <c r="G2871" i="9"/>
  <c r="H2870" i="9"/>
  <c r="G2870" i="9"/>
  <c r="H2869" i="9"/>
  <c r="G2869" i="9"/>
  <c r="H2868" i="9"/>
  <c r="G2868" i="9"/>
  <c r="H2867" i="9"/>
  <c r="G2867" i="9"/>
  <c r="H2866" i="9"/>
  <c r="G2866" i="9"/>
  <c r="H2865" i="9"/>
  <c r="G2865" i="9"/>
  <c r="H2864" i="9"/>
  <c r="G2864" i="9"/>
  <c r="H2863" i="9"/>
  <c r="G2863" i="9"/>
  <c r="H2862" i="9"/>
  <c r="G2862" i="9"/>
  <c r="H2861" i="9"/>
  <c r="G2861" i="9"/>
  <c r="H2860" i="9"/>
  <c r="G2860" i="9"/>
  <c r="H2859" i="9"/>
  <c r="G2859" i="9"/>
  <c r="H2858" i="9"/>
  <c r="G2858" i="9"/>
  <c r="H2857" i="9"/>
  <c r="G2857" i="9"/>
  <c r="H2856" i="9"/>
  <c r="G2856" i="9"/>
  <c r="H2855" i="9"/>
  <c r="G2855" i="9"/>
  <c r="H2854" i="9"/>
  <c r="G2854" i="9"/>
  <c r="H2853" i="9"/>
  <c r="G2853" i="9"/>
  <c r="H2852" i="9"/>
  <c r="G2852" i="9"/>
  <c r="H2851" i="9"/>
  <c r="G2851" i="9"/>
  <c r="H2850" i="9"/>
  <c r="G2850" i="9"/>
  <c r="H2849" i="9"/>
  <c r="G2849" i="9"/>
  <c r="H2848" i="9"/>
  <c r="G2848" i="9"/>
  <c r="H2847" i="9"/>
  <c r="G2847" i="9"/>
  <c r="H2846" i="9"/>
  <c r="G2846" i="9"/>
  <c r="H2845" i="9"/>
  <c r="G2845" i="9"/>
  <c r="H2844" i="9"/>
  <c r="G2844" i="9"/>
  <c r="H2843" i="9"/>
  <c r="G2843" i="9"/>
  <c r="H2842" i="9"/>
  <c r="G2842" i="9"/>
  <c r="H2841" i="9"/>
  <c r="G2841" i="9"/>
  <c r="H2840" i="9"/>
  <c r="G2840" i="9"/>
  <c r="H2839" i="9"/>
  <c r="G2839" i="9"/>
  <c r="H2838" i="9"/>
  <c r="G2838" i="9"/>
  <c r="H2837" i="9"/>
  <c r="G2837" i="9"/>
  <c r="H2836" i="9"/>
  <c r="G2836" i="9"/>
  <c r="H2835" i="9"/>
  <c r="G2835" i="9"/>
  <c r="H2834" i="9"/>
  <c r="G2834" i="9"/>
  <c r="H2833" i="9"/>
  <c r="G2833" i="9"/>
  <c r="H2832" i="9"/>
  <c r="G2832" i="9"/>
  <c r="H2831" i="9"/>
  <c r="G2831" i="9"/>
  <c r="H2830" i="9"/>
  <c r="G2830" i="9"/>
  <c r="H2829" i="9"/>
  <c r="G2829" i="9"/>
  <c r="H2828" i="9"/>
  <c r="G2828" i="9"/>
  <c r="H2827" i="9"/>
  <c r="G2827" i="9"/>
  <c r="H2826" i="9"/>
  <c r="G2826" i="9"/>
  <c r="H2825" i="9"/>
  <c r="G2825" i="9"/>
  <c r="H2824" i="9"/>
  <c r="G2824" i="9"/>
  <c r="H2823" i="9"/>
  <c r="G2823" i="9"/>
  <c r="H2822" i="9"/>
  <c r="G2822" i="9"/>
  <c r="H2821" i="9"/>
  <c r="G2821" i="9"/>
  <c r="H2820" i="9"/>
  <c r="G2820" i="9"/>
  <c r="H2819" i="9"/>
  <c r="G2819" i="9"/>
  <c r="H2818" i="9"/>
  <c r="G2818" i="9"/>
  <c r="H2817" i="9"/>
  <c r="G2817" i="9"/>
  <c r="H2816" i="9"/>
  <c r="G2816" i="9"/>
  <c r="H2815" i="9"/>
  <c r="G2815" i="9"/>
  <c r="H2814" i="9"/>
  <c r="G2814" i="9"/>
  <c r="H2813" i="9"/>
  <c r="G2813" i="9"/>
  <c r="H2812" i="9"/>
  <c r="G2812" i="9"/>
  <c r="H2811" i="9"/>
  <c r="G2811" i="9"/>
  <c r="H2810" i="9"/>
  <c r="G2810" i="9"/>
  <c r="H2809" i="9"/>
  <c r="G2809" i="9"/>
  <c r="H2808" i="9"/>
  <c r="G2808" i="9"/>
  <c r="H2807" i="9"/>
  <c r="G2807" i="9"/>
  <c r="H2806" i="9"/>
  <c r="G2806" i="9"/>
  <c r="H2805" i="9"/>
  <c r="G2805" i="9"/>
  <c r="H2804" i="9"/>
  <c r="G2804" i="9"/>
  <c r="H2803" i="9"/>
  <c r="G2803" i="9"/>
  <c r="H2802" i="9"/>
  <c r="G2802" i="9"/>
  <c r="H2801" i="9"/>
  <c r="G2801" i="9"/>
  <c r="H2800" i="9"/>
  <c r="G2800" i="9"/>
  <c r="H2799" i="9"/>
  <c r="G2799" i="9"/>
  <c r="H2798" i="9"/>
  <c r="G2798" i="9"/>
  <c r="H2797" i="9"/>
  <c r="G2797" i="9"/>
  <c r="H2796" i="9"/>
  <c r="G2796" i="9"/>
  <c r="H2795" i="9"/>
  <c r="G2795" i="9"/>
  <c r="H2794" i="9"/>
  <c r="G2794" i="9"/>
  <c r="H2793" i="9"/>
  <c r="G2793" i="9"/>
  <c r="H2792" i="9"/>
  <c r="G2792" i="9"/>
  <c r="H2791" i="9"/>
  <c r="G2791" i="9"/>
  <c r="H2790" i="9"/>
  <c r="G2790" i="9"/>
  <c r="H2789" i="9"/>
  <c r="G2789" i="9"/>
  <c r="H2788" i="9"/>
  <c r="G2788" i="9"/>
  <c r="H2787" i="9"/>
  <c r="G2787" i="9"/>
  <c r="H2786" i="9"/>
  <c r="G2786" i="9"/>
  <c r="H2785" i="9"/>
  <c r="G2785" i="9"/>
  <c r="H2784" i="9"/>
  <c r="G2784" i="9"/>
  <c r="H2783" i="9"/>
  <c r="G2783" i="9"/>
  <c r="H2782" i="9"/>
  <c r="G2782" i="9"/>
  <c r="H2781" i="9"/>
  <c r="G2781" i="9"/>
  <c r="H2780" i="9"/>
  <c r="G2780" i="9"/>
  <c r="H2779" i="9"/>
  <c r="G2779" i="9"/>
  <c r="H2778" i="9"/>
  <c r="G2778" i="9"/>
  <c r="H2777" i="9"/>
  <c r="G2777" i="9"/>
  <c r="H2776" i="9"/>
  <c r="G2776" i="9"/>
  <c r="H2775" i="9"/>
  <c r="G2775" i="9"/>
  <c r="H2774" i="9"/>
  <c r="G2774" i="9"/>
  <c r="H2773" i="9"/>
  <c r="G2773" i="9"/>
  <c r="H2772" i="9"/>
  <c r="G2772" i="9"/>
  <c r="H2771" i="9"/>
  <c r="G2771" i="9"/>
  <c r="H2770" i="9"/>
  <c r="G2770" i="9"/>
  <c r="H2769" i="9"/>
  <c r="G2769" i="9"/>
  <c r="H2768" i="9"/>
  <c r="G2768" i="9"/>
  <c r="H2767" i="9"/>
  <c r="G2767" i="9"/>
  <c r="H2766" i="9"/>
  <c r="G2766" i="9"/>
  <c r="H2765" i="9"/>
  <c r="G2765" i="9"/>
  <c r="H2764" i="9"/>
  <c r="G2764" i="9"/>
  <c r="H2763" i="9"/>
  <c r="G2763" i="9"/>
  <c r="H2762" i="9"/>
  <c r="G2762" i="9"/>
  <c r="H2761" i="9"/>
  <c r="G2761" i="9"/>
  <c r="H2760" i="9"/>
  <c r="G2760" i="9"/>
  <c r="H2759" i="9"/>
  <c r="G2759" i="9"/>
  <c r="H2758" i="9"/>
  <c r="G2758" i="9"/>
  <c r="H2757" i="9"/>
  <c r="G2757" i="9"/>
  <c r="H2756" i="9"/>
  <c r="G2756" i="9"/>
  <c r="H2755" i="9"/>
  <c r="G2755" i="9"/>
  <c r="H2754" i="9"/>
  <c r="G2754" i="9"/>
  <c r="H2753" i="9"/>
  <c r="G2753" i="9"/>
  <c r="H2752" i="9"/>
  <c r="G2752" i="9"/>
  <c r="H2751" i="9"/>
  <c r="G2751" i="9"/>
  <c r="H2750" i="9"/>
  <c r="G2750" i="9"/>
  <c r="H2749" i="9"/>
  <c r="G2749" i="9"/>
  <c r="H2748" i="9"/>
  <c r="G2748" i="9"/>
  <c r="H2747" i="9"/>
  <c r="G2747" i="9"/>
  <c r="H2746" i="9"/>
  <c r="G2746" i="9"/>
  <c r="H2745" i="9"/>
  <c r="G2745" i="9"/>
  <c r="H2744" i="9"/>
  <c r="G2744" i="9"/>
  <c r="H2743" i="9"/>
  <c r="G2743" i="9"/>
  <c r="H2742" i="9"/>
  <c r="G2742" i="9"/>
  <c r="H2741" i="9"/>
  <c r="G2741" i="9"/>
  <c r="H2740" i="9"/>
  <c r="G2740" i="9"/>
  <c r="H2739" i="9"/>
  <c r="G2739" i="9"/>
  <c r="H2738" i="9"/>
  <c r="G2738" i="9"/>
  <c r="H2737" i="9"/>
  <c r="G2737" i="9"/>
  <c r="H2736" i="9"/>
  <c r="G2736" i="9"/>
  <c r="H2735" i="9"/>
  <c r="G2735" i="9"/>
  <c r="H2734" i="9"/>
  <c r="G2734" i="9"/>
  <c r="H2733" i="9"/>
  <c r="G2733" i="9"/>
  <c r="H2732" i="9"/>
  <c r="G2732" i="9"/>
  <c r="H2731" i="9"/>
  <c r="G2731" i="9"/>
  <c r="H2730" i="9"/>
  <c r="G2730" i="9"/>
  <c r="H2729" i="9"/>
  <c r="G2729" i="9"/>
  <c r="H2728" i="9"/>
  <c r="G2728" i="9"/>
  <c r="H2727" i="9"/>
  <c r="G2727" i="9"/>
  <c r="H2726" i="9"/>
  <c r="G2726" i="9"/>
  <c r="H2725" i="9"/>
  <c r="G2725" i="9"/>
  <c r="H2724" i="9"/>
  <c r="G2724" i="9"/>
  <c r="H2723" i="9"/>
  <c r="G2723" i="9"/>
  <c r="H2722" i="9"/>
  <c r="G2722" i="9"/>
  <c r="H2721" i="9"/>
  <c r="G2721" i="9"/>
  <c r="H2720" i="9"/>
  <c r="G2720" i="9"/>
  <c r="H2719" i="9"/>
  <c r="G2719" i="9"/>
  <c r="H2718" i="9"/>
  <c r="G2718" i="9"/>
  <c r="H2717" i="9"/>
  <c r="G2717" i="9"/>
  <c r="H2716" i="9"/>
  <c r="G2716" i="9"/>
  <c r="H2715" i="9"/>
  <c r="G2715" i="9"/>
  <c r="H2714" i="9"/>
  <c r="G2714" i="9"/>
  <c r="H2713" i="9"/>
  <c r="G2713" i="9"/>
  <c r="H2712" i="9"/>
  <c r="G2712" i="9"/>
  <c r="H2711" i="9"/>
  <c r="G2711" i="9"/>
  <c r="H2710" i="9"/>
  <c r="G2710" i="9"/>
  <c r="H2709" i="9"/>
  <c r="G2709" i="9"/>
  <c r="H2708" i="9"/>
  <c r="G2708" i="9"/>
  <c r="H2707" i="9"/>
  <c r="G2707" i="9"/>
  <c r="H2706" i="9"/>
  <c r="G2706" i="9"/>
  <c r="H2705" i="9"/>
  <c r="G2705" i="9"/>
  <c r="H2704" i="9"/>
  <c r="G2704" i="9"/>
  <c r="H2703" i="9"/>
  <c r="G2703" i="9"/>
  <c r="H2702" i="9"/>
  <c r="G2702" i="9"/>
  <c r="H2701" i="9"/>
  <c r="G2701" i="9"/>
  <c r="H2700" i="9"/>
  <c r="G2700" i="9"/>
  <c r="H2699" i="9"/>
  <c r="G2699" i="9"/>
  <c r="H2698" i="9"/>
  <c r="G2698" i="9"/>
  <c r="H2697" i="9"/>
  <c r="G2697" i="9"/>
  <c r="H2696" i="9"/>
  <c r="G2696" i="9"/>
  <c r="H2695" i="9"/>
  <c r="G2695" i="9"/>
  <c r="H2694" i="9"/>
  <c r="G2694" i="9"/>
  <c r="H2693" i="9"/>
  <c r="G2693" i="9"/>
  <c r="H2692" i="9"/>
  <c r="G2692" i="9"/>
  <c r="H2691" i="9"/>
  <c r="G2691" i="9"/>
  <c r="H2690" i="9"/>
  <c r="G2690" i="9"/>
  <c r="H2689" i="9"/>
  <c r="G2689" i="9"/>
  <c r="H2688" i="9"/>
  <c r="G2688" i="9"/>
  <c r="H2687" i="9"/>
  <c r="G2687" i="9"/>
  <c r="H2686" i="9"/>
  <c r="G2686" i="9"/>
  <c r="H2685" i="9"/>
  <c r="G2685" i="9"/>
  <c r="H2684" i="9"/>
  <c r="G2684" i="9"/>
  <c r="H2683" i="9"/>
  <c r="G2683" i="9"/>
  <c r="H2682" i="9"/>
  <c r="G2682" i="9"/>
  <c r="H2681" i="9"/>
  <c r="G2681" i="9"/>
  <c r="H2680" i="9"/>
  <c r="G2680" i="9"/>
  <c r="H2679" i="9"/>
  <c r="G2679" i="9"/>
  <c r="H2678" i="9"/>
  <c r="G2678" i="9"/>
  <c r="H2677" i="9"/>
  <c r="G2677" i="9"/>
  <c r="H2676" i="9"/>
  <c r="G2676" i="9"/>
  <c r="H2675" i="9"/>
  <c r="G2675" i="9"/>
  <c r="H2674" i="9"/>
  <c r="G2674" i="9"/>
  <c r="H2673" i="9"/>
  <c r="G2673" i="9"/>
  <c r="H2672" i="9"/>
  <c r="G2672" i="9"/>
  <c r="H2671" i="9"/>
  <c r="G2671" i="9"/>
  <c r="H2670" i="9"/>
  <c r="G2670" i="9"/>
  <c r="H2669" i="9"/>
  <c r="G2669" i="9"/>
  <c r="H2668" i="9"/>
  <c r="G2668" i="9"/>
  <c r="H2667" i="9"/>
  <c r="G2667" i="9"/>
  <c r="H2666" i="9"/>
  <c r="G2666" i="9"/>
  <c r="H2665" i="9"/>
  <c r="G2665" i="9"/>
  <c r="H2664" i="9"/>
  <c r="G2664" i="9"/>
  <c r="H2663" i="9"/>
  <c r="G2663" i="9"/>
  <c r="H2662" i="9"/>
  <c r="G2662" i="9"/>
  <c r="H2661" i="9"/>
  <c r="G2661" i="9"/>
  <c r="H2660" i="9"/>
  <c r="G2660" i="9"/>
  <c r="H2659" i="9"/>
  <c r="G2659" i="9"/>
  <c r="H2658" i="9"/>
  <c r="G2658" i="9"/>
  <c r="H2657" i="9"/>
  <c r="G2657" i="9"/>
  <c r="H2656" i="9"/>
  <c r="G2656" i="9"/>
  <c r="H2655" i="9"/>
  <c r="G2655" i="9"/>
  <c r="H2654" i="9"/>
  <c r="G2654" i="9"/>
  <c r="H2653" i="9"/>
  <c r="G2653" i="9"/>
  <c r="H2652" i="9"/>
  <c r="G2652" i="9"/>
  <c r="H2651" i="9"/>
  <c r="G2651" i="9"/>
  <c r="H2650" i="9"/>
  <c r="G2650" i="9"/>
  <c r="H2649" i="9"/>
  <c r="G2649" i="9"/>
  <c r="H2648" i="9"/>
  <c r="G2648" i="9"/>
  <c r="H2647" i="9"/>
  <c r="G2647" i="9"/>
  <c r="H2646" i="9"/>
  <c r="G2646" i="9"/>
  <c r="H2645" i="9"/>
  <c r="G2645" i="9"/>
  <c r="H2644" i="9"/>
  <c r="G2644" i="9"/>
  <c r="H2643" i="9"/>
  <c r="G2643" i="9"/>
  <c r="H2642" i="9"/>
  <c r="G2642" i="9"/>
  <c r="H2641" i="9"/>
  <c r="G2641" i="9"/>
  <c r="H2640" i="9"/>
  <c r="G2640" i="9"/>
  <c r="H2639" i="9"/>
  <c r="G2639" i="9"/>
  <c r="H2638" i="9"/>
  <c r="G2638" i="9"/>
  <c r="H2637" i="9"/>
  <c r="G2637" i="9"/>
  <c r="H2636" i="9"/>
  <c r="G2636" i="9"/>
  <c r="H2635" i="9"/>
  <c r="G2635" i="9"/>
  <c r="H2634" i="9"/>
  <c r="G2634" i="9"/>
  <c r="H2633" i="9"/>
  <c r="G2633" i="9"/>
  <c r="H2632" i="9"/>
  <c r="G2632" i="9"/>
  <c r="H2631" i="9"/>
  <c r="G2631" i="9"/>
  <c r="H2630" i="9"/>
  <c r="G2630" i="9"/>
  <c r="H2629" i="9"/>
  <c r="G2629" i="9"/>
  <c r="H2628" i="9"/>
  <c r="G2628" i="9"/>
  <c r="H2627" i="9"/>
  <c r="G2627" i="9"/>
  <c r="H2626" i="9"/>
  <c r="G2626" i="9"/>
  <c r="H2625" i="9"/>
  <c r="G2625" i="9"/>
  <c r="H2624" i="9"/>
  <c r="G2624" i="9"/>
  <c r="H2623" i="9"/>
  <c r="G2623" i="9"/>
  <c r="H2622" i="9"/>
  <c r="G2622" i="9"/>
  <c r="H2621" i="9"/>
  <c r="G2621" i="9"/>
  <c r="H2620" i="9"/>
  <c r="G2620" i="9"/>
  <c r="H2619" i="9"/>
  <c r="G2619" i="9"/>
  <c r="H2618" i="9"/>
  <c r="G2618" i="9"/>
  <c r="H2617" i="9"/>
  <c r="G2617" i="9"/>
  <c r="H2616" i="9"/>
  <c r="G2616" i="9"/>
  <c r="H2615" i="9"/>
  <c r="G2615" i="9"/>
  <c r="H2614" i="9"/>
  <c r="G2614" i="9"/>
  <c r="H2613" i="9"/>
  <c r="G2613" i="9"/>
  <c r="H2612" i="9"/>
  <c r="G2612" i="9"/>
  <c r="H2611" i="9"/>
  <c r="G2611" i="9"/>
  <c r="H2610" i="9"/>
  <c r="G2610" i="9"/>
  <c r="H2609" i="9"/>
  <c r="G2609" i="9"/>
  <c r="H2608" i="9"/>
  <c r="G2608" i="9"/>
  <c r="H2607" i="9"/>
  <c r="G2607" i="9"/>
  <c r="H2606" i="9"/>
  <c r="G2606" i="9"/>
  <c r="H2605" i="9"/>
  <c r="G2605" i="9"/>
  <c r="H2604" i="9"/>
  <c r="G2604" i="9"/>
  <c r="H2603" i="9"/>
  <c r="G2603" i="9"/>
  <c r="H2602" i="9"/>
  <c r="G2602" i="9"/>
  <c r="H2601" i="9"/>
  <c r="G2601" i="9"/>
  <c r="H2600" i="9"/>
  <c r="G2600" i="9"/>
  <c r="H2599" i="9"/>
  <c r="G2599" i="9"/>
  <c r="H2598" i="9"/>
  <c r="G2598" i="9"/>
  <c r="H2597" i="9"/>
  <c r="G2597" i="9"/>
  <c r="H2596" i="9"/>
  <c r="G2596" i="9"/>
  <c r="H2595" i="9"/>
  <c r="G2595" i="9"/>
  <c r="H2594" i="9"/>
  <c r="G2594" i="9"/>
  <c r="H2593" i="9"/>
  <c r="G2593" i="9"/>
  <c r="H2592" i="9"/>
  <c r="G2592" i="9"/>
  <c r="H2591" i="9"/>
  <c r="G2591" i="9"/>
  <c r="H2590" i="9"/>
  <c r="G2590" i="9"/>
  <c r="H2589" i="9"/>
  <c r="G2589" i="9"/>
  <c r="H2588" i="9"/>
  <c r="G2588" i="9"/>
  <c r="H2587" i="9"/>
  <c r="G2587" i="9"/>
  <c r="H2586" i="9"/>
  <c r="G2586" i="9"/>
  <c r="H2585" i="9"/>
  <c r="G2585" i="9"/>
  <c r="H2584" i="9"/>
  <c r="G2584" i="9"/>
  <c r="H2583" i="9"/>
  <c r="G2583" i="9"/>
  <c r="H2582" i="9"/>
  <c r="G2582" i="9"/>
  <c r="H2581" i="9"/>
  <c r="G2581" i="9"/>
  <c r="H2580" i="9"/>
  <c r="G2580" i="9"/>
  <c r="H2579" i="9"/>
  <c r="G2579" i="9"/>
  <c r="H2578" i="9"/>
  <c r="G2578" i="9"/>
  <c r="H2577" i="9"/>
  <c r="G2577" i="9"/>
  <c r="H2576" i="9"/>
  <c r="G2576" i="9"/>
  <c r="H2575" i="9"/>
  <c r="G2575" i="9"/>
  <c r="H2574" i="9"/>
  <c r="G2574" i="9"/>
  <c r="H2573" i="9"/>
  <c r="G2573" i="9"/>
  <c r="H2572" i="9"/>
  <c r="G2572" i="9"/>
  <c r="H2571" i="9"/>
  <c r="G2571" i="9"/>
  <c r="H2570" i="9"/>
  <c r="G2570" i="9"/>
  <c r="H2569" i="9"/>
  <c r="G2569" i="9"/>
  <c r="H2568" i="9"/>
  <c r="G2568" i="9"/>
  <c r="H2567" i="9"/>
  <c r="G2567" i="9"/>
  <c r="H2566" i="9"/>
  <c r="G2566" i="9"/>
  <c r="H2565" i="9"/>
  <c r="G2565" i="9"/>
  <c r="H2564" i="9"/>
  <c r="G2564" i="9"/>
  <c r="H2563" i="9"/>
  <c r="G2563" i="9"/>
  <c r="H2562" i="9"/>
  <c r="G2562" i="9"/>
  <c r="H2561" i="9"/>
  <c r="G2561" i="9"/>
  <c r="H2560" i="9"/>
  <c r="G2560" i="9"/>
  <c r="H2559" i="9"/>
  <c r="G2559" i="9"/>
  <c r="H2558" i="9"/>
  <c r="G2558" i="9"/>
  <c r="H2557" i="9"/>
  <c r="G2557" i="9"/>
  <c r="H2556" i="9"/>
  <c r="G2556" i="9"/>
  <c r="H2555" i="9"/>
  <c r="G2555" i="9"/>
  <c r="H2554" i="9"/>
  <c r="G2554" i="9"/>
  <c r="H2553" i="9"/>
  <c r="G2553" i="9"/>
  <c r="H2552" i="9"/>
  <c r="G2552" i="9"/>
  <c r="H2551" i="9"/>
  <c r="G2551" i="9"/>
  <c r="H2550" i="9"/>
  <c r="G2550" i="9"/>
  <c r="H2549" i="9"/>
  <c r="G2549" i="9"/>
  <c r="H2548" i="9"/>
  <c r="G2548" i="9"/>
  <c r="H2547" i="9"/>
  <c r="G2547" i="9"/>
  <c r="H2546" i="9"/>
  <c r="G2546" i="9"/>
  <c r="H2545" i="9"/>
  <c r="G2545" i="9"/>
  <c r="H2544" i="9"/>
  <c r="G2544" i="9"/>
  <c r="H2543" i="9"/>
  <c r="G2543" i="9"/>
  <c r="H2542" i="9"/>
  <c r="G2542" i="9"/>
  <c r="H2541" i="9"/>
  <c r="G2541" i="9"/>
  <c r="H2540" i="9"/>
  <c r="G2540" i="9"/>
  <c r="H2539" i="9"/>
  <c r="G2539" i="9"/>
  <c r="H2538" i="9"/>
  <c r="G2538" i="9"/>
  <c r="H2537" i="9"/>
  <c r="G2537" i="9"/>
  <c r="H2536" i="9"/>
  <c r="G2536" i="9"/>
  <c r="H2535" i="9"/>
  <c r="G2535" i="9"/>
  <c r="H2534" i="9"/>
  <c r="G2534" i="9"/>
  <c r="H2533" i="9"/>
  <c r="G2533" i="9"/>
  <c r="H2532" i="9"/>
  <c r="G2532" i="9"/>
  <c r="H2531" i="9"/>
  <c r="G2531" i="9"/>
  <c r="H2530" i="9"/>
  <c r="G2530" i="9"/>
  <c r="H2529" i="9"/>
  <c r="G2529" i="9"/>
  <c r="H2528" i="9"/>
  <c r="G2528" i="9"/>
  <c r="H2527" i="9"/>
  <c r="G2527" i="9"/>
  <c r="H2526" i="9"/>
  <c r="G2526" i="9"/>
  <c r="H2525" i="9"/>
  <c r="G2525" i="9"/>
  <c r="H2524" i="9"/>
  <c r="G2524" i="9"/>
  <c r="H2523" i="9"/>
  <c r="G2523" i="9"/>
  <c r="H2522" i="9"/>
  <c r="G2522" i="9"/>
  <c r="H2521" i="9"/>
  <c r="G2521" i="9"/>
  <c r="H2520" i="9"/>
  <c r="G2520" i="9"/>
  <c r="H2519" i="9"/>
  <c r="G2519" i="9"/>
  <c r="H2518" i="9"/>
  <c r="G2518" i="9"/>
  <c r="H2517" i="9"/>
  <c r="G2517" i="9"/>
  <c r="H2516" i="9"/>
  <c r="G2516" i="9"/>
  <c r="H2515" i="9"/>
  <c r="G2515" i="9"/>
  <c r="H2514" i="9"/>
  <c r="G2514" i="9"/>
  <c r="H2513" i="9"/>
  <c r="G2513" i="9"/>
  <c r="H2512" i="9"/>
  <c r="G2512" i="9"/>
  <c r="H2511" i="9"/>
  <c r="G2511" i="9"/>
  <c r="H2510" i="9"/>
  <c r="G2510" i="9"/>
  <c r="H2509" i="9"/>
  <c r="G2509" i="9"/>
  <c r="H2508" i="9"/>
  <c r="G2508" i="9"/>
  <c r="H2507" i="9"/>
  <c r="G2507" i="9"/>
  <c r="H2506" i="9"/>
  <c r="G2506" i="9"/>
  <c r="H2505" i="9"/>
  <c r="G2505" i="9"/>
  <c r="H2504" i="9"/>
  <c r="G2504" i="9"/>
  <c r="H2503" i="9"/>
  <c r="G2503" i="9"/>
  <c r="H2502" i="9"/>
  <c r="G2502" i="9"/>
  <c r="H2501" i="9"/>
  <c r="G2501" i="9"/>
  <c r="H2500" i="9"/>
  <c r="G2500" i="9"/>
  <c r="H2499" i="9"/>
  <c r="G2499" i="9"/>
  <c r="H2498" i="9"/>
  <c r="G2498" i="9"/>
  <c r="H2497" i="9"/>
  <c r="G2497" i="9"/>
  <c r="H2496" i="9"/>
  <c r="G2496" i="9"/>
  <c r="H2495" i="9"/>
  <c r="G2495" i="9"/>
  <c r="H2494" i="9"/>
  <c r="G2494" i="9"/>
  <c r="H2493" i="9"/>
  <c r="G2493" i="9"/>
  <c r="H2492" i="9"/>
  <c r="G2492" i="9"/>
  <c r="H2491" i="9"/>
  <c r="G2491" i="9"/>
  <c r="H2490" i="9"/>
  <c r="G2490" i="9"/>
  <c r="H2489" i="9"/>
  <c r="G2489" i="9"/>
  <c r="H2488" i="9"/>
  <c r="G2488" i="9"/>
  <c r="H2487" i="9"/>
  <c r="G2487" i="9"/>
  <c r="H2486" i="9"/>
  <c r="G2486" i="9"/>
  <c r="H2485" i="9"/>
  <c r="G2485" i="9"/>
  <c r="H2484" i="9"/>
  <c r="G2484" i="9"/>
  <c r="H2483" i="9"/>
  <c r="G2483" i="9"/>
  <c r="H2482" i="9"/>
  <c r="G2482" i="9"/>
  <c r="H2481" i="9"/>
  <c r="G2481" i="9"/>
  <c r="H2480" i="9"/>
  <c r="G2480" i="9"/>
  <c r="H2479" i="9"/>
  <c r="G2479" i="9"/>
  <c r="H2478" i="9"/>
  <c r="G2478" i="9"/>
  <c r="H2477" i="9"/>
  <c r="G2477" i="9"/>
  <c r="H2476" i="9"/>
  <c r="G2476" i="9"/>
  <c r="H2475" i="9"/>
  <c r="G2475" i="9"/>
  <c r="H2474" i="9"/>
  <c r="G2474" i="9"/>
  <c r="H2473" i="9"/>
  <c r="G2473" i="9"/>
  <c r="H2472" i="9"/>
  <c r="G2472" i="9"/>
  <c r="H2471" i="9"/>
  <c r="G2471" i="9"/>
  <c r="H2470" i="9"/>
  <c r="G2470" i="9"/>
  <c r="H2469" i="9"/>
  <c r="G2469" i="9"/>
  <c r="H2468" i="9"/>
  <c r="G2468" i="9"/>
  <c r="H2467" i="9"/>
  <c r="G2467" i="9"/>
  <c r="H2466" i="9"/>
  <c r="G2466" i="9"/>
  <c r="H2465" i="9"/>
  <c r="G2465" i="9"/>
  <c r="H2464" i="9"/>
  <c r="G2464" i="9"/>
  <c r="H2463" i="9"/>
  <c r="G2463" i="9"/>
  <c r="H2462" i="9"/>
  <c r="G2462" i="9"/>
  <c r="H2461" i="9"/>
  <c r="G2461" i="9"/>
  <c r="H2460" i="9"/>
  <c r="G2460" i="9"/>
  <c r="H2459" i="9"/>
  <c r="G2459" i="9"/>
  <c r="H2458" i="9"/>
  <c r="G2458" i="9"/>
  <c r="H2457" i="9"/>
  <c r="G2457" i="9"/>
  <c r="H2456" i="9"/>
  <c r="G2456" i="9"/>
  <c r="H2455" i="9"/>
  <c r="G2455" i="9"/>
  <c r="H2454" i="9"/>
  <c r="G2454" i="9"/>
  <c r="H2453" i="9"/>
  <c r="G2453" i="9"/>
  <c r="H2452" i="9"/>
  <c r="G2452" i="9"/>
  <c r="H2451" i="9"/>
  <c r="G2451" i="9"/>
  <c r="H2450" i="9"/>
  <c r="G2450" i="9"/>
  <c r="H2449" i="9"/>
  <c r="G2449" i="9"/>
  <c r="H2448" i="9"/>
  <c r="G2448" i="9"/>
  <c r="H2447" i="9"/>
  <c r="G2447" i="9"/>
  <c r="H2446" i="9"/>
  <c r="G2446" i="9"/>
  <c r="H2445" i="9"/>
  <c r="G2445" i="9"/>
  <c r="H2444" i="9"/>
  <c r="G2444" i="9"/>
  <c r="H2443" i="9"/>
  <c r="G2443" i="9"/>
  <c r="H2442" i="9"/>
  <c r="G2442" i="9"/>
  <c r="H2441" i="9"/>
  <c r="G2441" i="9"/>
  <c r="H2440" i="9"/>
  <c r="G2440" i="9"/>
  <c r="H2439" i="9"/>
  <c r="G2439" i="9"/>
  <c r="H2438" i="9"/>
  <c r="G2438" i="9"/>
  <c r="H2437" i="9"/>
  <c r="G2437" i="9"/>
  <c r="H2436" i="9"/>
  <c r="G2436" i="9"/>
  <c r="H2435" i="9"/>
  <c r="G2435" i="9"/>
  <c r="H2434" i="9"/>
  <c r="G2434" i="9"/>
  <c r="H2433" i="9"/>
  <c r="G2433" i="9"/>
  <c r="H2432" i="9"/>
  <c r="G2432" i="9"/>
  <c r="H2431" i="9"/>
  <c r="G2431" i="9"/>
  <c r="H2430" i="9"/>
  <c r="G2430" i="9"/>
  <c r="H2429" i="9"/>
  <c r="G2429" i="9"/>
  <c r="H2428" i="9"/>
  <c r="G2428" i="9"/>
  <c r="H2427" i="9"/>
  <c r="G2427" i="9"/>
  <c r="H2426" i="9"/>
  <c r="G2426" i="9"/>
  <c r="H2425" i="9"/>
  <c r="G2425" i="9"/>
  <c r="H2424" i="9"/>
  <c r="G2424" i="9"/>
  <c r="H2423" i="9"/>
  <c r="G2423" i="9"/>
  <c r="H2422" i="9"/>
  <c r="G2422" i="9"/>
  <c r="H2421" i="9"/>
  <c r="G2421" i="9"/>
  <c r="H2420" i="9"/>
  <c r="G2420" i="9"/>
  <c r="H2419" i="9"/>
  <c r="G2419" i="9"/>
  <c r="H2418" i="9"/>
  <c r="G2418" i="9"/>
  <c r="H2417" i="9"/>
  <c r="G2417" i="9"/>
  <c r="H2416" i="9"/>
  <c r="G2416" i="9"/>
  <c r="H2415" i="9"/>
  <c r="G2415" i="9"/>
  <c r="H2414" i="9"/>
  <c r="G2414" i="9"/>
  <c r="H2413" i="9"/>
  <c r="G2413" i="9"/>
  <c r="H2412" i="9"/>
  <c r="G2412" i="9"/>
  <c r="H2411" i="9"/>
  <c r="G2411" i="9"/>
  <c r="H2410" i="9"/>
  <c r="G2410" i="9"/>
  <c r="H2409" i="9"/>
  <c r="G2409" i="9"/>
  <c r="H2408" i="9"/>
  <c r="G2408" i="9"/>
  <c r="H2407" i="9"/>
  <c r="G2407" i="9"/>
  <c r="H2406" i="9"/>
  <c r="G2406" i="9"/>
  <c r="H2405" i="9"/>
  <c r="G2405" i="9"/>
  <c r="H2404" i="9"/>
  <c r="G2404" i="9"/>
  <c r="H2403" i="9"/>
  <c r="G2403" i="9"/>
  <c r="H2402" i="9"/>
  <c r="G2402" i="9"/>
  <c r="H2401" i="9"/>
  <c r="G2401" i="9"/>
  <c r="H2400" i="9"/>
  <c r="G2400" i="9"/>
  <c r="H2399" i="9"/>
  <c r="G2399" i="9"/>
  <c r="H2398" i="9"/>
  <c r="G2398" i="9"/>
  <c r="H2397" i="9"/>
  <c r="G2397" i="9"/>
  <c r="H2396" i="9"/>
  <c r="G2396" i="9"/>
  <c r="H2395" i="9"/>
  <c r="G2395" i="9"/>
  <c r="H2394" i="9"/>
  <c r="G2394" i="9"/>
  <c r="H2393" i="9"/>
  <c r="G2393" i="9"/>
  <c r="H2392" i="9"/>
  <c r="G2392" i="9"/>
  <c r="H2391" i="9"/>
  <c r="G2391" i="9"/>
  <c r="H2390" i="9"/>
  <c r="G2390" i="9"/>
  <c r="H2389" i="9"/>
  <c r="G2389" i="9"/>
  <c r="H2388" i="9"/>
  <c r="G2388" i="9"/>
  <c r="H2387" i="9"/>
  <c r="G2387" i="9"/>
  <c r="H2386" i="9"/>
  <c r="G2386" i="9"/>
  <c r="H2385" i="9"/>
  <c r="G2385" i="9"/>
  <c r="H2384" i="9"/>
  <c r="G2384" i="9"/>
  <c r="H2383" i="9"/>
  <c r="G2383" i="9"/>
  <c r="H2382" i="9"/>
  <c r="G2382" i="9"/>
  <c r="H2381" i="9"/>
  <c r="G2381" i="9"/>
  <c r="H2380" i="9"/>
  <c r="G2380" i="9"/>
  <c r="H2379" i="9"/>
  <c r="G2379" i="9"/>
  <c r="H2378" i="9"/>
  <c r="G2378" i="9"/>
  <c r="H2377" i="9"/>
  <c r="G2377" i="9"/>
  <c r="H2376" i="9"/>
  <c r="G2376" i="9"/>
  <c r="H2375" i="9"/>
  <c r="G2375" i="9"/>
  <c r="H2374" i="9"/>
  <c r="G2374" i="9"/>
  <c r="H2373" i="9"/>
  <c r="G2373" i="9"/>
  <c r="H2372" i="9"/>
  <c r="G2372" i="9"/>
  <c r="H2371" i="9"/>
  <c r="G2371" i="9"/>
  <c r="H2370" i="9"/>
  <c r="G2370" i="9"/>
  <c r="H2369" i="9"/>
  <c r="G2369" i="9"/>
  <c r="H2368" i="9"/>
  <c r="G2368" i="9"/>
  <c r="H2367" i="9"/>
  <c r="G2367" i="9"/>
  <c r="H2366" i="9"/>
  <c r="G2366" i="9"/>
  <c r="H2365" i="9"/>
  <c r="G2365" i="9"/>
  <c r="H2364" i="9"/>
  <c r="G2364" i="9"/>
  <c r="H2363" i="9"/>
  <c r="G2363" i="9"/>
  <c r="H2362" i="9"/>
  <c r="G2362" i="9"/>
  <c r="H2361" i="9"/>
  <c r="G2361" i="9"/>
  <c r="H2360" i="9"/>
  <c r="G2360" i="9"/>
  <c r="H2359" i="9"/>
  <c r="G2359" i="9"/>
  <c r="H2358" i="9"/>
  <c r="G2358" i="9"/>
  <c r="H2357" i="9"/>
  <c r="G2357" i="9"/>
  <c r="H2356" i="9"/>
  <c r="G2356" i="9"/>
  <c r="H2355" i="9"/>
  <c r="G2355" i="9"/>
  <c r="H2354" i="9"/>
  <c r="G2354" i="9"/>
  <c r="H2353" i="9"/>
  <c r="G2353" i="9"/>
  <c r="H2352" i="9"/>
  <c r="G2352" i="9"/>
  <c r="H2351" i="9"/>
  <c r="G2351" i="9"/>
  <c r="H2350" i="9"/>
  <c r="G2350" i="9"/>
  <c r="H2349" i="9"/>
  <c r="G2349" i="9"/>
  <c r="H2348" i="9"/>
  <c r="G2348" i="9"/>
  <c r="H2347" i="9"/>
  <c r="G2347" i="9"/>
  <c r="H2346" i="9"/>
  <c r="G2346" i="9"/>
  <c r="H2345" i="9"/>
  <c r="G2345" i="9"/>
  <c r="H2344" i="9"/>
  <c r="G2344" i="9"/>
  <c r="H2343" i="9"/>
  <c r="G2343" i="9"/>
  <c r="H2342" i="9"/>
  <c r="G2342" i="9"/>
  <c r="H2341" i="9"/>
  <c r="G2341" i="9"/>
  <c r="H2340" i="9"/>
  <c r="G2340" i="9"/>
  <c r="H2339" i="9"/>
  <c r="G2339" i="9"/>
  <c r="H2338" i="9"/>
  <c r="G2338" i="9"/>
  <c r="H2337" i="9"/>
  <c r="G2337" i="9"/>
  <c r="H2336" i="9"/>
  <c r="G2336" i="9"/>
  <c r="H2335" i="9"/>
  <c r="G2335" i="9"/>
  <c r="H2334" i="9"/>
  <c r="G2334" i="9"/>
  <c r="H2333" i="9"/>
  <c r="G2333" i="9"/>
  <c r="H2332" i="9"/>
  <c r="G2332" i="9"/>
  <c r="H2331" i="9"/>
  <c r="G2331" i="9"/>
  <c r="H2330" i="9"/>
  <c r="G2330" i="9"/>
  <c r="H2329" i="9"/>
  <c r="G2329" i="9"/>
  <c r="H2328" i="9"/>
  <c r="G2328" i="9"/>
  <c r="H2327" i="9"/>
  <c r="G2327" i="9"/>
  <c r="H2326" i="9"/>
  <c r="G2326" i="9"/>
  <c r="H2325" i="9"/>
  <c r="G2325" i="9"/>
  <c r="H2324" i="9"/>
  <c r="G2324" i="9"/>
  <c r="H2323" i="9"/>
  <c r="G2323" i="9"/>
  <c r="H2322" i="9"/>
  <c r="G2322" i="9"/>
  <c r="H2321" i="9"/>
  <c r="G2321" i="9"/>
  <c r="H2320" i="9"/>
  <c r="G2320" i="9"/>
  <c r="H2319" i="9"/>
  <c r="G2319" i="9"/>
  <c r="H2318" i="9"/>
  <c r="G2318" i="9"/>
  <c r="H2317" i="9"/>
  <c r="G2317" i="9"/>
  <c r="H2316" i="9"/>
  <c r="G2316" i="9"/>
  <c r="H2315" i="9"/>
  <c r="G2315" i="9"/>
  <c r="H2314" i="9"/>
  <c r="G2314" i="9"/>
  <c r="H2313" i="9"/>
  <c r="G2313" i="9"/>
  <c r="H2312" i="9"/>
  <c r="G2312" i="9"/>
  <c r="H2311" i="9"/>
  <c r="G2311" i="9"/>
  <c r="H2310" i="9"/>
  <c r="G2310" i="9"/>
  <c r="H2309" i="9"/>
  <c r="G2309" i="9"/>
  <c r="H2308" i="9"/>
  <c r="G2308" i="9"/>
  <c r="H2307" i="9"/>
  <c r="G2307" i="9"/>
  <c r="H2306" i="9"/>
  <c r="G2306" i="9"/>
  <c r="H2305" i="9"/>
  <c r="G2305" i="9"/>
  <c r="H2304" i="9"/>
  <c r="G2304" i="9"/>
  <c r="H2303" i="9"/>
  <c r="G2303" i="9"/>
  <c r="H2302" i="9"/>
  <c r="G2302" i="9"/>
  <c r="H2301" i="9"/>
  <c r="G2301" i="9"/>
  <c r="H2300" i="9"/>
  <c r="G2300" i="9"/>
  <c r="H2299" i="9"/>
  <c r="G2299" i="9"/>
  <c r="H2298" i="9"/>
  <c r="G2298" i="9"/>
  <c r="H2297" i="9"/>
  <c r="G2297" i="9"/>
  <c r="H2296" i="9"/>
  <c r="G2296" i="9"/>
  <c r="H2295" i="9"/>
  <c r="G2295" i="9"/>
  <c r="H2294" i="9"/>
  <c r="G2294" i="9"/>
  <c r="H2293" i="9"/>
  <c r="G2293" i="9"/>
  <c r="H2292" i="9"/>
  <c r="G2292" i="9"/>
  <c r="H2291" i="9"/>
  <c r="G2291" i="9"/>
  <c r="H2290" i="9"/>
  <c r="G2290" i="9"/>
  <c r="H2289" i="9"/>
  <c r="G2289" i="9"/>
  <c r="H2288" i="9"/>
  <c r="G2288" i="9"/>
  <c r="H2287" i="9"/>
  <c r="G2287" i="9"/>
  <c r="H2286" i="9"/>
  <c r="G2286" i="9"/>
  <c r="H2285" i="9"/>
  <c r="G2285" i="9"/>
  <c r="H2284" i="9"/>
  <c r="G2284" i="9"/>
  <c r="H2283" i="9"/>
  <c r="G2283" i="9"/>
  <c r="H2282" i="9"/>
  <c r="G2282" i="9"/>
  <c r="H2281" i="9"/>
  <c r="G2281" i="9"/>
  <c r="H2280" i="9"/>
  <c r="G2280" i="9"/>
  <c r="H2279" i="9"/>
  <c r="G2279" i="9"/>
  <c r="H2278" i="9"/>
  <c r="G2278" i="9"/>
  <c r="H2277" i="9"/>
  <c r="G2277" i="9"/>
  <c r="H2276" i="9"/>
  <c r="G2276" i="9"/>
  <c r="H2275" i="9"/>
  <c r="G2275" i="9"/>
  <c r="H2274" i="9"/>
  <c r="G2274" i="9"/>
  <c r="H2273" i="9"/>
  <c r="G2273" i="9"/>
  <c r="H2272" i="9"/>
  <c r="G2272" i="9"/>
  <c r="H2271" i="9"/>
  <c r="G2271" i="9"/>
  <c r="H2270" i="9"/>
  <c r="G2270" i="9"/>
  <c r="H2269" i="9"/>
  <c r="G2269" i="9"/>
  <c r="H2268" i="9"/>
  <c r="G2268" i="9"/>
  <c r="H2267" i="9"/>
  <c r="G2267" i="9"/>
  <c r="H2266" i="9"/>
  <c r="G2266" i="9"/>
  <c r="H2265" i="9"/>
  <c r="G2265" i="9"/>
  <c r="H2264" i="9"/>
  <c r="G2264" i="9"/>
  <c r="H2263" i="9"/>
  <c r="G2263" i="9"/>
  <c r="H2262" i="9"/>
  <c r="G2262" i="9"/>
  <c r="H2261" i="9"/>
  <c r="G2261" i="9"/>
  <c r="H2260" i="9"/>
  <c r="G2260" i="9"/>
  <c r="H2259" i="9"/>
  <c r="G2259" i="9"/>
  <c r="H2258" i="9"/>
  <c r="G2258" i="9"/>
  <c r="H2257" i="9"/>
  <c r="G2257" i="9"/>
  <c r="H2256" i="9"/>
  <c r="G2256" i="9"/>
  <c r="H2255" i="9"/>
  <c r="G2255" i="9"/>
  <c r="H2254" i="9"/>
  <c r="G2254" i="9"/>
  <c r="H2253" i="9"/>
  <c r="G2253" i="9"/>
  <c r="H2252" i="9"/>
  <c r="G2252" i="9"/>
  <c r="H2251" i="9"/>
  <c r="G2251" i="9"/>
  <c r="H2250" i="9"/>
  <c r="G2250" i="9"/>
  <c r="H2249" i="9"/>
  <c r="G2249" i="9"/>
  <c r="H2248" i="9"/>
  <c r="G2248" i="9"/>
  <c r="H2247" i="9"/>
  <c r="G2247" i="9"/>
  <c r="H2246" i="9"/>
  <c r="G2246" i="9"/>
  <c r="H2245" i="9"/>
  <c r="G2245" i="9"/>
  <c r="H2244" i="9"/>
  <c r="G2244" i="9"/>
  <c r="H2243" i="9"/>
  <c r="G2243" i="9"/>
  <c r="H2242" i="9"/>
  <c r="G2242" i="9"/>
  <c r="H2241" i="9"/>
  <c r="G2241" i="9"/>
  <c r="H2240" i="9"/>
  <c r="G2240" i="9"/>
  <c r="H2239" i="9"/>
  <c r="G2239" i="9"/>
  <c r="H2238" i="9"/>
  <c r="G2238" i="9"/>
  <c r="H2237" i="9"/>
  <c r="G2237" i="9"/>
  <c r="H2236" i="9"/>
  <c r="G2236" i="9"/>
  <c r="H2235" i="9"/>
  <c r="G2235" i="9"/>
  <c r="H2234" i="9"/>
  <c r="G2234" i="9"/>
  <c r="H2233" i="9"/>
  <c r="G2233" i="9"/>
  <c r="H2232" i="9"/>
  <c r="G2232" i="9"/>
  <c r="H2231" i="9"/>
  <c r="G2231" i="9"/>
  <c r="H2230" i="9"/>
  <c r="G2230" i="9"/>
  <c r="H2229" i="9"/>
  <c r="G2229" i="9"/>
  <c r="H2228" i="9"/>
  <c r="G2228" i="9"/>
  <c r="H2227" i="9"/>
  <c r="G2227" i="9"/>
  <c r="H2226" i="9"/>
  <c r="G2226" i="9"/>
  <c r="H2225" i="9"/>
  <c r="G2225" i="9"/>
  <c r="H2224" i="9"/>
  <c r="G2224" i="9"/>
  <c r="H2223" i="9"/>
  <c r="G2223" i="9"/>
  <c r="H2222" i="9"/>
  <c r="G2222" i="9"/>
  <c r="H2221" i="9"/>
  <c r="G2221" i="9"/>
  <c r="H2220" i="9"/>
  <c r="G2220" i="9"/>
  <c r="H2219" i="9"/>
  <c r="G2219" i="9"/>
  <c r="H2218" i="9"/>
  <c r="G2218" i="9"/>
  <c r="H2217" i="9"/>
  <c r="G2217" i="9"/>
  <c r="H2216" i="9"/>
  <c r="G2216" i="9"/>
  <c r="H2215" i="9"/>
  <c r="G2215" i="9"/>
  <c r="H2214" i="9"/>
  <c r="G2214" i="9"/>
  <c r="H2213" i="9"/>
  <c r="G2213" i="9"/>
  <c r="H2212" i="9"/>
  <c r="G2212" i="9"/>
  <c r="H2211" i="9"/>
  <c r="G2211" i="9"/>
  <c r="H2210" i="9"/>
  <c r="G2210" i="9"/>
  <c r="H2209" i="9"/>
  <c r="G2209" i="9"/>
  <c r="H2208" i="9"/>
  <c r="G2208" i="9"/>
  <c r="H2207" i="9"/>
  <c r="G2207" i="9"/>
  <c r="H2206" i="9"/>
  <c r="G2206" i="9"/>
  <c r="H2205" i="9"/>
  <c r="G2205" i="9"/>
  <c r="H2204" i="9"/>
  <c r="G2204" i="9"/>
  <c r="H2203" i="9"/>
  <c r="G2203" i="9"/>
  <c r="H2202" i="9"/>
  <c r="G2202" i="9"/>
  <c r="H2201" i="9"/>
  <c r="G2201" i="9"/>
  <c r="H2200" i="9"/>
  <c r="G2200" i="9"/>
  <c r="H2199" i="9"/>
  <c r="G2199" i="9"/>
  <c r="H2198" i="9"/>
  <c r="G2198" i="9"/>
  <c r="H2197" i="9"/>
  <c r="G2197" i="9"/>
  <c r="H2196" i="9"/>
  <c r="G2196" i="9"/>
  <c r="H2195" i="9"/>
  <c r="G2195" i="9"/>
  <c r="H2194" i="9"/>
  <c r="G2194" i="9"/>
  <c r="H2193" i="9"/>
  <c r="G2193" i="9"/>
  <c r="H2192" i="9"/>
  <c r="G2192" i="9"/>
  <c r="H2191" i="9"/>
  <c r="G2191" i="9"/>
  <c r="H2190" i="9"/>
  <c r="G2190" i="9"/>
  <c r="H2189" i="9"/>
  <c r="G2189" i="9"/>
  <c r="H2188" i="9"/>
  <c r="G2188" i="9"/>
  <c r="H2187" i="9"/>
  <c r="G2187" i="9"/>
  <c r="H2186" i="9"/>
  <c r="G2186" i="9"/>
  <c r="H2185" i="9"/>
  <c r="G2185" i="9"/>
  <c r="H2184" i="9"/>
  <c r="G2184" i="9"/>
  <c r="H2183" i="9"/>
  <c r="G2183" i="9"/>
  <c r="H2182" i="9"/>
  <c r="G2182" i="9"/>
  <c r="H2181" i="9"/>
  <c r="G2181" i="9"/>
  <c r="H2180" i="9"/>
  <c r="G2180" i="9"/>
  <c r="H2179" i="9"/>
  <c r="G2179" i="9"/>
  <c r="H2178" i="9"/>
  <c r="G2178" i="9"/>
  <c r="H2177" i="9"/>
  <c r="G2177" i="9"/>
  <c r="H2176" i="9"/>
  <c r="G2176" i="9"/>
  <c r="H2175" i="9"/>
  <c r="G2175" i="9"/>
  <c r="H2174" i="9"/>
  <c r="G2174" i="9"/>
  <c r="H2173" i="9"/>
  <c r="G2173" i="9"/>
  <c r="H2172" i="9"/>
  <c r="G2172" i="9"/>
  <c r="H2171" i="9"/>
  <c r="G2171" i="9"/>
  <c r="H2170" i="9"/>
  <c r="G2170" i="9"/>
  <c r="H2169" i="9"/>
  <c r="G2169" i="9"/>
  <c r="H2168" i="9"/>
  <c r="G2168" i="9"/>
  <c r="H2167" i="9"/>
  <c r="G2167" i="9"/>
  <c r="H2166" i="9"/>
  <c r="G2166" i="9"/>
  <c r="H2165" i="9"/>
  <c r="G2165" i="9"/>
  <c r="H2164" i="9"/>
  <c r="G2164" i="9"/>
  <c r="H2163" i="9"/>
  <c r="G2163" i="9"/>
  <c r="H2162" i="9"/>
  <c r="G2162" i="9"/>
  <c r="H2161" i="9"/>
  <c r="G2161" i="9"/>
  <c r="H2160" i="9"/>
  <c r="G2160" i="9"/>
  <c r="H2159" i="9"/>
  <c r="G2159" i="9"/>
  <c r="H2158" i="9"/>
  <c r="G2158" i="9"/>
  <c r="H2157" i="9"/>
  <c r="G2157" i="9"/>
  <c r="H2156" i="9"/>
  <c r="G2156" i="9"/>
  <c r="H2155" i="9"/>
  <c r="G2155" i="9"/>
  <c r="H2154" i="9"/>
  <c r="G2154" i="9"/>
  <c r="H2153" i="9"/>
  <c r="G2153" i="9"/>
  <c r="H2152" i="9"/>
  <c r="G2152" i="9"/>
  <c r="H2151" i="9"/>
  <c r="G2151" i="9"/>
  <c r="H2150" i="9"/>
  <c r="G2150" i="9"/>
  <c r="H2149" i="9"/>
  <c r="G2149" i="9"/>
  <c r="H2148" i="9"/>
  <c r="G2148" i="9"/>
  <c r="H2147" i="9"/>
  <c r="G2147" i="9"/>
  <c r="H2146" i="9"/>
  <c r="G2146" i="9"/>
  <c r="H2145" i="9"/>
  <c r="G2145" i="9"/>
  <c r="H2144" i="9"/>
  <c r="G2144" i="9"/>
  <c r="H2143" i="9"/>
  <c r="G2143" i="9"/>
  <c r="H2142" i="9"/>
  <c r="G2142" i="9"/>
  <c r="H2141" i="9"/>
  <c r="G2141" i="9"/>
  <c r="H2140" i="9"/>
  <c r="G2140" i="9"/>
  <c r="H2139" i="9"/>
  <c r="G2139" i="9"/>
  <c r="H2138" i="9"/>
  <c r="G2138" i="9"/>
  <c r="H2137" i="9"/>
  <c r="G2137" i="9"/>
  <c r="H2136" i="9"/>
  <c r="G2136" i="9"/>
  <c r="H2135" i="9"/>
  <c r="G2135" i="9"/>
  <c r="H2134" i="9"/>
  <c r="G2134" i="9"/>
  <c r="H2133" i="9"/>
  <c r="G2133" i="9"/>
  <c r="H2132" i="9"/>
  <c r="G2132" i="9"/>
  <c r="H2131" i="9"/>
  <c r="G2131" i="9"/>
  <c r="H2130" i="9"/>
  <c r="G2130" i="9"/>
  <c r="H2129" i="9"/>
  <c r="G2129" i="9"/>
  <c r="H2128" i="9"/>
  <c r="G2128" i="9"/>
  <c r="H2127" i="9"/>
  <c r="G2127" i="9"/>
  <c r="H2126" i="9"/>
  <c r="G2126" i="9"/>
  <c r="H2125" i="9"/>
  <c r="G2125" i="9"/>
  <c r="H2124" i="9"/>
  <c r="G2124" i="9"/>
  <c r="H2123" i="9"/>
  <c r="G2123" i="9"/>
  <c r="H2122" i="9"/>
  <c r="G2122" i="9"/>
  <c r="H2121" i="9"/>
  <c r="G2121" i="9"/>
  <c r="H2120" i="9"/>
  <c r="G2120" i="9"/>
  <c r="H2119" i="9"/>
  <c r="G2119" i="9"/>
  <c r="H2118" i="9"/>
  <c r="G2118" i="9"/>
  <c r="H2117" i="9"/>
  <c r="G2117" i="9"/>
  <c r="H2116" i="9"/>
  <c r="G2116" i="9"/>
  <c r="H2115" i="9"/>
  <c r="G2115" i="9"/>
  <c r="H2114" i="9"/>
  <c r="G2114" i="9"/>
  <c r="H2113" i="9"/>
  <c r="G2113" i="9"/>
  <c r="H2112" i="9"/>
  <c r="G2112" i="9"/>
  <c r="H2111" i="9"/>
  <c r="G2111" i="9"/>
  <c r="H2110" i="9"/>
  <c r="G2110" i="9"/>
  <c r="H2109" i="9"/>
  <c r="G2109" i="9"/>
  <c r="H2108" i="9"/>
  <c r="G2108" i="9"/>
  <c r="H2107" i="9"/>
  <c r="G2107" i="9"/>
  <c r="H2106" i="9"/>
  <c r="G2106" i="9"/>
  <c r="H2105" i="9"/>
  <c r="G2105" i="9"/>
  <c r="H2104" i="9"/>
  <c r="G2104" i="9"/>
  <c r="H2103" i="9"/>
  <c r="G2103" i="9"/>
  <c r="H2102" i="9"/>
  <c r="G2102" i="9"/>
  <c r="H2101" i="9"/>
  <c r="G2101" i="9"/>
  <c r="H2100" i="9"/>
  <c r="G2100" i="9"/>
  <c r="H2099" i="9"/>
  <c r="G2099" i="9"/>
  <c r="H2098" i="9"/>
  <c r="G2098" i="9"/>
  <c r="H2097" i="9"/>
  <c r="G2097" i="9"/>
  <c r="H2096" i="9"/>
  <c r="G2096" i="9"/>
  <c r="H2095" i="9"/>
  <c r="G2095" i="9"/>
  <c r="H2094" i="9"/>
  <c r="G2094" i="9"/>
  <c r="H2093" i="9"/>
  <c r="G2093" i="9"/>
  <c r="H2092" i="9"/>
  <c r="G2092" i="9"/>
  <c r="H2091" i="9"/>
  <c r="G2091" i="9"/>
  <c r="H2090" i="9"/>
  <c r="G2090" i="9"/>
  <c r="H2089" i="9"/>
  <c r="G2089" i="9"/>
  <c r="H2088" i="9"/>
  <c r="G2088" i="9"/>
  <c r="H2087" i="9"/>
  <c r="G2087" i="9"/>
  <c r="H2086" i="9"/>
  <c r="G2086" i="9"/>
  <c r="H2085" i="9"/>
  <c r="G2085" i="9"/>
  <c r="H2084" i="9"/>
  <c r="G2084" i="9"/>
  <c r="H2083" i="9"/>
  <c r="G2083" i="9"/>
  <c r="H2082" i="9"/>
  <c r="G2082" i="9"/>
  <c r="H2081" i="9"/>
  <c r="G2081" i="9"/>
  <c r="H2080" i="9"/>
  <c r="G2080" i="9"/>
  <c r="H2079" i="9"/>
  <c r="G2079" i="9"/>
  <c r="H2078" i="9"/>
  <c r="G2078" i="9"/>
  <c r="H2077" i="9"/>
  <c r="G2077" i="9"/>
  <c r="H2076" i="9"/>
  <c r="G2076" i="9"/>
  <c r="H2075" i="9"/>
  <c r="G2075" i="9"/>
  <c r="H2074" i="9"/>
  <c r="G2074" i="9"/>
  <c r="H2073" i="9"/>
  <c r="G2073" i="9"/>
  <c r="H2072" i="9"/>
  <c r="G2072" i="9"/>
  <c r="H2071" i="9"/>
  <c r="G2071" i="9"/>
  <c r="H2070" i="9"/>
  <c r="G2070" i="9"/>
  <c r="H2069" i="9"/>
  <c r="G2069" i="9"/>
  <c r="H2068" i="9"/>
  <c r="G2068" i="9"/>
  <c r="H2067" i="9"/>
  <c r="G2067" i="9"/>
  <c r="H2066" i="9"/>
  <c r="G2066" i="9"/>
  <c r="H2065" i="9"/>
  <c r="G2065" i="9"/>
  <c r="H2064" i="9"/>
  <c r="G2064" i="9"/>
  <c r="H2063" i="9"/>
  <c r="G2063" i="9"/>
  <c r="H2062" i="9"/>
  <c r="G2062" i="9"/>
  <c r="H2061" i="9"/>
  <c r="G2061" i="9"/>
  <c r="H2060" i="9"/>
  <c r="G2060" i="9"/>
  <c r="H2059" i="9"/>
  <c r="G2059" i="9"/>
  <c r="H2058" i="9"/>
  <c r="G2058" i="9"/>
  <c r="H2057" i="9"/>
  <c r="G2057" i="9"/>
  <c r="H2056" i="9"/>
  <c r="G2056" i="9"/>
  <c r="H2055" i="9"/>
  <c r="G2055" i="9"/>
  <c r="H2054" i="9"/>
  <c r="G2054" i="9"/>
  <c r="H2053" i="9"/>
  <c r="G2053" i="9"/>
  <c r="H2052" i="9"/>
  <c r="G2052" i="9"/>
  <c r="H2051" i="9"/>
  <c r="G2051" i="9"/>
  <c r="H2050" i="9"/>
  <c r="G2050" i="9"/>
  <c r="H2049" i="9"/>
  <c r="G2049" i="9"/>
  <c r="H2048" i="9"/>
  <c r="G2048" i="9"/>
  <c r="H2047" i="9"/>
  <c r="G2047" i="9"/>
  <c r="H2046" i="9"/>
  <c r="G2046" i="9"/>
  <c r="H2045" i="9"/>
  <c r="G2045" i="9"/>
  <c r="H2044" i="9"/>
  <c r="G2044" i="9"/>
  <c r="H2043" i="9"/>
  <c r="G2043" i="9"/>
  <c r="H2042" i="9"/>
  <c r="G2042" i="9"/>
  <c r="H2041" i="9"/>
  <c r="G2041" i="9"/>
  <c r="H2040" i="9"/>
  <c r="G2040" i="9"/>
  <c r="H2039" i="9"/>
  <c r="G2039" i="9"/>
  <c r="H2038" i="9"/>
  <c r="G2038" i="9"/>
  <c r="H2037" i="9"/>
  <c r="G2037" i="9"/>
  <c r="H2036" i="9"/>
  <c r="G2036" i="9"/>
  <c r="H2035" i="9"/>
  <c r="G2035" i="9"/>
  <c r="H2034" i="9"/>
  <c r="G2034" i="9"/>
  <c r="H2033" i="9"/>
  <c r="G2033" i="9"/>
  <c r="H2032" i="9"/>
  <c r="G2032" i="9"/>
  <c r="H2031" i="9"/>
  <c r="G2031" i="9"/>
  <c r="H2030" i="9"/>
  <c r="G2030" i="9"/>
  <c r="H2029" i="9"/>
  <c r="G2029" i="9"/>
  <c r="H2028" i="9"/>
  <c r="G2028" i="9"/>
  <c r="H2027" i="9"/>
  <c r="G2027" i="9"/>
  <c r="H2026" i="9"/>
  <c r="G2026" i="9"/>
  <c r="H2025" i="9"/>
  <c r="G2025" i="9"/>
  <c r="H2024" i="9"/>
  <c r="G2024" i="9"/>
  <c r="H2023" i="9"/>
  <c r="G2023" i="9"/>
  <c r="H2022" i="9"/>
  <c r="G2022" i="9"/>
  <c r="H2021" i="9"/>
  <c r="G2021" i="9"/>
  <c r="H2020" i="9"/>
  <c r="G2020" i="9"/>
  <c r="H2019" i="9"/>
  <c r="G2019" i="9"/>
  <c r="H2018" i="9"/>
  <c r="G2018" i="9"/>
  <c r="H2017" i="9"/>
  <c r="G2017" i="9"/>
  <c r="H2016" i="9"/>
  <c r="G2016" i="9"/>
  <c r="H2015" i="9"/>
  <c r="G2015" i="9"/>
  <c r="H2014" i="9"/>
  <c r="G2014" i="9"/>
  <c r="H2013" i="9"/>
  <c r="G2013" i="9"/>
  <c r="H2012" i="9"/>
  <c r="G2012" i="9"/>
  <c r="H2011" i="9"/>
  <c r="G2011" i="9"/>
  <c r="H2010" i="9"/>
  <c r="G2010" i="9"/>
  <c r="H2009" i="9"/>
  <c r="G2009" i="9"/>
  <c r="H2008" i="9"/>
  <c r="G2008" i="9"/>
  <c r="H2007" i="9"/>
  <c r="G2007" i="9"/>
  <c r="H2006" i="9"/>
  <c r="G2006" i="9"/>
  <c r="H2005" i="9"/>
  <c r="G2005" i="9"/>
  <c r="H2004" i="9"/>
  <c r="G2004" i="9"/>
  <c r="H2003" i="9"/>
  <c r="G2003" i="9"/>
  <c r="H2002" i="9"/>
  <c r="G2002" i="9"/>
  <c r="H2001" i="9"/>
  <c r="G2001" i="9"/>
  <c r="H2000" i="9"/>
  <c r="G2000" i="9"/>
  <c r="H1999" i="9"/>
  <c r="G1999" i="9"/>
  <c r="H1998" i="9"/>
  <c r="G1998" i="9"/>
  <c r="H1997" i="9"/>
  <c r="G1997" i="9"/>
  <c r="H1996" i="9"/>
  <c r="G1996" i="9"/>
  <c r="H1995" i="9"/>
  <c r="G1995" i="9"/>
  <c r="H1994" i="9"/>
  <c r="G1994" i="9"/>
  <c r="H1993" i="9"/>
  <c r="G1993" i="9"/>
  <c r="H1992" i="9"/>
  <c r="G1992" i="9"/>
  <c r="H1991" i="9"/>
  <c r="G1991" i="9"/>
  <c r="H1990" i="9"/>
  <c r="G1990" i="9"/>
  <c r="H1989" i="9"/>
  <c r="G1989" i="9"/>
  <c r="H1988" i="9"/>
  <c r="G1988" i="9"/>
  <c r="H1987" i="9"/>
  <c r="G1987" i="9"/>
  <c r="H1986" i="9"/>
  <c r="G1986" i="9"/>
  <c r="H1985" i="9"/>
  <c r="G1985" i="9"/>
  <c r="H1984" i="9"/>
  <c r="G1984" i="9"/>
  <c r="H1983" i="9"/>
  <c r="G1983" i="9"/>
  <c r="H1982" i="9"/>
  <c r="G1982" i="9"/>
  <c r="H1981" i="9"/>
  <c r="G1981" i="9"/>
  <c r="H1980" i="9"/>
  <c r="G1980" i="9"/>
  <c r="H1979" i="9"/>
  <c r="G1979" i="9"/>
  <c r="H1978" i="9"/>
  <c r="G1978" i="9"/>
  <c r="H1977" i="9"/>
  <c r="G1977" i="9"/>
  <c r="H1976" i="9"/>
  <c r="G1976" i="9"/>
  <c r="H1975" i="9"/>
  <c r="G1975" i="9"/>
  <c r="H1974" i="9"/>
  <c r="G1974" i="9"/>
  <c r="H1973" i="9"/>
  <c r="G1973" i="9"/>
  <c r="H1972" i="9"/>
  <c r="G1972" i="9"/>
  <c r="H1971" i="9"/>
  <c r="G1971" i="9"/>
  <c r="H1970" i="9"/>
  <c r="G1970" i="9"/>
  <c r="H1969" i="9"/>
  <c r="G1969" i="9"/>
  <c r="H1968" i="9"/>
  <c r="G1968" i="9"/>
  <c r="H1967" i="9"/>
  <c r="G1967" i="9"/>
  <c r="H1966" i="9"/>
  <c r="G1966" i="9"/>
  <c r="H1965" i="9"/>
  <c r="G1965" i="9"/>
  <c r="H1964" i="9"/>
  <c r="G1964" i="9"/>
  <c r="H1963" i="9"/>
  <c r="G1963" i="9"/>
  <c r="H1962" i="9"/>
  <c r="G1962" i="9"/>
  <c r="H1961" i="9"/>
  <c r="G1961" i="9"/>
  <c r="H1960" i="9"/>
  <c r="G1960" i="9"/>
  <c r="H1959" i="9"/>
  <c r="G1959" i="9"/>
  <c r="H1958" i="9"/>
  <c r="G1958" i="9"/>
  <c r="H1957" i="9"/>
  <c r="G1957" i="9"/>
  <c r="H1956" i="9"/>
  <c r="G1956" i="9"/>
  <c r="H1955" i="9"/>
  <c r="G1955" i="9"/>
  <c r="H1954" i="9"/>
  <c r="G1954" i="9"/>
  <c r="H1953" i="9"/>
  <c r="G1953" i="9"/>
  <c r="H1952" i="9"/>
  <c r="G1952" i="9"/>
  <c r="H1951" i="9"/>
  <c r="G1951" i="9"/>
  <c r="H1950" i="9"/>
  <c r="G1950" i="9"/>
  <c r="H1949" i="9"/>
  <c r="G1949" i="9"/>
  <c r="H1948" i="9"/>
  <c r="G1948" i="9"/>
  <c r="H1947" i="9"/>
  <c r="G1947" i="9"/>
  <c r="H1946" i="9"/>
  <c r="G1946" i="9"/>
  <c r="H1945" i="9"/>
  <c r="G1945" i="9"/>
  <c r="H1944" i="9"/>
  <c r="G1944" i="9"/>
  <c r="H1943" i="9"/>
  <c r="G1943" i="9"/>
  <c r="H1942" i="9"/>
  <c r="G1942" i="9"/>
  <c r="H1941" i="9"/>
  <c r="G1941" i="9"/>
  <c r="H1940" i="9"/>
  <c r="G1940" i="9"/>
  <c r="H1939" i="9"/>
  <c r="G1939" i="9"/>
  <c r="H1938" i="9"/>
  <c r="G1938" i="9"/>
  <c r="H1937" i="9"/>
  <c r="G1937" i="9"/>
  <c r="H1936" i="9"/>
  <c r="G1936" i="9"/>
  <c r="H1935" i="9"/>
  <c r="G1935" i="9"/>
  <c r="H1934" i="9"/>
  <c r="G1934" i="9"/>
  <c r="H1933" i="9"/>
  <c r="G1933" i="9"/>
  <c r="H1932" i="9"/>
  <c r="G1932" i="9"/>
  <c r="H1931" i="9"/>
  <c r="G1931" i="9"/>
  <c r="H1930" i="9"/>
  <c r="G1930" i="9"/>
  <c r="H1929" i="9"/>
  <c r="G1929" i="9"/>
  <c r="H1928" i="9"/>
  <c r="G1928" i="9"/>
  <c r="H1927" i="9"/>
  <c r="G1927" i="9"/>
  <c r="H1926" i="9"/>
  <c r="G1926" i="9"/>
  <c r="H1925" i="9"/>
  <c r="G1925" i="9"/>
  <c r="H1924" i="9"/>
  <c r="G1924" i="9"/>
  <c r="H1923" i="9"/>
  <c r="G1923" i="9"/>
  <c r="H1922" i="9"/>
  <c r="G1922" i="9"/>
  <c r="H1921" i="9"/>
  <c r="G1921" i="9"/>
  <c r="H1920" i="9"/>
  <c r="G1920" i="9"/>
  <c r="H1919" i="9"/>
  <c r="G1919" i="9"/>
  <c r="H1918" i="9"/>
  <c r="G1918" i="9"/>
  <c r="H1917" i="9"/>
  <c r="G1917" i="9"/>
  <c r="H1916" i="9"/>
  <c r="G1916" i="9"/>
  <c r="H1915" i="9"/>
  <c r="G1915" i="9"/>
  <c r="H1914" i="9"/>
  <c r="G1914" i="9"/>
  <c r="H1913" i="9"/>
  <c r="G1913" i="9"/>
  <c r="H1912" i="9"/>
  <c r="G1912" i="9"/>
  <c r="H1911" i="9"/>
  <c r="G1911" i="9"/>
  <c r="H1910" i="9"/>
  <c r="G1910" i="9"/>
  <c r="H1909" i="9"/>
  <c r="G1909" i="9"/>
  <c r="H1908" i="9"/>
  <c r="G1908" i="9"/>
  <c r="H1907" i="9"/>
  <c r="G1907" i="9"/>
  <c r="H1906" i="9"/>
  <c r="G1906" i="9"/>
  <c r="H1905" i="9"/>
  <c r="G1905" i="9"/>
  <c r="H1904" i="9"/>
  <c r="G1904" i="9"/>
  <c r="H1903" i="9"/>
  <c r="G1903" i="9"/>
  <c r="H1902" i="9"/>
  <c r="G1902" i="9"/>
  <c r="H1901" i="9"/>
  <c r="G1901" i="9"/>
  <c r="H1900" i="9"/>
  <c r="G1900" i="9"/>
  <c r="H1899" i="9"/>
  <c r="G1899" i="9"/>
  <c r="H1898" i="9"/>
  <c r="G1898" i="9"/>
  <c r="H1897" i="9"/>
  <c r="G1897" i="9"/>
  <c r="H1896" i="9"/>
  <c r="G1896" i="9"/>
  <c r="H1895" i="9"/>
  <c r="G1895" i="9"/>
  <c r="H1894" i="9"/>
  <c r="G1894" i="9"/>
  <c r="H1893" i="9"/>
  <c r="G1893" i="9"/>
  <c r="H1892" i="9"/>
  <c r="G1892" i="9"/>
  <c r="H1891" i="9"/>
  <c r="G1891" i="9"/>
  <c r="H1890" i="9"/>
  <c r="G1890" i="9"/>
  <c r="H1889" i="9"/>
  <c r="G1889" i="9"/>
  <c r="H1888" i="9"/>
  <c r="G1888" i="9"/>
  <c r="H1887" i="9"/>
  <c r="G1887" i="9"/>
  <c r="H1886" i="9"/>
  <c r="G1886" i="9"/>
  <c r="H1885" i="9"/>
  <c r="G1885" i="9"/>
  <c r="H1884" i="9"/>
  <c r="G1884" i="9"/>
  <c r="H1883" i="9"/>
  <c r="G1883" i="9"/>
  <c r="H1882" i="9"/>
  <c r="G1882" i="9"/>
  <c r="H1881" i="9"/>
  <c r="G1881" i="9"/>
  <c r="H1880" i="9"/>
  <c r="G1880" i="9"/>
  <c r="H1879" i="9"/>
  <c r="G1879" i="9"/>
  <c r="H1878" i="9"/>
  <c r="G1878" i="9"/>
  <c r="H1877" i="9"/>
  <c r="G1877" i="9"/>
  <c r="H1876" i="9"/>
  <c r="G1876" i="9"/>
  <c r="H1875" i="9"/>
  <c r="G1875" i="9"/>
  <c r="H1874" i="9"/>
  <c r="G1874" i="9"/>
  <c r="H1873" i="9"/>
  <c r="G1873" i="9"/>
  <c r="H1872" i="9"/>
  <c r="G1872" i="9"/>
  <c r="H1871" i="9"/>
  <c r="G1871" i="9"/>
  <c r="H1870" i="9"/>
  <c r="G1870" i="9"/>
  <c r="H1869" i="9"/>
  <c r="G1869" i="9"/>
  <c r="H1868" i="9"/>
  <c r="G1868" i="9"/>
  <c r="H1867" i="9"/>
  <c r="G1867" i="9"/>
  <c r="H1866" i="9"/>
  <c r="G1866" i="9"/>
  <c r="H1865" i="9"/>
  <c r="G1865" i="9"/>
  <c r="H1864" i="9"/>
  <c r="G1864" i="9"/>
  <c r="H1863" i="9"/>
  <c r="G1863" i="9"/>
  <c r="H1862" i="9"/>
  <c r="G1862" i="9"/>
  <c r="H1861" i="9"/>
  <c r="G1861" i="9"/>
  <c r="H1860" i="9"/>
  <c r="G1860" i="9"/>
  <c r="H1859" i="9"/>
  <c r="G1859" i="9"/>
  <c r="H1858" i="9"/>
  <c r="G1858" i="9"/>
  <c r="H1857" i="9"/>
  <c r="G1857" i="9"/>
  <c r="H1856" i="9"/>
  <c r="G1856" i="9"/>
  <c r="H1855" i="9"/>
  <c r="G1855" i="9"/>
  <c r="H1854" i="9"/>
  <c r="G1854" i="9"/>
  <c r="H1853" i="9"/>
  <c r="G1853" i="9"/>
  <c r="H1852" i="9"/>
  <c r="G1852" i="9"/>
  <c r="H1851" i="9"/>
  <c r="G1851" i="9"/>
  <c r="H1850" i="9"/>
  <c r="G1850" i="9"/>
  <c r="H1849" i="9"/>
  <c r="G1849" i="9"/>
  <c r="H1848" i="9"/>
  <c r="G1848" i="9"/>
  <c r="H1847" i="9"/>
  <c r="G1847" i="9"/>
  <c r="H1846" i="9"/>
  <c r="G1846" i="9"/>
  <c r="H1845" i="9"/>
  <c r="G1845" i="9"/>
  <c r="H1844" i="9"/>
  <c r="G1844" i="9"/>
  <c r="H1843" i="9"/>
  <c r="G1843" i="9"/>
  <c r="H1842" i="9"/>
  <c r="G1842" i="9"/>
  <c r="H1841" i="9"/>
  <c r="G1841" i="9"/>
  <c r="H1840" i="9"/>
  <c r="G1840" i="9"/>
  <c r="H1839" i="9"/>
  <c r="G1839" i="9"/>
  <c r="H1838" i="9"/>
  <c r="G1838" i="9"/>
  <c r="H1837" i="9"/>
  <c r="G1837" i="9"/>
  <c r="H1836" i="9"/>
  <c r="G1836" i="9"/>
  <c r="H1835" i="9"/>
  <c r="G1835" i="9"/>
  <c r="H1834" i="9"/>
  <c r="G1834" i="9"/>
  <c r="H1833" i="9"/>
  <c r="G1833" i="9"/>
  <c r="H1832" i="9"/>
  <c r="G1832" i="9"/>
  <c r="H1831" i="9"/>
  <c r="G1831" i="9"/>
  <c r="H1830" i="9"/>
  <c r="G1830" i="9"/>
  <c r="H1829" i="9"/>
  <c r="G1829" i="9"/>
  <c r="H1828" i="9"/>
  <c r="G1828" i="9"/>
  <c r="H1827" i="9"/>
  <c r="G1827" i="9"/>
  <c r="H1826" i="9"/>
  <c r="G1826" i="9"/>
  <c r="H1825" i="9"/>
  <c r="G1825" i="9"/>
  <c r="H1824" i="9"/>
  <c r="G1824" i="9"/>
  <c r="H1823" i="9"/>
  <c r="G1823" i="9"/>
  <c r="H1822" i="9"/>
  <c r="G1822" i="9"/>
  <c r="H1821" i="9"/>
  <c r="G1821" i="9"/>
  <c r="H1820" i="9"/>
  <c r="G1820" i="9"/>
  <c r="H1819" i="9"/>
  <c r="G1819" i="9"/>
  <c r="H1818" i="9"/>
  <c r="G1818" i="9"/>
  <c r="H1817" i="9"/>
  <c r="G1817" i="9"/>
  <c r="H1816" i="9"/>
  <c r="G1816" i="9"/>
  <c r="H1815" i="9"/>
  <c r="G1815" i="9"/>
  <c r="H1814" i="9"/>
  <c r="G1814" i="9"/>
  <c r="H1813" i="9"/>
  <c r="G1813" i="9"/>
  <c r="H1812" i="9"/>
  <c r="G1812" i="9"/>
  <c r="H1811" i="9"/>
  <c r="G1811" i="9"/>
  <c r="H1810" i="9"/>
  <c r="G1810" i="9"/>
  <c r="H1809" i="9"/>
  <c r="G1809" i="9"/>
  <c r="H1808" i="9"/>
  <c r="G1808" i="9"/>
  <c r="H1807" i="9"/>
  <c r="G1807" i="9"/>
  <c r="H1806" i="9"/>
  <c r="G1806" i="9"/>
  <c r="H1805" i="9"/>
  <c r="G1805" i="9"/>
  <c r="H1804" i="9"/>
  <c r="G1804" i="9"/>
  <c r="H1803" i="9"/>
  <c r="G1803" i="9"/>
  <c r="H1802" i="9"/>
  <c r="G1802" i="9"/>
  <c r="H1801" i="9"/>
  <c r="G1801" i="9"/>
  <c r="H1800" i="9"/>
  <c r="G1800" i="9"/>
  <c r="H1799" i="9"/>
  <c r="G1799" i="9"/>
  <c r="H1798" i="9"/>
  <c r="G1798" i="9"/>
  <c r="H1797" i="9"/>
  <c r="G1797" i="9"/>
  <c r="H1796" i="9"/>
  <c r="G1796" i="9"/>
  <c r="H1795" i="9"/>
  <c r="G1795" i="9"/>
  <c r="H1794" i="9"/>
  <c r="G1794" i="9"/>
  <c r="H1793" i="9"/>
  <c r="G1793" i="9"/>
  <c r="H1792" i="9"/>
  <c r="G1792" i="9"/>
  <c r="H1791" i="9"/>
  <c r="G1791" i="9"/>
  <c r="H1790" i="9"/>
  <c r="G1790" i="9"/>
  <c r="H1789" i="9"/>
  <c r="G1789" i="9"/>
  <c r="H1788" i="9"/>
  <c r="G1788" i="9"/>
  <c r="H1787" i="9"/>
  <c r="G1787" i="9"/>
  <c r="H1786" i="9"/>
  <c r="G1786" i="9"/>
  <c r="H1785" i="9"/>
  <c r="G1785" i="9"/>
  <c r="H1784" i="9"/>
  <c r="G1784" i="9"/>
  <c r="H1783" i="9"/>
  <c r="G1783" i="9"/>
  <c r="H1782" i="9"/>
  <c r="G1782" i="9"/>
  <c r="H1781" i="9"/>
  <c r="G1781" i="9"/>
  <c r="H1780" i="9"/>
  <c r="G1780" i="9"/>
  <c r="H1779" i="9"/>
  <c r="G1779" i="9"/>
  <c r="H1778" i="9"/>
  <c r="G1778" i="9"/>
  <c r="H1777" i="9"/>
  <c r="G1777" i="9"/>
  <c r="H1776" i="9"/>
  <c r="G1776" i="9"/>
  <c r="H1775" i="9"/>
  <c r="G1775" i="9"/>
  <c r="H1774" i="9"/>
  <c r="G1774" i="9"/>
  <c r="H1773" i="9"/>
  <c r="G1773" i="9"/>
  <c r="H1772" i="9"/>
  <c r="G1772" i="9"/>
  <c r="H1771" i="9"/>
  <c r="G1771" i="9"/>
  <c r="H1770" i="9"/>
  <c r="G1770" i="9"/>
  <c r="H1769" i="9"/>
  <c r="G1769" i="9"/>
  <c r="H1768" i="9"/>
  <c r="G1768" i="9"/>
  <c r="H1767" i="9"/>
  <c r="G1767" i="9"/>
  <c r="H1766" i="9"/>
  <c r="G1766" i="9"/>
  <c r="H1765" i="9"/>
  <c r="G1765" i="9"/>
  <c r="H1764" i="9"/>
  <c r="G1764" i="9"/>
  <c r="H1763" i="9"/>
  <c r="G1763" i="9"/>
  <c r="H1762" i="9"/>
  <c r="G1762" i="9"/>
  <c r="H1761" i="9"/>
  <c r="G1761" i="9"/>
  <c r="H1760" i="9"/>
  <c r="G1760" i="9"/>
  <c r="H1759" i="9"/>
  <c r="G1759" i="9"/>
  <c r="H1758" i="9"/>
  <c r="G1758" i="9"/>
  <c r="H1757" i="9"/>
  <c r="G1757" i="9"/>
  <c r="H1756" i="9"/>
  <c r="G1756" i="9"/>
  <c r="H1755" i="9"/>
  <c r="G1755" i="9"/>
  <c r="H1754" i="9"/>
  <c r="G1754" i="9"/>
  <c r="H1753" i="9"/>
  <c r="G1753" i="9"/>
  <c r="H1752" i="9"/>
  <c r="G1752" i="9"/>
  <c r="H1751" i="9"/>
  <c r="G1751" i="9"/>
  <c r="H1750" i="9"/>
  <c r="G1750" i="9"/>
  <c r="H1749" i="9"/>
  <c r="G1749" i="9"/>
  <c r="H1748" i="9"/>
  <c r="G1748" i="9"/>
  <c r="H1747" i="9"/>
  <c r="G1747" i="9"/>
  <c r="H1746" i="9"/>
  <c r="G1746" i="9"/>
  <c r="H1745" i="9"/>
  <c r="G1745" i="9"/>
  <c r="H1744" i="9"/>
  <c r="G1744" i="9"/>
  <c r="H1743" i="9"/>
  <c r="G1743" i="9"/>
  <c r="H1742" i="9"/>
  <c r="G1742" i="9"/>
  <c r="H1741" i="9"/>
  <c r="G1741" i="9"/>
  <c r="H1740" i="9"/>
  <c r="G1740" i="9"/>
  <c r="H1739" i="9"/>
  <c r="G1739" i="9"/>
  <c r="H1738" i="9"/>
  <c r="G1738" i="9"/>
  <c r="H1737" i="9"/>
  <c r="G1737" i="9"/>
  <c r="H1736" i="9"/>
  <c r="G1736" i="9"/>
  <c r="H1735" i="9"/>
  <c r="G1735" i="9"/>
  <c r="H1734" i="9"/>
  <c r="G1734" i="9"/>
  <c r="H1733" i="9"/>
  <c r="G1733" i="9"/>
  <c r="H1732" i="9"/>
  <c r="G1732" i="9"/>
  <c r="H1731" i="9"/>
  <c r="G1731" i="9"/>
  <c r="H1730" i="9"/>
  <c r="G1730" i="9"/>
  <c r="H1729" i="9"/>
  <c r="G1729" i="9"/>
  <c r="H1728" i="9"/>
  <c r="G1728" i="9"/>
  <c r="H1727" i="9"/>
  <c r="G1727" i="9"/>
  <c r="H1726" i="9"/>
  <c r="G1726" i="9"/>
  <c r="H1725" i="9"/>
  <c r="G1725" i="9"/>
  <c r="H1724" i="9"/>
  <c r="G1724" i="9"/>
  <c r="H1723" i="9"/>
  <c r="G1723" i="9"/>
  <c r="H1722" i="9"/>
  <c r="G1722" i="9"/>
  <c r="H1721" i="9"/>
  <c r="G1721" i="9"/>
  <c r="H1720" i="9"/>
  <c r="G1720" i="9"/>
  <c r="H1719" i="9"/>
  <c r="G1719" i="9"/>
  <c r="H1718" i="9"/>
  <c r="G1718" i="9"/>
  <c r="H1717" i="9"/>
  <c r="G1717" i="9"/>
  <c r="H1716" i="9"/>
  <c r="G1716" i="9"/>
  <c r="H1715" i="9"/>
  <c r="G1715" i="9"/>
  <c r="H1714" i="9"/>
  <c r="G1714" i="9"/>
  <c r="H1713" i="9"/>
  <c r="G1713" i="9"/>
  <c r="H1712" i="9"/>
  <c r="G1712" i="9"/>
  <c r="H1711" i="9"/>
  <c r="G1711" i="9"/>
  <c r="H1710" i="9"/>
  <c r="G1710" i="9"/>
  <c r="H1709" i="9"/>
  <c r="G1709" i="9"/>
  <c r="H1708" i="9"/>
  <c r="G1708" i="9"/>
  <c r="H1707" i="9"/>
  <c r="G1707" i="9"/>
  <c r="H1706" i="9"/>
  <c r="G1706" i="9"/>
  <c r="H1705" i="9"/>
  <c r="G1705" i="9"/>
  <c r="H1704" i="9"/>
  <c r="G1704" i="9"/>
  <c r="H1703" i="9"/>
  <c r="G1703" i="9"/>
  <c r="H1702" i="9"/>
  <c r="G1702" i="9"/>
  <c r="H1701" i="9"/>
  <c r="G1701" i="9"/>
  <c r="H1700" i="9"/>
  <c r="G1700" i="9"/>
  <c r="H1699" i="9"/>
  <c r="G1699" i="9"/>
  <c r="H1698" i="9"/>
  <c r="G1698" i="9"/>
  <c r="H1697" i="9"/>
  <c r="G1697" i="9"/>
  <c r="H1696" i="9"/>
  <c r="G1696" i="9"/>
  <c r="H1695" i="9"/>
  <c r="G1695" i="9"/>
  <c r="H1694" i="9"/>
  <c r="G1694" i="9"/>
  <c r="H1693" i="9"/>
  <c r="G1693" i="9"/>
  <c r="H1692" i="9"/>
  <c r="G1692" i="9"/>
  <c r="H1691" i="9"/>
  <c r="G1691" i="9"/>
  <c r="H1690" i="9"/>
  <c r="G1690" i="9"/>
  <c r="H1689" i="9"/>
  <c r="G1689" i="9"/>
  <c r="H1688" i="9"/>
  <c r="G1688" i="9"/>
  <c r="H1687" i="9"/>
  <c r="G1687" i="9"/>
  <c r="H1686" i="9"/>
  <c r="G1686" i="9"/>
  <c r="H1685" i="9"/>
  <c r="G1685" i="9"/>
  <c r="H1684" i="9"/>
  <c r="G1684" i="9"/>
  <c r="H1683" i="9"/>
  <c r="G1683" i="9"/>
  <c r="H1682" i="9"/>
  <c r="G1682" i="9"/>
  <c r="H1681" i="9"/>
  <c r="G1681" i="9"/>
  <c r="H1680" i="9"/>
  <c r="G1680" i="9"/>
  <c r="H1679" i="9"/>
  <c r="G1679" i="9"/>
  <c r="H1678" i="9"/>
  <c r="G1678" i="9"/>
  <c r="H1677" i="9"/>
  <c r="G1677" i="9"/>
  <c r="H1676" i="9"/>
  <c r="G1676" i="9"/>
  <c r="H1675" i="9"/>
  <c r="G1675" i="9"/>
  <c r="H1674" i="9"/>
  <c r="G1674" i="9"/>
  <c r="H1673" i="9"/>
  <c r="G1673" i="9"/>
  <c r="H1672" i="9"/>
  <c r="G1672" i="9"/>
  <c r="H1671" i="9"/>
  <c r="G1671" i="9"/>
  <c r="H1670" i="9"/>
  <c r="G1670" i="9"/>
  <c r="H1669" i="9"/>
  <c r="G1669" i="9"/>
  <c r="H1668" i="9"/>
  <c r="G1668" i="9"/>
  <c r="H1667" i="9"/>
  <c r="G1667" i="9"/>
  <c r="H1666" i="9"/>
  <c r="G1666" i="9"/>
  <c r="H1665" i="9"/>
  <c r="G1665" i="9"/>
  <c r="H1664" i="9"/>
  <c r="G1664" i="9"/>
  <c r="H1663" i="9"/>
  <c r="G1663" i="9"/>
  <c r="H1662" i="9"/>
  <c r="G1662" i="9"/>
  <c r="H1661" i="9"/>
  <c r="G1661" i="9"/>
  <c r="H1660" i="9"/>
  <c r="G1660" i="9"/>
  <c r="H1659" i="9"/>
  <c r="G1659" i="9"/>
  <c r="H1658" i="9"/>
  <c r="G1658" i="9"/>
  <c r="H1657" i="9"/>
  <c r="G1657" i="9"/>
  <c r="H1656" i="9"/>
  <c r="G1656" i="9"/>
  <c r="H1655" i="9"/>
  <c r="G1655" i="9"/>
  <c r="H1654" i="9"/>
  <c r="G1654" i="9"/>
  <c r="H1653" i="9"/>
  <c r="G1653" i="9"/>
  <c r="H1652" i="9"/>
  <c r="G1652" i="9"/>
  <c r="H1651" i="9"/>
  <c r="G1651" i="9"/>
  <c r="H1650" i="9"/>
  <c r="G1650" i="9"/>
  <c r="H1649" i="9"/>
  <c r="G1649" i="9"/>
  <c r="H1648" i="9"/>
  <c r="G1648" i="9"/>
  <c r="H1647" i="9"/>
  <c r="G1647" i="9"/>
  <c r="H1646" i="9"/>
  <c r="G1646" i="9"/>
  <c r="H1645" i="9"/>
  <c r="G1645" i="9"/>
  <c r="H1644" i="9"/>
  <c r="G1644" i="9"/>
  <c r="H1643" i="9"/>
  <c r="G1643" i="9"/>
  <c r="H1642" i="9"/>
  <c r="G1642" i="9"/>
  <c r="H1641" i="9"/>
  <c r="G1641" i="9"/>
  <c r="H1640" i="9"/>
  <c r="G1640" i="9"/>
  <c r="H1639" i="9"/>
  <c r="G1639" i="9"/>
  <c r="H1638" i="9"/>
  <c r="G1638" i="9"/>
  <c r="H1637" i="9"/>
  <c r="G1637" i="9"/>
  <c r="H1636" i="9"/>
  <c r="G1636" i="9"/>
  <c r="H1635" i="9"/>
  <c r="G1635" i="9"/>
  <c r="H1634" i="9"/>
  <c r="G1634" i="9"/>
  <c r="H1633" i="9"/>
  <c r="G1633" i="9"/>
  <c r="H1632" i="9"/>
  <c r="G1632" i="9"/>
  <c r="H1631" i="9"/>
  <c r="G1631" i="9"/>
  <c r="H1630" i="9"/>
  <c r="G1630" i="9"/>
  <c r="H1629" i="9"/>
  <c r="G1629" i="9"/>
  <c r="H1628" i="9"/>
  <c r="G1628" i="9"/>
  <c r="H1627" i="9"/>
  <c r="G1627" i="9"/>
  <c r="H1626" i="9"/>
  <c r="G1626" i="9"/>
  <c r="H1625" i="9"/>
  <c r="G1625" i="9"/>
  <c r="H1624" i="9"/>
  <c r="G1624" i="9"/>
  <c r="H1623" i="9"/>
  <c r="G1623" i="9"/>
  <c r="H1622" i="9"/>
  <c r="G1622" i="9"/>
  <c r="H1621" i="9"/>
  <c r="G1621" i="9"/>
  <c r="H1620" i="9"/>
  <c r="G1620" i="9"/>
  <c r="H1619" i="9"/>
  <c r="G1619" i="9"/>
  <c r="H1618" i="9"/>
  <c r="G1618" i="9"/>
  <c r="H1617" i="9"/>
  <c r="G1617" i="9"/>
  <c r="H1616" i="9"/>
  <c r="G1616" i="9"/>
  <c r="H1615" i="9"/>
  <c r="G1615" i="9"/>
  <c r="H1614" i="9"/>
  <c r="G1614" i="9"/>
  <c r="H1613" i="9"/>
  <c r="G1613" i="9"/>
  <c r="H1612" i="9"/>
  <c r="G1612" i="9"/>
  <c r="H1611" i="9"/>
  <c r="G1611" i="9"/>
  <c r="H1610" i="9"/>
  <c r="G1610" i="9"/>
  <c r="H1609" i="9"/>
  <c r="G1609" i="9"/>
  <c r="H1608" i="9"/>
  <c r="G1608" i="9"/>
  <c r="H1607" i="9"/>
  <c r="G1607" i="9"/>
  <c r="H1606" i="9"/>
  <c r="G1606" i="9"/>
  <c r="H1605" i="9"/>
  <c r="G1605" i="9"/>
  <c r="H1604" i="9"/>
  <c r="G1604" i="9"/>
  <c r="H1603" i="9"/>
  <c r="G1603" i="9"/>
  <c r="H1602" i="9"/>
  <c r="G1602" i="9"/>
  <c r="H1601" i="9"/>
  <c r="G1601" i="9"/>
  <c r="H1600" i="9"/>
  <c r="G1600" i="9"/>
  <c r="H1599" i="9"/>
  <c r="G1599" i="9"/>
  <c r="H1598" i="9"/>
  <c r="G1598" i="9"/>
  <c r="H1597" i="9"/>
  <c r="G1597" i="9"/>
  <c r="H1596" i="9"/>
  <c r="G1596" i="9"/>
  <c r="H1595" i="9"/>
  <c r="G1595" i="9"/>
  <c r="H1594" i="9"/>
  <c r="G1594" i="9"/>
  <c r="H1593" i="9"/>
  <c r="G1593" i="9"/>
  <c r="H1592" i="9"/>
  <c r="G1592" i="9"/>
  <c r="H1591" i="9"/>
  <c r="G1591" i="9"/>
  <c r="H1590" i="9"/>
  <c r="G1590" i="9"/>
  <c r="H1589" i="9"/>
  <c r="G1589" i="9"/>
  <c r="H1588" i="9"/>
  <c r="G1588" i="9"/>
  <c r="H1587" i="9"/>
  <c r="G1587" i="9"/>
  <c r="H1586" i="9"/>
  <c r="G1586" i="9"/>
  <c r="H1585" i="9"/>
  <c r="G1585" i="9"/>
  <c r="H1584" i="9"/>
  <c r="G1584" i="9"/>
  <c r="H1583" i="9"/>
  <c r="G1583" i="9"/>
  <c r="H1582" i="9"/>
  <c r="G1582" i="9"/>
  <c r="H1581" i="9"/>
  <c r="G1581" i="9"/>
  <c r="H1580" i="9"/>
  <c r="G1580" i="9"/>
  <c r="H1579" i="9"/>
  <c r="G1579" i="9"/>
  <c r="H1578" i="9"/>
  <c r="G1578" i="9"/>
  <c r="H1577" i="9"/>
  <c r="G1577" i="9"/>
  <c r="H1576" i="9"/>
  <c r="G1576" i="9"/>
  <c r="H1575" i="9"/>
  <c r="G1575" i="9"/>
  <c r="H1574" i="9"/>
  <c r="G1574" i="9"/>
  <c r="H1573" i="9"/>
  <c r="G1573" i="9"/>
  <c r="H1572" i="9"/>
  <c r="G1572" i="9"/>
  <c r="H1571" i="9"/>
  <c r="G1571" i="9"/>
  <c r="H1570" i="9"/>
  <c r="G1570" i="9"/>
  <c r="H1569" i="9"/>
  <c r="G1569" i="9"/>
  <c r="H1568" i="9"/>
  <c r="G1568" i="9"/>
  <c r="H1567" i="9"/>
  <c r="G1567" i="9"/>
  <c r="H1566" i="9"/>
  <c r="G1566" i="9"/>
  <c r="H1565" i="9"/>
  <c r="G1565" i="9"/>
  <c r="H1564" i="9"/>
  <c r="G1564" i="9"/>
  <c r="H1563" i="9"/>
  <c r="G1563" i="9"/>
  <c r="H1562" i="9"/>
  <c r="G1562" i="9"/>
  <c r="H1561" i="9"/>
  <c r="G1561" i="9"/>
  <c r="H1560" i="9"/>
  <c r="G1560" i="9"/>
  <c r="H1559" i="9"/>
  <c r="G1559" i="9"/>
  <c r="H1558" i="9"/>
  <c r="G1558" i="9"/>
  <c r="H1557" i="9"/>
  <c r="G1557" i="9"/>
  <c r="H1556" i="9"/>
  <c r="G1556" i="9"/>
  <c r="H1555" i="9"/>
  <c r="G1555" i="9"/>
  <c r="H1554" i="9"/>
  <c r="G1554" i="9"/>
  <c r="H1553" i="9"/>
  <c r="G1553" i="9"/>
  <c r="H1552" i="9"/>
  <c r="G1552" i="9"/>
  <c r="H1551" i="9"/>
  <c r="G1551" i="9"/>
  <c r="H1550" i="9"/>
  <c r="G1550" i="9"/>
  <c r="H1549" i="9"/>
  <c r="G1549" i="9"/>
  <c r="H1548" i="9"/>
  <c r="G1548" i="9"/>
  <c r="H1547" i="9"/>
  <c r="G1547" i="9"/>
  <c r="H1546" i="9"/>
  <c r="G1546" i="9"/>
  <c r="H1545" i="9"/>
  <c r="G1545" i="9"/>
  <c r="H1544" i="9"/>
  <c r="G1544" i="9"/>
  <c r="H1543" i="9"/>
  <c r="G1543" i="9"/>
  <c r="H1542" i="9"/>
  <c r="G1542" i="9"/>
  <c r="H1541" i="9"/>
  <c r="G1541" i="9"/>
  <c r="H1540" i="9"/>
  <c r="G1540" i="9"/>
  <c r="H1539" i="9"/>
  <c r="G1539" i="9"/>
  <c r="H1538" i="9"/>
  <c r="G1538" i="9"/>
  <c r="H1537" i="9"/>
  <c r="G1537" i="9"/>
  <c r="H1536" i="9"/>
  <c r="G1536" i="9"/>
  <c r="H1535" i="9"/>
  <c r="G1535" i="9"/>
  <c r="H1534" i="9"/>
  <c r="G1534" i="9"/>
  <c r="H1533" i="9"/>
  <c r="G1533" i="9"/>
  <c r="H1532" i="9"/>
  <c r="G1532" i="9"/>
  <c r="H1531" i="9"/>
  <c r="G1531" i="9"/>
  <c r="H1530" i="9"/>
  <c r="G1530" i="9"/>
  <c r="H1529" i="9"/>
  <c r="G1529" i="9"/>
  <c r="H1528" i="9"/>
  <c r="G1528" i="9"/>
  <c r="H1527" i="9"/>
  <c r="G1527" i="9"/>
  <c r="H1526" i="9"/>
  <c r="G1526" i="9"/>
  <c r="H1525" i="9"/>
  <c r="G1525" i="9"/>
  <c r="H1524" i="9"/>
  <c r="G1524" i="9"/>
  <c r="H1523" i="9"/>
  <c r="G1523" i="9"/>
  <c r="H1522" i="9"/>
  <c r="G1522" i="9"/>
  <c r="H1521" i="9"/>
  <c r="G1521" i="9"/>
  <c r="H1520" i="9"/>
  <c r="G1520" i="9"/>
  <c r="H1519" i="9"/>
  <c r="G1519" i="9"/>
  <c r="H1518" i="9"/>
  <c r="G1518" i="9"/>
  <c r="H1517" i="9"/>
  <c r="G1517" i="9"/>
  <c r="H1516" i="9"/>
  <c r="G1516" i="9"/>
  <c r="H1515" i="9"/>
  <c r="G1515" i="9"/>
  <c r="H1514" i="9"/>
  <c r="G1514" i="9"/>
  <c r="H1513" i="9"/>
  <c r="G1513" i="9"/>
  <c r="H1512" i="9"/>
  <c r="G1512" i="9"/>
  <c r="H1511" i="9"/>
  <c r="G1511" i="9"/>
  <c r="H1510" i="9"/>
  <c r="G1510" i="9"/>
  <c r="H1509" i="9"/>
  <c r="G1509" i="9"/>
  <c r="H1508" i="9"/>
  <c r="G1508" i="9"/>
  <c r="H1507" i="9"/>
  <c r="G1507" i="9"/>
  <c r="H1506" i="9"/>
  <c r="G1506" i="9"/>
  <c r="H1505" i="9"/>
  <c r="G1505" i="9"/>
  <c r="H1504" i="9"/>
  <c r="G1504" i="9"/>
  <c r="H1503" i="9"/>
  <c r="G1503" i="9"/>
  <c r="H1502" i="9"/>
  <c r="G1502" i="9"/>
  <c r="H1501" i="9"/>
  <c r="G1501" i="9"/>
  <c r="H1500" i="9"/>
  <c r="G1500" i="9"/>
  <c r="H1499" i="9"/>
  <c r="G1499" i="9"/>
  <c r="H1498" i="9"/>
  <c r="G1498" i="9"/>
  <c r="H1497" i="9"/>
  <c r="G1497" i="9"/>
  <c r="H1496" i="9"/>
  <c r="G1496" i="9"/>
  <c r="H1495" i="9"/>
  <c r="G1495" i="9"/>
  <c r="H1494" i="9"/>
  <c r="G1494" i="9"/>
  <c r="H1493" i="9"/>
  <c r="G1493" i="9"/>
  <c r="H1492" i="9"/>
  <c r="G1492" i="9"/>
  <c r="H1491" i="9"/>
  <c r="G1491" i="9"/>
  <c r="H1490" i="9"/>
  <c r="G1490" i="9"/>
  <c r="H1489" i="9"/>
  <c r="G1489" i="9"/>
  <c r="H1488" i="9"/>
  <c r="G1488" i="9"/>
  <c r="H1487" i="9"/>
  <c r="G1487" i="9"/>
  <c r="H1486" i="9"/>
  <c r="G1486" i="9"/>
  <c r="H1485" i="9"/>
  <c r="G1485" i="9"/>
  <c r="H1484" i="9"/>
  <c r="G1484" i="9"/>
  <c r="H1483" i="9"/>
  <c r="G1483" i="9"/>
  <c r="H1482" i="9"/>
  <c r="G1482" i="9"/>
  <c r="H1481" i="9"/>
  <c r="G1481" i="9"/>
  <c r="H1480" i="9"/>
  <c r="G1480" i="9"/>
  <c r="H1479" i="9"/>
  <c r="G1479" i="9"/>
  <c r="H1478" i="9"/>
  <c r="G1478" i="9"/>
  <c r="H1477" i="9"/>
  <c r="G1477" i="9"/>
  <c r="H1476" i="9"/>
  <c r="G1476" i="9"/>
  <c r="H1475" i="9"/>
  <c r="G1475" i="9"/>
  <c r="H1474" i="9"/>
  <c r="G1474" i="9"/>
  <c r="H1473" i="9"/>
  <c r="G1473" i="9"/>
  <c r="H1472" i="9"/>
  <c r="G1472" i="9"/>
  <c r="H1471" i="9"/>
  <c r="G1471" i="9"/>
  <c r="H1470" i="9"/>
  <c r="G1470" i="9"/>
  <c r="H1469" i="9"/>
  <c r="G1469" i="9"/>
  <c r="H1468" i="9"/>
  <c r="G1468" i="9"/>
  <c r="H1467" i="9"/>
  <c r="G1467" i="9"/>
  <c r="H1466" i="9"/>
  <c r="G1466" i="9"/>
  <c r="H1465" i="9"/>
  <c r="G1465" i="9"/>
  <c r="H1464" i="9"/>
  <c r="G1464" i="9"/>
  <c r="H1463" i="9"/>
  <c r="G1463" i="9"/>
  <c r="H1462" i="9"/>
  <c r="G1462" i="9"/>
  <c r="H1461" i="9"/>
  <c r="G1461" i="9"/>
  <c r="H1460" i="9"/>
  <c r="G1460" i="9"/>
  <c r="H1459" i="9"/>
  <c r="G1459" i="9"/>
  <c r="H1458" i="9"/>
  <c r="G1458" i="9"/>
  <c r="H1457" i="9"/>
  <c r="G1457" i="9"/>
  <c r="H1456" i="9"/>
  <c r="G1456" i="9"/>
  <c r="H1455" i="9"/>
  <c r="G1455" i="9"/>
  <c r="H1454" i="9"/>
  <c r="G1454" i="9"/>
  <c r="H1453" i="9"/>
  <c r="G1453" i="9"/>
  <c r="H1452" i="9"/>
  <c r="G1452" i="9"/>
  <c r="H1451" i="9"/>
  <c r="G1451" i="9"/>
  <c r="H1450" i="9"/>
  <c r="G1450" i="9"/>
  <c r="H1449" i="9"/>
  <c r="G1449" i="9"/>
  <c r="H1448" i="9"/>
  <c r="G1448" i="9"/>
  <c r="H1447" i="9"/>
  <c r="G1447" i="9"/>
  <c r="H1446" i="9"/>
  <c r="G1446" i="9"/>
  <c r="H1445" i="9"/>
  <c r="G1445" i="9"/>
  <c r="H1444" i="9"/>
  <c r="G1444" i="9"/>
  <c r="H1443" i="9"/>
  <c r="G1443" i="9"/>
  <c r="H1442" i="9"/>
  <c r="G1442" i="9"/>
  <c r="H1441" i="9"/>
  <c r="G1441" i="9"/>
  <c r="H1440" i="9"/>
  <c r="G1440" i="9"/>
  <c r="H1439" i="9"/>
  <c r="G1439" i="9"/>
  <c r="H1438" i="9"/>
  <c r="G1438" i="9"/>
  <c r="H1437" i="9"/>
  <c r="G1437" i="9"/>
  <c r="H1436" i="9"/>
  <c r="G1436" i="9"/>
  <c r="H1435" i="9"/>
  <c r="G1435" i="9"/>
  <c r="H1434" i="9"/>
  <c r="G1434" i="9"/>
  <c r="H1433" i="9"/>
  <c r="G1433" i="9"/>
  <c r="H1432" i="9"/>
  <c r="G1432" i="9"/>
  <c r="H1431" i="9"/>
  <c r="G1431" i="9"/>
  <c r="H1430" i="9"/>
  <c r="G1430" i="9"/>
  <c r="H1429" i="9"/>
  <c r="G1429" i="9"/>
  <c r="H1428" i="9"/>
  <c r="G1428" i="9"/>
  <c r="H1427" i="9"/>
  <c r="G1427" i="9"/>
  <c r="H1426" i="9"/>
  <c r="G1426" i="9"/>
  <c r="H1425" i="9"/>
  <c r="G1425" i="9"/>
  <c r="H1424" i="9"/>
  <c r="G1424" i="9"/>
  <c r="H1423" i="9"/>
  <c r="G1423" i="9"/>
  <c r="H1422" i="9"/>
  <c r="G1422" i="9"/>
  <c r="H1421" i="9"/>
  <c r="G1421" i="9"/>
  <c r="H1420" i="9"/>
  <c r="G1420" i="9"/>
  <c r="H1419" i="9"/>
  <c r="G1419" i="9"/>
  <c r="H1418" i="9"/>
  <c r="G1418" i="9"/>
  <c r="H1417" i="9"/>
  <c r="G1417" i="9"/>
  <c r="H1416" i="9"/>
  <c r="G1416" i="9"/>
  <c r="H1415" i="9"/>
  <c r="G1415" i="9"/>
  <c r="H1414" i="9"/>
  <c r="G1414" i="9"/>
  <c r="H1413" i="9"/>
  <c r="G1413" i="9"/>
  <c r="H1412" i="9"/>
  <c r="G1412" i="9"/>
  <c r="H1411" i="9"/>
  <c r="G1411" i="9"/>
  <c r="H1410" i="9"/>
  <c r="G1410" i="9"/>
  <c r="H1409" i="9"/>
  <c r="G1409" i="9"/>
  <c r="H1408" i="9"/>
  <c r="G1408" i="9"/>
  <c r="H1407" i="9"/>
  <c r="G1407" i="9"/>
  <c r="H1406" i="9"/>
  <c r="G1406" i="9"/>
  <c r="H1405" i="9"/>
  <c r="G1405" i="9"/>
  <c r="H1404" i="9"/>
  <c r="G1404" i="9"/>
  <c r="H1403" i="9"/>
  <c r="G1403" i="9"/>
  <c r="H1402" i="9"/>
  <c r="G1402" i="9"/>
  <c r="H1401" i="9"/>
  <c r="G1401" i="9"/>
  <c r="H1400" i="9"/>
  <c r="G1400" i="9"/>
  <c r="H1399" i="9"/>
  <c r="G1399" i="9"/>
  <c r="H1398" i="9"/>
  <c r="G1398" i="9"/>
  <c r="H1397" i="9"/>
  <c r="G1397" i="9"/>
  <c r="H1396" i="9"/>
  <c r="G1396" i="9"/>
  <c r="H1395" i="9"/>
  <c r="G1395" i="9"/>
  <c r="H1394" i="9"/>
  <c r="G1394" i="9"/>
  <c r="H1393" i="9"/>
  <c r="G1393" i="9"/>
  <c r="H1392" i="9"/>
  <c r="G1392" i="9"/>
  <c r="H1391" i="9"/>
  <c r="G1391" i="9"/>
  <c r="H1390" i="9"/>
  <c r="G1390" i="9"/>
  <c r="H1389" i="9"/>
  <c r="G1389" i="9"/>
  <c r="H1388" i="9"/>
  <c r="G1388" i="9"/>
  <c r="H1387" i="9"/>
  <c r="G1387" i="9"/>
  <c r="H1386" i="9"/>
  <c r="G1386" i="9"/>
  <c r="H1385" i="9"/>
  <c r="G1385" i="9"/>
  <c r="H1384" i="9"/>
  <c r="G1384" i="9"/>
  <c r="H1383" i="9"/>
  <c r="G1383" i="9"/>
  <c r="H1382" i="9"/>
  <c r="G1382" i="9"/>
  <c r="H1381" i="9"/>
  <c r="G1381" i="9"/>
  <c r="H1380" i="9"/>
  <c r="G1380" i="9"/>
  <c r="H1379" i="9"/>
  <c r="G1379" i="9"/>
  <c r="H1378" i="9"/>
  <c r="G1378" i="9"/>
  <c r="H1377" i="9"/>
  <c r="G1377" i="9"/>
  <c r="H1376" i="9"/>
  <c r="G1376" i="9"/>
  <c r="H1375" i="9"/>
  <c r="G1375" i="9"/>
  <c r="H1374" i="9"/>
  <c r="G1374" i="9"/>
  <c r="H1373" i="9"/>
  <c r="G1373" i="9"/>
  <c r="H1372" i="9"/>
  <c r="G1372" i="9"/>
  <c r="H1371" i="9"/>
  <c r="G1371" i="9"/>
  <c r="H1370" i="9"/>
  <c r="G1370" i="9"/>
  <c r="H1369" i="9"/>
  <c r="G1369" i="9"/>
  <c r="H1368" i="9"/>
  <c r="G1368" i="9"/>
  <c r="H1367" i="9"/>
  <c r="G1367" i="9"/>
  <c r="H1366" i="9"/>
  <c r="G1366" i="9"/>
  <c r="H1365" i="9"/>
  <c r="G1365" i="9"/>
  <c r="H1364" i="9"/>
  <c r="G1364" i="9"/>
  <c r="H1363" i="9"/>
  <c r="G1363" i="9"/>
  <c r="H1362" i="9"/>
  <c r="G1362" i="9"/>
  <c r="H1361" i="9"/>
  <c r="G1361" i="9"/>
  <c r="H1360" i="9"/>
  <c r="G1360" i="9"/>
  <c r="H1359" i="9"/>
  <c r="G1359" i="9"/>
  <c r="H1358" i="9"/>
  <c r="G1358" i="9"/>
  <c r="H1357" i="9"/>
  <c r="G1357" i="9"/>
  <c r="H1356" i="9"/>
  <c r="G1356" i="9"/>
  <c r="H1355" i="9"/>
  <c r="G1355" i="9"/>
  <c r="H1354" i="9"/>
  <c r="G1354" i="9"/>
  <c r="H1353" i="9"/>
  <c r="G1353" i="9"/>
  <c r="H1352" i="9"/>
  <c r="G1352" i="9"/>
  <c r="H1351" i="9"/>
  <c r="G1351" i="9"/>
  <c r="H1350" i="9"/>
  <c r="G1350" i="9"/>
  <c r="H1349" i="9"/>
  <c r="G1349" i="9"/>
  <c r="H1348" i="9"/>
  <c r="G1348" i="9"/>
  <c r="H1347" i="9"/>
  <c r="G1347" i="9"/>
  <c r="H1346" i="9"/>
  <c r="G1346" i="9"/>
  <c r="H1345" i="9"/>
  <c r="G1345" i="9"/>
  <c r="H1344" i="9"/>
  <c r="G1344" i="9"/>
  <c r="H1343" i="9"/>
  <c r="G1343" i="9"/>
  <c r="H1342" i="9"/>
  <c r="G1342" i="9"/>
  <c r="H1341" i="9"/>
  <c r="G1341" i="9"/>
  <c r="H1340" i="9"/>
  <c r="G1340" i="9"/>
  <c r="H1339" i="9"/>
  <c r="G1339" i="9"/>
  <c r="H1338" i="9"/>
  <c r="G1338" i="9"/>
  <c r="H1337" i="9"/>
  <c r="G1337" i="9"/>
  <c r="H1336" i="9"/>
  <c r="G1336" i="9"/>
  <c r="H1335" i="9"/>
  <c r="G1335" i="9"/>
  <c r="H1334" i="9"/>
  <c r="G1334" i="9"/>
  <c r="H1333" i="9"/>
  <c r="G1333" i="9"/>
  <c r="H1332" i="9"/>
  <c r="G1332" i="9"/>
  <c r="H1331" i="9"/>
  <c r="G1331" i="9"/>
  <c r="H1330" i="9"/>
  <c r="G1330" i="9"/>
  <c r="H1329" i="9"/>
  <c r="G1329" i="9"/>
  <c r="H1328" i="9"/>
  <c r="G1328" i="9"/>
  <c r="H1327" i="9"/>
  <c r="G1327" i="9"/>
  <c r="H1326" i="9"/>
  <c r="G1326" i="9"/>
  <c r="H1325" i="9"/>
  <c r="G1325" i="9"/>
  <c r="H1324" i="9"/>
  <c r="G1324" i="9"/>
  <c r="H1323" i="9"/>
  <c r="G1323" i="9"/>
  <c r="H1322" i="9"/>
  <c r="G1322" i="9"/>
  <c r="H1321" i="9"/>
  <c r="G1321" i="9"/>
  <c r="H1320" i="9"/>
  <c r="G1320" i="9"/>
  <c r="H1319" i="9"/>
  <c r="G1319" i="9"/>
  <c r="H1318" i="9"/>
  <c r="G1318" i="9"/>
  <c r="H1317" i="9"/>
  <c r="G1317" i="9"/>
  <c r="H1316" i="9"/>
  <c r="G1316" i="9"/>
  <c r="H1315" i="9"/>
  <c r="G1315" i="9"/>
  <c r="H1314" i="9"/>
  <c r="G1314" i="9"/>
  <c r="H1313" i="9"/>
  <c r="G1313" i="9"/>
  <c r="H1312" i="9"/>
  <c r="G1312" i="9"/>
  <c r="H1311" i="9"/>
  <c r="G1311" i="9"/>
  <c r="H1310" i="9"/>
  <c r="G1310" i="9"/>
  <c r="H1309" i="9"/>
  <c r="G1309" i="9"/>
  <c r="H1308" i="9"/>
  <c r="G1308" i="9"/>
  <c r="H1307" i="9"/>
  <c r="G1307" i="9"/>
  <c r="H1306" i="9"/>
  <c r="G1306" i="9"/>
  <c r="H1305" i="9"/>
  <c r="G1305" i="9"/>
  <c r="H1304" i="9"/>
  <c r="G1304" i="9"/>
  <c r="H1303" i="9"/>
  <c r="G1303" i="9"/>
  <c r="H1302" i="9"/>
  <c r="G1302" i="9"/>
  <c r="H1301" i="9"/>
  <c r="G1301" i="9"/>
  <c r="H1300" i="9"/>
  <c r="G1300" i="9"/>
  <c r="H1299" i="9"/>
  <c r="G1299" i="9"/>
  <c r="H1298" i="9"/>
  <c r="G1298" i="9"/>
  <c r="H1297" i="9"/>
  <c r="G1297" i="9"/>
  <c r="H1296" i="9"/>
  <c r="G1296" i="9"/>
  <c r="H1295" i="9"/>
  <c r="G1295" i="9"/>
  <c r="H1294" i="9"/>
  <c r="G1294" i="9"/>
  <c r="H1293" i="9"/>
  <c r="G1293" i="9"/>
  <c r="H1292" i="9"/>
  <c r="G1292" i="9"/>
  <c r="H1291" i="9"/>
  <c r="G1291" i="9"/>
  <c r="H1290" i="9"/>
  <c r="G1290" i="9"/>
  <c r="H1289" i="9"/>
  <c r="G1289" i="9"/>
  <c r="H1288" i="9"/>
  <c r="G1288" i="9"/>
  <c r="H1287" i="9"/>
  <c r="G1287" i="9"/>
  <c r="H1286" i="9"/>
  <c r="G1286" i="9"/>
  <c r="H1285" i="9"/>
  <c r="G1285" i="9"/>
  <c r="H1284" i="9"/>
  <c r="G1284" i="9"/>
  <c r="H1283" i="9"/>
  <c r="G1283" i="9"/>
  <c r="H1282" i="9"/>
  <c r="G1282" i="9"/>
  <c r="H1281" i="9"/>
  <c r="G1281" i="9"/>
  <c r="H1280" i="9"/>
  <c r="G1280" i="9"/>
  <c r="H1279" i="9"/>
  <c r="G1279" i="9"/>
  <c r="H1278" i="9"/>
  <c r="G1278" i="9"/>
  <c r="H1277" i="9"/>
  <c r="G1277" i="9"/>
  <c r="H1276" i="9"/>
  <c r="G1276" i="9"/>
  <c r="H1275" i="9"/>
  <c r="G1275" i="9"/>
  <c r="H1274" i="9"/>
  <c r="G1274" i="9"/>
  <c r="H1273" i="9"/>
  <c r="G1273" i="9"/>
  <c r="H1272" i="9"/>
  <c r="G1272" i="9"/>
  <c r="H1271" i="9"/>
  <c r="G1271" i="9"/>
  <c r="H1270" i="9"/>
  <c r="G1270" i="9"/>
  <c r="H1269" i="9"/>
  <c r="G1269" i="9"/>
  <c r="H1268" i="9"/>
  <c r="G1268" i="9"/>
  <c r="H1267" i="9"/>
  <c r="G1267" i="9"/>
  <c r="H1266" i="9"/>
  <c r="G1266" i="9"/>
  <c r="H1265" i="9"/>
  <c r="G1265" i="9"/>
  <c r="H1264" i="9"/>
  <c r="G1264" i="9"/>
  <c r="H1263" i="9"/>
  <c r="G1263" i="9"/>
  <c r="H1262" i="9"/>
  <c r="G1262" i="9"/>
  <c r="H1261" i="9"/>
  <c r="G1261" i="9"/>
  <c r="H1260" i="9"/>
  <c r="G1260" i="9"/>
  <c r="H1259" i="9"/>
  <c r="G1259" i="9"/>
  <c r="H1258" i="9"/>
  <c r="G1258" i="9"/>
  <c r="H1257" i="9"/>
  <c r="G1257" i="9"/>
  <c r="H1256" i="9"/>
  <c r="G1256" i="9"/>
  <c r="H1255" i="9"/>
  <c r="G1255" i="9"/>
  <c r="H1254" i="9"/>
  <c r="G1254" i="9"/>
  <c r="H1253" i="9"/>
  <c r="G1253" i="9"/>
  <c r="H1252" i="9"/>
  <c r="G1252" i="9"/>
  <c r="H1251" i="9"/>
  <c r="G1251" i="9"/>
  <c r="H1250" i="9"/>
  <c r="G1250" i="9"/>
  <c r="H1249" i="9"/>
  <c r="G1249" i="9"/>
  <c r="H1248" i="9"/>
  <c r="G1248" i="9"/>
  <c r="H1247" i="9"/>
  <c r="G1247" i="9"/>
  <c r="H1246" i="9"/>
  <c r="G1246" i="9"/>
  <c r="H1245" i="9"/>
  <c r="G1245" i="9"/>
  <c r="H1244" i="9"/>
  <c r="G1244" i="9"/>
  <c r="H1243" i="9"/>
  <c r="G1243" i="9"/>
  <c r="H1242" i="9"/>
  <c r="G1242" i="9"/>
  <c r="H1241" i="9"/>
  <c r="G1241" i="9"/>
  <c r="H1240" i="9"/>
  <c r="G1240" i="9"/>
  <c r="H1239" i="9"/>
  <c r="G1239" i="9"/>
  <c r="H1238" i="9"/>
  <c r="G1238" i="9"/>
  <c r="H1237" i="9"/>
  <c r="G1237" i="9"/>
  <c r="H1236" i="9"/>
  <c r="G1236" i="9"/>
  <c r="H1235" i="9"/>
  <c r="G1235" i="9"/>
  <c r="H1234" i="9"/>
  <c r="G1234" i="9"/>
  <c r="H1233" i="9"/>
  <c r="G1233" i="9"/>
  <c r="H1232" i="9"/>
  <c r="G1232" i="9"/>
  <c r="H1231" i="9"/>
  <c r="G1231" i="9"/>
  <c r="H1230" i="9"/>
  <c r="G1230" i="9"/>
  <c r="H1229" i="9"/>
  <c r="G1229" i="9"/>
  <c r="H1228" i="9"/>
  <c r="G1228" i="9"/>
  <c r="H1227" i="9"/>
  <c r="G1227" i="9"/>
  <c r="H1226" i="9"/>
  <c r="G1226" i="9"/>
  <c r="H1225" i="9"/>
  <c r="G1225" i="9"/>
  <c r="H1224" i="9"/>
  <c r="G1224" i="9"/>
  <c r="H1223" i="9"/>
  <c r="G1223" i="9"/>
  <c r="H1222" i="9"/>
  <c r="G1222" i="9"/>
  <c r="H1221" i="9"/>
  <c r="G1221" i="9"/>
  <c r="H1220" i="9"/>
  <c r="G1220" i="9"/>
  <c r="H1219" i="9"/>
  <c r="G1219" i="9"/>
  <c r="H1218" i="9"/>
  <c r="G1218" i="9"/>
  <c r="H1217" i="9"/>
  <c r="G1217" i="9"/>
  <c r="H1216" i="9"/>
  <c r="G1216" i="9"/>
  <c r="H1215" i="9"/>
  <c r="G1215" i="9"/>
  <c r="H1214" i="9"/>
  <c r="G1214" i="9"/>
  <c r="H1213" i="9"/>
  <c r="G1213" i="9"/>
  <c r="H1212" i="9"/>
  <c r="G1212" i="9"/>
  <c r="H1211" i="9"/>
  <c r="G1211" i="9"/>
  <c r="H1210" i="9"/>
  <c r="G1210" i="9"/>
  <c r="H1209" i="9"/>
  <c r="G1209" i="9"/>
  <c r="H1208" i="9"/>
  <c r="G1208" i="9"/>
  <c r="H1207" i="9"/>
  <c r="G1207" i="9"/>
  <c r="H1206" i="9"/>
  <c r="G1206" i="9"/>
  <c r="H1205" i="9"/>
  <c r="G1205" i="9"/>
  <c r="H1204" i="9"/>
  <c r="G1204" i="9"/>
  <c r="H1203" i="9"/>
  <c r="G1203" i="9"/>
  <c r="H1202" i="9"/>
  <c r="G1202" i="9"/>
  <c r="H1201" i="9"/>
  <c r="G1201" i="9"/>
  <c r="H1200" i="9"/>
  <c r="G1200" i="9"/>
  <c r="H1199" i="9"/>
  <c r="G1199" i="9"/>
  <c r="H1198" i="9"/>
  <c r="G1198" i="9"/>
  <c r="H1197" i="9"/>
  <c r="G1197" i="9"/>
  <c r="H1196" i="9"/>
  <c r="G1196" i="9"/>
  <c r="H1195" i="9"/>
  <c r="G1195" i="9"/>
  <c r="H1194" i="9"/>
  <c r="G1194" i="9"/>
  <c r="H1193" i="9"/>
  <c r="G1193" i="9"/>
  <c r="H1192" i="9"/>
  <c r="G1192" i="9"/>
  <c r="H1191" i="9"/>
  <c r="G1191" i="9"/>
  <c r="H1190" i="9"/>
  <c r="G1190" i="9"/>
  <c r="H1189" i="9"/>
  <c r="G1189" i="9"/>
  <c r="H1188" i="9"/>
  <c r="G1188" i="9"/>
  <c r="H1187" i="9"/>
  <c r="G1187" i="9"/>
  <c r="H1186" i="9"/>
  <c r="G1186" i="9"/>
  <c r="H1185" i="9"/>
  <c r="G1185" i="9"/>
  <c r="H1184" i="9"/>
  <c r="G1184" i="9"/>
  <c r="H1183" i="9"/>
  <c r="G1183" i="9"/>
  <c r="H1182" i="9"/>
  <c r="G1182" i="9"/>
  <c r="H1181" i="9"/>
  <c r="G1181" i="9"/>
  <c r="H1180" i="9"/>
  <c r="G1180" i="9"/>
  <c r="H1179" i="9"/>
  <c r="G1179" i="9"/>
  <c r="H1178" i="9"/>
  <c r="G1178" i="9"/>
  <c r="H1177" i="9"/>
  <c r="G1177" i="9"/>
  <c r="H1176" i="9"/>
  <c r="G1176" i="9"/>
  <c r="H1175" i="9"/>
  <c r="G1175" i="9"/>
  <c r="H1174" i="9"/>
  <c r="G1174" i="9"/>
  <c r="H1173" i="9"/>
  <c r="G1173" i="9"/>
  <c r="H1172" i="9"/>
  <c r="G1172" i="9"/>
  <c r="H1171" i="9"/>
  <c r="G1171" i="9"/>
  <c r="H1170" i="9"/>
  <c r="G1170" i="9"/>
  <c r="H1169" i="9"/>
  <c r="G1169" i="9"/>
  <c r="H1168" i="9"/>
  <c r="G1168" i="9"/>
  <c r="H1167" i="9"/>
  <c r="G1167" i="9"/>
  <c r="H1166" i="9"/>
  <c r="G1166" i="9"/>
  <c r="H1165" i="9"/>
  <c r="G1165" i="9"/>
  <c r="H1164" i="9"/>
  <c r="G1164" i="9"/>
  <c r="H1163" i="9"/>
  <c r="G1163" i="9"/>
  <c r="H1162" i="9"/>
  <c r="G1162" i="9"/>
  <c r="H1161" i="9"/>
  <c r="G1161" i="9"/>
  <c r="H1160" i="9"/>
  <c r="G1160" i="9"/>
  <c r="H1159" i="9"/>
  <c r="G1159" i="9"/>
  <c r="H1158" i="9"/>
  <c r="G1158" i="9"/>
  <c r="H1157" i="9"/>
  <c r="G1157" i="9"/>
  <c r="H1156" i="9"/>
  <c r="G1156" i="9"/>
  <c r="H1155" i="9"/>
  <c r="G1155" i="9"/>
  <c r="H1154" i="9"/>
  <c r="G1154" i="9"/>
  <c r="H1153" i="9"/>
  <c r="G1153" i="9"/>
  <c r="H1152" i="9"/>
  <c r="G1152" i="9"/>
  <c r="H1151" i="9"/>
  <c r="G1151" i="9"/>
  <c r="H1150" i="9"/>
  <c r="G1150" i="9"/>
  <c r="H1149" i="9"/>
  <c r="G1149" i="9"/>
  <c r="H1148" i="9"/>
  <c r="G1148" i="9"/>
  <c r="H1147" i="9"/>
  <c r="G1147" i="9"/>
  <c r="H1146" i="9"/>
  <c r="G1146" i="9"/>
  <c r="H1145" i="9"/>
  <c r="G1145" i="9"/>
  <c r="H1144" i="9"/>
  <c r="G1144" i="9"/>
  <c r="H1143" i="9"/>
  <c r="G1143" i="9"/>
  <c r="H1142" i="9"/>
  <c r="G1142" i="9"/>
  <c r="H1141" i="9"/>
  <c r="G1141" i="9"/>
  <c r="H1140" i="9"/>
  <c r="G1140" i="9"/>
  <c r="H1139" i="9"/>
  <c r="G1139" i="9"/>
  <c r="H1138" i="9"/>
  <c r="G1138" i="9"/>
  <c r="H1137" i="9"/>
  <c r="G1137" i="9"/>
  <c r="H1136" i="9"/>
  <c r="G1136" i="9"/>
  <c r="H1135" i="9"/>
  <c r="G1135" i="9"/>
  <c r="H1134" i="9"/>
  <c r="G1134" i="9"/>
  <c r="H1133" i="9"/>
  <c r="G1133" i="9"/>
  <c r="H1132" i="9"/>
  <c r="G1132" i="9"/>
  <c r="H1131" i="9"/>
  <c r="G1131" i="9"/>
  <c r="H1130" i="9"/>
  <c r="G1130" i="9"/>
  <c r="H1129" i="9"/>
  <c r="G1129" i="9"/>
  <c r="H1128" i="9"/>
  <c r="G1128" i="9"/>
  <c r="H1127" i="9"/>
  <c r="G1127" i="9"/>
  <c r="H1126" i="9"/>
  <c r="G1126" i="9"/>
  <c r="H1125" i="9"/>
  <c r="G1125" i="9"/>
  <c r="H1124" i="9"/>
  <c r="G1124" i="9"/>
  <c r="H1123" i="9"/>
  <c r="G1123" i="9"/>
  <c r="H1122" i="9"/>
  <c r="G1122" i="9"/>
  <c r="H1121" i="9"/>
  <c r="G1121" i="9"/>
  <c r="H1120" i="9"/>
  <c r="G1120" i="9"/>
  <c r="H1119" i="9"/>
  <c r="G1119" i="9"/>
  <c r="H1118" i="9"/>
  <c r="G1118" i="9"/>
  <c r="H1117" i="9"/>
  <c r="G1117" i="9"/>
  <c r="H1116" i="9"/>
  <c r="G1116" i="9"/>
  <c r="H1115" i="9"/>
  <c r="G1115" i="9"/>
  <c r="H1114" i="9"/>
  <c r="G1114" i="9"/>
  <c r="H1113" i="9"/>
  <c r="G1113" i="9"/>
  <c r="H1112" i="9"/>
  <c r="G1112" i="9"/>
  <c r="H1111" i="9"/>
  <c r="G1111" i="9"/>
  <c r="H1110" i="9"/>
  <c r="G1110" i="9"/>
  <c r="H1109" i="9"/>
  <c r="G1109" i="9"/>
  <c r="H1108" i="9"/>
  <c r="G1108" i="9"/>
  <c r="H1107" i="9"/>
  <c r="G1107" i="9"/>
  <c r="H1106" i="9"/>
  <c r="G1106" i="9"/>
  <c r="H1105" i="9"/>
  <c r="G1105" i="9"/>
  <c r="H1104" i="9"/>
  <c r="G1104" i="9"/>
  <c r="H1103" i="9"/>
  <c r="G1103" i="9"/>
  <c r="H1102" i="9"/>
  <c r="G1102" i="9"/>
  <c r="H1101" i="9"/>
  <c r="G1101" i="9"/>
  <c r="H1100" i="9"/>
  <c r="G1100" i="9"/>
  <c r="H1099" i="9"/>
  <c r="G1099" i="9"/>
  <c r="H1098" i="9"/>
  <c r="G1098" i="9"/>
  <c r="H1097" i="9"/>
  <c r="G1097" i="9"/>
  <c r="H1096" i="9"/>
  <c r="G1096" i="9"/>
  <c r="H1095" i="9"/>
  <c r="G1095" i="9"/>
  <c r="H1094" i="9"/>
  <c r="G1094" i="9"/>
  <c r="H1093" i="9"/>
  <c r="G1093" i="9"/>
  <c r="H1092" i="9"/>
  <c r="G1092" i="9"/>
  <c r="H1091" i="9"/>
  <c r="G1091" i="9"/>
  <c r="H1090" i="9"/>
  <c r="G1090" i="9"/>
  <c r="H1089" i="9"/>
  <c r="G1089" i="9"/>
  <c r="H1088" i="9"/>
  <c r="G1088" i="9"/>
  <c r="H1087" i="9"/>
  <c r="G1087" i="9"/>
  <c r="H1086" i="9"/>
  <c r="G1086" i="9"/>
  <c r="H1085" i="9"/>
  <c r="G1085" i="9"/>
  <c r="H1084" i="9"/>
  <c r="G1084" i="9"/>
  <c r="H1083" i="9"/>
  <c r="G1083" i="9"/>
  <c r="H1082" i="9"/>
  <c r="G1082" i="9"/>
  <c r="H1081" i="9"/>
  <c r="G1081" i="9"/>
  <c r="H1080" i="9"/>
  <c r="G1080" i="9"/>
  <c r="H1079" i="9"/>
  <c r="G1079" i="9"/>
  <c r="H1078" i="9"/>
  <c r="G1078" i="9"/>
  <c r="H1077" i="9"/>
  <c r="G1077" i="9"/>
  <c r="H1076" i="9"/>
  <c r="G1076" i="9"/>
  <c r="H1075" i="9"/>
  <c r="G1075" i="9"/>
  <c r="H1074" i="9"/>
  <c r="G1074" i="9"/>
  <c r="H1073" i="9"/>
  <c r="G1073" i="9"/>
  <c r="H1072" i="9"/>
  <c r="G1072" i="9"/>
  <c r="H1071" i="9"/>
  <c r="G1071" i="9"/>
  <c r="H1070" i="9"/>
  <c r="G1070" i="9"/>
  <c r="H1069" i="9"/>
  <c r="G1069" i="9"/>
  <c r="H1068" i="9"/>
  <c r="G1068" i="9"/>
  <c r="H1067" i="9"/>
  <c r="G1067" i="9"/>
  <c r="H1066" i="9"/>
  <c r="G1066" i="9"/>
  <c r="H1065" i="9"/>
  <c r="G1065" i="9"/>
  <c r="H1064" i="9"/>
  <c r="G1064" i="9"/>
  <c r="H1063" i="9"/>
  <c r="G1063" i="9"/>
  <c r="H1062" i="9"/>
  <c r="G1062" i="9"/>
  <c r="H1061" i="9"/>
  <c r="G1061" i="9"/>
  <c r="H1060" i="9"/>
  <c r="G1060" i="9"/>
  <c r="H1059" i="9"/>
  <c r="G1059" i="9"/>
  <c r="H1058" i="9"/>
  <c r="G1058" i="9"/>
  <c r="H1057" i="9"/>
  <c r="G1057" i="9"/>
  <c r="H1056" i="9"/>
  <c r="G1056" i="9"/>
  <c r="H1055" i="9"/>
  <c r="G1055" i="9"/>
  <c r="H1054" i="9"/>
  <c r="G1054" i="9"/>
  <c r="H1053" i="9"/>
  <c r="G1053" i="9"/>
  <c r="H1052" i="9"/>
  <c r="G1052" i="9"/>
  <c r="H1051" i="9"/>
  <c r="G1051" i="9"/>
  <c r="H1050" i="9"/>
  <c r="G1050" i="9"/>
  <c r="H1049" i="9"/>
  <c r="G1049" i="9"/>
  <c r="H1048" i="9"/>
  <c r="G1048" i="9"/>
  <c r="H1047" i="9"/>
  <c r="G1047" i="9"/>
  <c r="H1046" i="9"/>
  <c r="G1046" i="9"/>
  <c r="H1045" i="9"/>
  <c r="G1045" i="9"/>
  <c r="H1044" i="9"/>
  <c r="G1044" i="9"/>
  <c r="H1043" i="9"/>
  <c r="G1043" i="9"/>
  <c r="H1042" i="9"/>
  <c r="G1042" i="9"/>
  <c r="H1041" i="9"/>
  <c r="G1041" i="9"/>
  <c r="H1040" i="9"/>
  <c r="G1040" i="9"/>
  <c r="H1039" i="9"/>
  <c r="G1039" i="9"/>
  <c r="H1038" i="9"/>
  <c r="G1038" i="9"/>
  <c r="H1037" i="9"/>
  <c r="G1037" i="9"/>
  <c r="H1036" i="9"/>
  <c r="G1036" i="9"/>
  <c r="H1035" i="9"/>
  <c r="G1035" i="9"/>
  <c r="H1034" i="9"/>
  <c r="G1034" i="9"/>
  <c r="H1033" i="9"/>
  <c r="G1033" i="9"/>
  <c r="H1032" i="9"/>
  <c r="G1032" i="9"/>
  <c r="H1031" i="9"/>
  <c r="G1031" i="9"/>
  <c r="H1030" i="9"/>
  <c r="G1030" i="9"/>
  <c r="H1029" i="9"/>
  <c r="G1029" i="9"/>
  <c r="H1028" i="9"/>
  <c r="G1028" i="9"/>
  <c r="H1027" i="9"/>
  <c r="G1027" i="9"/>
  <c r="H1026" i="9"/>
  <c r="G1026" i="9"/>
  <c r="H1025" i="9"/>
  <c r="G1025" i="9"/>
  <c r="H1024" i="9"/>
  <c r="G1024" i="9"/>
  <c r="H1023" i="9"/>
  <c r="G1023" i="9"/>
  <c r="H1022" i="9"/>
  <c r="G1022" i="9"/>
  <c r="H1021" i="9"/>
  <c r="G1021" i="9"/>
  <c r="H1020" i="9"/>
  <c r="G1020" i="9"/>
  <c r="H1019" i="9"/>
  <c r="G1019" i="9"/>
  <c r="H1018" i="9"/>
  <c r="G1018" i="9"/>
  <c r="H1017" i="9"/>
  <c r="G1017" i="9"/>
  <c r="H1016" i="9"/>
  <c r="G1016" i="9"/>
  <c r="H1015" i="9"/>
  <c r="G1015" i="9"/>
  <c r="H1014" i="9"/>
  <c r="G1014" i="9"/>
  <c r="H1013" i="9"/>
  <c r="G1013" i="9"/>
  <c r="H1012" i="9"/>
  <c r="G1012" i="9"/>
  <c r="H1011" i="9"/>
  <c r="G1011" i="9"/>
  <c r="H1010" i="9"/>
  <c r="G1010" i="9"/>
  <c r="H1009" i="9"/>
  <c r="G1009" i="9"/>
  <c r="H1008" i="9"/>
  <c r="G1008" i="9"/>
  <c r="H1007" i="9"/>
  <c r="G1007" i="9"/>
  <c r="H1006" i="9"/>
  <c r="G1006" i="9"/>
  <c r="H1005" i="9"/>
  <c r="G1005" i="9"/>
  <c r="H1004" i="9"/>
  <c r="G1004" i="9"/>
  <c r="H1003" i="9"/>
  <c r="G1003" i="9"/>
  <c r="H1002" i="9"/>
  <c r="G1002" i="9"/>
  <c r="H1001" i="9"/>
  <c r="G1001" i="9"/>
  <c r="H1000" i="9"/>
  <c r="G1000" i="9"/>
  <c r="H999" i="9"/>
  <c r="G999" i="9"/>
  <c r="H998" i="9"/>
  <c r="G998" i="9"/>
  <c r="H997" i="9"/>
  <c r="G997" i="9"/>
  <c r="H996" i="9"/>
  <c r="G996" i="9"/>
  <c r="H995" i="9"/>
  <c r="G995" i="9"/>
  <c r="H994" i="9"/>
  <c r="G994" i="9"/>
  <c r="H993" i="9"/>
  <c r="G993" i="9"/>
  <c r="H992" i="9"/>
  <c r="G992" i="9"/>
  <c r="H991" i="9"/>
  <c r="G991" i="9"/>
  <c r="H990" i="9"/>
  <c r="G990" i="9"/>
  <c r="H989" i="9"/>
  <c r="G989" i="9"/>
  <c r="H988" i="9"/>
  <c r="G988" i="9"/>
  <c r="H987" i="9"/>
  <c r="G987" i="9"/>
  <c r="H986" i="9"/>
  <c r="G986" i="9"/>
  <c r="H985" i="9"/>
  <c r="G985" i="9"/>
  <c r="H984" i="9"/>
  <c r="G984" i="9"/>
  <c r="H983" i="9"/>
  <c r="G983" i="9"/>
  <c r="H982" i="9"/>
  <c r="G982" i="9"/>
  <c r="H981" i="9"/>
  <c r="G981" i="9"/>
  <c r="H980" i="9"/>
  <c r="G980" i="9"/>
  <c r="H979" i="9"/>
  <c r="G979" i="9"/>
  <c r="H978" i="9"/>
  <c r="G978" i="9"/>
  <c r="H977" i="9"/>
  <c r="G977" i="9"/>
  <c r="H976" i="9"/>
  <c r="G976" i="9"/>
  <c r="H975" i="9"/>
  <c r="G975" i="9"/>
  <c r="H974" i="9"/>
  <c r="G974" i="9"/>
  <c r="H973" i="9"/>
  <c r="G973" i="9"/>
  <c r="H972" i="9"/>
  <c r="G972" i="9"/>
  <c r="H971" i="9"/>
  <c r="G971" i="9"/>
  <c r="H970" i="9"/>
  <c r="G970" i="9"/>
  <c r="H969" i="9"/>
  <c r="G969" i="9"/>
  <c r="H968" i="9"/>
  <c r="G968" i="9"/>
  <c r="H967" i="9"/>
  <c r="G967" i="9"/>
  <c r="H966" i="9"/>
  <c r="G966" i="9"/>
  <c r="H965" i="9"/>
  <c r="G965" i="9"/>
  <c r="H964" i="9"/>
  <c r="G964" i="9"/>
  <c r="H963" i="9"/>
  <c r="G963" i="9"/>
  <c r="H962" i="9"/>
  <c r="G962" i="9"/>
  <c r="H961" i="9"/>
  <c r="G961" i="9"/>
  <c r="H960" i="9"/>
  <c r="G960" i="9"/>
  <c r="H959" i="9"/>
  <c r="G959" i="9"/>
  <c r="H958" i="9"/>
  <c r="G958" i="9"/>
  <c r="H957" i="9"/>
  <c r="G957" i="9"/>
  <c r="H956" i="9"/>
  <c r="G956" i="9"/>
  <c r="H955" i="9"/>
  <c r="G955" i="9"/>
  <c r="H954" i="9"/>
  <c r="G954" i="9"/>
  <c r="H953" i="9"/>
  <c r="G953" i="9"/>
  <c r="H952" i="9"/>
  <c r="G952" i="9"/>
  <c r="H951" i="9"/>
  <c r="G951" i="9"/>
  <c r="H950" i="9"/>
  <c r="G950" i="9"/>
  <c r="H949" i="9"/>
  <c r="G949" i="9"/>
  <c r="H948" i="9"/>
  <c r="G948" i="9"/>
  <c r="H947" i="9"/>
  <c r="G947" i="9"/>
  <c r="H946" i="9"/>
  <c r="G946" i="9"/>
  <c r="H945" i="9"/>
  <c r="G945" i="9"/>
  <c r="H944" i="9"/>
  <c r="G944" i="9"/>
  <c r="H943" i="9"/>
  <c r="G943" i="9"/>
  <c r="H942" i="9"/>
  <c r="G942" i="9"/>
  <c r="H941" i="9"/>
  <c r="G941" i="9"/>
  <c r="H940" i="9"/>
  <c r="G940" i="9"/>
  <c r="H939" i="9"/>
  <c r="G939" i="9"/>
  <c r="H938" i="9"/>
  <c r="G938" i="9"/>
  <c r="H937" i="9"/>
  <c r="G937" i="9"/>
  <c r="H936" i="9"/>
  <c r="G936" i="9"/>
  <c r="H935" i="9"/>
  <c r="G935" i="9"/>
  <c r="H934" i="9"/>
  <c r="G934" i="9"/>
  <c r="H933" i="9"/>
  <c r="G933" i="9"/>
  <c r="H932" i="9"/>
  <c r="G932" i="9"/>
  <c r="H931" i="9"/>
  <c r="G931" i="9"/>
  <c r="H930" i="9"/>
  <c r="G930" i="9"/>
  <c r="H929" i="9"/>
  <c r="G929" i="9"/>
  <c r="H928" i="9"/>
  <c r="G928" i="9"/>
  <c r="H927" i="9"/>
  <c r="G927" i="9"/>
  <c r="H926" i="9"/>
  <c r="G926" i="9"/>
  <c r="H925" i="9"/>
  <c r="G925" i="9"/>
  <c r="H924" i="9"/>
  <c r="G924" i="9"/>
  <c r="H923" i="9"/>
  <c r="G923" i="9"/>
  <c r="H922" i="9"/>
  <c r="G922" i="9"/>
  <c r="H921" i="9"/>
  <c r="G921" i="9"/>
  <c r="H920" i="9"/>
  <c r="G920" i="9"/>
  <c r="H919" i="9"/>
  <c r="G919" i="9"/>
  <c r="H918" i="9"/>
  <c r="G918" i="9"/>
  <c r="H917" i="9"/>
  <c r="G917" i="9"/>
  <c r="H916" i="9"/>
  <c r="G916" i="9"/>
  <c r="H915" i="9"/>
  <c r="G915" i="9"/>
  <c r="H914" i="9"/>
  <c r="G914" i="9"/>
  <c r="H913" i="9"/>
  <c r="G913" i="9"/>
  <c r="H912" i="9"/>
  <c r="G912" i="9"/>
  <c r="H911" i="9"/>
  <c r="G911" i="9"/>
  <c r="H910" i="9"/>
  <c r="G910" i="9"/>
  <c r="H909" i="9"/>
  <c r="G909" i="9"/>
  <c r="H908" i="9"/>
  <c r="G908" i="9"/>
  <c r="H907" i="9"/>
  <c r="G907" i="9"/>
  <c r="H906" i="9"/>
  <c r="G906" i="9"/>
  <c r="H905" i="9"/>
  <c r="G905" i="9"/>
  <c r="H904" i="9"/>
  <c r="G904" i="9"/>
  <c r="H903" i="9"/>
  <c r="G903" i="9"/>
  <c r="H902" i="9"/>
  <c r="G902" i="9"/>
  <c r="H901" i="9"/>
  <c r="G901" i="9"/>
  <c r="H900" i="9"/>
  <c r="G900" i="9"/>
  <c r="H899" i="9"/>
  <c r="G899" i="9"/>
  <c r="H898" i="9"/>
  <c r="G898" i="9"/>
  <c r="H897" i="9"/>
  <c r="G897" i="9"/>
  <c r="H896" i="9"/>
  <c r="G896" i="9"/>
  <c r="H895" i="9"/>
  <c r="G895" i="9"/>
  <c r="H894" i="9"/>
  <c r="G894" i="9"/>
  <c r="H893" i="9"/>
  <c r="G893" i="9"/>
  <c r="H892" i="9"/>
  <c r="G892" i="9"/>
  <c r="H891" i="9"/>
  <c r="G891" i="9"/>
  <c r="H890" i="9"/>
  <c r="G890" i="9"/>
  <c r="H889" i="9"/>
  <c r="G889" i="9"/>
  <c r="H888" i="9"/>
  <c r="G888" i="9"/>
  <c r="H887" i="9"/>
  <c r="G887" i="9"/>
  <c r="H886" i="9"/>
  <c r="G886" i="9"/>
  <c r="H885" i="9"/>
  <c r="G885" i="9"/>
  <c r="H884" i="9"/>
  <c r="G884" i="9"/>
  <c r="H883" i="9"/>
  <c r="G883" i="9"/>
  <c r="H882" i="9"/>
  <c r="G882" i="9"/>
  <c r="H881" i="9"/>
  <c r="G881" i="9"/>
  <c r="H880" i="9"/>
  <c r="G880" i="9"/>
  <c r="H879" i="9"/>
  <c r="G879" i="9"/>
  <c r="H878" i="9"/>
  <c r="G878" i="9"/>
  <c r="H877" i="9"/>
  <c r="G877" i="9"/>
  <c r="H876" i="9"/>
  <c r="G876" i="9"/>
  <c r="H875" i="9"/>
  <c r="G875" i="9"/>
  <c r="H874" i="9"/>
  <c r="G874" i="9"/>
  <c r="H873" i="9"/>
  <c r="G873" i="9"/>
  <c r="H872" i="9"/>
  <c r="G872" i="9"/>
  <c r="H871" i="9"/>
  <c r="G871" i="9"/>
  <c r="H870" i="9"/>
  <c r="G870" i="9"/>
  <c r="H869" i="9"/>
  <c r="G869" i="9"/>
  <c r="H868" i="9"/>
  <c r="G868" i="9"/>
  <c r="H867" i="9"/>
  <c r="G867" i="9"/>
  <c r="H866" i="9"/>
  <c r="G866" i="9"/>
  <c r="H865" i="9"/>
  <c r="G865" i="9"/>
  <c r="H864" i="9"/>
  <c r="G864" i="9"/>
  <c r="H863" i="9"/>
  <c r="G863" i="9"/>
  <c r="H862" i="9"/>
  <c r="G862" i="9"/>
  <c r="H861" i="9"/>
  <c r="G861" i="9"/>
  <c r="H860" i="9"/>
  <c r="G860" i="9"/>
  <c r="H859" i="9"/>
  <c r="G859" i="9"/>
  <c r="H858" i="9"/>
  <c r="G858" i="9"/>
  <c r="H857" i="9"/>
  <c r="G857" i="9"/>
  <c r="H856" i="9"/>
  <c r="G856" i="9"/>
  <c r="H855" i="9"/>
  <c r="G855" i="9"/>
  <c r="H854" i="9"/>
  <c r="G854" i="9"/>
  <c r="H853" i="9"/>
  <c r="G853" i="9"/>
  <c r="H852" i="9"/>
  <c r="G852" i="9"/>
  <c r="H851" i="9"/>
  <c r="G851" i="9"/>
  <c r="H850" i="9"/>
  <c r="G850" i="9"/>
  <c r="H849" i="9"/>
  <c r="G849" i="9"/>
  <c r="H848" i="9"/>
  <c r="G848" i="9"/>
  <c r="H847" i="9"/>
  <c r="G847" i="9"/>
  <c r="H846" i="9"/>
  <c r="G846" i="9"/>
  <c r="H845" i="9"/>
  <c r="G845" i="9"/>
  <c r="H844" i="9"/>
  <c r="G844" i="9"/>
  <c r="H843" i="9"/>
  <c r="G843" i="9"/>
  <c r="H842" i="9"/>
  <c r="G842" i="9"/>
  <c r="H841" i="9"/>
  <c r="G841" i="9"/>
  <c r="H840" i="9"/>
  <c r="G840" i="9"/>
  <c r="H839" i="9"/>
  <c r="G839" i="9"/>
  <c r="H838" i="9"/>
  <c r="G838" i="9"/>
  <c r="H837" i="9"/>
  <c r="G837" i="9"/>
  <c r="H836" i="9"/>
  <c r="G836" i="9"/>
  <c r="H835" i="9"/>
  <c r="G835" i="9"/>
  <c r="H834" i="9"/>
  <c r="G834" i="9"/>
  <c r="H833" i="9"/>
  <c r="G833" i="9"/>
  <c r="H832" i="9"/>
  <c r="G832" i="9"/>
  <c r="H831" i="9"/>
  <c r="G831" i="9"/>
  <c r="H830" i="9"/>
  <c r="G830" i="9"/>
  <c r="H829" i="9"/>
  <c r="G829" i="9"/>
  <c r="H828" i="9"/>
  <c r="G828" i="9"/>
  <c r="H827" i="9"/>
  <c r="G827" i="9"/>
  <c r="H826" i="9"/>
  <c r="G826" i="9"/>
  <c r="H825" i="9"/>
  <c r="G825" i="9"/>
  <c r="H824" i="9"/>
  <c r="G824" i="9"/>
  <c r="H823" i="9"/>
  <c r="G823" i="9"/>
  <c r="H822" i="9"/>
  <c r="G822" i="9"/>
  <c r="H821" i="9"/>
  <c r="G821" i="9"/>
  <c r="H820" i="9"/>
  <c r="G820" i="9"/>
  <c r="H819" i="9"/>
  <c r="G819" i="9"/>
  <c r="H818" i="9"/>
  <c r="G818" i="9"/>
  <c r="H817" i="9"/>
  <c r="G817" i="9"/>
  <c r="H816" i="9"/>
  <c r="G816" i="9"/>
  <c r="H815" i="9"/>
  <c r="G815" i="9"/>
  <c r="H814" i="9"/>
  <c r="G814" i="9"/>
  <c r="H813" i="9"/>
  <c r="G813" i="9"/>
  <c r="H812" i="9"/>
  <c r="G812" i="9"/>
  <c r="H811" i="9"/>
  <c r="G811" i="9"/>
  <c r="H810" i="9"/>
  <c r="G810" i="9"/>
  <c r="H809" i="9"/>
  <c r="G809" i="9"/>
  <c r="H808" i="9"/>
  <c r="G808" i="9"/>
  <c r="H807" i="9"/>
  <c r="G807" i="9"/>
  <c r="H806" i="9"/>
  <c r="G806" i="9"/>
  <c r="H805" i="9"/>
  <c r="G805" i="9"/>
  <c r="H804" i="9"/>
  <c r="G804" i="9"/>
  <c r="H803" i="9"/>
  <c r="G803" i="9"/>
  <c r="H802" i="9"/>
  <c r="G802" i="9"/>
  <c r="H801" i="9"/>
  <c r="G801" i="9"/>
  <c r="H800" i="9"/>
  <c r="G800" i="9"/>
  <c r="H799" i="9"/>
  <c r="G799" i="9"/>
  <c r="H798" i="9"/>
  <c r="G798" i="9"/>
  <c r="H797" i="9"/>
  <c r="G797" i="9"/>
  <c r="H796" i="9"/>
  <c r="G796" i="9"/>
  <c r="H795" i="9"/>
  <c r="G795" i="9"/>
  <c r="H794" i="9"/>
  <c r="G794" i="9"/>
  <c r="H793" i="9"/>
  <c r="G793" i="9"/>
  <c r="H792" i="9"/>
  <c r="G792" i="9"/>
  <c r="H791" i="9"/>
  <c r="G791" i="9"/>
  <c r="H790" i="9"/>
  <c r="G790" i="9"/>
  <c r="H789" i="9"/>
  <c r="G789" i="9"/>
  <c r="H788" i="9"/>
  <c r="G788" i="9"/>
  <c r="H787" i="9"/>
  <c r="G787" i="9"/>
  <c r="H786" i="9"/>
  <c r="G786" i="9"/>
  <c r="H785" i="9"/>
  <c r="G785" i="9"/>
  <c r="H784" i="9"/>
  <c r="G784" i="9"/>
  <c r="H783" i="9"/>
  <c r="G783" i="9"/>
  <c r="H782" i="9"/>
  <c r="G782" i="9"/>
  <c r="H781" i="9"/>
  <c r="G781" i="9"/>
  <c r="H780" i="9"/>
  <c r="G780" i="9"/>
  <c r="H779" i="9"/>
  <c r="G779" i="9"/>
  <c r="H778" i="9"/>
  <c r="G778" i="9"/>
  <c r="H777" i="9"/>
  <c r="G777" i="9"/>
  <c r="H776" i="9"/>
  <c r="G776" i="9"/>
  <c r="H775" i="9"/>
  <c r="G775" i="9"/>
  <c r="H774" i="9"/>
  <c r="G774" i="9"/>
  <c r="H773" i="9"/>
  <c r="G773" i="9"/>
  <c r="H772" i="9"/>
  <c r="G772" i="9"/>
  <c r="H771" i="9"/>
  <c r="G771" i="9"/>
  <c r="H770" i="9"/>
  <c r="G770" i="9"/>
  <c r="H769" i="9"/>
  <c r="G769" i="9"/>
  <c r="H768" i="9"/>
  <c r="G768" i="9"/>
  <c r="H767" i="9"/>
  <c r="G767" i="9"/>
  <c r="H766" i="9"/>
  <c r="G766" i="9"/>
  <c r="H765" i="9"/>
  <c r="G765" i="9"/>
  <c r="H764" i="9"/>
  <c r="G764" i="9"/>
  <c r="H763" i="9"/>
  <c r="G763" i="9"/>
  <c r="H762" i="9"/>
  <c r="G762" i="9"/>
  <c r="H761" i="9"/>
  <c r="G761" i="9"/>
  <c r="H760" i="9"/>
  <c r="G760" i="9"/>
  <c r="H759" i="9"/>
  <c r="G759" i="9"/>
  <c r="H758" i="9"/>
  <c r="G758" i="9"/>
  <c r="H757" i="9"/>
  <c r="G757" i="9"/>
  <c r="H756" i="9"/>
  <c r="G756" i="9"/>
  <c r="H755" i="9"/>
  <c r="G755" i="9"/>
  <c r="H754" i="9"/>
  <c r="G754" i="9"/>
  <c r="H753" i="9"/>
  <c r="G753" i="9"/>
  <c r="H752" i="9"/>
  <c r="G752" i="9"/>
  <c r="H751" i="9"/>
  <c r="G751" i="9"/>
  <c r="H750" i="9"/>
  <c r="G750" i="9"/>
  <c r="H749" i="9"/>
  <c r="G749" i="9"/>
  <c r="H748" i="9"/>
  <c r="G748" i="9"/>
  <c r="H747" i="9"/>
  <c r="G747" i="9"/>
  <c r="H746" i="9"/>
  <c r="G746" i="9"/>
  <c r="H745" i="9"/>
  <c r="G745" i="9"/>
  <c r="H744" i="9"/>
  <c r="G744" i="9"/>
  <c r="H743" i="9"/>
  <c r="G743" i="9"/>
  <c r="H742" i="9"/>
  <c r="G742" i="9"/>
  <c r="H741" i="9"/>
  <c r="G741" i="9"/>
  <c r="H740" i="9"/>
  <c r="G740" i="9"/>
  <c r="H739" i="9"/>
  <c r="G739" i="9"/>
  <c r="H738" i="9"/>
  <c r="G738" i="9"/>
  <c r="H737" i="9"/>
  <c r="G737" i="9"/>
  <c r="H736" i="9"/>
  <c r="G736" i="9"/>
  <c r="H735" i="9"/>
  <c r="G735" i="9"/>
  <c r="H734" i="9"/>
  <c r="G734" i="9"/>
  <c r="H733" i="9"/>
  <c r="G733" i="9"/>
  <c r="H732" i="9"/>
  <c r="G732" i="9"/>
  <c r="H731" i="9"/>
  <c r="G731" i="9"/>
  <c r="H730" i="9"/>
  <c r="G730" i="9"/>
  <c r="H729" i="9"/>
  <c r="G729" i="9"/>
  <c r="H728" i="9"/>
  <c r="G728" i="9"/>
  <c r="H727" i="9"/>
  <c r="G727" i="9"/>
  <c r="H726" i="9"/>
  <c r="G726" i="9"/>
  <c r="H725" i="9"/>
  <c r="G725" i="9"/>
  <c r="H724" i="9"/>
  <c r="G724" i="9"/>
  <c r="H723" i="9"/>
  <c r="G723" i="9"/>
  <c r="H722" i="9"/>
  <c r="G722" i="9"/>
  <c r="H721" i="9"/>
  <c r="G721" i="9"/>
  <c r="H720" i="9"/>
  <c r="G720" i="9"/>
  <c r="H719" i="9"/>
  <c r="G719" i="9"/>
  <c r="H718" i="9"/>
  <c r="G718" i="9"/>
  <c r="H717" i="9"/>
  <c r="G717" i="9"/>
  <c r="H716" i="9"/>
  <c r="G716" i="9"/>
  <c r="H715" i="9"/>
  <c r="G715" i="9"/>
  <c r="H714" i="9"/>
  <c r="G714" i="9"/>
  <c r="H713" i="9"/>
  <c r="G713" i="9"/>
  <c r="H712" i="9"/>
  <c r="G712" i="9"/>
  <c r="H711" i="9"/>
  <c r="G711" i="9"/>
  <c r="H710" i="9"/>
  <c r="G710" i="9"/>
  <c r="H709" i="9"/>
  <c r="G709" i="9"/>
  <c r="H708" i="9"/>
  <c r="G708" i="9"/>
  <c r="H707" i="9"/>
  <c r="G707" i="9"/>
  <c r="H706" i="9"/>
  <c r="G706" i="9"/>
  <c r="H705" i="9"/>
  <c r="G705" i="9"/>
  <c r="H704" i="9"/>
  <c r="G704" i="9"/>
  <c r="H703" i="9"/>
  <c r="G703" i="9"/>
  <c r="H702" i="9"/>
  <c r="G702" i="9"/>
  <c r="H701" i="9"/>
  <c r="G701" i="9"/>
  <c r="H700" i="9"/>
  <c r="G700" i="9"/>
  <c r="H699" i="9"/>
  <c r="G699" i="9"/>
  <c r="H698" i="9"/>
  <c r="G698" i="9"/>
  <c r="H697" i="9"/>
  <c r="G697" i="9"/>
  <c r="H696" i="9"/>
  <c r="G696" i="9"/>
  <c r="H695" i="9"/>
  <c r="G695" i="9"/>
  <c r="H694" i="9"/>
  <c r="G694" i="9"/>
  <c r="H693" i="9"/>
  <c r="G693" i="9"/>
  <c r="H692" i="9"/>
  <c r="G692" i="9"/>
  <c r="H691" i="9"/>
  <c r="G691" i="9"/>
  <c r="H690" i="9"/>
  <c r="G690" i="9"/>
  <c r="H689" i="9"/>
  <c r="G689" i="9"/>
  <c r="H688" i="9"/>
  <c r="G688" i="9"/>
  <c r="H687" i="9"/>
  <c r="G687" i="9"/>
  <c r="H686" i="9"/>
  <c r="G686" i="9"/>
  <c r="H685" i="9"/>
  <c r="G685" i="9"/>
  <c r="H684" i="9"/>
  <c r="G684" i="9"/>
  <c r="H683" i="9"/>
  <c r="G683" i="9"/>
  <c r="H682" i="9"/>
  <c r="G682" i="9"/>
  <c r="H681" i="9"/>
  <c r="G681" i="9"/>
  <c r="H680" i="9"/>
  <c r="G680" i="9"/>
  <c r="H679" i="9"/>
  <c r="G679" i="9"/>
  <c r="H678" i="9"/>
  <c r="G678" i="9"/>
  <c r="H677" i="9"/>
  <c r="G677" i="9"/>
  <c r="H676" i="9"/>
  <c r="G676" i="9"/>
  <c r="H675" i="9"/>
  <c r="G675" i="9"/>
  <c r="H674" i="9"/>
  <c r="G674" i="9"/>
  <c r="H673" i="9"/>
  <c r="G673" i="9"/>
  <c r="H672" i="9"/>
  <c r="G672" i="9"/>
  <c r="H671" i="9"/>
  <c r="G671" i="9"/>
  <c r="H670" i="9"/>
  <c r="G670" i="9"/>
  <c r="H669" i="9"/>
  <c r="G669" i="9"/>
  <c r="H668" i="9"/>
  <c r="G668" i="9"/>
  <c r="H667" i="9"/>
  <c r="G667" i="9"/>
  <c r="H666" i="9"/>
  <c r="G666" i="9"/>
  <c r="H665" i="9"/>
  <c r="G665" i="9"/>
  <c r="H664" i="9"/>
  <c r="G664" i="9"/>
  <c r="H663" i="9"/>
  <c r="G663" i="9"/>
  <c r="H662" i="9"/>
  <c r="G662" i="9"/>
  <c r="H661" i="9"/>
  <c r="G661" i="9"/>
  <c r="H660" i="9"/>
  <c r="G660" i="9"/>
  <c r="H659" i="9"/>
  <c r="G659" i="9"/>
  <c r="H658" i="9"/>
  <c r="G658" i="9"/>
  <c r="H657" i="9"/>
  <c r="G657" i="9"/>
  <c r="H656" i="9"/>
  <c r="G656" i="9"/>
  <c r="H655" i="9"/>
  <c r="G655" i="9"/>
  <c r="H654" i="9"/>
  <c r="G654" i="9"/>
  <c r="H653" i="9"/>
  <c r="G653" i="9"/>
  <c r="H652" i="9"/>
  <c r="G652" i="9"/>
  <c r="H651" i="9"/>
  <c r="G651" i="9"/>
  <c r="H650" i="9"/>
  <c r="G650" i="9"/>
  <c r="H649" i="9"/>
  <c r="G649" i="9"/>
  <c r="H648" i="9"/>
  <c r="G648" i="9"/>
  <c r="H647" i="9"/>
  <c r="G647" i="9"/>
  <c r="H646" i="9"/>
  <c r="G646" i="9"/>
  <c r="H645" i="9"/>
  <c r="G645" i="9"/>
  <c r="H644" i="9"/>
  <c r="G644" i="9"/>
  <c r="H643" i="9"/>
  <c r="G643" i="9"/>
  <c r="H642" i="9"/>
  <c r="G642" i="9"/>
  <c r="H641" i="9"/>
  <c r="G641" i="9"/>
  <c r="H640" i="9"/>
  <c r="G640" i="9"/>
  <c r="H639" i="9"/>
  <c r="G639" i="9"/>
  <c r="H638" i="9"/>
  <c r="G638" i="9"/>
  <c r="H637" i="9"/>
  <c r="G637" i="9"/>
  <c r="H636" i="9"/>
  <c r="G636" i="9"/>
  <c r="H635" i="9"/>
  <c r="G635" i="9"/>
  <c r="H634" i="9"/>
  <c r="G634" i="9"/>
  <c r="H633" i="9"/>
  <c r="G633" i="9"/>
  <c r="H632" i="9"/>
  <c r="G632" i="9"/>
  <c r="H631" i="9"/>
  <c r="G631" i="9"/>
  <c r="H630" i="9"/>
  <c r="G630" i="9"/>
  <c r="H629" i="9"/>
  <c r="G629" i="9"/>
  <c r="H628" i="9"/>
  <c r="G628" i="9"/>
  <c r="H627" i="9"/>
  <c r="G627" i="9"/>
  <c r="H626" i="9"/>
  <c r="G626" i="9"/>
  <c r="H625" i="9"/>
  <c r="G625" i="9"/>
  <c r="H624" i="9"/>
  <c r="G624" i="9"/>
  <c r="H623" i="9"/>
  <c r="G623" i="9"/>
  <c r="H622" i="9"/>
  <c r="G622" i="9"/>
  <c r="H621" i="9"/>
  <c r="G621" i="9"/>
  <c r="H620" i="9"/>
  <c r="G620" i="9"/>
  <c r="H619" i="9"/>
  <c r="G619" i="9"/>
  <c r="H618" i="9"/>
  <c r="G618" i="9"/>
  <c r="H617" i="9"/>
  <c r="G617" i="9"/>
  <c r="H616" i="9"/>
  <c r="G616" i="9"/>
  <c r="H615" i="9"/>
  <c r="G615" i="9"/>
  <c r="H614" i="9"/>
  <c r="G614" i="9"/>
  <c r="H613" i="9"/>
  <c r="G613" i="9"/>
  <c r="H612" i="9"/>
  <c r="G612" i="9"/>
  <c r="H611" i="9"/>
  <c r="G611" i="9"/>
  <c r="H610" i="9"/>
  <c r="G610" i="9"/>
  <c r="H609" i="9"/>
  <c r="G609" i="9"/>
  <c r="H608" i="9"/>
  <c r="G608" i="9"/>
  <c r="H607" i="9"/>
  <c r="G607" i="9"/>
  <c r="H606" i="9"/>
  <c r="G606" i="9"/>
  <c r="H605" i="9"/>
  <c r="G605" i="9"/>
  <c r="H604" i="9"/>
  <c r="G604" i="9"/>
  <c r="H603" i="9"/>
  <c r="G603" i="9"/>
  <c r="H602" i="9"/>
  <c r="G602" i="9"/>
  <c r="H601" i="9"/>
  <c r="G601" i="9"/>
  <c r="H600" i="9"/>
  <c r="G600" i="9"/>
  <c r="H599" i="9"/>
  <c r="G599" i="9"/>
  <c r="H598" i="9"/>
  <c r="G598" i="9"/>
  <c r="H597" i="9"/>
  <c r="G597" i="9"/>
  <c r="H596" i="9"/>
  <c r="G596" i="9"/>
  <c r="H595" i="9"/>
  <c r="G595" i="9"/>
  <c r="H594" i="9"/>
  <c r="G594" i="9"/>
  <c r="H593" i="9"/>
  <c r="G593" i="9"/>
  <c r="H592" i="9"/>
  <c r="G592" i="9"/>
  <c r="H591" i="9"/>
  <c r="G591" i="9"/>
  <c r="H590" i="9"/>
  <c r="G590" i="9"/>
  <c r="H589" i="9"/>
  <c r="G589" i="9"/>
  <c r="H588" i="9"/>
  <c r="G588" i="9"/>
  <c r="H587" i="9"/>
  <c r="G587" i="9"/>
  <c r="H586" i="9"/>
  <c r="G586" i="9"/>
  <c r="H585" i="9"/>
  <c r="G585" i="9"/>
  <c r="H584" i="9"/>
  <c r="G584" i="9"/>
  <c r="H583" i="9"/>
  <c r="G583" i="9"/>
  <c r="H582" i="9"/>
  <c r="G582" i="9"/>
  <c r="H581" i="9"/>
  <c r="G581" i="9"/>
  <c r="H580" i="9"/>
  <c r="G580" i="9"/>
  <c r="H579" i="9"/>
  <c r="G579" i="9"/>
  <c r="H578" i="9"/>
  <c r="G578" i="9"/>
  <c r="H577" i="9"/>
  <c r="G577" i="9"/>
  <c r="H576" i="9"/>
  <c r="G576" i="9"/>
  <c r="H575" i="9"/>
  <c r="G575" i="9"/>
  <c r="H574" i="9"/>
  <c r="G574" i="9"/>
  <c r="H573" i="9"/>
  <c r="G573" i="9"/>
  <c r="H572" i="9"/>
  <c r="G572" i="9"/>
  <c r="H571" i="9"/>
  <c r="G571" i="9"/>
  <c r="H570" i="9"/>
  <c r="G570" i="9"/>
  <c r="H569" i="9"/>
  <c r="G569" i="9"/>
  <c r="H568" i="9"/>
  <c r="G568" i="9"/>
  <c r="H567" i="9"/>
  <c r="G567" i="9"/>
  <c r="H566" i="9"/>
  <c r="G566" i="9"/>
  <c r="H565" i="9"/>
  <c r="G565" i="9"/>
  <c r="H564" i="9"/>
  <c r="G564" i="9"/>
  <c r="H563" i="9"/>
  <c r="G563" i="9"/>
  <c r="H562" i="9"/>
  <c r="G562" i="9"/>
  <c r="H561" i="9"/>
  <c r="G561" i="9"/>
  <c r="H560" i="9"/>
  <c r="G560" i="9"/>
  <c r="H559" i="9"/>
  <c r="G559" i="9"/>
  <c r="H558" i="9"/>
  <c r="G558" i="9"/>
  <c r="H557" i="9"/>
  <c r="G557" i="9"/>
  <c r="H556" i="9"/>
  <c r="G556" i="9"/>
  <c r="H555" i="9"/>
  <c r="G555" i="9"/>
  <c r="H554" i="9"/>
  <c r="G554" i="9"/>
  <c r="H553" i="9"/>
  <c r="G553" i="9"/>
  <c r="H552" i="9"/>
  <c r="G552" i="9"/>
  <c r="H551" i="9"/>
  <c r="G551" i="9"/>
  <c r="H550" i="9"/>
  <c r="G550" i="9"/>
  <c r="H549" i="9"/>
  <c r="G549" i="9"/>
  <c r="H548" i="9"/>
  <c r="G548" i="9"/>
  <c r="H547" i="9"/>
  <c r="G547" i="9"/>
  <c r="H546" i="9"/>
  <c r="G546" i="9"/>
  <c r="H545" i="9"/>
  <c r="G545" i="9"/>
  <c r="H544" i="9"/>
  <c r="G544" i="9"/>
  <c r="H543" i="9"/>
  <c r="G543" i="9"/>
  <c r="H542" i="9"/>
  <c r="G542" i="9"/>
  <c r="H541" i="9"/>
  <c r="G541" i="9"/>
  <c r="H540" i="9"/>
  <c r="G540" i="9"/>
  <c r="H539" i="9"/>
  <c r="G539" i="9"/>
  <c r="H538" i="9"/>
  <c r="G538" i="9"/>
  <c r="H537" i="9"/>
  <c r="G537" i="9"/>
  <c r="H536" i="9"/>
  <c r="G536" i="9"/>
  <c r="H535" i="9"/>
  <c r="G535" i="9"/>
  <c r="H534" i="9"/>
  <c r="G534" i="9"/>
  <c r="H533" i="9"/>
  <c r="G533" i="9"/>
  <c r="H532" i="9"/>
  <c r="G532" i="9"/>
  <c r="H531" i="9"/>
  <c r="G531" i="9"/>
  <c r="H530" i="9"/>
  <c r="G530" i="9"/>
  <c r="H529" i="9"/>
  <c r="G529" i="9"/>
  <c r="H528" i="9"/>
  <c r="G528" i="9"/>
  <c r="H527" i="9"/>
  <c r="G527" i="9"/>
  <c r="H526" i="9"/>
  <c r="G526" i="9"/>
  <c r="H525" i="9"/>
  <c r="G525" i="9"/>
  <c r="H524" i="9"/>
  <c r="G524" i="9"/>
  <c r="H523" i="9"/>
  <c r="G523" i="9"/>
  <c r="H522" i="9"/>
  <c r="G522" i="9"/>
  <c r="H521" i="9"/>
  <c r="G521" i="9"/>
  <c r="H520" i="9"/>
  <c r="G520" i="9"/>
  <c r="H519" i="9"/>
  <c r="G519" i="9"/>
  <c r="H518" i="9"/>
  <c r="G518" i="9"/>
  <c r="H517" i="9"/>
  <c r="G517" i="9"/>
  <c r="H516" i="9"/>
  <c r="G516" i="9"/>
  <c r="H515" i="9"/>
  <c r="G515" i="9"/>
  <c r="H514" i="9"/>
  <c r="G514" i="9"/>
  <c r="H513" i="9"/>
  <c r="G513" i="9"/>
  <c r="H512" i="9"/>
  <c r="G512" i="9"/>
  <c r="H511" i="9"/>
  <c r="G511" i="9"/>
  <c r="H510" i="9"/>
  <c r="G510" i="9"/>
  <c r="H509" i="9"/>
  <c r="G509" i="9"/>
  <c r="H508" i="9"/>
  <c r="G508" i="9"/>
  <c r="H507" i="9"/>
  <c r="G507" i="9"/>
  <c r="H506" i="9"/>
  <c r="G506" i="9"/>
  <c r="H505" i="9"/>
  <c r="G505" i="9"/>
  <c r="H504" i="9"/>
  <c r="G504" i="9"/>
  <c r="H503" i="9"/>
  <c r="G503" i="9"/>
  <c r="H502" i="9"/>
  <c r="G502" i="9"/>
  <c r="H501" i="9"/>
  <c r="G501" i="9"/>
  <c r="H500" i="9"/>
  <c r="G500" i="9"/>
  <c r="H499" i="9"/>
  <c r="G499" i="9"/>
  <c r="H498" i="9"/>
  <c r="G498" i="9"/>
  <c r="H497" i="9"/>
  <c r="G497" i="9"/>
  <c r="H496" i="9"/>
  <c r="G496" i="9"/>
  <c r="H495" i="9"/>
  <c r="G495" i="9"/>
  <c r="H494" i="9"/>
  <c r="G494" i="9"/>
  <c r="H493" i="9"/>
  <c r="G493" i="9"/>
  <c r="H492" i="9"/>
  <c r="G492" i="9"/>
  <c r="H491" i="9"/>
  <c r="G491" i="9"/>
  <c r="H490" i="9"/>
  <c r="G490" i="9"/>
  <c r="H489" i="9"/>
  <c r="G489" i="9"/>
  <c r="H488" i="9"/>
  <c r="G488" i="9"/>
  <c r="H487" i="9"/>
  <c r="G487" i="9"/>
  <c r="H486" i="9"/>
  <c r="G486" i="9"/>
  <c r="H485" i="9"/>
  <c r="G485" i="9"/>
  <c r="H484" i="9"/>
  <c r="G484" i="9"/>
  <c r="H483" i="9"/>
  <c r="G483" i="9"/>
  <c r="H482" i="9"/>
  <c r="G482" i="9"/>
  <c r="H481" i="9"/>
  <c r="G481" i="9"/>
  <c r="H480" i="9"/>
  <c r="G480" i="9"/>
  <c r="H479" i="9"/>
  <c r="G479" i="9"/>
  <c r="H478" i="9"/>
  <c r="G478" i="9"/>
  <c r="H477" i="9"/>
  <c r="G477" i="9"/>
  <c r="H476" i="9"/>
  <c r="G476" i="9"/>
  <c r="H475" i="9"/>
  <c r="G475" i="9"/>
  <c r="H474" i="9"/>
  <c r="G474" i="9"/>
  <c r="H473" i="9"/>
  <c r="G473" i="9"/>
  <c r="H472" i="9"/>
  <c r="G472" i="9"/>
  <c r="H471" i="9"/>
  <c r="G471" i="9"/>
  <c r="H470" i="9"/>
  <c r="G470" i="9"/>
  <c r="H469" i="9"/>
  <c r="G469" i="9"/>
  <c r="H468" i="9"/>
  <c r="G468" i="9"/>
  <c r="H467" i="9"/>
  <c r="G467" i="9"/>
  <c r="H466" i="9"/>
  <c r="G466" i="9"/>
  <c r="H465" i="9"/>
  <c r="G465" i="9"/>
  <c r="H464" i="9"/>
  <c r="G464" i="9"/>
  <c r="H463" i="9"/>
  <c r="G463" i="9"/>
  <c r="H462" i="9"/>
  <c r="G462" i="9"/>
  <c r="H461" i="9"/>
  <c r="G461" i="9"/>
  <c r="H460" i="9"/>
  <c r="G460" i="9"/>
  <c r="H459" i="9"/>
  <c r="G459" i="9"/>
  <c r="H458" i="9"/>
  <c r="G458" i="9"/>
  <c r="H457" i="9"/>
  <c r="G457" i="9"/>
  <c r="H456" i="9"/>
  <c r="G456" i="9"/>
  <c r="H455" i="9"/>
  <c r="G455" i="9"/>
  <c r="H454" i="9"/>
  <c r="G454" i="9"/>
  <c r="H453" i="9"/>
  <c r="G453" i="9"/>
  <c r="H452" i="9"/>
  <c r="G452" i="9"/>
  <c r="H451" i="9"/>
  <c r="G451" i="9"/>
  <c r="H450" i="9"/>
  <c r="G450" i="9"/>
  <c r="H449" i="9"/>
  <c r="G449" i="9"/>
  <c r="H448" i="9"/>
  <c r="G448" i="9"/>
  <c r="H447" i="9"/>
  <c r="G447" i="9"/>
  <c r="H446" i="9"/>
  <c r="G446" i="9"/>
  <c r="H445" i="9"/>
  <c r="G445" i="9"/>
  <c r="H444" i="9"/>
  <c r="G444" i="9"/>
  <c r="H443" i="9"/>
  <c r="G443" i="9"/>
  <c r="H442" i="9"/>
  <c r="G442" i="9"/>
  <c r="H441" i="9"/>
  <c r="G441" i="9"/>
  <c r="H440" i="9"/>
  <c r="G440" i="9"/>
  <c r="H439" i="9"/>
  <c r="G439" i="9"/>
  <c r="H438" i="9"/>
  <c r="G438" i="9"/>
  <c r="H437" i="9"/>
  <c r="G437" i="9"/>
  <c r="H436" i="9"/>
  <c r="G436" i="9"/>
  <c r="H435" i="9"/>
  <c r="G435" i="9"/>
  <c r="H434" i="9"/>
  <c r="G434" i="9"/>
  <c r="H433" i="9"/>
  <c r="G433" i="9"/>
  <c r="H432" i="9"/>
  <c r="G432" i="9"/>
  <c r="H431" i="9"/>
  <c r="G431" i="9"/>
  <c r="H430" i="9"/>
  <c r="G430" i="9"/>
  <c r="H429" i="9"/>
  <c r="G429" i="9"/>
  <c r="H428" i="9"/>
  <c r="G428" i="9"/>
  <c r="H427" i="9"/>
  <c r="G427" i="9"/>
  <c r="H426" i="9"/>
  <c r="G426" i="9"/>
  <c r="H425" i="9"/>
  <c r="G425" i="9"/>
  <c r="H424" i="9"/>
  <c r="G424" i="9"/>
  <c r="H423" i="9"/>
  <c r="G423" i="9"/>
  <c r="H422" i="9"/>
  <c r="G422" i="9"/>
  <c r="H421" i="9"/>
  <c r="G421" i="9"/>
  <c r="H420" i="9"/>
  <c r="G420" i="9"/>
  <c r="H419" i="9"/>
  <c r="G419" i="9"/>
  <c r="H418" i="9"/>
  <c r="G418" i="9"/>
  <c r="H417" i="9"/>
  <c r="G417" i="9"/>
  <c r="H416" i="9"/>
  <c r="G416" i="9"/>
  <c r="H415" i="9"/>
  <c r="G415" i="9"/>
  <c r="H414" i="9"/>
  <c r="G414" i="9"/>
  <c r="H413" i="9"/>
  <c r="G413" i="9"/>
  <c r="H412" i="9"/>
  <c r="G412" i="9"/>
  <c r="H411" i="9"/>
  <c r="G411" i="9"/>
  <c r="H410" i="9"/>
  <c r="G410" i="9"/>
  <c r="H409" i="9"/>
  <c r="G409" i="9"/>
  <c r="H408" i="9"/>
  <c r="G408" i="9"/>
  <c r="H407" i="9"/>
  <c r="G407" i="9"/>
  <c r="H406" i="9"/>
  <c r="G406" i="9"/>
  <c r="H405" i="9"/>
  <c r="G405" i="9"/>
  <c r="H404" i="9"/>
  <c r="G404" i="9"/>
  <c r="H403" i="9"/>
  <c r="G403" i="9"/>
  <c r="H402" i="9"/>
  <c r="G402" i="9"/>
  <c r="H401" i="9"/>
  <c r="G401" i="9"/>
  <c r="H400" i="9"/>
  <c r="G400" i="9"/>
  <c r="H399" i="9"/>
  <c r="G399" i="9"/>
  <c r="H398" i="9"/>
  <c r="G398" i="9"/>
  <c r="H397" i="9"/>
  <c r="G397" i="9"/>
  <c r="H396" i="9"/>
  <c r="G396" i="9"/>
  <c r="H395" i="9"/>
  <c r="G395" i="9"/>
  <c r="H394" i="9"/>
  <c r="G394" i="9"/>
  <c r="H393" i="9"/>
  <c r="G393" i="9"/>
  <c r="H392" i="9"/>
  <c r="G392" i="9"/>
  <c r="H391" i="9"/>
  <c r="G391" i="9"/>
  <c r="H390" i="9"/>
  <c r="G390" i="9"/>
  <c r="H389" i="9"/>
  <c r="G389" i="9"/>
  <c r="H388" i="9"/>
  <c r="G388" i="9"/>
  <c r="H387" i="9"/>
  <c r="G387" i="9"/>
  <c r="H386" i="9"/>
  <c r="G386" i="9"/>
  <c r="H385" i="9"/>
  <c r="G385" i="9"/>
  <c r="H384" i="9"/>
  <c r="G384" i="9"/>
  <c r="H383" i="9"/>
  <c r="G383" i="9"/>
  <c r="H382" i="9"/>
  <c r="G382" i="9"/>
  <c r="H381" i="9"/>
  <c r="G381" i="9"/>
  <c r="H380" i="9"/>
  <c r="G380" i="9"/>
  <c r="H379" i="9"/>
  <c r="G379" i="9"/>
  <c r="H378" i="9"/>
  <c r="G378" i="9"/>
  <c r="H377" i="9"/>
  <c r="G377" i="9"/>
  <c r="H376" i="9"/>
  <c r="G376" i="9"/>
  <c r="H375" i="9"/>
  <c r="G375" i="9"/>
  <c r="H374" i="9"/>
  <c r="G374" i="9"/>
  <c r="H373" i="9"/>
  <c r="G373" i="9"/>
  <c r="H372" i="9"/>
  <c r="G372" i="9"/>
  <c r="K371" i="9"/>
  <c r="H371" i="9"/>
  <c r="G371" i="9"/>
  <c r="K370" i="9"/>
  <c r="H370" i="9"/>
  <c r="G370" i="9"/>
  <c r="K369" i="9"/>
  <c r="H369" i="9"/>
  <c r="G369" i="9"/>
  <c r="K368" i="9"/>
  <c r="H368" i="9"/>
  <c r="G368" i="9"/>
  <c r="K367" i="9"/>
  <c r="H367" i="9"/>
  <c r="G367" i="9"/>
  <c r="K366" i="9"/>
  <c r="H366" i="9"/>
  <c r="G366" i="9"/>
  <c r="K365" i="9"/>
  <c r="H365" i="9"/>
  <c r="G365" i="9"/>
  <c r="K364" i="9"/>
  <c r="H364" i="9"/>
  <c r="G364" i="9"/>
  <c r="K363" i="9"/>
  <c r="H363" i="9"/>
  <c r="G363" i="9"/>
  <c r="K362" i="9"/>
  <c r="H362" i="9"/>
  <c r="G362" i="9"/>
  <c r="K361" i="9"/>
  <c r="H361" i="9"/>
  <c r="G361" i="9"/>
  <c r="K360" i="9"/>
  <c r="H360" i="9"/>
  <c r="G360" i="9"/>
  <c r="K359" i="9"/>
  <c r="H359" i="9"/>
  <c r="G359" i="9"/>
  <c r="K358" i="9"/>
  <c r="H358" i="9"/>
  <c r="G358" i="9"/>
  <c r="K357" i="9"/>
  <c r="H357" i="9"/>
  <c r="G357" i="9"/>
  <c r="K356" i="9"/>
  <c r="H356" i="9"/>
  <c r="G356" i="9"/>
  <c r="K355" i="9"/>
  <c r="H355" i="9"/>
  <c r="G355" i="9"/>
  <c r="K354" i="9"/>
  <c r="H354" i="9"/>
  <c r="G354" i="9"/>
  <c r="K353" i="9"/>
  <c r="H353" i="9"/>
  <c r="G353" i="9"/>
  <c r="K352" i="9"/>
  <c r="H352" i="9"/>
  <c r="G352" i="9"/>
  <c r="K351" i="9"/>
  <c r="H351" i="9"/>
  <c r="G351" i="9"/>
  <c r="K350" i="9"/>
  <c r="H350" i="9"/>
  <c r="G350" i="9"/>
  <c r="K349" i="9"/>
  <c r="H349" i="9"/>
  <c r="G349" i="9"/>
  <c r="K348" i="9"/>
  <c r="H348" i="9"/>
  <c r="G348" i="9"/>
  <c r="K347" i="9"/>
  <c r="H347" i="9"/>
  <c r="G347" i="9"/>
  <c r="K346" i="9"/>
  <c r="H346" i="9"/>
  <c r="G346" i="9"/>
  <c r="K345" i="9"/>
  <c r="H345" i="9"/>
  <c r="G345" i="9"/>
  <c r="K344" i="9"/>
  <c r="H344" i="9"/>
  <c r="G344" i="9"/>
  <c r="K343" i="9"/>
  <c r="H343" i="9"/>
  <c r="G343" i="9"/>
  <c r="K342" i="9"/>
  <c r="H342" i="9"/>
  <c r="G342" i="9"/>
  <c r="K341" i="9"/>
  <c r="H341" i="9"/>
  <c r="G341" i="9"/>
  <c r="K340" i="9"/>
  <c r="H340" i="9"/>
  <c r="G340" i="9"/>
  <c r="K339" i="9"/>
  <c r="H339" i="9"/>
  <c r="G339" i="9"/>
  <c r="K338" i="9"/>
  <c r="H338" i="9"/>
  <c r="G338" i="9"/>
  <c r="K337" i="9"/>
  <c r="H337" i="9"/>
  <c r="G337" i="9"/>
  <c r="K336" i="9"/>
  <c r="H336" i="9"/>
  <c r="G336" i="9"/>
  <c r="K335" i="9"/>
  <c r="H335" i="9"/>
  <c r="G335" i="9"/>
  <c r="K334" i="9"/>
  <c r="H334" i="9"/>
  <c r="G334" i="9"/>
  <c r="K333" i="9"/>
  <c r="H333" i="9"/>
  <c r="G333" i="9"/>
  <c r="K332" i="9"/>
  <c r="H332" i="9"/>
  <c r="G332" i="9"/>
  <c r="K331" i="9"/>
  <c r="H331" i="9"/>
  <c r="G331" i="9"/>
  <c r="K330" i="9"/>
  <c r="H330" i="9"/>
  <c r="G330" i="9"/>
  <c r="K329" i="9"/>
  <c r="H329" i="9"/>
  <c r="G329" i="9"/>
  <c r="K328" i="9"/>
  <c r="H328" i="9"/>
  <c r="G328" i="9"/>
  <c r="K327" i="9"/>
  <c r="H327" i="9"/>
  <c r="G327" i="9"/>
  <c r="K326" i="9"/>
  <c r="H326" i="9"/>
  <c r="G326" i="9"/>
  <c r="K325" i="9"/>
  <c r="H325" i="9"/>
  <c r="G325" i="9"/>
  <c r="K324" i="9"/>
  <c r="H324" i="9"/>
  <c r="G324" i="9"/>
  <c r="K323" i="9"/>
  <c r="H323" i="9"/>
  <c r="G323" i="9"/>
  <c r="K322" i="9"/>
  <c r="H322" i="9"/>
  <c r="G322" i="9"/>
  <c r="K321" i="9"/>
  <c r="H321" i="9"/>
  <c r="G321" i="9"/>
  <c r="K320" i="9"/>
  <c r="H320" i="9"/>
  <c r="G320" i="9"/>
  <c r="K319" i="9"/>
  <c r="H319" i="9"/>
  <c r="G319" i="9"/>
  <c r="K318" i="9"/>
  <c r="H318" i="9"/>
  <c r="G318" i="9"/>
  <c r="K317" i="9"/>
  <c r="H317" i="9"/>
  <c r="G317" i="9"/>
  <c r="K316" i="9"/>
  <c r="H316" i="9"/>
  <c r="G316" i="9"/>
  <c r="K315" i="9"/>
  <c r="H315" i="9"/>
  <c r="G315" i="9"/>
  <c r="K314" i="9"/>
  <c r="H314" i="9"/>
  <c r="G314" i="9"/>
  <c r="K313" i="9"/>
  <c r="H313" i="9"/>
  <c r="G313" i="9"/>
  <c r="K312" i="9"/>
  <c r="H312" i="9"/>
  <c r="G312" i="9"/>
  <c r="K311" i="9"/>
  <c r="H311" i="9"/>
  <c r="G311" i="9"/>
  <c r="K310" i="9"/>
  <c r="H310" i="9"/>
  <c r="G310" i="9"/>
  <c r="K309" i="9"/>
  <c r="H309" i="9"/>
  <c r="G309" i="9"/>
  <c r="K308" i="9"/>
  <c r="H308" i="9"/>
  <c r="G308" i="9"/>
  <c r="K307" i="9"/>
  <c r="H307" i="9"/>
  <c r="G307" i="9"/>
  <c r="K306" i="9"/>
  <c r="H306" i="9"/>
  <c r="G306" i="9"/>
  <c r="K305" i="9"/>
  <c r="H305" i="9"/>
  <c r="G305" i="9"/>
  <c r="K304" i="9"/>
  <c r="H304" i="9"/>
  <c r="G304" i="9"/>
  <c r="K303" i="9"/>
  <c r="H303" i="9"/>
  <c r="G303" i="9"/>
  <c r="K302" i="9"/>
  <c r="H302" i="9"/>
  <c r="G302" i="9"/>
  <c r="K301" i="9"/>
  <c r="H301" i="9"/>
  <c r="G301" i="9"/>
  <c r="K300" i="9"/>
  <c r="H300" i="9"/>
  <c r="G300" i="9"/>
  <c r="K299" i="9"/>
  <c r="H299" i="9"/>
  <c r="G299" i="9"/>
  <c r="K298" i="9"/>
  <c r="H298" i="9"/>
  <c r="G298" i="9"/>
  <c r="K297" i="9"/>
  <c r="H297" i="9"/>
  <c r="G297" i="9"/>
  <c r="K296" i="9"/>
  <c r="H296" i="9"/>
  <c r="G296" i="9"/>
  <c r="K295" i="9"/>
  <c r="H295" i="9"/>
  <c r="G295" i="9"/>
  <c r="K294" i="9"/>
  <c r="H294" i="9"/>
  <c r="G294" i="9"/>
  <c r="K293" i="9"/>
  <c r="H293" i="9"/>
  <c r="G293" i="9"/>
  <c r="K292" i="9"/>
  <c r="H292" i="9"/>
  <c r="G292" i="9"/>
  <c r="K291" i="9"/>
  <c r="H291" i="9"/>
  <c r="G291" i="9"/>
  <c r="K290" i="9"/>
  <c r="H290" i="9"/>
  <c r="G290" i="9"/>
  <c r="K289" i="9"/>
  <c r="H289" i="9"/>
  <c r="G289" i="9"/>
  <c r="K288" i="9"/>
  <c r="H288" i="9"/>
  <c r="G288" i="9"/>
  <c r="K287" i="9"/>
  <c r="H287" i="9"/>
  <c r="G287" i="9"/>
  <c r="K286" i="9"/>
  <c r="H286" i="9"/>
  <c r="G286" i="9"/>
  <c r="K285" i="9"/>
  <c r="H285" i="9"/>
  <c r="G285" i="9"/>
  <c r="K284" i="9"/>
  <c r="H284" i="9"/>
  <c r="G284" i="9"/>
  <c r="K283" i="9"/>
  <c r="H283" i="9"/>
  <c r="G283" i="9"/>
  <c r="K282" i="9"/>
  <c r="H282" i="9"/>
  <c r="G282" i="9"/>
  <c r="K281" i="9"/>
  <c r="H281" i="9"/>
  <c r="G281" i="9"/>
  <c r="K280" i="9"/>
  <c r="H280" i="9"/>
  <c r="G280" i="9"/>
  <c r="K279" i="9"/>
  <c r="H279" i="9"/>
  <c r="G279" i="9"/>
  <c r="K278" i="9"/>
  <c r="H278" i="9"/>
  <c r="G278" i="9"/>
  <c r="K277" i="9"/>
  <c r="H277" i="9"/>
  <c r="G277" i="9"/>
  <c r="K276" i="9"/>
  <c r="H276" i="9"/>
  <c r="G276" i="9"/>
  <c r="K275" i="9"/>
  <c r="H275" i="9"/>
  <c r="G275" i="9"/>
  <c r="K274" i="9"/>
  <c r="H274" i="9"/>
  <c r="G274" i="9"/>
  <c r="K273" i="9"/>
  <c r="H273" i="9"/>
  <c r="G273" i="9"/>
  <c r="K272" i="9"/>
  <c r="H272" i="9"/>
  <c r="G272" i="9"/>
  <c r="K271" i="9"/>
  <c r="H271" i="9"/>
  <c r="G271" i="9"/>
  <c r="K270" i="9"/>
  <c r="H270" i="9"/>
  <c r="G270" i="9"/>
  <c r="K269" i="9"/>
  <c r="H269" i="9"/>
  <c r="G269" i="9"/>
  <c r="K268" i="9"/>
  <c r="H268" i="9"/>
  <c r="G268" i="9"/>
  <c r="K267" i="9"/>
  <c r="H267" i="9"/>
  <c r="G267" i="9"/>
  <c r="K266" i="9"/>
  <c r="H266" i="9"/>
  <c r="G266" i="9"/>
  <c r="K265" i="9"/>
  <c r="H265" i="9"/>
  <c r="G265" i="9"/>
  <c r="K264" i="9"/>
  <c r="H264" i="9"/>
  <c r="G264" i="9"/>
  <c r="K263" i="9"/>
  <c r="H263" i="9"/>
  <c r="G263" i="9"/>
  <c r="K262" i="9"/>
  <c r="H262" i="9"/>
  <c r="G262" i="9"/>
  <c r="K261" i="9"/>
  <c r="H261" i="9"/>
  <c r="G261" i="9"/>
  <c r="K260" i="9"/>
  <c r="H260" i="9"/>
  <c r="G260" i="9"/>
  <c r="K259" i="9"/>
  <c r="H259" i="9"/>
  <c r="G259" i="9"/>
  <c r="K258" i="9"/>
  <c r="H258" i="9"/>
  <c r="G258" i="9"/>
  <c r="K257" i="9"/>
  <c r="H257" i="9"/>
  <c r="G257" i="9"/>
  <c r="K256" i="9"/>
  <c r="H256" i="9"/>
  <c r="G256" i="9"/>
  <c r="K255" i="9"/>
  <c r="H255" i="9"/>
  <c r="G255" i="9"/>
  <c r="K254" i="9"/>
  <c r="H254" i="9"/>
  <c r="G254" i="9"/>
  <c r="K253" i="9"/>
  <c r="H253" i="9"/>
  <c r="G253" i="9"/>
  <c r="K252" i="9"/>
  <c r="H252" i="9"/>
  <c r="G252" i="9"/>
  <c r="K251" i="9"/>
  <c r="H251" i="9"/>
  <c r="G251" i="9"/>
  <c r="K250" i="9"/>
  <c r="H250" i="9"/>
  <c r="G250" i="9"/>
  <c r="K249" i="9"/>
  <c r="H249" i="9"/>
  <c r="G249" i="9"/>
  <c r="K248" i="9"/>
  <c r="H248" i="9"/>
  <c r="G248" i="9"/>
  <c r="K247" i="9"/>
  <c r="H247" i="9"/>
  <c r="G247" i="9"/>
  <c r="K246" i="9"/>
  <c r="H246" i="9"/>
  <c r="G246" i="9"/>
  <c r="K245" i="9"/>
  <c r="H245" i="9"/>
  <c r="G245" i="9"/>
  <c r="K244" i="9"/>
  <c r="H244" i="9"/>
  <c r="G244" i="9"/>
  <c r="K243" i="9"/>
  <c r="H243" i="9"/>
  <c r="G243" i="9"/>
  <c r="K242" i="9"/>
  <c r="H242" i="9"/>
  <c r="G242" i="9"/>
  <c r="K241" i="9"/>
  <c r="H241" i="9"/>
  <c r="G241" i="9"/>
  <c r="K240" i="9"/>
  <c r="H240" i="9"/>
  <c r="G240" i="9"/>
  <c r="K239" i="9"/>
  <c r="H239" i="9"/>
  <c r="G239" i="9"/>
  <c r="K238" i="9"/>
  <c r="H238" i="9"/>
  <c r="G238" i="9"/>
  <c r="K237" i="9"/>
  <c r="H237" i="9"/>
  <c r="G237" i="9"/>
  <c r="K236" i="9"/>
  <c r="H236" i="9"/>
  <c r="G236" i="9"/>
  <c r="K235" i="9"/>
  <c r="H235" i="9"/>
  <c r="G235" i="9"/>
  <c r="K234" i="9"/>
  <c r="H234" i="9"/>
  <c r="G234" i="9"/>
  <c r="K233" i="9"/>
  <c r="H233" i="9"/>
  <c r="G233" i="9"/>
  <c r="K232" i="9"/>
  <c r="H232" i="9"/>
  <c r="G232" i="9"/>
  <c r="K231" i="9"/>
  <c r="H231" i="9"/>
  <c r="G231" i="9"/>
  <c r="K230" i="9"/>
  <c r="H230" i="9"/>
  <c r="G230" i="9"/>
  <c r="K229" i="9"/>
  <c r="H229" i="9"/>
  <c r="G229" i="9"/>
  <c r="K228" i="9"/>
  <c r="H228" i="9"/>
  <c r="G228" i="9"/>
  <c r="K227" i="9"/>
  <c r="H227" i="9"/>
  <c r="G227" i="9"/>
  <c r="K226" i="9"/>
  <c r="H226" i="9"/>
  <c r="G226" i="9"/>
  <c r="K225" i="9"/>
  <c r="H225" i="9"/>
  <c r="G225" i="9"/>
  <c r="K224" i="9"/>
  <c r="H224" i="9"/>
  <c r="G224" i="9"/>
  <c r="K223" i="9"/>
  <c r="H223" i="9"/>
  <c r="G223" i="9"/>
  <c r="K222" i="9"/>
  <c r="H222" i="9"/>
  <c r="G222" i="9"/>
  <c r="K221" i="9"/>
  <c r="H221" i="9"/>
  <c r="G221" i="9"/>
  <c r="K220" i="9"/>
  <c r="H220" i="9"/>
  <c r="G220" i="9"/>
  <c r="K219" i="9"/>
  <c r="H219" i="9"/>
  <c r="G219" i="9"/>
  <c r="K218" i="9"/>
  <c r="H218" i="9"/>
  <c r="G218" i="9"/>
  <c r="K217" i="9"/>
  <c r="H217" i="9"/>
  <c r="G217" i="9"/>
  <c r="K216" i="9"/>
  <c r="H216" i="9"/>
  <c r="G216" i="9"/>
  <c r="K215" i="9"/>
  <c r="H215" i="9"/>
  <c r="G215" i="9"/>
  <c r="K214" i="9"/>
  <c r="H214" i="9"/>
  <c r="G214" i="9"/>
  <c r="K213" i="9"/>
  <c r="H213" i="9"/>
  <c r="G213" i="9"/>
  <c r="K212" i="9"/>
  <c r="H212" i="9"/>
  <c r="G212" i="9"/>
  <c r="K211" i="9"/>
  <c r="H211" i="9"/>
  <c r="G211" i="9"/>
  <c r="K210" i="9"/>
  <c r="H210" i="9"/>
  <c r="G210" i="9"/>
  <c r="K209" i="9"/>
  <c r="H209" i="9"/>
  <c r="G209" i="9"/>
  <c r="K208" i="9"/>
  <c r="H208" i="9"/>
  <c r="G208" i="9"/>
  <c r="K207" i="9"/>
  <c r="H207" i="9"/>
  <c r="G207" i="9"/>
  <c r="K206" i="9"/>
  <c r="H206" i="9"/>
  <c r="G206" i="9"/>
  <c r="K205" i="9"/>
  <c r="H205" i="9"/>
  <c r="G205" i="9"/>
  <c r="K204" i="9"/>
  <c r="H204" i="9"/>
  <c r="G204" i="9"/>
  <c r="K203" i="9"/>
  <c r="H203" i="9"/>
  <c r="G203" i="9"/>
  <c r="K202" i="9"/>
  <c r="H202" i="9"/>
  <c r="G202" i="9"/>
  <c r="K201" i="9"/>
  <c r="H201" i="9"/>
  <c r="G201" i="9"/>
  <c r="K200" i="9"/>
  <c r="H200" i="9"/>
  <c r="G200" i="9"/>
  <c r="K199" i="9"/>
  <c r="H199" i="9"/>
  <c r="G199" i="9"/>
  <c r="K198" i="9"/>
  <c r="H198" i="9"/>
  <c r="G198" i="9"/>
  <c r="K197" i="9"/>
  <c r="H197" i="9"/>
  <c r="G197" i="9"/>
  <c r="K196" i="9"/>
  <c r="H196" i="9"/>
  <c r="G196" i="9"/>
  <c r="K195" i="9"/>
  <c r="H195" i="9"/>
  <c r="G195" i="9"/>
  <c r="K194" i="9"/>
  <c r="H194" i="9"/>
  <c r="G194" i="9"/>
  <c r="K193" i="9"/>
  <c r="H193" i="9"/>
  <c r="G193" i="9"/>
  <c r="K192" i="9"/>
  <c r="H192" i="9"/>
  <c r="G192" i="9"/>
  <c r="K191" i="9"/>
  <c r="H191" i="9"/>
  <c r="G191" i="9"/>
  <c r="K190" i="9"/>
  <c r="H190" i="9"/>
  <c r="G190" i="9"/>
  <c r="K189" i="9"/>
  <c r="H189" i="9"/>
  <c r="G189" i="9"/>
  <c r="K188" i="9"/>
  <c r="H188" i="9"/>
  <c r="G188" i="9"/>
  <c r="K187" i="9"/>
  <c r="H187" i="9"/>
  <c r="G187" i="9"/>
  <c r="K186" i="9"/>
  <c r="H186" i="9"/>
  <c r="G186" i="9"/>
  <c r="K185" i="9"/>
  <c r="H185" i="9"/>
  <c r="G185" i="9"/>
  <c r="K184" i="9"/>
  <c r="H184" i="9"/>
  <c r="G184" i="9"/>
  <c r="K183" i="9"/>
  <c r="H183" i="9"/>
  <c r="G183" i="9"/>
  <c r="K182" i="9"/>
  <c r="H182" i="9"/>
  <c r="G182" i="9"/>
  <c r="K181" i="9"/>
  <c r="H181" i="9"/>
  <c r="G181" i="9"/>
  <c r="K180" i="9"/>
  <c r="H180" i="9"/>
  <c r="G180" i="9"/>
  <c r="K179" i="9"/>
  <c r="H179" i="9"/>
  <c r="G179" i="9"/>
  <c r="K178" i="9"/>
  <c r="H178" i="9"/>
  <c r="G178" i="9"/>
  <c r="K177" i="9"/>
  <c r="H177" i="9"/>
  <c r="G177" i="9"/>
  <c r="K176" i="9"/>
  <c r="H176" i="9"/>
  <c r="G176" i="9"/>
  <c r="K175" i="9"/>
  <c r="H175" i="9"/>
  <c r="G175" i="9"/>
  <c r="K174" i="9"/>
  <c r="H174" i="9"/>
  <c r="G174" i="9"/>
  <c r="K173" i="9"/>
  <c r="H173" i="9"/>
  <c r="G173" i="9"/>
  <c r="K172" i="9"/>
  <c r="H172" i="9"/>
  <c r="G172" i="9"/>
  <c r="K171" i="9"/>
  <c r="H171" i="9"/>
  <c r="G171" i="9"/>
  <c r="K170" i="9"/>
  <c r="H170" i="9"/>
  <c r="G170" i="9"/>
  <c r="K169" i="9"/>
  <c r="H169" i="9"/>
  <c r="G169" i="9"/>
  <c r="K168" i="9"/>
  <c r="H168" i="9"/>
  <c r="G168" i="9"/>
  <c r="K167" i="9"/>
  <c r="H167" i="9"/>
  <c r="G167" i="9"/>
  <c r="K166" i="9"/>
  <c r="H166" i="9"/>
  <c r="G166" i="9"/>
  <c r="K165" i="9"/>
  <c r="H165" i="9"/>
  <c r="G165" i="9"/>
  <c r="K164" i="9"/>
  <c r="H164" i="9"/>
  <c r="G164" i="9"/>
  <c r="K163" i="9"/>
  <c r="H163" i="9"/>
  <c r="G163" i="9"/>
  <c r="K162" i="9"/>
  <c r="H162" i="9"/>
  <c r="G162" i="9"/>
  <c r="K161" i="9"/>
  <c r="H161" i="9"/>
  <c r="G161" i="9"/>
  <c r="K160" i="9"/>
  <c r="H160" i="9"/>
  <c r="G160" i="9"/>
  <c r="K159" i="9"/>
  <c r="H159" i="9"/>
  <c r="G159" i="9"/>
  <c r="K158" i="9"/>
  <c r="H158" i="9"/>
  <c r="G158" i="9"/>
  <c r="K157" i="9"/>
  <c r="H157" i="9"/>
  <c r="G157" i="9"/>
  <c r="K156" i="9"/>
  <c r="H156" i="9"/>
  <c r="G156" i="9"/>
  <c r="K155" i="9"/>
  <c r="H155" i="9"/>
  <c r="G155" i="9"/>
  <c r="K154" i="9"/>
  <c r="H154" i="9"/>
  <c r="G154" i="9"/>
  <c r="K153" i="9"/>
  <c r="H153" i="9"/>
  <c r="G153" i="9"/>
  <c r="K152" i="9"/>
  <c r="H152" i="9"/>
  <c r="G152" i="9"/>
  <c r="K151" i="9"/>
  <c r="H151" i="9"/>
  <c r="G151" i="9"/>
  <c r="K150" i="9"/>
  <c r="H150" i="9"/>
  <c r="G150" i="9"/>
  <c r="K149" i="9"/>
  <c r="H149" i="9"/>
  <c r="G149" i="9"/>
  <c r="K148" i="9"/>
  <c r="H148" i="9"/>
  <c r="G148" i="9"/>
  <c r="K147" i="9"/>
  <c r="H147" i="9"/>
  <c r="G147" i="9"/>
  <c r="K146" i="9"/>
  <c r="H146" i="9"/>
  <c r="G146" i="9"/>
  <c r="K145" i="9"/>
  <c r="H145" i="9"/>
  <c r="G145" i="9"/>
  <c r="K144" i="9"/>
  <c r="H144" i="9"/>
  <c r="G144" i="9"/>
  <c r="K143" i="9"/>
  <c r="H143" i="9"/>
  <c r="G143" i="9"/>
  <c r="K142" i="9"/>
  <c r="H142" i="9"/>
  <c r="G142" i="9"/>
  <c r="K141" i="9"/>
  <c r="H141" i="9"/>
  <c r="G141" i="9"/>
  <c r="K140" i="9"/>
  <c r="H140" i="9"/>
  <c r="G140" i="9"/>
  <c r="K139" i="9"/>
  <c r="H139" i="9"/>
  <c r="G139" i="9"/>
  <c r="K138" i="9"/>
  <c r="H138" i="9"/>
  <c r="G138" i="9"/>
  <c r="K137" i="9"/>
  <c r="H137" i="9"/>
  <c r="G137" i="9"/>
  <c r="K136" i="9"/>
  <c r="H136" i="9"/>
  <c r="G136" i="9"/>
  <c r="K135" i="9"/>
  <c r="H135" i="9"/>
  <c r="G135" i="9"/>
  <c r="K134" i="9"/>
  <c r="H134" i="9"/>
  <c r="G134" i="9"/>
  <c r="K133" i="9"/>
  <c r="H133" i="9"/>
  <c r="G133" i="9"/>
  <c r="K132" i="9"/>
  <c r="H132" i="9"/>
  <c r="G132" i="9"/>
  <c r="K131" i="9"/>
  <c r="H131" i="9"/>
  <c r="G131" i="9"/>
  <c r="K130" i="9"/>
  <c r="H130" i="9"/>
  <c r="G130" i="9"/>
  <c r="K129" i="9"/>
  <c r="H129" i="9"/>
  <c r="G129" i="9"/>
  <c r="K128" i="9"/>
  <c r="H128" i="9"/>
  <c r="G128" i="9"/>
  <c r="K127" i="9"/>
  <c r="H127" i="9"/>
  <c r="G127" i="9"/>
  <c r="K126" i="9"/>
  <c r="H126" i="9"/>
  <c r="G126" i="9"/>
  <c r="K125" i="9"/>
  <c r="H125" i="9"/>
  <c r="G125" i="9"/>
  <c r="K124" i="9"/>
  <c r="H124" i="9"/>
  <c r="G124" i="9"/>
  <c r="K123" i="9"/>
  <c r="H123" i="9"/>
  <c r="G123" i="9"/>
  <c r="K122" i="9"/>
  <c r="H122" i="9"/>
  <c r="G122" i="9"/>
  <c r="K121" i="9"/>
  <c r="H121" i="9"/>
  <c r="G121" i="9"/>
  <c r="K120" i="9"/>
  <c r="H120" i="9"/>
  <c r="G120" i="9"/>
  <c r="K119" i="9"/>
  <c r="H119" i="9"/>
  <c r="G119" i="9"/>
  <c r="K118" i="9"/>
  <c r="H118" i="9"/>
  <c r="G118" i="9"/>
  <c r="K117" i="9"/>
  <c r="H117" i="9"/>
  <c r="G117" i="9"/>
  <c r="K116" i="9"/>
  <c r="H116" i="9"/>
  <c r="G116" i="9"/>
  <c r="K115" i="9"/>
  <c r="H115" i="9"/>
  <c r="G115" i="9"/>
  <c r="K114" i="9"/>
  <c r="H114" i="9"/>
  <c r="G114" i="9"/>
  <c r="K113" i="9"/>
  <c r="H113" i="9"/>
  <c r="G113" i="9"/>
  <c r="K112" i="9"/>
  <c r="H112" i="9"/>
  <c r="G112" i="9"/>
  <c r="K111" i="9"/>
  <c r="H111" i="9"/>
  <c r="G111" i="9"/>
  <c r="K110" i="9"/>
  <c r="H110" i="9"/>
  <c r="G110" i="9"/>
  <c r="K109" i="9"/>
  <c r="H109" i="9"/>
  <c r="G109" i="9"/>
  <c r="K108" i="9"/>
  <c r="H108" i="9"/>
  <c r="G108" i="9"/>
  <c r="K107" i="9"/>
  <c r="H107" i="9"/>
  <c r="G107" i="9"/>
  <c r="K106" i="9"/>
  <c r="H106" i="9"/>
  <c r="G106" i="9"/>
  <c r="K105" i="9"/>
  <c r="H105" i="9"/>
  <c r="G105" i="9"/>
  <c r="K104" i="9"/>
  <c r="H104" i="9"/>
  <c r="G104" i="9"/>
  <c r="K103" i="9"/>
  <c r="H103" i="9"/>
  <c r="G103" i="9"/>
  <c r="K102" i="9"/>
  <c r="H102" i="9"/>
  <c r="G102" i="9"/>
  <c r="K101" i="9"/>
  <c r="H101" i="9"/>
  <c r="G101" i="9"/>
  <c r="K100" i="9"/>
  <c r="H100" i="9"/>
  <c r="G100" i="9"/>
  <c r="K99" i="9"/>
  <c r="H99" i="9"/>
  <c r="G99" i="9"/>
  <c r="K98" i="9"/>
  <c r="H98" i="9"/>
  <c r="G98" i="9"/>
  <c r="K97" i="9"/>
  <c r="H97" i="9"/>
  <c r="G97" i="9"/>
  <c r="K96" i="9"/>
  <c r="H96" i="9"/>
  <c r="G96" i="9"/>
  <c r="K95" i="9"/>
  <c r="H95" i="9"/>
  <c r="G95" i="9"/>
  <c r="K94" i="9"/>
  <c r="H94" i="9"/>
  <c r="G94" i="9"/>
  <c r="K93" i="9"/>
  <c r="H93" i="9"/>
  <c r="G93" i="9"/>
  <c r="K92" i="9"/>
  <c r="H92" i="9"/>
  <c r="G92" i="9"/>
  <c r="K91" i="9"/>
  <c r="H91" i="9"/>
  <c r="G91" i="9"/>
  <c r="K90" i="9"/>
  <c r="H90" i="9"/>
  <c r="G90" i="9"/>
  <c r="K89" i="9"/>
  <c r="H89" i="9"/>
  <c r="G89" i="9"/>
  <c r="K88" i="9"/>
  <c r="H88" i="9"/>
  <c r="G88" i="9"/>
  <c r="K87" i="9"/>
  <c r="H87" i="9"/>
  <c r="G87" i="9"/>
  <c r="K86" i="9"/>
  <c r="H86" i="9"/>
  <c r="G86" i="9"/>
  <c r="K85" i="9"/>
  <c r="H85" i="9"/>
  <c r="G85" i="9"/>
  <c r="K84" i="9"/>
  <c r="H84" i="9"/>
  <c r="G84" i="9"/>
  <c r="K83" i="9"/>
  <c r="H83" i="9"/>
  <c r="G83" i="9"/>
  <c r="K82" i="9"/>
  <c r="H82" i="9"/>
  <c r="G82" i="9"/>
  <c r="K81" i="9"/>
  <c r="H81" i="9"/>
  <c r="G81" i="9"/>
  <c r="K80" i="9"/>
  <c r="H80" i="9"/>
  <c r="G80" i="9"/>
  <c r="K79" i="9"/>
  <c r="H79" i="9"/>
  <c r="G79" i="9"/>
  <c r="K78" i="9"/>
  <c r="H78" i="9"/>
  <c r="G78" i="9"/>
  <c r="K77" i="9"/>
  <c r="H77" i="9"/>
  <c r="G77" i="9"/>
  <c r="K76" i="9"/>
  <c r="H76" i="9"/>
  <c r="G76" i="9"/>
  <c r="K75" i="9"/>
  <c r="H75" i="9"/>
  <c r="G75" i="9"/>
  <c r="K74" i="9"/>
  <c r="H74" i="9"/>
  <c r="G74" i="9"/>
  <c r="K73" i="9"/>
  <c r="H73" i="9"/>
  <c r="G73" i="9"/>
  <c r="K72" i="9"/>
  <c r="H72" i="9"/>
  <c r="G72" i="9"/>
  <c r="K71" i="9"/>
  <c r="H71" i="9"/>
  <c r="G71" i="9"/>
  <c r="K70" i="9"/>
  <c r="H70" i="9"/>
  <c r="G70" i="9"/>
  <c r="K69" i="9"/>
  <c r="H69" i="9"/>
  <c r="G69" i="9"/>
  <c r="K68" i="9"/>
  <c r="H68" i="9"/>
  <c r="G68" i="9"/>
  <c r="K67" i="9"/>
  <c r="H67" i="9"/>
  <c r="G67" i="9"/>
  <c r="K66" i="9"/>
  <c r="H66" i="9"/>
  <c r="G66" i="9"/>
  <c r="K65" i="9"/>
  <c r="H65" i="9"/>
  <c r="G65" i="9"/>
  <c r="K64" i="9"/>
  <c r="H64" i="9"/>
  <c r="G64" i="9"/>
  <c r="K63" i="9"/>
  <c r="H63" i="9"/>
  <c r="G63" i="9"/>
  <c r="K62" i="9"/>
  <c r="H62" i="9"/>
  <c r="G62" i="9"/>
  <c r="K61" i="9"/>
  <c r="H61" i="9"/>
  <c r="G61" i="9"/>
  <c r="K60" i="9"/>
  <c r="H60" i="9"/>
  <c r="G60" i="9"/>
  <c r="K59" i="9"/>
  <c r="H59" i="9"/>
  <c r="G59" i="9"/>
  <c r="K58" i="9"/>
  <c r="H58" i="9"/>
  <c r="G58" i="9"/>
  <c r="K57" i="9"/>
  <c r="H57" i="9"/>
  <c r="G57" i="9"/>
  <c r="K56" i="9"/>
  <c r="H56" i="9"/>
  <c r="G56" i="9"/>
  <c r="K55" i="9"/>
  <c r="H55" i="9"/>
  <c r="G55" i="9"/>
  <c r="K54" i="9"/>
  <c r="H54" i="9"/>
  <c r="G54" i="9"/>
  <c r="K53" i="9"/>
  <c r="H53" i="9"/>
  <c r="G53" i="9"/>
  <c r="K52" i="9"/>
  <c r="H52" i="9"/>
  <c r="G52" i="9"/>
  <c r="K51" i="9"/>
  <c r="H51" i="9"/>
  <c r="G51" i="9"/>
  <c r="K50" i="9"/>
  <c r="H50" i="9"/>
  <c r="G50" i="9"/>
  <c r="L49" i="9"/>
  <c r="K49" i="9"/>
  <c r="H49" i="9"/>
  <c r="G49" i="9"/>
  <c r="K48" i="9"/>
  <c r="H48" i="9"/>
  <c r="G48" i="9"/>
  <c r="K47" i="9"/>
  <c r="H47" i="9"/>
  <c r="G47" i="9"/>
  <c r="K46" i="9"/>
  <c r="H46" i="9"/>
  <c r="G46" i="9"/>
  <c r="K45" i="9"/>
  <c r="H45" i="9"/>
  <c r="G45" i="9"/>
  <c r="K44" i="9"/>
  <c r="H44" i="9"/>
  <c r="G44" i="9"/>
  <c r="K43" i="9"/>
  <c r="H43" i="9"/>
  <c r="G43" i="9"/>
  <c r="K42" i="9"/>
  <c r="H42" i="9"/>
  <c r="G42" i="9"/>
  <c r="K41" i="9"/>
  <c r="H41" i="9"/>
  <c r="G41" i="9"/>
  <c r="K40" i="9"/>
  <c r="H40" i="9"/>
  <c r="G40" i="9"/>
  <c r="K39" i="9"/>
  <c r="H39" i="9"/>
  <c r="G39" i="9"/>
  <c r="K38" i="9"/>
  <c r="H38" i="9"/>
  <c r="G38" i="9"/>
  <c r="K37" i="9"/>
  <c r="H37" i="9"/>
  <c r="G37" i="9"/>
  <c r="K36" i="9"/>
  <c r="H36" i="9"/>
  <c r="G36" i="9"/>
  <c r="K35" i="9"/>
  <c r="H35" i="9"/>
  <c r="G35" i="9"/>
  <c r="K34" i="9"/>
  <c r="H34" i="9"/>
  <c r="G34" i="9"/>
  <c r="K33" i="9"/>
  <c r="H33" i="9"/>
  <c r="G33" i="9"/>
  <c r="K32" i="9"/>
  <c r="H32" i="9"/>
  <c r="G32" i="9"/>
  <c r="K31" i="9"/>
  <c r="H31" i="9"/>
  <c r="G31" i="9"/>
  <c r="K30" i="9"/>
  <c r="H30" i="9"/>
  <c r="G30" i="9"/>
  <c r="K29" i="9"/>
  <c r="H29" i="9"/>
  <c r="G29" i="9"/>
  <c r="K28" i="9"/>
  <c r="H28" i="9"/>
  <c r="G28" i="9"/>
  <c r="K27" i="9"/>
  <c r="H27" i="9"/>
  <c r="G27" i="9"/>
  <c r="K26" i="9"/>
  <c r="H26" i="9"/>
  <c r="G26" i="9"/>
  <c r="K25" i="9"/>
  <c r="H25" i="9"/>
  <c r="G25" i="9"/>
  <c r="K24" i="9"/>
  <c r="H24" i="9"/>
  <c r="G24" i="9"/>
  <c r="K23" i="9"/>
  <c r="H23" i="9"/>
  <c r="G23" i="9"/>
  <c r="K22" i="9"/>
  <c r="H22" i="9"/>
  <c r="G22" i="9"/>
  <c r="K21" i="9"/>
  <c r="H21" i="9"/>
  <c r="G21" i="9"/>
  <c r="K20" i="9"/>
  <c r="H20" i="9"/>
  <c r="G20" i="9"/>
  <c r="K19" i="9"/>
  <c r="H19" i="9"/>
  <c r="G19" i="9"/>
  <c r="K18" i="9"/>
  <c r="H18" i="9"/>
  <c r="G18" i="9"/>
  <c r="K17" i="9"/>
  <c r="H17" i="9"/>
  <c r="G17" i="9"/>
  <c r="K16" i="9"/>
  <c r="H16" i="9"/>
  <c r="G16" i="9"/>
  <c r="K15" i="9"/>
  <c r="H15" i="9"/>
  <c r="G15" i="9"/>
  <c r="K14" i="9"/>
  <c r="H14" i="9"/>
  <c r="G14" i="9"/>
  <c r="K13" i="9"/>
  <c r="H13" i="9"/>
  <c r="G13" i="9"/>
  <c r="K12" i="9"/>
  <c r="H12" i="9"/>
  <c r="G12" i="9"/>
  <c r="K11" i="9"/>
  <c r="H11" i="9"/>
  <c r="G11" i="9"/>
  <c r="K10" i="9"/>
  <c r="H10" i="9"/>
  <c r="G10" i="9"/>
  <c r="K9" i="9"/>
  <c r="H9" i="9"/>
  <c r="G9" i="9"/>
  <c r="K8" i="9"/>
  <c r="H8" i="9"/>
  <c r="G8" i="9"/>
  <c r="K7" i="9"/>
  <c r="H7" i="9"/>
  <c r="G7" i="9"/>
  <c r="K6" i="9"/>
  <c r="H6" i="9"/>
  <c r="G6" i="9"/>
  <c r="K5" i="9"/>
  <c r="H5" i="9"/>
  <c r="G5" i="9"/>
  <c r="K4" i="9"/>
  <c r="H4" i="9"/>
  <c r="G4" i="9"/>
  <c r="K3" i="9"/>
  <c r="H3" i="9"/>
  <c r="G3" i="9"/>
  <c r="K2" i="9"/>
  <c r="H2" i="9"/>
  <c r="G2" i="9"/>
  <c r="D17" i="18" l="1"/>
  <c r="D24" i="18"/>
  <c r="D16" i="18"/>
  <c r="D18" i="18" s="1"/>
  <c r="E23" i="12"/>
  <c r="F23" i="12" s="1"/>
</calcChain>
</file>

<file path=xl/sharedStrings.xml><?xml version="1.0" encoding="utf-8"?>
<sst xmlns="http://schemas.openxmlformats.org/spreadsheetml/2006/main" count="13467" uniqueCount="87">
  <si>
    <t>customer_id</t>
  </si>
  <si>
    <t>created_date</t>
  </si>
  <si>
    <t>canceled_date</t>
  </si>
  <si>
    <t>subscription_cost</t>
  </si>
  <si>
    <t>subscription_interval</t>
  </si>
  <si>
    <t>was_subscription_paid</t>
  </si>
  <si>
    <t>month</t>
  </si>
  <si>
    <t>Yes</t>
  </si>
  <si>
    <t>No</t>
  </si>
  <si>
    <t>Indicates if payment was successfully collected for a subscription</t>
  </si>
  <si>
    <t>Measurement of time between billing occurrences for a recurring billing subscription</t>
  </si>
  <si>
    <t>Price of the subscription in USD</t>
  </si>
  <si>
    <t>Unique customer identification number representing an individual customer</t>
  </si>
  <si>
    <t>Description</t>
  </si>
  <si>
    <t>Field</t>
  </si>
  <si>
    <t>Expected Dashboard</t>
  </si>
  <si>
    <t>Date the customer subscription was created (DD/MM/YYYY).</t>
  </si>
  <si>
    <t>Date the customer subscription was canceled (DD/MM/YYYY). If value is blank then the subscription has not been canceled</t>
  </si>
  <si>
    <t>Cancellation Duration</t>
  </si>
  <si>
    <t>Active</t>
  </si>
  <si>
    <t>weekday</t>
  </si>
  <si>
    <t>Data Analysis Tasks:</t>
  </si>
  <si>
    <t>1. Calculate the total number of subscriptions and cancellations.</t>
  </si>
  <si>
    <t>2. Determine the percentage of paid vs. unpaid subscriptions.</t>
  </si>
  <si>
    <t>3. Analyze the average subscription duration before cancellation.</t>
  </si>
  <si>
    <t>4. Identify the date with the highest number of new subscriptions.</t>
  </si>
  <si>
    <t>5. Find the proportion of subscriptions that were canceled within one day.</t>
  </si>
  <si>
    <t>subscriptions</t>
  </si>
  <si>
    <t>cancellations</t>
  </si>
  <si>
    <t>paid</t>
  </si>
  <si>
    <t xml:space="preserve">unpaid </t>
  </si>
  <si>
    <t>subscription canceled in 1 days are</t>
  </si>
  <si>
    <t>total sus. Cancled</t>
  </si>
  <si>
    <t>Visualization &amp; Reporting:</t>
  </si>
  <si>
    <t>1. Create a bar chart showing the number of new subscriptions per month for year 2022.</t>
  </si>
  <si>
    <t>2. Generate a pie chart displaying the percentage of paid vs. unpaid subscriptions.</t>
  </si>
  <si>
    <t>3. Plot a line graph of subscription cancellations over time.</t>
  </si>
  <si>
    <t>Row Labels</t>
  </si>
  <si>
    <t>Grand Total</t>
  </si>
  <si>
    <t>2023</t>
  </si>
  <si>
    <t>Sep</t>
  </si>
  <si>
    <t>Count of was_subscription_paid</t>
  </si>
  <si>
    <t>average</t>
  </si>
  <si>
    <t>Count of canceled_date</t>
  </si>
  <si>
    <t>Sunday</t>
  </si>
  <si>
    <t>Monday</t>
  </si>
  <si>
    <t>Tuesday</t>
  </si>
  <si>
    <t>Wednesday</t>
  </si>
  <si>
    <t>Thursday</t>
  </si>
  <si>
    <t>Friday</t>
  </si>
  <si>
    <t>Saturday</t>
  </si>
  <si>
    <t>Count of created_date</t>
  </si>
  <si>
    <t>Jan</t>
  </si>
  <si>
    <t>Feb</t>
  </si>
  <si>
    <t>Mar</t>
  </si>
  <si>
    <t>Apr</t>
  </si>
  <si>
    <t>May</t>
  </si>
  <si>
    <t>Jun</t>
  </si>
  <si>
    <t>Jul</t>
  </si>
  <si>
    <t>Aug</t>
  </si>
  <si>
    <t>Questions for Analysis:</t>
  </si>
  <si>
    <t>1. Which date had the highest number of subscriptions cancellations?</t>
  </si>
  <si>
    <t>2. How many subscriptions were canceled on the same day they were created?</t>
  </si>
  <si>
    <t>3. What is the cancellation rate within the first two days of subscription?</t>
  </si>
  <si>
    <t>4. How many subscriptions lasted more than one month?</t>
  </si>
  <si>
    <t>5. What is the most common duration before cancellation?</t>
  </si>
  <si>
    <t>6. How does the number of subscriptions vary by day?</t>
  </si>
  <si>
    <t>7. Are there any indications that unpaid subscriptions have a higher cancellation rate?</t>
  </si>
  <si>
    <t>same_day_cancel</t>
  </si>
  <si>
    <t>cancel_within_2days</t>
  </si>
  <si>
    <t>cancel</t>
  </si>
  <si>
    <t>total cancel</t>
  </si>
  <si>
    <t xml:space="preserve">cancellation_rate </t>
  </si>
  <si>
    <t>sub_more_than_1_month</t>
  </si>
  <si>
    <t>count_days_before_cancel</t>
  </si>
  <si>
    <t>Count of customer_id</t>
  </si>
  <si>
    <t>Dec</t>
  </si>
  <si>
    <t>Nov</t>
  </si>
  <si>
    <t>Oct</t>
  </si>
  <si>
    <t>2022</t>
  </si>
  <si>
    <t>Paid</t>
  </si>
  <si>
    <t>Unpaid</t>
  </si>
  <si>
    <t>KPI Use</t>
  </si>
  <si>
    <t xml:space="preserve">Cancelled Date </t>
  </si>
  <si>
    <t>Weekday</t>
  </si>
  <si>
    <t xml:space="preserve">Subscription Paid </t>
  </si>
  <si>
    <t xml:space="preserve">Cancellation rate </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</si>
</sst>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u/>
      <sz val="11"/>
      <color rgb="FF000000"/>
      <name val="Calibri"/>
      <family val="2"/>
      <scheme val="minor"/>
    </font>
    <font>
      <b/>
      <u/>
      <sz val="16"/>
      <color rgb="FF000000"/>
      <name val="Calibri"/>
      <family val="2"/>
      <scheme val="minor"/>
    </font>
    <font>
      <b/>
      <u/>
      <sz val="20"/>
      <color rgb="FF000000"/>
      <name val="Calibri"/>
      <family val="2"/>
      <scheme val="minor"/>
    </font>
    <font>
      <sz val="20"/>
      <color theme="1"/>
      <name val="Calibri"/>
      <family val="2"/>
      <scheme val="minor"/>
    </font>
    <font>
      <sz val="22"/>
      <color theme="4" tint="-0.249977111117893"/>
      <name val="Calibri"/>
      <family val="2"/>
      <scheme val="minor"/>
    </font>
    <font>
      <u/>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3">
    <xf numFmtId="0" fontId="0" fillId="0" borderId="0" xfId="0"/>
    <xf numFmtId="14" fontId="0" fillId="0" borderId="0" xfId="0" applyNumberFormat="1"/>
    <xf numFmtId="0" fontId="0" fillId="0" borderId="10" xfId="0" applyBorder="1"/>
    <xf numFmtId="0" fontId="16" fillId="33" borderId="10" xfId="0" applyFont="1" applyFill="1" applyBorder="1"/>
    <xf numFmtId="0" fontId="16" fillId="0" borderId="0" xfId="0" applyFont="1"/>
    <xf numFmtId="0" fontId="0" fillId="0" borderId="0" xfId="0" applyAlignment="1">
      <alignment vertical="center"/>
    </xf>
    <xf numFmtId="0" fontId="0" fillId="0" borderId="0" xfId="0" applyAlignment="1">
      <alignment horizontal="left" vertical="center" indent="5"/>
    </xf>
    <xf numFmtId="0" fontId="19" fillId="0" borderId="0" xfId="0" applyFont="1"/>
    <xf numFmtId="0" fontId="18" fillId="0" borderId="0" xfId="0" applyFont="1" applyAlignment="1">
      <alignment horizontal="left" vertical="center" indent="5"/>
    </xf>
    <xf numFmtId="9" fontId="0" fillId="0" borderId="0" xfId="42" applyFont="1"/>
    <xf numFmtId="0" fontId="0" fillId="0" borderId="0" xfId="0" applyAlignment="1">
      <alignment horizontal="left"/>
    </xf>
    <xf numFmtId="0" fontId="20" fillId="34" borderId="0" xfId="0" applyFont="1" applyFill="1" applyAlignment="1">
      <alignment horizontal="left" indent="10"/>
    </xf>
    <xf numFmtId="0" fontId="0" fillId="34" borderId="0" xfId="0" applyFill="1" applyAlignment="1">
      <alignment horizontal="left" indent="10"/>
    </xf>
    <xf numFmtId="0" fontId="0" fillId="0" borderId="0" xfId="0" pivotButton="1"/>
    <xf numFmtId="10" fontId="0" fillId="0" borderId="0" xfId="0" applyNumberFormat="1"/>
    <xf numFmtId="0" fontId="18" fillId="0" borderId="0" xfId="0" applyFont="1"/>
    <xf numFmtId="0" fontId="0" fillId="34" borderId="0" xfId="0" applyFill="1"/>
    <xf numFmtId="14" fontId="0" fillId="35" borderId="0" xfId="0" applyNumberFormat="1" applyFill="1" applyAlignment="1">
      <alignment horizontal="left"/>
    </xf>
    <xf numFmtId="0" fontId="0" fillId="35" borderId="0" xfId="0" applyFill="1"/>
    <xf numFmtId="9" fontId="0" fillId="35" borderId="0" xfId="42" applyFont="1" applyFill="1"/>
    <xf numFmtId="0" fontId="0" fillId="0" borderId="0" xfId="0" applyAlignment="1">
      <alignment horizontal="left"/>
    </xf>
    <xf numFmtId="1" fontId="0" fillId="0" borderId="0" xfId="0" applyNumberFormat="1"/>
    <xf numFmtId="0" fontId="24" fillId="0" borderId="0" xfId="0" applyFont="1"/>
    <xf numFmtId="0" fontId="0" fillId="0" borderId="0" xfId="0" applyNumberFormat="1"/>
    <xf numFmtId="9" fontId="0" fillId="0" borderId="0" xfId="0" applyNumberFormat="1"/>
    <xf numFmtId="0" fontId="0" fillId="0" borderId="0" xfId="0" applyAlignment="1">
      <alignment horizontal="left"/>
    </xf>
    <xf numFmtId="0" fontId="16" fillId="36" borderId="0" xfId="0" applyFont="1" applyFill="1"/>
    <xf numFmtId="0" fontId="21" fillId="0" borderId="0" xfId="0" applyFont="1" applyAlignment="1">
      <alignment horizontal="center" vertical="center"/>
    </xf>
    <xf numFmtId="0" fontId="0" fillId="0" borderId="0" xfId="0" applyAlignment="1">
      <alignment horizontal="left"/>
    </xf>
    <xf numFmtId="0" fontId="22" fillId="34" borderId="0" xfId="0" applyFont="1" applyFill="1" applyAlignment="1">
      <alignment horizontal="center"/>
    </xf>
    <xf numFmtId="0" fontId="23" fillId="34" borderId="0" xfId="0" applyFont="1" applyFill="1" applyAlignment="1">
      <alignment horizontal="center"/>
    </xf>
    <xf numFmtId="0" fontId="0" fillId="34" borderId="0" xfId="0" applyFill="1" applyAlignment="1">
      <alignment horizontal="center"/>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numFmt numFmtId="13" formatCode="0%"/>
    </dxf>
    <dxf>
      <numFmt numFmtId="164" formatCode="dd/mm/yyyy"/>
    </dxf>
    <dxf>
      <numFmt numFmtId="164" formatCode="dd/mm/yyyy"/>
    </dxf>
    <dxf>
      <font>
        <b/>
        <i val="0"/>
        <strike val="0"/>
        <condense val="0"/>
        <extend val="0"/>
        <outline val="0"/>
        <shadow val="0"/>
        <u val="none"/>
        <vertAlign val="baseline"/>
        <sz val="11"/>
        <color theme="1"/>
        <name val="Calibri"/>
        <scheme val="minor"/>
      </font>
    </dxf>
    <dxf>
      <fill>
        <patternFill>
          <bgColor theme="8" tint="0.39997558519241921"/>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Reporting!PivotTable6</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new Subscriptions per month in2022</a:t>
            </a:r>
          </a:p>
        </c:rich>
      </c:tx>
      <c:layout>
        <c:manualLayout>
          <c:xMode val="edge"/>
          <c:yMode val="edge"/>
          <c:x val="8.3510908168442408E-2"/>
          <c:y val="1.1879111797875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7.819796193721483E-2"/>
          <c:y val="0.18688976324556039"/>
          <c:w val="0.86542711755401436"/>
          <c:h val="0.7042442755000452"/>
        </c:manualLayout>
      </c:layout>
      <c:barChart>
        <c:barDir val="bar"/>
        <c:grouping val="clustered"/>
        <c:varyColors val="0"/>
        <c:ser>
          <c:idx val="0"/>
          <c:order val="0"/>
          <c:tx>
            <c:strRef>
              <c:f>'Visualization &amp; Reporting'!$C$7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 &amp; Reporting'!$B$8:$B$20</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'Visualization &amp; Reporting'!$C$8:$C$20</c:f>
              <c:numCache>
                <c:formatCode>General</c:formatCode>
                <c:ptCount val="12"/>
                <c:pt idx="0">
                  <c:v>230</c:v>
                </c:pt>
                <c:pt idx="1">
                  <c:v>189</c:v>
                </c:pt>
                <c:pt idx="2">
                  <c:v>196</c:v>
                </c:pt>
                <c:pt idx="3">
                  <c:v>283</c:v>
                </c:pt>
                <c:pt idx="4">
                  <c:v>268</c:v>
                </c:pt>
                <c:pt idx="5">
                  <c:v>306</c:v>
                </c:pt>
                <c:pt idx="6">
                  <c:v>275</c:v>
                </c:pt>
                <c:pt idx="7">
                  <c:v>285</c:v>
                </c:pt>
                <c:pt idx="8">
                  <c:v>223</c:v>
                </c:pt>
                <c:pt idx="9">
                  <c:v>266</c:v>
                </c:pt>
                <c:pt idx="10">
                  <c:v>275</c:v>
                </c:pt>
                <c:pt idx="11">
                  <c:v>273</c:v>
                </c:pt>
              </c:numCache>
            </c:numRef>
          </c:val>
          <c:extLst xmlns:c16r2="http://schemas.microsoft.com/office/drawing/2015/06/chart">
            <c:ext xmlns:c16="http://schemas.microsoft.com/office/drawing/2014/chart" uri="{C3380CC4-5D6E-409C-BE32-E72D297353CC}">
              <c16:uniqueId val="{00000000-719A-4BD5-85F2-A1982EAC0216}"/>
            </c:ext>
          </c:extLst>
        </c:ser>
        <c:dLbls>
          <c:showLegendKey val="0"/>
          <c:showVal val="0"/>
          <c:showCatName val="0"/>
          <c:showSerName val="0"/>
          <c:showPercent val="0"/>
          <c:showBubbleSize val="0"/>
        </c:dLbls>
        <c:gapWidth val="182"/>
        <c:axId val="369139896"/>
        <c:axId val="369140288"/>
      </c:barChart>
      <c:catAx>
        <c:axId val="369139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0288"/>
        <c:crosses val="autoZero"/>
        <c:auto val="1"/>
        <c:lblAlgn val="ctr"/>
        <c:lblOffset val="100"/>
        <c:tickLblSkip val="1"/>
        <c:noMultiLvlLbl val="0"/>
      </c:catAx>
      <c:valAx>
        <c:axId val="369140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98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 of Paid vs. Unpaid Subscriptions</a:t>
            </a:r>
          </a:p>
        </c:rich>
      </c:tx>
      <c:layout>
        <c:manualLayout>
          <c:xMode val="edge"/>
          <c:yMode val="edge"/>
          <c:x val="0.1470609033854857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8247166735965062"/>
          <c:y val="0.17171950991395435"/>
          <c:w val="0.35192798873238301"/>
          <c:h val="0.81735456416011976"/>
        </c:manualLayout>
      </c:layout>
      <c:pieChart>
        <c:varyColors val="1"/>
        <c:ser>
          <c:idx val="0"/>
          <c:order val="0"/>
          <c:tx>
            <c:strRef>
              <c:f>'Visualization &amp; Reporting'!$C$28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892-4F2C-A439-A7B26F16BA77}"/>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892-4F2C-A439-A7B26F16BA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 &amp; Reporting'!$B$29:$B$31</c:f>
              <c:strCache>
                <c:ptCount val="2"/>
                <c:pt idx="0">
                  <c:v>Unpaid</c:v>
                </c:pt>
                <c:pt idx="1">
                  <c:v>Paid</c:v>
                </c:pt>
              </c:strCache>
            </c:strRef>
          </c:cat>
          <c:val>
            <c:numRef>
              <c:f>'Visualization &amp; Reporting'!$C$29:$C$31</c:f>
              <c:numCache>
                <c:formatCode>0.00%</c:formatCode>
                <c:ptCount val="2"/>
                <c:pt idx="0">
                  <c:v>4.3336591723688499E-2</c:v>
                </c:pt>
                <c:pt idx="1">
                  <c:v>0.95666340827631147</c:v>
                </c:pt>
              </c:numCache>
            </c:numRef>
          </c:val>
          <c:extLst xmlns:c16r2="http://schemas.microsoft.com/office/drawing/2015/06/chart">
            <c:ext xmlns:c16="http://schemas.microsoft.com/office/drawing/2014/chart" uri="{C3380CC4-5D6E-409C-BE32-E72D297353CC}">
              <c16:uniqueId val="{00000004-B892-4F2C-A439-A7B26F16BA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8484288354898338E-2"/>
          <c:y val="0.4781383705461475"/>
          <c:w val="0.10866165989879731"/>
          <c:h val="0.3581634487469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Reporting!PivotTable7</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Subscription Cancelled Over Time</a:t>
            </a:r>
          </a:p>
        </c:rich>
      </c:tx>
      <c:layout>
        <c:manualLayout>
          <c:xMode val="edge"/>
          <c:yMode val="edge"/>
          <c:x val="0.24099465217006988"/>
          <c:y val="2.37560793116348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0314019269866526"/>
          <c:y val="0.18281705948372615"/>
          <c:w val="0.88030796150481194"/>
          <c:h val="0.70910306771417886"/>
        </c:manualLayout>
      </c:layout>
      <c:lineChart>
        <c:grouping val="stacked"/>
        <c:varyColors val="0"/>
        <c:ser>
          <c:idx val="0"/>
          <c:order val="0"/>
          <c:tx>
            <c:strRef>
              <c:f>'Visualization &amp; Reporting'!$C$42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 &amp; Reporting'!$B$43:$B$45</c:f>
              <c:strCache>
                <c:ptCount val="2"/>
                <c:pt idx="0">
                  <c:v>2022</c:v>
                </c:pt>
                <c:pt idx="1">
                  <c:v>2023</c:v>
                </c:pt>
              </c:strCache>
            </c:strRef>
          </c:cat>
          <c:val>
            <c:numRef>
              <c:f>'Visualization &amp; Reporting'!$C$43:$C$45</c:f>
              <c:numCache>
                <c:formatCode>General</c:formatCode>
                <c:ptCount val="2"/>
                <c:pt idx="0">
                  <c:v>346</c:v>
                </c:pt>
                <c:pt idx="1">
                  <c:v>1658</c:v>
                </c:pt>
              </c:numCache>
            </c:numRef>
          </c:val>
          <c:smooth val="0"/>
          <c:extLst xmlns:c16r2="http://schemas.microsoft.com/office/drawing/2015/06/chart">
            <c:ext xmlns:c16="http://schemas.microsoft.com/office/drawing/2014/chart" uri="{C3380CC4-5D6E-409C-BE32-E72D297353CC}">
              <c16:uniqueId val="{00000000-51AF-4FE9-965C-7907E97C81DA}"/>
            </c:ext>
          </c:extLst>
        </c:ser>
        <c:dLbls>
          <c:showLegendKey val="0"/>
          <c:showVal val="0"/>
          <c:showCatName val="0"/>
          <c:showSerName val="0"/>
          <c:showPercent val="0"/>
          <c:showBubbleSize val="0"/>
        </c:dLbls>
        <c:marker val="1"/>
        <c:smooth val="0"/>
        <c:axId val="369140680"/>
        <c:axId val="369138328"/>
      </c:lineChart>
      <c:catAx>
        <c:axId val="36914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8328"/>
        <c:crosses val="autoZero"/>
        <c:auto val="1"/>
        <c:lblAlgn val="ctr"/>
        <c:lblOffset val="100"/>
        <c:noMultiLvlLbl val="0"/>
      </c:catAx>
      <c:valAx>
        <c:axId val="369138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0680"/>
        <c:crosses val="autoZero"/>
        <c:crossBetween val="between"/>
        <c:majorUnit val="200"/>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a:schemeClr val="accent1">
          <a:alpha val="25000"/>
        </a:schemeClr>
      </a:glo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new Subscriptions per month in2022</a:t>
            </a:r>
          </a:p>
        </c:rich>
      </c:tx>
      <c:layout>
        <c:manualLayout>
          <c:xMode val="edge"/>
          <c:yMode val="edge"/>
          <c:x val="8.3510908168442408E-2"/>
          <c:y val="1.1879111797875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9.0960761101328752E-2"/>
          <c:y val="0.13937331605405834"/>
          <c:w val="0.86542711755401436"/>
          <c:h val="0.7042442755000452"/>
        </c:manualLayout>
      </c:layout>
      <c:barChart>
        <c:barDir val="bar"/>
        <c:grouping val="clustered"/>
        <c:varyColors val="0"/>
        <c:ser>
          <c:idx val="0"/>
          <c:order val="0"/>
          <c:tx>
            <c:strRef>
              <c:f>'Visualization &amp; Reporting'!$C$7</c:f>
              <c:strCache>
                <c:ptCount val="1"/>
                <c:pt idx="0">
                  <c:v>Total</c:v>
                </c:pt>
              </c:strCache>
            </c:strRef>
          </c:tx>
          <c:spPr>
            <a:solidFill>
              <a:schemeClr val="accent1"/>
            </a:solidFill>
            <a:ln>
              <a:noFill/>
            </a:ln>
            <a:effectLst/>
          </c:spPr>
          <c:invertIfNegative val="0"/>
          <c:cat>
            <c:strRef>
              <c:f>'Visualization &amp; Reporting'!$B$8:$B$20</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'Visualization &amp; Reporting'!$C$8:$C$20</c:f>
              <c:numCache>
                <c:formatCode>General</c:formatCode>
                <c:ptCount val="12"/>
                <c:pt idx="0">
                  <c:v>230</c:v>
                </c:pt>
                <c:pt idx="1">
                  <c:v>189</c:v>
                </c:pt>
                <c:pt idx="2">
                  <c:v>196</c:v>
                </c:pt>
                <c:pt idx="3">
                  <c:v>283</c:v>
                </c:pt>
                <c:pt idx="4">
                  <c:v>268</c:v>
                </c:pt>
                <c:pt idx="5">
                  <c:v>306</c:v>
                </c:pt>
                <c:pt idx="6">
                  <c:v>275</c:v>
                </c:pt>
                <c:pt idx="7">
                  <c:v>285</c:v>
                </c:pt>
                <c:pt idx="8">
                  <c:v>223</c:v>
                </c:pt>
                <c:pt idx="9">
                  <c:v>266</c:v>
                </c:pt>
                <c:pt idx="10">
                  <c:v>275</c:v>
                </c:pt>
                <c:pt idx="11">
                  <c:v>273</c:v>
                </c:pt>
              </c:numCache>
            </c:numRef>
          </c:val>
          <c:extLst xmlns:c16r2="http://schemas.microsoft.com/office/drawing/2015/06/chart">
            <c:ext xmlns:c16="http://schemas.microsoft.com/office/drawing/2014/chart" uri="{C3380CC4-5D6E-409C-BE32-E72D297353CC}">
              <c16:uniqueId val="{00000000-59F2-4325-93E5-826254E72655}"/>
            </c:ext>
          </c:extLst>
        </c:ser>
        <c:dLbls>
          <c:showLegendKey val="0"/>
          <c:showVal val="0"/>
          <c:showCatName val="0"/>
          <c:showSerName val="0"/>
          <c:showPercent val="0"/>
          <c:showBubbleSize val="0"/>
        </c:dLbls>
        <c:gapWidth val="182"/>
        <c:axId val="369141072"/>
        <c:axId val="369139112"/>
      </c:barChart>
      <c:catAx>
        <c:axId val="369141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9112"/>
        <c:crosses val="autoZero"/>
        <c:auto val="1"/>
        <c:lblAlgn val="ctr"/>
        <c:lblOffset val="100"/>
        <c:tickLblSkip val="1"/>
        <c:noMultiLvlLbl val="0"/>
      </c:catAx>
      <c:valAx>
        <c:axId val="3691391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0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 of Paid vs. Unpaid Subscriptions</a:t>
            </a:r>
          </a:p>
        </c:rich>
      </c:tx>
      <c:layout>
        <c:manualLayout>
          <c:xMode val="edge"/>
          <c:yMode val="edge"/>
          <c:x val="0.1470609033854857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480023869474718"/>
          <c:y val="0.21923156437637076"/>
          <c:w val="0.38346044313776861"/>
          <c:h val="0.71045239636141377"/>
        </c:manualLayout>
      </c:layout>
      <c:pieChart>
        <c:varyColors val="1"/>
        <c:ser>
          <c:idx val="0"/>
          <c:order val="0"/>
          <c:tx>
            <c:strRef>
              <c:f>'Visualization &amp; Reporting'!$C$28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CDF8-4240-8B5B-CE8AC388D6B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CDF8-4240-8B5B-CE8AC388D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 &amp; Reporting'!$B$29:$B$31</c:f>
              <c:strCache>
                <c:ptCount val="2"/>
                <c:pt idx="0">
                  <c:v>Unpaid</c:v>
                </c:pt>
                <c:pt idx="1">
                  <c:v>Paid</c:v>
                </c:pt>
              </c:strCache>
            </c:strRef>
          </c:cat>
          <c:val>
            <c:numRef>
              <c:f>'Visualization &amp; Reporting'!$C$29:$C$31</c:f>
              <c:numCache>
                <c:formatCode>0.00%</c:formatCode>
                <c:ptCount val="2"/>
                <c:pt idx="0">
                  <c:v>4.3336591723688499E-2</c:v>
                </c:pt>
                <c:pt idx="1">
                  <c:v>0.95666340827631147</c:v>
                </c:pt>
              </c:numCache>
            </c:numRef>
          </c:val>
          <c:extLst xmlns:c16r2="http://schemas.microsoft.com/office/drawing/2015/06/chart">
            <c:ext xmlns:c16="http://schemas.microsoft.com/office/drawing/2014/chart" uri="{C3380CC4-5D6E-409C-BE32-E72D297353CC}">
              <c16:uniqueId val="{00000004-CDF8-4240-8B5B-CE8AC388D6B9}"/>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1.8484288354898338E-2"/>
          <c:y val="0.4781383705461475"/>
          <c:w val="0.10866165989879731"/>
          <c:h val="0.3581634487469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Subscription Cancelled Over Time</a:t>
            </a:r>
          </a:p>
        </c:rich>
      </c:tx>
      <c:layout>
        <c:manualLayout>
          <c:xMode val="edge"/>
          <c:yMode val="edge"/>
          <c:x val="0.24099465217006988"/>
          <c:y val="2.37560793116348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0314019269866526"/>
          <c:y val="0.18281705948372615"/>
          <c:w val="0.88030796150481194"/>
          <c:h val="0.70910306771417886"/>
        </c:manualLayout>
      </c:layout>
      <c:lineChart>
        <c:grouping val="stacked"/>
        <c:varyColors val="0"/>
        <c:ser>
          <c:idx val="0"/>
          <c:order val="0"/>
          <c:tx>
            <c:strRef>
              <c:f>'Visualization &amp; Reporting'!$C$42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 &amp; Reporting'!$B$43:$B$45</c:f>
              <c:strCache>
                <c:ptCount val="2"/>
                <c:pt idx="0">
                  <c:v>2022</c:v>
                </c:pt>
                <c:pt idx="1">
                  <c:v>2023</c:v>
                </c:pt>
              </c:strCache>
            </c:strRef>
          </c:cat>
          <c:val>
            <c:numRef>
              <c:f>'Visualization &amp; Reporting'!$C$43:$C$45</c:f>
              <c:numCache>
                <c:formatCode>General</c:formatCode>
                <c:ptCount val="2"/>
                <c:pt idx="0">
                  <c:v>346</c:v>
                </c:pt>
                <c:pt idx="1">
                  <c:v>1658</c:v>
                </c:pt>
              </c:numCache>
            </c:numRef>
          </c:val>
          <c:smooth val="0"/>
          <c:extLst xmlns:c16r2="http://schemas.microsoft.com/office/drawing/2015/06/chart">
            <c:ext xmlns:c16="http://schemas.microsoft.com/office/drawing/2014/chart" uri="{C3380CC4-5D6E-409C-BE32-E72D297353CC}">
              <c16:uniqueId val="{00000000-474E-458E-90CA-2A5ACBDD7715}"/>
            </c:ext>
          </c:extLst>
        </c:ser>
        <c:dLbls>
          <c:showLegendKey val="0"/>
          <c:showVal val="0"/>
          <c:showCatName val="0"/>
          <c:showSerName val="0"/>
          <c:showPercent val="0"/>
          <c:showBubbleSize val="0"/>
        </c:dLbls>
        <c:marker val="1"/>
        <c:smooth val="0"/>
        <c:axId val="378450816"/>
        <c:axId val="378452384"/>
      </c:lineChart>
      <c:catAx>
        <c:axId val="3784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52384"/>
        <c:crosses val="autoZero"/>
        <c:auto val="1"/>
        <c:lblAlgn val="ctr"/>
        <c:lblOffset val="100"/>
        <c:noMultiLvlLbl val="0"/>
      </c:catAx>
      <c:valAx>
        <c:axId val="37845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50816"/>
        <c:crosses val="autoZero"/>
        <c:crossBetween val="between"/>
        <c:majorUnit val="200"/>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a:schemeClr val="accent1">
          <a:alpha val="25000"/>
        </a:schemeClr>
      </a:glo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(Questions).xlsx]Visualization &amp; Reporting!PivotTable1</c:name>
    <c:fmtId val="2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lumMod val="65000"/>
                    <a:lumOff val="35000"/>
                  </a:sysClr>
                </a:solidFill>
              </a:rPr>
              <a:t>Subscribtion by Day</a:t>
            </a:r>
          </a:p>
          <a:p>
            <a:pPr marL="0" marR="0" lvl="0" indent="0" algn="ctr" defTabSz="914400" rtl="0" eaLnBrk="1" fontAlgn="auto" latinLnBrk="0" hangingPunct="1">
              <a:lnSpc>
                <a:spcPct val="100000"/>
              </a:lnSpc>
              <a:spcBef>
                <a:spcPts val="0"/>
              </a:spcBef>
              <a:spcAft>
                <a:spcPts val="0"/>
              </a:spcAft>
              <a:buClrTx/>
              <a:buSzTx/>
              <a:buFontTx/>
              <a:buNone/>
              <a:tabLst/>
              <a:defRPr sz="1400" b="1">
                <a:solidFill>
                  <a:sysClr val="windowText" lastClr="000000"/>
                </a:solidFill>
              </a:defRPr>
            </a:pPr>
            <a:endParaRPr lang="en-US" sz="1400" b="1"/>
          </a:p>
        </c:rich>
      </c:tx>
      <c:layout>
        <c:manualLayout>
          <c:xMode val="edge"/>
          <c:yMode val="edge"/>
          <c:x val="0.33908518074779403"/>
          <c:y val="3.608798200464014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0254405835915145"/>
          <c:y val="0.14546645770808619"/>
          <c:w val="0.89018305912736706"/>
          <c:h val="0.74382327209098864"/>
        </c:manualLayout>
      </c:layout>
      <c:barChart>
        <c:barDir val="col"/>
        <c:grouping val="clustered"/>
        <c:varyColors val="0"/>
        <c:ser>
          <c:idx val="0"/>
          <c:order val="0"/>
          <c:tx>
            <c:strRef>
              <c:f>'Visualization &amp; Reporting'!$O$6</c:f>
              <c:strCache>
                <c:ptCount val="1"/>
                <c:pt idx="0">
                  <c:v>Total</c:v>
                </c:pt>
              </c:strCache>
            </c:strRef>
          </c:tx>
          <c:spPr>
            <a:solidFill>
              <a:schemeClr val="accent1"/>
            </a:solidFill>
            <a:ln>
              <a:noFill/>
            </a:ln>
            <a:effectLst/>
          </c:spPr>
          <c:invertIfNegative val="0"/>
          <c:cat>
            <c:strRef>
              <c:f>'Visualization &amp; Reporting'!$N$7:$N$14</c:f>
              <c:strCache>
                <c:ptCount val="7"/>
                <c:pt idx="0">
                  <c:v>Sunday</c:v>
                </c:pt>
                <c:pt idx="1">
                  <c:v>Monday</c:v>
                </c:pt>
                <c:pt idx="2">
                  <c:v>Tuesday</c:v>
                </c:pt>
                <c:pt idx="3">
                  <c:v>Wednesday</c:v>
                </c:pt>
                <c:pt idx="4">
                  <c:v>Thursday</c:v>
                </c:pt>
                <c:pt idx="5">
                  <c:v>Friday</c:v>
                </c:pt>
                <c:pt idx="6">
                  <c:v>Saturday</c:v>
                </c:pt>
              </c:strCache>
            </c:strRef>
          </c:cat>
          <c:val>
            <c:numRef>
              <c:f>'Visualization &amp; Reporting'!$O$7:$O$14</c:f>
              <c:numCache>
                <c:formatCode>General</c:formatCode>
                <c:ptCount val="7"/>
                <c:pt idx="0">
                  <c:v>306</c:v>
                </c:pt>
                <c:pt idx="1">
                  <c:v>539</c:v>
                </c:pt>
                <c:pt idx="2">
                  <c:v>487</c:v>
                </c:pt>
                <c:pt idx="3">
                  <c:v>472</c:v>
                </c:pt>
                <c:pt idx="4">
                  <c:v>505</c:v>
                </c:pt>
                <c:pt idx="5">
                  <c:v>452</c:v>
                </c:pt>
                <c:pt idx="6">
                  <c:v>308</c:v>
                </c:pt>
              </c:numCache>
            </c:numRef>
          </c:val>
          <c:extLst xmlns:c16r2="http://schemas.microsoft.com/office/drawing/2015/06/chart">
            <c:ext xmlns:c16="http://schemas.microsoft.com/office/drawing/2014/chart" uri="{C3380CC4-5D6E-409C-BE32-E72D297353CC}">
              <c16:uniqueId val="{00000000-2B1A-4E3D-8481-CD026B8E60D6}"/>
            </c:ext>
          </c:extLst>
        </c:ser>
        <c:dLbls>
          <c:showLegendKey val="0"/>
          <c:showVal val="0"/>
          <c:showCatName val="0"/>
          <c:showSerName val="0"/>
          <c:showPercent val="0"/>
          <c:showBubbleSize val="0"/>
        </c:dLbls>
        <c:gapWidth val="219"/>
        <c:overlap val="-27"/>
        <c:axId val="378455128"/>
        <c:axId val="378449248"/>
      </c:barChart>
      <c:catAx>
        <c:axId val="378455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378449248"/>
        <c:crosses val="autoZero"/>
        <c:auto val="1"/>
        <c:lblAlgn val="ctr"/>
        <c:lblOffset val="100"/>
        <c:noMultiLvlLbl val="0"/>
      </c:catAx>
      <c:valAx>
        <c:axId val="37844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84551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914400</xdr:colOff>
      <xdr:row>7</xdr:row>
      <xdr:rowOff>26894</xdr:rowOff>
    </xdr:from>
    <xdr:to>
      <xdr:col>7</xdr:col>
      <xdr:colOff>1183340</xdr:colOff>
      <xdr:row>19</xdr:row>
      <xdr:rowOff>13572</xdr:rowOff>
    </xdr:to>
    <xdr:graphicFrame macro="">
      <xdr:nvGraphicFramePr>
        <xdr:cNvPr id="2" name="Chart 1">
          <a:extLst>
            <a:ext uri="{FF2B5EF4-FFF2-40B4-BE49-F238E27FC236}">
              <a16:creationId xmlns:a16="http://schemas.microsoft.com/office/drawing/2014/main" xmlns="" id="{A539175A-C439-48ED-8534-08C062F84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887507</xdr:colOff>
      <xdr:row>25</xdr:row>
      <xdr:rowOff>8964</xdr:rowOff>
    </xdr:from>
    <xdr:to>
      <xdr:col>7</xdr:col>
      <xdr:colOff>1147481</xdr:colOff>
      <xdr:row>36</xdr:row>
      <xdr:rowOff>175129</xdr:rowOff>
    </xdr:to>
    <xdr:graphicFrame macro="">
      <xdr:nvGraphicFramePr>
        <xdr:cNvPr id="4" name="Chart 3">
          <a:extLst>
            <a:ext uri="{FF2B5EF4-FFF2-40B4-BE49-F238E27FC236}">
              <a16:creationId xmlns:a16="http://schemas.microsoft.com/office/drawing/2014/main" xmlns="" id="{6A9A5273-0642-41A1-8F35-50FC57DD5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887507</xdr:colOff>
      <xdr:row>41</xdr:row>
      <xdr:rowOff>35858</xdr:rowOff>
    </xdr:from>
    <xdr:to>
      <xdr:col>7</xdr:col>
      <xdr:colOff>1192306</xdr:colOff>
      <xdr:row>54</xdr:row>
      <xdr:rowOff>117035</xdr:rowOff>
    </xdr:to>
    <xdr:graphicFrame macro="">
      <xdr:nvGraphicFramePr>
        <xdr:cNvPr id="5" name="Chart 4">
          <a:extLst>
            <a:ext uri="{FF2B5EF4-FFF2-40B4-BE49-F238E27FC236}">
              <a16:creationId xmlns:a16="http://schemas.microsoft.com/office/drawing/2014/main" xmlns="" id="{447CCEB5-6FA4-4184-B601-61D5FE8F3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8965</xdr:colOff>
      <xdr:row>0</xdr:row>
      <xdr:rowOff>161365</xdr:rowOff>
    </xdr:from>
    <xdr:to>
      <xdr:col>15</xdr:col>
      <xdr:colOff>726141</xdr:colOff>
      <xdr:row>29</xdr:row>
      <xdr:rowOff>89647</xdr:rowOff>
    </xdr:to>
    <xdr:sp macro="" textlink="">
      <xdr:nvSpPr>
        <xdr:cNvPr id="6" name="Rectangle 5">
          <a:extLst>
            <a:ext uri="{FF2B5EF4-FFF2-40B4-BE49-F238E27FC236}">
              <a16:creationId xmlns:a16="http://schemas.microsoft.com/office/drawing/2014/main" xmlns="" id="{46A07699-CFC4-84EA-2826-6C191AEDC45E}"/>
            </a:ext>
          </a:extLst>
        </xdr:cNvPr>
        <xdr:cNvSpPr/>
      </xdr:nvSpPr>
      <xdr:spPr>
        <a:xfrm>
          <a:off x="12568518" y="161365"/>
          <a:ext cx="3711388" cy="51278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xdr:row>
      <xdr:rowOff>0</xdr:rowOff>
    </xdr:from>
    <xdr:to>
      <xdr:col>17</xdr:col>
      <xdr:colOff>411480</xdr:colOff>
      <xdr:row>29</xdr:row>
      <xdr:rowOff>53340</xdr:rowOff>
    </xdr:to>
    <xdr:sp macro="" textlink="">
      <xdr:nvSpPr>
        <xdr:cNvPr id="2" name="TextBox 1">
          <a:extLst>
            <a:ext uri="{FF2B5EF4-FFF2-40B4-BE49-F238E27FC236}">
              <a16:creationId xmlns:a16="http://schemas.microsoft.com/office/drawing/2014/main" xmlns="" id="{E04B6730-2C9D-4D98-831E-73E083F0A61D}"/>
            </a:ext>
          </a:extLst>
        </xdr:cNvPr>
        <xdr:cNvSpPr txBox="1"/>
      </xdr:nvSpPr>
      <xdr:spPr>
        <a:xfrm>
          <a:off x="182880" y="182880"/>
          <a:ext cx="10591800" cy="5173980"/>
        </a:xfrm>
        <a:prstGeom prst="roundRect">
          <a:avLst>
            <a:gd name="adj" fmla="val 5868"/>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030A0"/>
              </a:solidFill>
            </a:rPr>
            <a:t>Instructions for Students:</a:t>
          </a:r>
        </a:p>
        <a:p>
          <a:endParaRPr lang="en-IN" b="1"/>
        </a:p>
        <a:p>
          <a:r>
            <a:rPr lang="en-IN" sz="1100" b="1" u="sng">
              <a:solidFill>
                <a:schemeClr val="dk1"/>
              </a:solidFill>
              <a:latin typeface="+mn-lt"/>
              <a:ea typeface="+mn-ea"/>
              <a:cs typeface="+mn-cs"/>
            </a:rPr>
            <a:t>Data Prepration:</a:t>
          </a:r>
        </a:p>
        <a:p>
          <a:pPr lvl="1"/>
          <a:r>
            <a:rPr lang="en-IN" b="0"/>
            <a:t>1.</a:t>
          </a:r>
          <a:r>
            <a:rPr lang="en-IN" b="0" baseline="0"/>
            <a:t> Create a new column Cancellation Duration.  This will contain the difference between date created and cancelled in days.</a:t>
          </a:r>
        </a:p>
        <a:p>
          <a:pPr lvl="1"/>
          <a:r>
            <a:rPr lang="en-IN" b="0" baseline="0"/>
            <a:t>2. Create another column to show the weekday when the subscription was created.</a:t>
          </a:r>
          <a:endParaRPr lang="en-IN" b="0"/>
        </a:p>
        <a:p>
          <a:pPr lvl="1"/>
          <a:endParaRPr lang="en-IN"/>
        </a:p>
        <a:p>
          <a:r>
            <a:rPr lang="en-IN" b="1" u="sng"/>
            <a:t>Data Analysis Tasks:</a:t>
          </a:r>
          <a:endParaRPr lang="en-IN" u="sng"/>
        </a:p>
        <a:p>
          <a:pPr lvl="1"/>
          <a:r>
            <a:rPr lang="en-IN"/>
            <a:t>1.</a:t>
          </a:r>
          <a:r>
            <a:rPr lang="en-IN" baseline="0"/>
            <a:t> </a:t>
          </a:r>
          <a:r>
            <a:rPr lang="en-IN"/>
            <a:t>Calculate the total number of subscriptions and cancellations.</a:t>
          </a:r>
        </a:p>
        <a:p>
          <a:pPr lvl="1"/>
          <a:r>
            <a:rPr lang="en-IN"/>
            <a:t>2. Determine the percentage of paid vs. unpaid subscriptions.</a:t>
          </a:r>
        </a:p>
        <a:p>
          <a:pPr lvl="1"/>
          <a:r>
            <a:rPr lang="en-IN"/>
            <a:t>3. Analyze the average subscription duration before cancellation.</a:t>
          </a:r>
        </a:p>
        <a:p>
          <a:pPr lvl="1"/>
          <a:r>
            <a:rPr lang="en-IN"/>
            <a:t>4. Identify the date with the highest number of new subscriptions.</a:t>
          </a:r>
        </a:p>
        <a:p>
          <a:pPr lvl="1"/>
          <a:r>
            <a:rPr lang="en-IN"/>
            <a:t>5. Find the proportion of subscriptions that were canceled within one day.</a:t>
          </a:r>
        </a:p>
        <a:p>
          <a:pPr lvl="1"/>
          <a:endParaRPr lang="en-IN"/>
        </a:p>
        <a:p>
          <a:r>
            <a:rPr lang="en-IN" b="1" u="sng"/>
            <a:t>Visualization &amp; Reporting:</a:t>
          </a:r>
          <a:endParaRPr lang="en-IN" u="sng"/>
        </a:p>
        <a:p>
          <a:pPr lvl="1"/>
          <a:r>
            <a:rPr lang="en-IN"/>
            <a:t>1. Create a bar chart showing the number of new subscriptions per month</a:t>
          </a:r>
          <a:r>
            <a:rPr lang="en-IN" baseline="0"/>
            <a:t> for year 2022</a:t>
          </a:r>
          <a:r>
            <a:rPr lang="en-IN"/>
            <a:t>.</a:t>
          </a:r>
        </a:p>
        <a:p>
          <a:pPr lvl="1"/>
          <a:r>
            <a:rPr lang="en-IN"/>
            <a:t>2. Generate a pie chart displaying the percentage of paid vs. unpaid subscriptions.</a:t>
          </a:r>
        </a:p>
        <a:p>
          <a:pPr lvl="1"/>
          <a:r>
            <a:rPr lang="en-IN"/>
            <a:t>3. Plot a line graph of subscription cancellations over time.</a:t>
          </a:r>
        </a:p>
        <a:p>
          <a:pPr lvl="1"/>
          <a:endParaRPr lang="en-IN"/>
        </a:p>
        <a:p>
          <a:r>
            <a:rPr lang="en-IN" b="1" u="sng"/>
            <a:t>Questions for Analysis:</a:t>
          </a:r>
        </a:p>
        <a:p>
          <a:pPr lvl="1"/>
          <a:r>
            <a:rPr lang="en-IN"/>
            <a:t>1. Which date had the highest number of subscriptions cancellations?</a:t>
          </a:r>
        </a:p>
        <a:p>
          <a:pPr lvl="1"/>
          <a:r>
            <a:rPr lang="en-IN"/>
            <a:t>2. How many subscriptions were canceled on the same day they were created?</a:t>
          </a:r>
        </a:p>
        <a:p>
          <a:pPr lvl="1"/>
          <a:r>
            <a:rPr lang="en-IN"/>
            <a:t>3. What is the cancellation rate within the first two days of subscription?</a:t>
          </a:r>
        </a:p>
        <a:p>
          <a:pPr lvl="1"/>
          <a:r>
            <a:rPr lang="en-IN"/>
            <a:t>4. How many subscriptions lasted more than one month?</a:t>
          </a:r>
        </a:p>
        <a:p>
          <a:pPr lvl="1"/>
          <a:r>
            <a:rPr lang="en-IN"/>
            <a:t>5. What is the most common duration before cancellation?</a:t>
          </a:r>
        </a:p>
        <a:p>
          <a:pPr lvl="1"/>
          <a:r>
            <a:rPr lang="en-IN"/>
            <a:t>6. How does the number of subscriptions vary by day?</a:t>
          </a:r>
        </a:p>
        <a:p>
          <a:pPr lvl="1"/>
          <a:r>
            <a:rPr lang="en-IN"/>
            <a:t>7. Are there any indications that unpaid subscriptions have a higher cancellation rate?</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Prepare a Dashboard based on</a:t>
          </a:r>
          <a:r>
            <a:rPr lang="en-IN" sz="1100" baseline="0">
              <a:solidFill>
                <a:schemeClr val="dk1"/>
              </a:solidFill>
              <a:effectLst/>
              <a:latin typeface="+mn-lt"/>
              <a:ea typeface="+mn-ea"/>
              <a:cs typeface="+mn-cs"/>
            </a:rPr>
            <a:t> your findings.</a:t>
          </a:r>
        </a:p>
      </xdr:txBody>
    </xdr:sp>
    <xdr:clientData/>
  </xdr:twoCellAnchor>
  <xdr:twoCellAnchor editAs="oneCell">
    <xdr:from>
      <xdr:col>0</xdr:col>
      <xdr:colOff>175260</xdr:colOff>
      <xdr:row>32</xdr:row>
      <xdr:rowOff>129540</xdr:rowOff>
    </xdr:from>
    <xdr:to>
      <xdr:col>11</xdr:col>
      <xdr:colOff>495909</xdr:colOff>
      <xdr:row>57</xdr:row>
      <xdr:rowOff>175660</xdr:rowOff>
    </xdr:to>
    <xdr:pic>
      <xdr:nvPicPr>
        <xdr:cNvPr id="3" name="Picture 2">
          <a:extLst>
            <a:ext uri="{FF2B5EF4-FFF2-40B4-BE49-F238E27FC236}">
              <a16:creationId xmlns:a16="http://schemas.microsoft.com/office/drawing/2014/main" xmlns="" id="{8E9CA6A7-BEFB-4D33-9B66-5A3BB8CD2C15}"/>
            </a:ext>
          </a:extLst>
        </xdr:cNvPr>
        <xdr:cNvPicPr>
          <a:picLocks noChangeAspect="1"/>
        </xdr:cNvPicPr>
      </xdr:nvPicPr>
      <xdr:blipFill>
        <a:blip xmlns:r="http://schemas.openxmlformats.org/officeDocument/2006/relationships" r:embed="rId1"/>
        <a:stretch>
          <a:fillRect/>
        </a:stretch>
      </xdr:blipFill>
      <xdr:spPr>
        <a:xfrm>
          <a:off x="175260" y="5981700"/>
          <a:ext cx="7026249" cy="4618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8862</xdr:colOff>
      <xdr:row>0</xdr:row>
      <xdr:rowOff>0</xdr:rowOff>
    </xdr:from>
    <xdr:to>
      <xdr:col>18</xdr:col>
      <xdr:colOff>301257</xdr:colOff>
      <xdr:row>33</xdr:row>
      <xdr:rowOff>62024</xdr:rowOff>
    </xdr:to>
    <xdr:grpSp>
      <xdr:nvGrpSpPr>
        <xdr:cNvPr id="4" name="Group 3">
          <a:extLst>
            <a:ext uri="{FF2B5EF4-FFF2-40B4-BE49-F238E27FC236}">
              <a16:creationId xmlns:a16="http://schemas.microsoft.com/office/drawing/2014/main" xmlns="" id="{FA9EC3BF-11CD-DFA4-CF5E-D7E01580F95D}"/>
            </a:ext>
          </a:extLst>
        </xdr:cNvPr>
        <xdr:cNvGrpSpPr/>
      </xdr:nvGrpSpPr>
      <xdr:grpSpPr>
        <a:xfrm>
          <a:off x="8862" y="0"/>
          <a:ext cx="11598348" cy="6202326"/>
          <a:chOff x="-29917" y="0"/>
          <a:chExt cx="9790814" cy="6202326"/>
        </a:xfrm>
      </xdr:grpSpPr>
      <xdr:sp macro="" textlink="">
        <xdr:nvSpPr>
          <xdr:cNvPr id="2" name="Rectangle 1">
            <a:extLst>
              <a:ext uri="{FF2B5EF4-FFF2-40B4-BE49-F238E27FC236}">
                <a16:creationId xmlns:a16="http://schemas.microsoft.com/office/drawing/2014/main" xmlns="" id="{FA72627B-680E-287B-CCBC-5035A9DC384E}"/>
              </a:ext>
            </a:extLst>
          </xdr:cNvPr>
          <xdr:cNvSpPr/>
        </xdr:nvSpPr>
        <xdr:spPr>
          <a:xfrm>
            <a:off x="-29917" y="0"/>
            <a:ext cx="9790814" cy="6202326"/>
          </a:xfrm>
          <a:prstGeom prst="rect">
            <a:avLst/>
          </a:prstGeom>
          <a:solidFill>
            <a:schemeClr val="accent3">
              <a:lumMod val="20000"/>
              <a:lumOff val="80000"/>
              <a:alpha val="4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xmlns="" id="{21395617-879E-F147-9ADB-1CA906A79A73}"/>
              </a:ext>
            </a:extLst>
          </xdr:cNvPr>
          <xdr:cNvSpPr txBox="1"/>
        </xdr:nvSpPr>
        <xdr:spPr>
          <a:xfrm>
            <a:off x="150628" y="38100"/>
            <a:ext cx="9347791" cy="417860"/>
          </a:xfrm>
          <a:prstGeom prst="round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solidFill>
              </a:rPr>
              <a:t>Subscription Cohort DashBorad</a:t>
            </a:r>
          </a:p>
        </xdr:txBody>
      </xdr:sp>
      <xdr:sp macro="" textlink="">
        <xdr:nvSpPr>
          <xdr:cNvPr id="13" name="TextBox 12">
            <a:extLst>
              <a:ext uri="{FF2B5EF4-FFF2-40B4-BE49-F238E27FC236}">
                <a16:creationId xmlns:a16="http://schemas.microsoft.com/office/drawing/2014/main" xmlns="" id="{54981FC0-5ACC-B035-4C2F-74D1B1863200}"/>
              </a:ext>
            </a:extLst>
          </xdr:cNvPr>
          <xdr:cNvSpPr txBox="1"/>
        </xdr:nvSpPr>
        <xdr:spPr>
          <a:xfrm>
            <a:off x="146232" y="554844"/>
            <a:ext cx="1613136" cy="433099"/>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100" b="1"/>
              <a:t>Number</a:t>
            </a:r>
            <a:r>
              <a:rPr lang="en-IN" sz="1100" b="1" baseline="0"/>
              <a:t> of Subscription</a:t>
            </a:r>
            <a:endParaRPr lang="en-IN" sz="1100" b="1"/>
          </a:p>
        </xdr:txBody>
      </xdr:sp>
      <xdr:sp macro="" textlink="">
        <xdr:nvSpPr>
          <xdr:cNvPr id="16" name="TextBox 15">
            <a:extLst>
              <a:ext uri="{FF2B5EF4-FFF2-40B4-BE49-F238E27FC236}">
                <a16:creationId xmlns:a16="http://schemas.microsoft.com/office/drawing/2014/main" xmlns="" id="{1C12992D-2400-6717-FB95-1A92AC8F06E7}"/>
              </a:ext>
            </a:extLst>
          </xdr:cNvPr>
          <xdr:cNvSpPr txBox="1"/>
        </xdr:nvSpPr>
        <xdr:spPr>
          <a:xfrm>
            <a:off x="1875614" y="537122"/>
            <a:ext cx="2125981" cy="425479"/>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Number of subscription cancelled</a:t>
            </a:r>
            <a:r>
              <a:rPr lang="en-IN" sz="1100" b="1" baseline="0"/>
              <a:t>  </a:t>
            </a:r>
            <a:endParaRPr lang="en-IN" sz="1100" b="1"/>
          </a:p>
        </xdr:txBody>
      </xdr:sp>
      <xdr:sp macro="" textlink="">
        <xdr:nvSpPr>
          <xdr:cNvPr id="18" name="TextBox 17">
            <a:extLst>
              <a:ext uri="{FF2B5EF4-FFF2-40B4-BE49-F238E27FC236}">
                <a16:creationId xmlns:a16="http://schemas.microsoft.com/office/drawing/2014/main" xmlns="" id="{2D8D2C07-657B-E583-9CF5-1A962F8E6FC9}"/>
              </a:ext>
            </a:extLst>
          </xdr:cNvPr>
          <xdr:cNvSpPr txBox="1"/>
        </xdr:nvSpPr>
        <xdr:spPr>
          <a:xfrm>
            <a:off x="4248420" y="519401"/>
            <a:ext cx="1392588" cy="443909"/>
          </a:xfrm>
          <a:prstGeom prst="roundRect">
            <a:avLst/>
          </a:prstGeom>
          <a:no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      </a:t>
            </a:r>
            <a:r>
              <a:rPr lang="en-IN" sz="1100" b="1"/>
              <a:t>Paid Subscription </a:t>
            </a:r>
          </a:p>
        </xdr:txBody>
      </xdr:sp>
      <xdr:sp macro="" textlink="">
        <xdr:nvSpPr>
          <xdr:cNvPr id="20" name="TextBox 19">
            <a:extLst>
              <a:ext uri="{FF2B5EF4-FFF2-40B4-BE49-F238E27FC236}">
                <a16:creationId xmlns:a16="http://schemas.microsoft.com/office/drawing/2014/main" xmlns="" id="{DED85FB9-973B-DF99-A5C5-E0A5B7123698}"/>
              </a:ext>
            </a:extLst>
          </xdr:cNvPr>
          <xdr:cNvSpPr txBox="1"/>
        </xdr:nvSpPr>
        <xdr:spPr>
          <a:xfrm>
            <a:off x="5768710" y="540489"/>
            <a:ext cx="1443544" cy="438379"/>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Unpaid Subscription </a:t>
            </a:r>
          </a:p>
        </xdr:txBody>
      </xdr:sp>
      <xdr:graphicFrame macro="">
        <xdr:nvGraphicFramePr>
          <xdr:cNvPr id="8" name="Chart 7">
            <a:extLst>
              <a:ext uri="{FF2B5EF4-FFF2-40B4-BE49-F238E27FC236}">
                <a16:creationId xmlns:a16="http://schemas.microsoft.com/office/drawing/2014/main" xmlns="" id="{98B6E853-054A-4319-9773-9EDCF3D23B3B}"/>
              </a:ext>
            </a:extLst>
          </xdr:cNvPr>
          <xdr:cNvGraphicFramePr>
            <a:graphicFrameLocks/>
          </xdr:cNvGraphicFramePr>
        </xdr:nvGraphicFramePr>
        <xdr:xfrm>
          <a:off x="102071" y="1135557"/>
          <a:ext cx="4813200" cy="213820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xmlns="" id="{2C303917-E57E-40A8-8D8F-F8C72C833306}"/>
              </a:ext>
            </a:extLst>
          </xdr:cNvPr>
          <xdr:cNvGraphicFramePr>
            <a:graphicFrameLocks/>
          </xdr:cNvGraphicFramePr>
        </xdr:nvGraphicFramePr>
        <xdr:xfrm>
          <a:off x="5068185" y="1126697"/>
          <a:ext cx="4525200" cy="2138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xmlns="" id="{2065F566-E031-4624-A159-04699C2D9C0C}"/>
              </a:ext>
            </a:extLst>
          </xdr:cNvPr>
          <xdr:cNvGraphicFramePr>
            <a:graphicFrameLocks/>
          </xdr:cNvGraphicFramePr>
        </xdr:nvGraphicFramePr>
        <xdr:xfrm>
          <a:off x="5091045" y="3376014"/>
          <a:ext cx="4525200" cy="241200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12" name="Years (created_date) 2">
                <a:extLst>
                  <a:ext uri="{FF2B5EF4-FFF2-40B4-BE49-F238E27FC236}">
                    <a16:creationId xmlns:a16="http://schemas.microsoft.com/office/drawing/2014/main" xmlns="" id="{E2A52585-81EF-46CE-9452-5BE722B2C3EF}"/>
                  </a:ext>
                </a:extLst>
              </xdr:cNvPr>
              <xdr:cNvGraphicFramePr/>
            </xdr:nvGraphicFramePr>
            <xdr:xfrm>
              <a:off x="7292163" y="469605"/>
              <a:ext cx="2197395" cy="611370"/>
            </xdr:xfrm>
            <a:graphic>
              <a:graphicData uri="http://schemas.microsoft.com/office/drawing/2010/slicer">
                <sle:slicer xmlns:sle="http://schemas.microsoft.com/office/drawing/2010/slicer" name="Years (created_date) 2"/>
              </a:graphicData>
            </a:graphic>
          </xdr:graphicFrame>
        </mc:Choice>
        <mc:Fallback xmlns="">
          <xdr:sp macro="" textlink="">
            <xdr:nvSpPr>
              <xdr:cNvPr id="0" name=""/>
              <xdr:cNvSpPr>
                <a:spLocks noTextEdit="1"/>
              </xdr:cNvSpPr>
            </xdr:nvSpPr>
            <xdr:spPr>
              <a:xfrm>
                <a:off x="8682710" y="469605"/>
                <a:ext cx="2603068" cy="611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 name="Chart 4">
            <a:extLst>
              <a:ext uri="{FF2B5EF4-FFF2-40B4-BE49-F238E27FC236}">
                <a16:creationId xmlns:a16="http://schemas.microsoft.com/office/drawing/2014/main" xmlns="" id="{CA27F686-F40D-4F8E-AE46-D4E4491444B9}"/>
              </a:ext>
            </a:extLst>
          </xdr:cNvPr>
          <xdr:cNvGraphicFramePr>
            <a:graphicFrameLocks/>
          </xdr:cNvGraphicFramePr>
        </xdr:nvGraphicFramePr>
        <xdr:xfrm>
          <a:off x="115183" y="3375836"/>
          <a:ext cx="4811235" cy="241004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Yuvraj singh" refreshedDate="46031.605481250001" createdVersion="8" refreshedVersion="8" minRefreshableVersion="3" recordCount="3069">
  <cacheSource type="worksheet">
    <worksheetSource ref="A1:L3070" sheet="Data prepration"/>
  </cacheSource>
  <cacheFields count="12">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acheField>
    <cacheField name="canceled_date" numFmtId="0">
      <sharedItems containsNonDate="0" containsDate="1" containsString="0" containsBlank="1" minDate="2022-09-02T00:00:00" maxDate="2023-09-09T00:00:00"/>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 Duration" numFmtId="0">
      <sharedItems containsMixedTypes="1" containsNumber="1" containsInteger="1" minValue="0" maxValue="348"/>
    </cacheField>
    <cacheField name="weekday" numFmtId="14">
      <sharedItems count="7">
        <s v="Thursday"/>
        <s v="Friday"/>
        <s v="Saturday"/>
        <s v="Sunday"/>
        <s v="Monday"/>
        <s v="Tuesday"/>
        <s v="Wednesday"/>
      </sharedItems>
    </cacheField>
    <cacheField name="same_day_cancel" numFmtId="0">
      <sharedItems/>
    </cacheField>
    <cacheField name="cancel_within_2days" numFmtId="0">
      <sharedItems containsSemiMixedTypes="0" containsString="0" containsNumber="1" containsInteger="1" minValue="0" maxValue="1"/>
    </cacheField>
    <cacheField name="sub_more_than_1_month" numFmtId="0">
      <sharedItems containsSemiMixedTypes="0" containsString="0" containsNumber="1" containsInteger="1" minValue="0" maxValue="1"/>
    </cacheField>
    <cacheField name="count_days_before_cancel" numFmtId="0">
      <sharedItems containsMixedTypes="1" containsNumber="1" containsInteger="1" minValue="0" maxValue="3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169.808672685183" createdVersion="5" refreshedVersion="5" minRefreshableVersion="3" recordCount="3069">
  <cacheSource type="worksheet">
    <worksheetSource ref="A1:H3070" sheet="Subscription Cohort Data"/>
  </cacheSource>
  <cacheFields count="8">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acheField>
    <cacheField name="canceled_date" numFmtId="0">
      <sharedItems containsDate="1" containsMixedTypes="1" minDate="2022-09-02T00:00:00" maxDate="2023-09-09T00:00:00"/>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 Duration" numFmtId="0">
      <sharedItems containsMixedTypes="1" containsNumber="1" containsInteger="1" minValue="0" maxValue="348"/>
    </cacheField>
    <cacheField name="weekday" numFmtId="1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Windows User" refreshedDate="46169.823072685183" createdVersion="8" refreshedVersion="5" minRefreshableVersion="3" recordCount="3069">
  <cacheSource type="worksheet">
    <worksheetSource ref="A1:H3070" sheet="Data prepration"/>
  </cacheSource>
  <cacheFields count="14">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fieldGroup par="10"/>
    </cacheField>
    <cacheField name="canceled_date" numFmtId="0">
      <sharedItems containsNonDate="0" containsDate="1" containsString="0" containsBlank="1" minDate="2022-09-02T00:00:00" maxDate="2023-09-09T00:00:00" count="361">
        <m/>
        <d v="2022-09-02T00:00:00"/>
        <d v="2022-09-23T00:00:00"/>
        <d v="2023-06-29T00:00:00"/>
        <d v="2023-05-08T00:00:00"/>
        <d v="2022-11-26T00:00:00"/>
        <d v="2022-11-23T00:00:00"/>
        <d v="2022-10-25T00:00:00"/>
        <d v="2022-10-31T00:00:00"/>
        <d v="2022-09-26T00:00:00"/>
        <d v="2022-09-15T00:00:00"/>
        <d v="2022-12-09T00:00:00"/>
        <d v="2022-10-27T00:00:00"/>
        <d v="2022-10-09T00:00:00"/>
        <d v="2022-09-04T00:00:00"/>
        <d v="2023-05-10T00:00:00"/>
        <d v="2023-04-01T00:00:00"/>
        <d v="2023-04-10T00:00:00"/>
        <d v="2022-10-18T00:00:00"/>
        <d v="2022-09-29T00:00:00"/>
        <d v="2022-09-25T00:00:00"/>
        <d v="2022-09-05T00:00:00"/>
        <d v="2023-04-05T00:00:00"/>
        <d v="2023-04-16T00:00:00"/>
        <d v="2022-09-22T00:00:00"/>
        <d v="2023-01-15T00:00:00"/>
        <d v="2023-02-19T00:00:00"/>
        <d v="2022-11-02T00:00:00"/>
        <d v="2022-11-01T00:00:00"/>
        <d v="2022-10-11T00:00:00"/>
        <d v="2022-09-06T00:00:00"/>
        <d v="2022-10-06T00:00:00"/>
        <d v="2023-03-13T00:00:00"/>
        <d v="2023-03-12T00:00:00"/>
        <d v="2023-01-03T00:00:00"/>
        <d v="2023-02-08T00:00:00"/>
        <d v="2022-12-12T00:00:00"/>
        <d v="2022-10-19T00:00:00"/>
        <d v="2022-10-05T00:00:00"/>
        <d v="2022-10-12T00:00:00"/>
        <d v="2022-09-09T00:00:00"/>
        <d v="2022-11-20T00:00:00"/>
        <d v="2022-11-13T00:00:00"/>
        <d v="2022-10-13T00:00:00"/>
        <d v="2022-09-28T00:00:00"/>
        <d v="2023-05-25T00:00:00"/>
        <d v="2023-02-22T00:00:00"/>
        <d v="2022-09-14T00:00:00"/>
        <d v="2022-10-28T00:00:00"/>
        <d v="2022-10-15T00:00:00"/>
        <d v="2023-03-01T00:00:00"/>
        <d v="2022-12-02T00:00:00"/>
        <d v="2022-11-03T00:00:00"/>
        <d v="2022-10-03T00:00:00"/>
        <d v="2022-10-16T00:00:00"/>
        <d v="2023-08-16T00:00:00"/>
        <d v="2023-02-21T00:00:00"/>
        <d v="2022-10-08T00:00:00"/>
        <d v="2023-05-16T00:00:00"/>
        <d v="2023-02-15T00:00:00"/>
        <d v="2022-12-11T00:00:00"/>
        <d v="2022-12-24T00:00:00"/>
        <d v="2022-09-11T00:00:00"/>
        <d v="2023-08-18T00:00:00"/>
        <d v="2022-09-12T00:00:00"/>
        <d v="2022-09-13T00:00:00"/>
        <d v="2023-08-27T00:00:00"/>
        <d v="2022-10-23T00:00:00"/>
        <d v="2022-09-17T00:00:00"/>
        <d v="2023-06-14T00:00:00"/>
        <d v="2023-03-06T00:00:00"/>
        <d v="2022-12-07T00:00:00"/>
        <d v="2022-10-21T00:00:00"/>
        <d v="2023-06-01T00:00:00"/>
        <d v="2022-11-28T00:00:00"/>
        <d v="2022-11-08T00:00:00"/>
        <d v="2022-11-14T00:00:00"/>
        <d v="2022-10-22T00:00:00"/>
        <d v="2023-03-23T00:00:00"/>
        <d v="2023-01-05T00:00:00"/>
        <d v="2022-12-22T00:00:00"/>
        <d v="2022-10-04T00:00:00"/>
        <d v="2023-05-12T00:00:00"/>
        <d v="2023-01-14T00:00:00"/>
        <d v="2023-01-25T00:00:00"/>
        <d v="2022-11-21T00:00:00"/>
        <d v="2022-12-08T00:00:00"/>
        <d v="2022-11-12T00:00:00"/>
        <d v="2022-09-30T00:00:00"/>
        <d v="2022-10-17T00:00:00"/>
        <d v="2022-09-19T00:00:00"/>
        <d v="2023-02-10T00:00:00"/>
        <d v="2022-12-17T00:00:00"/>
        <d v="2022-12-14T00:00:00"/>
        <d v="2022-10-20T00:00:00"/>
        <d v="2023-03-27T00:00:00"/>
        <d v="2023-05-09T00:00:00"/>
        <d v="2022-12-21T00:00:00"/>
        <d v="2023-08-08T00:00:00"/>
        <d v="2023-06-28T00:00:00"/>
        <d v="2022-12-06T00:00:00"/>
        <d v="2023-05-02T00:00:00"/>
        <d v="2022-11-15T00:00:00"/>
        <d v="2022-10-29T00:00:00"/>
        <d v="2023-01-16T00:00:00"/>
        <d v="2023-01-21T00:00:00"/>
        <d v="2022-11-30T00:00:00"/>
        <d v="2022-10-14T00:00:00"/>
        <d v="2022-10-30T00:00:00"/>
        <d v="2022-12-01T00:00:00"/>
        <d v="2022-10-26T00:00:00"/>
        <d v="2022-11-18T00:00:00"/>
        <d v="2022-10-24T00:00:00"/>
        <d v="2022-12-04T00:00:00"/>
        <d v="2023-04-07T00:00:00"/>
        <d v="2023-01-23T00:00:00"/>
        <d v="2022-11-17T00:00:00"/>
        <d v="2023-01-18T00:00:00"/>
        <d v="2022-12-28T00:00:00"/>
        <d v="2022-09-27T00:00:00"/>
        <d v="2023-03-25T00:00:00"/>
        <d v="2022-11-22T00:00:00"/>
        <d v="2023-04-14T00:00:00"/>
        <d v="2022-12-29T00:00:00"/>
        <d v="2022-10-01T00:00:00"/>
        <d v="2023-03-28T00:00:00"/>
        <d v="2023-05-20T00:00:00"/>
        <d v="2023-06-03T00:00:00"/>
        <d v="2023-04-06T00:00:00"/>
        <d v="2023-01-06T00:00:00"/>
        <d v="2022-11-29T00:00:00"/>
        <d v="2022-11-06T00:00:00"/>
        <d v="2022-10-02T00:00:00"/>
        <d v="2023-01-01T00:00:00"/>
        <d v="2023-01-26T00:00:00"/>
        <d v="2023-07-02T00:00:00"/>
        <d v="2023-02-06T00:00:00"/>
        <d v="2023-03-17T00:00:00"/>
        <d v="2023-01-10T00:00:00"/>
        <d v="2023-01-20T00:00:00"/>
        <d v="2022-10-10T00:00:00"/>
        <d v="2023-04-21T00:00:00"/>
        <d v="2023-03-15T00:00:00"/>
        <d v="2023-01-30T00:00:00"/>
        <d v="2022-11-05T00:00:00"/>
        <d v="2023-04-03T00:00:00"/>
        <d v="2023-04-02T00:00:00"/>
        <d v="2023-06-23T00:00:00"/>
        <d v="2023-07-13T00:00:00"/>
        <d v="2022-11-07T00:00:00"/>
        <d v="2023-01-11T00:00:00"/>
        <d v="2022-11-09T00:00:00"/>
        <d v="2023-04-25T00:00:00"/>
        <d v="2023-02-12T00:00:00"/>
        <d v="2022-12-18T00:00:00"/>
        <d v="2022-11-16T00:00:00"/>
        <d v="2023-04-04T00:00:00"/>
        <d v="2023-06-10T00:00:00"/>
        <d v="2023-01-17T00:00:00"/>
        <d v="2023-05-30T00:00:00"/>
        <d v="2023-07-07T00:00:00"/>
        <d v="2023-03-02T00:00:00"/>
        <d v="2023-03-09T00:00:00"/>
        <d v="2022-12-27T00:00:00"/>
        <d v="2022-12-15T00:00:00"/>
        <d v="2023-02-16T00:00:00"/>
        <d v="2023-01-04T00:00:00"/>
        <d v="2022-12-30T00:00:00"/>
        <d v="2022-11-25T00:00:00"/>
        <d v="2022-12-25T00:00:00"/>
        <d v="2023-02-02T00:00:00"/>
        <d v="2023-05-19T00:00:00"/>
        <d v="2023-01-22T00:00:00"/>
        <d v="2023-06-21T00:00:00"/>
        <d v="2023-05-13T00:00:00"/>
        <d v="2023-01-27T00:00:00"/>
        <d v="2023-07-28T00:00:00"/>
        <d v="2023-06-20T00:00:00"/>
        <d v="2023-05-28T00:00:00"/>
        <d v="2023-02-26T00:00:00"/>
        <d v="2023-06-18T00:00:00"/>
        <d v="2022-12-20T00:00:00"/>
        <d v="2022-11-24T00:00:00"/>
        <d v="2023-01-02T00:00:00"/>
        <d v="2023-02-23T00:00:00"/>
        <d v="2023-04-19T00:00:00"/>
        <d v="2023-06-11T00:00:00"/>
        <d v="2023-06-30T00:00:00"/>
        <d v="2023-02-27T00:00:00"/>
        <d v="2023-03-31T00:00:00"/>
        <d v="2023-08-21T00:00:00"/>
        <d v="2023-03-07T00:00:00"/>
        <d v="2023-01-31T00:00:00"/>
        <d v="2023-01-08T00:00:00"/>
        <d v="2023-01-24T00:00:00"/>
        <d v="2023-08-10T00:00:00"/>
        <d v="2022-11-04T00:00:00"/>
        <d v="2023-03-03T00:00:00"/>
        <d v="2023-02-18T00:00:00"/>
        <d v="2022-12-03T00:00:00"/>
        <d v="2022-12-10T00:00:00"/>
        <d v="2023-02-07T00:00:00"/>
        <d v="2023-02-24T00:00:00"/>
        <d v="2022-11-19T00:00:00"/>
        <d v="2023-08-03T00:00:00"/>
        <d v="2023-07-23T00:00:00"/>
        <d v="2023-02-13T00:00:00"/>
        <d v="2022-12-13T00:00:00"/>
        <d v="2023-03-26T00:00:00"/>
        <d v="2023-07-05T00:00:00"/>
        <d v="2023-02-14T00:00:00"/>
        <d v="2023-08-30T00:00:00"/>
        <d v="2023-06-02T00:00:00"/>
        <d v="2022-12-16T00:00:00"/>
        <d v="2023-02-01T00:00:00"/>
        <d v="2022-11-10T00:00:00"/>
        <d v="2022-12-31T00:00:00"/>
        <d v="2022-12-05T00:00:00"/>
        <d v="2023-03-14T00:00:00"/>
        <d v="2023-02-09T00:00:00"/>
        <d v="2023-03-16T00:00:00"/>
        <d v="2023-02-05T00:00:00"/>
        <d v="2023-08-01T00:00:00"/>
        <d v="2023-03-22T00:00:00"/>
        <d v="2023-01-12T00:00:00"/>
        <d v="2023-08-23T00:00:00"/>
        <d v="2023-01-09T00:00:00"/>
        <d v="2023-03-11T00:00:00"/>
        <d v="2023-04-27T00:00:00"/>
        <d v="2023-01-19T00:00:00"/>
        <d v="2023-02-20T00:00:00"/>
        <d v="2023-03-29T00:00:00"/>
        <d v="2023-06-13T00:00:00"/>
        <d v="2023-03-21T00:00:00"/>
        <d v="2022-11-27T00:00:00"/>
        <d v="2023-05-07T00:00:00"/>
        <d v="2023-08-04T00:00:00"/>
        <d v="2023-05-15T00:00:00"/>
        <d v="2022-12-23T00:00:00"/>
        <d v="2023-04-08T00:00:00"/>
        <d v="2023-07-20T00:00:00"/>
        <d v="2023-07-06T00:00:00"/>
        <d v="2023-01-29T00:00:00"/>
        <d v="2023-05-04T00:00:00"/>
        <d v="2023-07-03T00:00:00"/>
        <d v="2023-01-13T00:00:00"/>
        <d v="2023-04-11T00:00:00"/>
        <d v="2023-02-03T00:00:00"/>
        <d v="2023-04-22T00:00:00"/>
        <d v="2023-07-16T00:00:00"/>
        <d v="2023-03-04T00:00:00"/>
        <d v="2023-05-01T00:00:00"/>
        <d v="2023-08-09T00:00:00"/>
        <d v="2023-03-20T00:00:00"/>
        <d v="2023-02-11T00:00:00"/>
        <d v="2023-07-04T00:00:00"/>
        <d v="2023-04-18T00:00:00"/>
        <d v="2023-04-13T00:00:00"/>
        <d v="2023-05-17T00:00:00"/>
        <d v="2023-03-18T00:00:00"/>
        <d v="2022-12-19T00:00:00"/>
        <d v="2023-01-07T00:00:00"/>
        <d v="2023-08-26T00:00:00"/>
        <d v="2023-04-29T00:00:00"/>
        <d v="2023-02-25T00:00:00"/>
        <d v="2023-07-19T00:00:00"/>
        <d v="2023-04-24T00:00:00"/>
        <d v="2023-05-27T00:00:00"/>
        <d v="2023-06-06T00:00:00"/>
        <d v="2023-01-28T00:00:00"/>
        <d v="2023-06-09T00:00:00"/>
        <d v="2023-02-28T00:00:00"/>
        <d v="2023-03-24T00:00:00"/>
        <d v="2023-06-15T00:00:00"/>
        <d v="2023-05-06T00:00:00"/>
        <d v="2023-04-23T00:00:00"/>
        <d v="2023-03-10T00:00:00"/>
        <d v="2023-03-19T00:00:00"/>
        <d v="2023-03-08T00:00:00"/>
        <d v="2023-07-11T00:00:00"/>
        <d v="2023-02-17T00:00:00"/>
        <d v="2023-03-05T00:00:00"/>
        <d v="2023-07-27T00:00:00"/>
        <d v="2023-08-13T00:00:00"/>
        <d v="2023-05-03T00:00:00"/>
        <d v="2023-05-31T00:00:00"/>
        <d v="2023-04-15T00:00:00"/>
        <d v="2023-04-26T00:00:00"/>
        <d v="2023-05-22T00:00:00"/>
        <d v="2023-04-20T00:00:00"/>
        <d v="2023-09-07T00:00:00"/>
        <d v="2023-06-16T00:00:00"/>
        <d v="2023-03-30T00:00:00"/>
        <d v="2023-06-27T00:00:00"/>
        <d v="2023-09-05T00:00:00"/>
        <d v="2023-08-19T00:00:00"/>
        <d v="2023-07-31T00:00:00"/>
        <d v="2023-02-04T00:00:00"/>
        <d v="2023-06-07T00:00:00"/>
        <d v="2023-04-17T00:00:00"/>
        <d v="2023-04-30T00:00:00"/>
        <d v="2023-08-11T00:00:00"/>
        <d v="2023-09-03T00:00:00"/>
        <d v="2023-06-12T00:00:00"/>
        <d v="2023-06-05T00:00:00"/>
        <d v="2023-08-02T00:00:00"/>
        <d v="2023-06-17T00:00:00"/>
        <d v="2023-08-07T00:00:00"/>
        <d v="2023-06-08T00:00:00"/>
        <d v="2023-05-23T00:00:00"/>
        <d v="2023-08-06T00:00:00"/>
        <d v="2023-06-22T00:00:00"/>
        <d v="2023-06-25T00:00:00"/>
        <d v="2023-08-22T00:00:00"/>
        <d v="2023-07-18T00:00:00"/>
        <d v="2023-07-12T00:00:00"/>
        <d v="2023-07-17T00:00:00"/>
        <d v="2023-05-18T00:00:00"/>
        <d v="2023-09-01T00:00:00"/>
        <d v="2023-04-09T00:00:00"/>
        <d v="2023-05-05T00:00:00"/>
        <d v="2023-06-26T00:00:00"/>
        <d v="2023-05-11T00:00:00"/>
        <d v="2023-05-29T00:00:00"/>
        <d v="2023-05-26T00:00:00"/>
        <d v="2023-07-09T00:00:00"/>
        <d v="2023-05-21T00:00:00"/>
        <d v="2023-04-12T00:00:00"/>
        <d v="2023-08-12T00:00:00"/>
        <d v="2023-07-24T00:00:00"/>
        <d v="2023-05-24T00:00:00"/>
        <d v="2023-08-28T00:00:00"/>
        <d v="2023-08-14T00:00:00"/>
        <d v="2023-08-25T00:00:00"/>
        <d v="2023-08-15T00:00:00"/>
        <d v="2023-08-31T00:00:00"/>
        <d v="2023-04-28T00:00:00"/>
        <d v="2023-07-10T00:00:00"/>
        <d v="2023-06-19T00:00:00"/>
        <d v="2023-08-20T00:00:00"/>
        <d v="2023-07-01T00:00:00"/>
        <d v="2023-07-08T00:00:00"/>
        <d v="2023-05-14T00:00:00"/>
        <d v="2023-06-04T00:00:00"/>
        <d v="2023-07-25T00:00:00"/>
        <d v="2023-06-24T00:00:00"/>
        <d v="2023-07-14T00:00:00"/>
        <d v="2023-08-24T00:00:00"/>
        <d v="2023-07-15T00:00:00"/>
        <d v="2023-09-06T00:00:00"/>
        <d v="2023-07-21T00:00:00"/>
        <d v="2023-08-17T00:00:00"/>
        <d v="2023-09-02T00:00:00"/>
        <d v="2023-07-26T00:00:00"/>
        <d v="2023-07-30T00:00:00"/>
        <d v="2023-08-29T00:00:00"/>
        <d v="2023-09-04T00:00:00"/>
        <d v="2023-07-22T00:00:00"/>
        <d v="2023-08-05T00:00:00"/>
        <d v="2023-09-08T00:00:00"/>
        <d v="2023-07-29T00:00:00"/>
      </sharedItems>
      <fieldGroup par="13"/>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 Duration" numFmtId="0">
      <sharedItems containsMixedTypes="1" containsNumber="1" containsInteger="1" minValue="0" maxValue="348"/>
    </cacheField>
    <cacheField name="weekday" numFmtId="14">
      <sharedItems count="7">
        <s v="Thursday"/>
        <s v="Friday"/>
        <s v="Saturday"/>
        <s v="Sunday"/>
        <s v="Monday"/>
        <s v="Tuesday"/>
        <s v="Wednesday"/>
      </sharedItems>
    </cacheField>
    <cacheField name="Months (created_date)" numFmtId="0" databaseField="0">
      <fieldGroup base="1">
        <rangePr groupBy="months" startDate="2022-09-01T00:00:00" endDate="2023-09-09T00:00:00"/>
        <groupItems count="14">
          <s v="&lt;9/1/2022"/>
          <s v="Jan"/>
          <s v="Feb"/>
          <s v="Mar"/>
          <s v="Apr"/>
          <s v="May"/>
          <s v="Jun"/>
          <s v="Jul"/>
          <s v="Aug"/>
          <s v="Sep"/>
          <s v="Oct"/>
          <s v="Nov"/>
          <s v="Dec"/>
          <s v="&gt;9/9/2023"/>
        </groupItems>
      </fieldGroup>
    </cacheField>
    <cacheField name="Quarters (created_date)" numFmtId="0" databaseField="0">
      <fieldGroup base="1">
        <rangePr groupBy="quarters" startDate="2022-09-01T00:00:00" endDate="2023-09-09T00:00:00"/>
        <groupItems count="6">
          <s v="&lt;9/1/2022"/>
          <s v="Qtr1"/>
          <s v="Qtr2"/>
          <s v="Qtr3"/>
          <s v="Qtr4"/>
          <s v="&gt;9/9/2023"/>
        </groupItems>
      </fieldGroup>
    </cacheField>
    <cacheField name="Years (created_date)" numFmtId="0" databaseField="0">
      <fieldGroup base="1">
        <rangePr groupBy="years" startDate="2022-09-01T00:00:00" endDate="2023-09-09T00:00:00"/>
        <groupItems count="4">
          <s v="&lt;9/1/2022"/>
          <s v="2022"/>
          <s v="2023"/>
          <s v="&gt;9/9/2023"/>
        </groupItems>
      </fieldGroup>
    </cacheField>
    <cacheField name="Months (canceled_date)" numFmtId="0" databaseField="0">
      <fieldGroup base="2">
        <rangePr groupBy="months" startDate="2022-09-02T00:00:00" endDate="2023-09-09T00:00:00"/>
        <groupItems count="14">
          <s v="&lt;9/2/2022"/>
          <s v="Jan"/>
          <s v="Feb"/>
          <s v="Mar"/>
          <s v="Apr"/>
          <s v="May"/>
          <s v="Jun"/>
          <s v="Jul"/>
          <s v="Aug"/>
          <s v="Sep"/>
          <s v="Oct"/>
          <s v="Nov"/>
          <s v="Dec"/>
          <s v="&gt;9/9/2023"/>
        </groupItems>
      </fieldGroup>
    </cacheField>
    <cacheField name="Quarters (canceled_date)" numFmtId="0" databaseField="0">
      <fieldGroup base="2">
        <rangePr groupBy="quarters" startDate="2022-09-02T00:00:00" endDate="2023-09-09T00:00:00"/>
        <groupItems count="6">
          <s v="&lt;9/2/2022"/>
          <s v="Qtr1"/>
          <s v="Qtr2"/>
          <s v="Qtr3"/>
          <s v="Qtr4"/>
          <s v="&gt;9/9/2023"/>
        </groupItems>
      </fieldGroup>
    </cacheField>
    <cacheField name="Years (canceled_date)" numFmtId="0" databaseField="0">
      <fieldGroup base="2">
        <rangePr groupBy="years" startDate="2022-09-02T00:00:00" endDate="2023-09-09T00:00:00"/>
        <groupItems count="4">
          <s v="&lt;9/2/2022"/>
          <s v="2022"/>
          <s v="2023"/>
          <s v="&gt;9/9/2023"/>
        </groupItems>
      </fieldGroup>
    </cacheField>
  </cacheFields>
  <extLst>
    <ext xmlns:x14="http://schemas.microsoft.com/office/spreadsheetml/2009/9/main" uri="{725AE2AE-9491-48be-B2B4-4EB974FC3084}">
      <x14:pivotCacheDefinition pivotCacheId="30790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n v="154536156"/>
    <d v="2022-09-01T00:00:00"/>
    <m/>
    <x v="0"/>
    <n v="39"/>
    <s v="month"/>
    <s v=""/>
    <x v="0"/>
    <s v="No"/>
    <n v="0"/>
    <n v="0"/>
    <s v=""/>
  </r>
  <r>
    <n v="149713408"/>
    <d v="2022-09-01T00:00:00"/>
    <d v="2022-09-02T00:00:00"/>
    <x v="1"/>
    <n v="39"/>
    <s v="month"/>
    <n v="1"/>
    <x v="0"/>
    <s v="No"/>
    <n v="1"/>
    <n v="0"/>
    <n v="1"/>
  </r>
  <r>
    <n v="153756284"/>
    <d v="2022-09-01T00:00:00"/>
    <d v="2022-09-02T00:00:00"/>
    <x v="1"/>
    <n v="39"/>
    <s v="month"/>
    <n v="1"/>
    <x v="0"/>
    <s v="No"/>
    <n v="1"/>
    <n v="0"/>
    <n v="1"/>
  </r>
  <r>
    <n v="121253113"/>
    <d v="2022-09-01T00:00:00"/>
    <d v="2022-09-23T00:00:00"/>
    <x v="0"/>
    <n v="39"/>
    <s v="month"/>
    <n v="22"/>
    <x v="0"/>
    <s v="No"/>
    <n v="0"/>
    <n v="0"/>
    <n v="22"/>
  </r>
  <r>
    <n v="154467210"/>
    <d v="2022-09-01T00:00:00"/>
    <d v="2023-06-29T00:00:00"/>
    <x v="0"/>
    <n v="39"/>
    <s v="month"/>
    <n v="301"/>
    <x v="0"/>
    <s v="No"/>
    <n v="0"/>
    <n v="1"/>
    <n v="301"/>
  </r>
  <r>
    <n v="154510811"/>
    <d v="2022-09-01T00:00:00"/>
    <d v="2023-05-08T00:00:00"/>
    <x v="0"/>
    <n v="39"/>
    <s v="month"/>
    <n v="249"/>
    <x v="0"/>
    <s v="No"/>
    <n v="0"/>
    <n v="1"/>
    <n v="249"/>
  </r>
  <r>
    <n v="154494346"/>
    <d v="2022-09-01T00:00:00"/>
    <d v="2022-11-26T00:00:00"/>
    <x v="0"/>
    <n v="39"/>
    <s v="month"/>
    <n v="86"/>
    <x v="0"/>
    <s v="No"/>
    <n v="0"/>
    <n v="1"/>
    <n v="86"/>
  </r>
  <r>
    <n v="148671505"/>
    <d v="2022-09-01T00:00:00"/>
    <d v="2022-11-23T00:00:00"/>
    <x v="0"/>
    <n v="39"/>
    <s v="month"/>
    <n v="83"/>
    <x v="0"/>
    <s v="No"/>
    <n v="0"/>
    <n v="1"/>
    <n v="83"/>
  </r>
  <r>
    <n v="154568379"/>
    <d v="2022-09-01T00:00:00"/>
    <d v="2022-10-25T00:00:00"/>
    <x v="0"/>
    <n v="39"/>
    <s v="month"/>
    <n v="54"/>
    <x v="0"/>
    <s v="No"/>
    <n v="0"/>
    <n v="1"/>
    <n v="54"/>
  </r>
  <r>
    <n v="154428434"/>
    <d v="2022-09-01T00:00:00"/>
    <d v="2022-10-31T00:00:00"/>
    <x v="0"/>
    <n v="39"/>
    <s v="month"/>
    <n v="60"/>
    <x v="0"/>
    <s v="No"/>
    <n v="0"/>
    <n v="1"/>
    <n v="60"/>
  </r>
  <r>
    <n v="154601651"/>
    <d v="2022-09-01T00:00:00"/>
    <d v="2022-09-26T00:00:00"/>
    <x v="0"/>
    <n v="39"/>
    <s v="month"/>
    <n v="25"/>
    <x v="0"/>
    <s v="No"/>
    <n v="0"/>
    <n v="0"/>
    <n v="25"/>
  </r>
  <r>
    <n v="122824692"/>
    <d v="2022-09-01T00:00:00"/>
    <d v="2022-09-15T00:00:00"/>
    <x v="0"/>
    <n v="39"/>
    <s v="month"/>
    <n v="14"/>
    <x v="0"/>
    <s v="No"/>
    <n v="0"/>
    <n v="0"/>
    <n v="14"/>
  </r>
  <r>
    <n v="152925600"/>
    <d v="2022-09-02T00:00:00"/>
    <m/>
    <x v="0"/>
    <n v="39"/>
    <s v="month"/>
    <s v=""/>
    <x v="1"/>
    <s v="No"/>
    <n v="0"/>
    <n v="0"/>
    <s v=""/>
  </r>
  <r>
    <n v="151154171"/>
    <d v="2022-09-02T00:00:00"/>
    <d v="2022-09-02T00:00:00"/>
    <x v="0"/>
    <n v="39"/>
    <s v="month"/>
    <n v="0"/>
    <x v="1"/>
    <s v="Yes"/>
    <n v="1"/>
    <n v="0"/>
    <n v="0"/>
  </r>
  <r>
    <n v="154640950"/>
    <d v="2022-09-02T00:00:00"/>
    <d v="2022-12-09T00:00:00"/>
    <x v="0"/>
    <n v="39"/>
    <s v="month"/>
    <n v="98"/>
    <x v="1"/>
    <s v="No"/>
    <n v="0"/>
    <n v="1"/>
    <n v="98"/>
  </r>
  <r>
    <n v="154617329"/>
    <d v="2022-09-02T00:00:00"/>
    <d v="2022-10-27T00:00:00"/>
    <x v="0"/>
    <n v="39"/>
    <s v="month"/>
    <n v="55"/>
    <x v="1"/>
    <s v="No"/>
    <n v="0"/>
    <n v="1"/>
    <n v="55"/>
  </r>
  <r>
    <n v="154089211"/>
    <d v="2022-09-02T00:00:00"/>
    <d v="2022-10-09T00:00:00"/>
    <x v="0"/>
    <n v="39"/>
    <s v="month"/>
    <n v="37"/>
    <x v="1"/>
    <s v="No"/>
    <n v="0"/>
    <n v="1"/>
    <n v="37"/>
  </r>
  <r>
    <n v="154653820"/>
    <d v="2022-09-02T00:00:00"/>
    <d v="2022-09-26T00:00:00"/>
    <x v="0"/>
    <n v="39"/>
    <s v="month"/>
    <n v="24"/>
    <x v="1"/>
    <s v="No"/>
    <n v="0"/>
    <n v="0"/>
    <n v="24"/>
  </r>
  <r>
    <n v="154131290"/>
    <d v="2022-09-03T00:00:00"/>
    <m/>
    <x v="0"/>
    <n v="39"/>
    <s v="month"/>
    <s v=""/>
    <x v="2"/>
    <s v="No"/>
    <n v="0"/>
    <n v="0"/>
    <s v=""/>
  </r>
  <r>
    <n v="154434009"/>
    <d v="2022-09-03T00:00:00"/>
    <m/>
    <x v="0"/>
    <n v="39"/>
    <s v="month"/>
    <s v=""/>
    <x v="2"/>
    <s v="No"/>
    <n v="0"/>
    <n v="0"/>
    <s v=""/>
  </r>
  <r>
    <n v="136108848"/>
    <d v="2022-09-03T00:00:00"/>
    <d v="2022-09-04T00:00:00"/>
    <x v="0"/>
    <n v="39"/>
    <s v="month"/>
    <n v="1"/>
    <x v="2"/>
    <s v="No"/>
    <n v="1"/>
    <n v="0"/>
    <n v="1"/>
  </r>
  <r>
    <n v="135185873"/>
    <d v="2022-09-03T00:00:00"/>
    <d v="2023-05-10T00:00:00"/>
    <x v="0"/>
    <n v="39"/>
    <s v="month"/>
    <n v="249"/>
    <x v="2"/>
    <s v="No"/>
    <n v="0"/>
    <n v="1"/>
    <n v="249"/>
  </r>
  <r>
    <n v="154592664"/>
    <d v="2022-09-03T00:00:00"/>
    <d v="2023-04-01T00:00:00"/>
    <x v="0"/>
    <n v="39"/>
    <s v="month"/>
    <n v="210"/>
    <x v="2"/>
    <s v="No"/>
    <n v="0"/>
    <n v="1"/>
    <n v="210"/>
  </r>
  <r>
    <n v="119436804"/>
    <d v="2022-09-03T00:00:00"/>
    <d v="2023-04-10T00:00:00"/>
    <x v="0"/>
    <n v="39"/>
    <s v="month"/>
    <n v="219"/>
    <x v="2"/>
    <s v="No"/>
    <n v="0"/>
    <n v="1"/>
    <n v="219"/>
  </r>
  <r>
    <n v="152929657"/>
    <d v="2022-09-03T00:00:00"/>
    <d v="2022-11-23T00:00:00"/>
    <x v="0"/>
    <n v="39"/>
    <s v="month"/>
    <n v="81"/>
    <x v="2"/>
    <s v="No"/>
    <n v="0"/>
    <n v="1"/>
    <n v="81"/>
  </r>
  <r>
    <n v="154708974"/>
    <d v="2022-09-03T00:00:00"/>
    <d v="2022-10-18T00:00:00"/>
    <x v="0"/>
    <n v="39"/>
    <s v="month"/>
    <n v="45"/>
    <x v="2"/>
    <s v="No"/>
    <n v="0"/>
    <n v="1"/>
    <n v="45"/>
  </r>
  <r>
    <n v="154567722"/>
    <d v="2022-09-03T00:00:00"/>
    <d v="2022-09-29T00:00:00"/>
    <x v="0"/>
    <n v="39"/>
    <s v="month"/>
    <n v="26"/>
    <x v="2"/>
    <s v="No"/>
    <n v="0"/>
    <n v="0"/>
    <n v="26"/>
  </r>
  <r>
    <n v="154719788"/>
    <d v="2022-09-03T00:00:00"/>
    <d v="2022-09-25T00:00:00"/>
    <x v="0"/>
    <n v="39"/>
    <s v="month"/>
    <n v="22"/>
    <x v="2"/>
    <s v="No"/>
    <n v="0"/>
    <n v="0"/>
    <n v="22"/>
  </r>
  <r>
    <n v="154809306"/>
    <d v="2022-09-04T00:00:00"/>
    <d v="2022-09-05T00:00:00"/>
    <x v="0"/>
    <n v="39"/>
    <s v="month"/>
    <n v="1"/>
    <x v="3"/>
    <s v="No"/>
    <n v="1"/>
    <n v="0"/>
    <n v="1"/>
  </r>
  <r>
    <n v="140391539"/>
    <d v="2022-09-04T00:00:00"/>
    <d v="2023-04-05T00:00:00"/>
    <x v="0"/>
    <n v="39"/>
    <s v="month"/>
    <n v="213"/>
    <x v="3"/>
    <s v="No"/>
    <n v="0"/>
    <n v="1"/>
    <n v="213"/>
  </r>
  <r>
    <n v="153194806"/>
    <d v="2022-09-04T00:00:00"/>
    <d v="2023-04-16T00:00:00"/>
    <x v="0"/>
    <n v="39"/>
    <s v="month"/>
    <n v="224"/>
    <x v="3"/>
    <s v="No"/>
    <n v="0"/>
    <n v="1"/>
    <n v="224"/>
  </r>
  <r>
    <n v="144402204"/>
    <d v="2022-09-04T00:00:00"/>
    <d v="2022-09-22T00:00:00"/>
    <x v="0"/>
    <n v="39"/>
    <s v="month"/>
    <n v="18"/>
    <x v="3"/>
    <s v="No"/>
    <n v="0"/>
    <n v="0"/>
    <n v="18"/>
  </r>
  <r>
    <n v="154747678"/>
    <d v="2022-09-04T00:00:00"/>
    <d v="2023-01-15T00:00:00"/>
    <x v="0"/>
    <n v="39"/>
    <s v="month"/>
    <n v="133"/>
    <x v="3"/>
    <s v="No"/>
    <n v="0"/>
    <n v="1"/>
    <n v="133"/>
  </r>
  <r>
    <n v="130939158"/>
    <d v="2022-09-04T00:00:00"/>
    <d v="2023-02-19T00:00:00"/>
    <x v="0"/>
    <n v="39"/>
    <s v="month"/>
    <n v="168"/>
    <x v="3"/>
    <s v="No"/>
    <n v="0"/>
    <n v="1"/>
    <n v="168"/>
  </r>
  <r>
    <n v="150912359"/>
    <d v="2022-09-04T00:00:00"/>
    <d v="2022-11-02T00:00:00"/>
    <x v="0"/>
    <n v="39"/>
    <s v="month"/>
    <n v="59"/>
    <x v="3"/>
    <s v="No"/>
    <n v="0"/>
    <n v="1"/>
    <n v="59"/>
  </r>
  <r>
    <n v="154132592"/>
    <d v="2022-09-04T00:00:00"/>
    <d v="2022-11-01T00:00:00"/>
    <x v="0"/>
    <n v="39"/>
    <s v="month"/>
    <n v="58"/>
    <x v="3"/>
    <s v="No"/>
    <n v="0"/>
    <n v="1"/>
    <n v="58"/>
  </r>
  <r>
    <n v="153368891"/>
    <d v="2022-09-04T00:00:00"/>
    <d v="2022-10-11T00:00:00"/>
    <x v="0"/>
    <n v="39"/>
    <s v="month"/>
    <n v="37"/>
    <x v="3"/>
    <s v="No"/>
    <n v="0"/>
    <n v="1"/>
    <n v="37"/>
  </r>
  <r>
    <n v="154225450"/>
    <d v="2022-09-05T00:00:00"/>
    <m/>
    <x v="0"/>
    <n v="39"/>
    <s v="month"/>
    <s v=""/>
    <x v="4"/>
    <s v="No"/>
    <n v="0"/>
    <n v="0"/>
    <s v=""/>
  </r>
  <r>
    <n v="154904040"/>
    <d v="2022-09-05T00:00:00"/>
    <d v="2022-09-06T00:00:00"/>
    <x v="0"/>
    <n v="39"/>
    <s v="month"/>
    <n v="1"/>
    <x v="4"/>
    <s v="No"/>
    <n v="1"/>
    <n v="0"/>
    <n v="1"/>
  </r>
  <r>
    <n v="127604200"/>
    <d v="2022-09-05T00:00:00"/>
    <d v="2022-10-06T00:00:00"/>
    <x v="0"/>
    <n v="39"/>
    <s v="month"/>
    <n v="31"/>
    <x v="4"/>
    <s v="No"/>
    <n v="0"/>
    <n v="1"/>
    <n v="31"/>
  </r>
  <r>
    <n v="154913576"/>
    <d v="2022-09-05T00:00:00"/>
    <d v="2023-03-13T00:00:00"/>
    <x v="0"/>
    <n v="39"/>
    <s v="month"/>
    <n v="189"/>
    <x v="4"/>
    <s v="No"/>
    <n v="0"/>
    <n v="1"/>
    <n v="189"/>
  </r>
  <r>
    <n v="154910432"/>
    <d v="2022-09-05T00:00:00"/>
    <d v="2023-03-13T00:00:00"/>
    <x v="0"/>
    <n v="39"/>
    <s v="month"/>
    <n v="189"/>
    <x v="4"/>
    <s v="No"/>
    <n v="0"/>
    <n v="1"/>
    <n v="189"/>
  </r>
  <r>
    <n v="154911229"/>
    <d v="2022-09-05T00:00:00"/>
    <d v="2023-03-12T00:00:00"/>
    <x v="0"/>
    <n v="39"/>
    <s v="month"/>
    <n v="188"/>
    <x v="4"/>
    <s v="No"/>
    <n v="0"/>
    <n v="1"/>
    <n v="188"/>
  </r>
  <r>
    <n v="154518837"/>
    <d v="2022-09-05T00:00:00"/>
    <d v="2023-01-03T00:00:00"/>
    <x v="0"/>
    <n v="39"/>
    <s v="month"/>
    <n v="120"/>
    <x v="4"/>
    <s v="No"/>
    <n v="0"/>
    <n v="1"/>
    <n v="120"/>
  </r>
  <r>
    <n v="154910009"/>
    <d v="2022-09-05T00:00:00"/>
    <d v="2023-02-08T00:00:00"/>
    <x v="0"/>
    <n v="39"/>
    <s v="month"/>
    <n v="156"/>
    <x v="4"/>
    <s v="No"/>
    <n v="0"/>
    <n v="1"/>
    <n v="156"/>
  </r>
  <r>
    <n v="154911693"/>
    <d v="2022-09-05T00:00:00"/>
    <d v="2023-02-08T00:00:00"/>
    <x v="0"/>
    <n v="39"/>
    <s v="month"/>
    <n v="156"/>
    <x v="4"/>
    <s v="No"/>
    <n v="0"/>
    <n v="1"/>
    <n v="156"/>
  </r>
  <r>
    <n v="154894177"/>
    <d v="2022-09-05T00:00:00"/>
    <d v="2022-12-12T00:00:00"/>
    <x v="0"/>
    <n v="39"/>
    <s v="month"/>
    <n v="98"/>
    <x v="4"/>
    <s v="No"/>
    <n v="0"/>
    <n v="1"/>
    <n v="98"/>
  </r>
  <r>
    <n v="154494026"/>
    <d v="2022-09-05T00:00:00"/>
    <d v="2022-12-12T00:00:00"/>
    <x v="0"/>
    <n v="39"/>
    <s v="month"/>
    <n v="98"/>
    <x v="4"/>
    <s v="No"/>
    <n v="0"/>
    <n v="1"/>
    <n v="98"/>
  </r>
  <r>
    <n v="154245189"/>
    <d v="2022-09-05T00:00:00"/>
    <d v="2022-11-26T00:00:00"/>
    <x v="0"/>
    <n v="39"/>
    <s v="month"/>
    <n v="82"/>
    <x v="4"/>
    <s v="No"/>
    <n v="0"/>
    <n v="1"/>
    <n v="82"/>
  </r>
  <r>
    <n v="154604182"/>
    <d v="2022-09-05T00:00:00"/>
    <d v="2022-10-19T00:00:00"/>
    <x v="0"/>
    <n v="39"/>
    <s v="month"/>
    <n v="44"/>
    <x v="4"/>
    <s v="No"/>
    <n v="0"/>
    <n v="1"/>
    <n v="44"/>
  </r>
  <r>
    <n v="154711552"/>
    <d v="2022-09-05T00:00:00"/>
    <d v="2022-10-05T00:00:00"/>
    <x v="0"/>
    <n v="39"/>
    <s v="month"/>
    <n v="30"/>
    <x v="4"/>
    <s v="No"/>
    <n v="0"/>
    <n v="0"/>
    <n v="30"/>
  </r>
  <r>
    <n v="154827564"/>
    <d v="2022-09-05T00:00:00"/>
    <d v="2022-10-09T00:00:00"/>
    <x v="0"/>
    <n v="39"/>
    <s v="month"/>
    <n v="34"/>
    <x v="4"/>
    <s v="No"/>
    <n v="0"/>
    <n v="1"/>
    <n v="34"/>
  </r>
  <r>
    <n v="143581543"/>
    <d v="2022-09-05T00:00:00"/>
    <d v="2022-10-12T00:00:00"/>
    <x v="0"/>
    <n v="39"/>
    <s v="month"/>
    <n v="37"/>
    <x v="4"/>
    <s v="No"/>
    <n v="0"/>
    <n v="1"/>
    <n v="37"/>
  </r>
  <r>
    <n v="154867798"/>
    <d v="2022-09-05T00:00:00"/>
    <d v="2022-10-05T00:00:00"/>
    <x v="0"/>
    <n v="39"/>
    <s v="month"/>
    <n v="30"/>
    <x v="4"/>
    <s v="No"/>
    <n v="0"/>
    <n v="0"/>
    <n v="30"/>
  </r>
  <r>
    <n v="154863996"/>
    <d v="2022-09-05T00:00:00"/>
    <d v="2022-09-09T00:00:00"/>
    <x v="0"/>
    <n v="39"/>
    <s v="month"/>
    <n v="4"/>
    <x v="4"/>
    <s v="No"/>
    <n v="0"/>
    <n v="0"/>
    <n v="4"/>
  </r>
  <r>
    <n v="154923423"/>
    <d v="2022-09-06T00:00:00"/>
    <m/>
    <x v="0"/>
    <n v="39"/>
    <s v="month"/>
    <s v=""/>
    <x v="5"/>
    <s v="No"/>
    <n v="0"/>
    <n v="0"/>
    <s v=""/>
  </r>
  <r>
    <n v="134664128"/>
    <d v="2022-09-06T00:00:00"/>
    <m/>
    <x v="0"/>
    <n v="39"/>
    <s v="month"/>
    <s v=""/>
    <x v="5"/>
    <s v="No"/>
    <n v="0"/>
    <n v="0"/>
    <s v=""/>
  </r>
  <r>
    <n v="154828806"/>
    <d v="2022-09-06T00:00:00"/>
    <d v="2022-11-20T00:00:00"/>
    <x v="0"/>
    <n v="39"/>
    <s v="month"/>
    <n v="75"/>
    <x v="5"/>
    <s v="No"/>
    <n v="0"/>
    <n v="1"/>
    <n v="75"/>
  </r>
  <r>
    <n v="154934030"/>
    <d v="2022-09-06T00:00:00"/>
    <d v="2022-11-13T00:00:00"/>
    <x v="0"/>
    <n v="39"/>
    <s v="month"/>
    <n v="68"/>
    <x v="5"/>
    <s v="No"/>
    <n v="0"/>
    <n v="1"/>
    <n v="68"/>
  </r>
  <r>
    <n v="153671424"/>
    <d v="2022-09-06T00:00:00"/>
    <d v="2022-10-13T00:00:00"/>
    <x v="0"/>
    <n v="39"/>
    <s v="month"/>
    <n v="37"/>
    <x v="5"/>
    <s v="No"/>
    <n v="0"/>
    <n v="1"/>
    <n v="37"/>
  </r>
  <r>
    <n v="154693818"/>
    <d v="2022-09-06T00:00:00"/>
    <d v="2022-10-13T00:00:00"/>
    <x v="0"/>
    <n v="39"/>
    <s v="month"/>
    <n v="37"/>
    <x v="5"/>
    <s v="No"/>
    <n v="0"/>
    <n v="1"/>
    <n v="37"/>
  </r>
  <r>
    <n v="154110938"/>
    <d v="2022-09-06T00:00:00"/>
    <d v="2022-09-26T00:00:00"/>
    <x v="0"/>
    <n v="39"/>
    <s v="month"/>
    <n v="20"/>
    <x v="5"/>
    <s v="No"/>
    <n v="0"/>
    <n v="0"/>
    <n v="20"/>
  </r>
  <r>
    <n v="154809306"/>
    <d v="2022-09-06T00:00:00"/>
    <d v="2022-09-28T00:00:00"/>
    <x v="0"/>
    <n v="39"/>
    <s v="month"/>
    <n v="22"/>
    <x v="5"/>
    <s v="No"/>
    <n v="0"/>
    <n v="0"/>
    <n v="22"/>
  </r>
  <r>
    <n v="154537244"/>
    <d v="2022-09-07T00:00:00"/>
    <m/>
    <x v="0"/>
    <n v="39"/>
    <s v="month"/>
    <s v=""/>
    <x v="6"/>
    <s v="No"/>
    <n v="0"/>
    <n v="0"/>
    <s v=""/>
  </r>
  <r>
    <n v="154163218"/>
    <d v="2022-09-07T00:00:00"/>
    <m/>
    <x v="0"/>
    <n v="39"/>
    <s v="month"/>
    <s v=""/>
    <x v="6"/>
    <s v="No"/>
    <n v="0"/>
    <n v="0"/>
    <s v=""/>
  </r>
  <r>
    <n v="129467426"/>
    <d v="2022-09-07T00:00:00"/>
    <d v="2023-05-25T00:00:00"/>
    <x v="0"/>
    <n v="39"/>
    <s v="month"/>
    <n v="260"/>
    <x v="6"/>
    <s v="No"/>
    <n v="0"/>
    <n v="1"/>
    <n v="260"/>
  </r>
  <r>
    <n v="152498330"/>
    <d v="2022-09-07T00:00:00"/>
    <d v="2023-02-22T00:00:00"/>
    <x v="0"/>
    <n v="39"/>
    <s v="month"/>
    <n v="168"/>
    <x v="6"/>
    <s v="No"/>
    <n v="0"/>
    <n v="1"/>
    <n v="168"/>
  </r>
  <r>
    <n v="125335731"/>
    <d v="2022-09-07T00:00:00"/>
    <d v="2022-09-14T00:00:00"/>
    <x v="0"/>
    <n v="39"/>
    <s v="month"/>
    <n v="7"/>
    <x v="6"/>
    <s v="No"/>
    <n v="0"/>
    <n v="0"/>
    <n v="7"/>
  </r>
  <r>
    <n v="155113805"/>
    <d v="2022-09-08T00:00:00"/>
    <m/>
    <x v="0"/>
    <n v="39"/>
    <s v="month"/>
    <s v=""/>
    <x v="0"/>
    <s v="No"/>
    <n v="0"/>
    <n v="0"/>
    <s v=""/>
  </r>
  <r>
    <n v="148864769"/>
    <d v="2022-09-08T00:00:00"/>
    <d v="2022-10-28T00:00:00"/>
    <x v="0"/>
    <n v="39"/>
    <s v="month"/>
    <n v="50"/>
    <x v="0"/>
    <s v="No"/>
    <n v="0"/>
    <n v="1"/>
    <n v="50"/>
  </r>
  <r>
    <n v="123850281"/>
    <d v="2022-09-08T00:00:00"/>
    <d v="2022-10-15T00:00:00"/>
    <x v="0"/>
    <n v="39"/>
    <s v="month"/>
    <n v="37"/>
    <x v="0"/>
    <s v="No"/>
    <n v="0"/>
    <n v="1"/>
    <n v="37"/>
  </r>
  <r>
    <n v="155167073"/>
    <d v="2022-09-08T00:00:00"/>
    <d v="2022-10-06T00:00:00"/>
    <x v="0"/>
    <n v="39"/>
    <s v="month"/>
    <n v="28"/>
    <x v="0"/>
    <s v="No"/>
    <n v="0"/>
    <n v="0"/>
    <n v="28"/>
  </r>
  <r>
    <n v="153684891"/>
    <d v="2022-09-08T00:00:00"/>
    <d v="2022-09-09T00:00:00"/>
    <x v="0"/>
    <n v="39"/>
    <s v="month"/>
    <n v="1"/>
    <x v="0"/>
    <s v="No"/>
    <n v="1"/>
    <n v="0"/>
    <n v="1"/>
  </r>
  <r>
    <n v="131277340"/>
    <d v="2022-09-09T00:00:00"/>
    <d v="2023-03-01T00:00:00"/>
    <x v="0"/>
    <n v="39"/>
    <s v="month"/>
    <n v="173"/>
    <x v="1"/>
    <s v="No"/>
    <n v="0"/>
    <n v="1"/>
    <n v="173"/>
  </r>
  <r>
    <n v="152027172"/>
    <d v="2022-09-09T00:00:00"/>
    <d v="2022-12-02T00:00:00"/>
    <x v="0"/>
    <n v="39"/>
    <s v="month"/>
    <n v="84"/>
    <x v="1"/>
    <s v="No"/>
    <n v="0"/>
    <n v="1"/>
    <n v="84"/>
  </r>
  <r>
    <n v="155212612"/>
    <d v="2022-09-09T00:00:00"/>
    <d v="2022-11-03T00:00:00"/>
    <x v="0"/>
    <n v="39"/>
    <s v="month"/>
    <n v="55"/>
    <x v="1"/>
    <s v="No"/>
    <n v="0"/>
    <n v="1"/>
    <n v="55"/>
  </r>
  <r>
    <n v="155188498"/>
    <d v="2022-09-09T00:00:00"/>
    <d v="2022-10-09T00:00:00"/>
    <x v="0"/>
    <n v="39"/>
    <s v="month"/>
    <n v="30"/>
    <x v="1"/>
    <s v="No"/>
    <n v="0"/>
    <n v="0"/>
    <n v="30"/>
  </r>
  <r>
    <n v="155145336"/>
    <d v="2022-09-09T00:00:00"/>
    <d v="2022-10-03T00:00:00"/>
    <x v="0"/>
    <n v="39"/>
    <s v="month"/>
    <n v="24"/>
    <x v="1"/>
    <s v="No"/>
    <n v="0"/>
    <n v="0"/>
    <n v="24"/>
  </r>
  <r>
    <n v="152506474"/>
    <d v="2022-09-09T00:00:00"/>
    <d v="2022-10-16T00:00:00"/>
    <x v="0"/>
    <n v="39"/>
    <s v="month"/>
    <n v="37"/>
    <x v="1"/>
    <s v="No"/>
    <n v="0"/>
    <n v="1"/>
    <n v="37"/>
  </r>
  <r>
    <n v="118029150"/>
    <d v="2022-09-09T00:00:00"/>
    <d v="2023-08-16T00:00:00"/>
    <x v="0"/>
    <n v="39"/>
    <s v="month"/>
    <n v="341"/>
    <x v="1"/>
    <s v="No"/>
    <n v="0"/>
    <n v="1"/>
    <n v="341"/>
  </r>
  <r>
    <n v="155245796"/>
    <d v="2022-09-10T00:00:00"/>
    <m/>
    <x v="0"/>
    <n v="39"/>
    <s v="month"/>
    <s v=""/>
    <x v="2"/>
    <s v="No"/>
    <n v="0"/>
    <n v="0"/>
    <s v=""/>
  </r>
  <r>
    <n v="155326259"/>
    <d v="2022-09-10T00:00:00"/>
    <d v="2023-02-21T00:00:00"/>
    <x v="0"/>
    <n v="39"/>
    <s v="month"/>
    <n v="164"/>
    <x v="2"/>
    <s v="No"/>
    <n v="0"/>
    <n v="1"/>
    <n v="164"/>
  </r>
  <r>
    <n v="155311918"/>
    <d v="2022-09-10T00:00:00"/>
    <d v="2022-12-12T00:00:00"/>
    <x v="0"/>
    <n v="39"/>
    <s v="month"/>
    <n v="93"/>
    <x v="2"/>
    <s v="No"/>
    <n v="0"/>
    <n v="1"/>
    <n v="93"/>
  </r>
  <r>
    <n v="154391473"/>
    <d v="2022-09-10T00:00:00"/>
    <d v="2022-10-12T00:00:00"/>
    <x v="0"/>
    <n v="39"/>
    <s v="month"/>
    <n v="32"/>
    <x v="2"/>
    <s v="No"/>
    <n v="0"/>
    <n v="1"/>
    <n v="32"/>
  </r>
  <r>
    <n v="155283495"/>
    <d v="2022-09-10T00:00:00"/>
    <d v="2022-10-08T00:00:00"/>
    <x v="0"/>
    <n v="39"/>
    <s v="month"/>
    <n v="28"/>
    <x v="2"/>
    <s v="No"/>
    <n v="0"/>
    <n v="0"/>
    <n v="28"/>
  </r>
  <r>
    <n v="154597373"/>
    <d v="2022-09-10T00:00:00"/>
    <d v="2022-10-06T00:00:00"/>
    <x v="0"/>
    <n v="39"/>
    <s v="month"/>
    <n v="26"/>
    <x v="2"/>
    <s v="No"/>
    <n v="0"/>
    <n v="0"/>
    <n v="26"/>
  </r>
  <r>
    <n v="155370310"/>
    <d v="2022-09-11T00:00:00"/>
    <d v="2023-05-16T00:00:00"/>
    <x v="0"/>
    <n v="39"/>
    <s v="month"/>
    <n v="247"/>
    <x v="3"/>
    <s v="No"/>
    <n v="0"/>
    <n v="1"/>
    <n v="247"/>
  </r>
  <r>
    <n v="155289120"/>
    <d v="2022-09-11T00:00:00"/>
    <d v="2023-02-15T00:00:00"/>
    <x v="0"/>
    <n v="39"/>
    <s v="month"/>
    <n v="157"/>
    <x v="3"/>
    <s v="No"/>
    <n v="0"/>
    <n v="1"/>
    <n v="157"/>
  </r>
  <r>
    <n v="155351408"/>
    <d v="2022-09-11T00:00:00"/>
    <d v="2022-12-11T00:00:00"/>
    <x v="0"/>
    <n v="39"/>
    <s v="month"/>
    <n v="91"/>
    <x v="3"/>
    <s v="No"/>
    <n v="0"/>
    <n v="1"/>
    <n v="91"/>
  </r>
  <r>
    <n v="155336773"/>
    <d v="2022-09-11T00:00:00"/>
    <d v="2022-12-24T00:00:00"/>
    <x v="0"/>
    <n v="39"/>
    <s v="month"/>
    <n v="104"/>
    <x v="3"/>
    <s v="No"/>
    <n v="0"/>
    <n v="1"/>
    <n v="104"/>
  </r>
  <r>
    <n v="155017581"/>
    <d v="2022-09-11T00:00:00"/>
    <d v="2022-11-02T00:00:00"/>
    <x v="0"/>
    <n v="39"/>
    <s v="month"/>
    <n v="52"/>
    <x v="3"/>
    <s v="No"/>
    <n v="0"/>
    <n v="1"/>
    <n v="52"/>
  </r>
  <r>
    <n v="154401329"/>
    <d v="2022-09-11T00:00:00"/>
    <d v="2022-10-15T00:00:00"/>
    <x v="0"/>
    <n v="39"/>
    <s v="month"/>
    <n v="34"/>
    <x v="3"/>
    <s v="No"/>
    <n v="0"/>
    <n v="1"/>
    <n v="34"/>
  </r>
  <r>
    <n v="155334828"/>
    <d v="2022-09-11T00:00:00"/>
    <d v="2022-10-11T00:00:00"/>
    <x v="0"/>
    <n v="39"/>
    <s v="month"/>
    <n v="30"/>
    <x v="3"/>
    <s v="No"/>
    <n v="0"/>
    <n v="0"/>
    <n v="30"/>
  </r>
  <r>
    <n v="154815431"/>
    <d v="2022-09-11T00:00:00"/>
    <d v="2022-09-11T00:00:00"/>
    <x v="0"/>
    <n v="39"/>
    <s v="month"/>
    <n v="0"/>
    <x v="3"/>
    <s v="Yes"/>
    <n v="1"/>
    <n v="0"/>
    <n v="0"/>
  </r>
  <r>
    <n v="155343938"/>
    <d v="2022-09-11T00:00:00"/>
    <d v="2023-08-18T00:00:00"/>
    <x v="0"/>
    <n v="39"/>
    <s v="month"/>
    <n v="341"/>
    <x v="3"/>
    <s v="No"/>
    <n v="0"/>
    <n v="1"/>
    <n v="341"/>
  </r>
  <r>
    <n v="152436458"/>
    <d v="2022-09-12T00:00:00"/>
    <d v="2022-09-12T00:00:00"/>
    <x v="0"/>
    <n v="39"/>
    <s v="month"/>
    <n v="0"/>
    <x v="4"/>
    <s v="Yes"/>
    <n v="1"/>
    <n v="0"/>
    <n v="0"/>
  </r>
  <r>
    <n v="154689541"/>
    <d v="2022-09-12T00:00:00"/>
    <d v="2022-09-13T00:00:00"/>
    <x v="1"/>
    <n v="39"/>
    <s v="month"/>
    <n v="1"/>
    <x v="4"/>
    <s v="No"/>
    <n v="1"/>
    <n v="0"/>
    <n v="1"/>
  </r>
  <r>
    <n v="155425695"/>
    <d v="2022-09-12T00:00:00"/>
    <d v="2022-10-19T00:00:00"/>
    <x v="0"/>
    <n v="39"/>
    <s v="month"/>
    <n v="37"/>
    <x v="4"/>
    <s v="No"/>
    <n v="0"/>
    <n v="1"/>
    <n v="37"/>
  </r>
  <r>
    <n v="152698255"/>
    <d v="2022-09-12T00:00:00"/>
    <d v="2022-10-12T00:00:00"/>
    <x v="0"/>
    <n v="39"/>
    <s v="month"/>
    <n v="30"/>
    <x v="4"/>
    <s v="No"/>
    <n v="0"/>
    <n v="0"/>
    <n v="30"/>
  </r>
  <r>
    <n v="155406449"/>
    <d v="2022-09-13T00:00:00"/>
    <d v="2023-08-27T00:00:00"/>
    <x v="0"/>
    <n v="39"/>
    <s v="month"/>
    <n v="348"/>
    <x v="5"/>
    <s v="No"/>
    <n v="0"/>
    <n v="1"/>
    <n v="348"/>
  </r>
  <r>
    <n v="137338480"/>
    <d v="2022-09-13T00:00:00"/>
    <d v="2022-09-14T00:00:00"/>
    <x v="0"/>
    <n v="39"/>
    <s v="month"/>
    <n v="1"/>
    <x v="5"/>
    <s v="No"/>
    <n v="1"/>
    <n v="0"/>
    <n v="1"/>
  </r>
  <r>
    <n v="155508519"/>
    <d v="2022-09-13T00:00:00"/>
    <d v="2022-10-23T00:00:00"/>
    <x v="0"/>
    <n v="39"/>
    <s v="month"/>
    <n v="40"/>
    <x v="5"/>
    <s v="No"/>
    <n v="0"/>
    <n v="1"/>
    <n v="40"/>
  </r>
  <r>
    <n v="155463846"/>
    <d v="2022-09-13T00:00:00"/>
    <d v="2022-10-03T00:00:00"/>
    <x v="0"/>
    <n v="39"/>
    <s v="month"/>
    <n v="20"/>
    <x v="5"/>
    <s v="No"/>
    <n v="0"/>
    <n v="0"/>
    <n v="20"/>
  </r>
  <r>
    <n v="122335220"/>
    <d v="2022-09-13T00:00:00"/>
    <d v="2022-09-17T00:00:00"/>
    <x v="0"/>
    <n v="39"/>
    <s v="month"/>
    <n v="4"/>
    <x v="5"/>
    <s v="No"/>
    <n v="0"/>
    <n v="0"/>
    <n v="4"/>
  </r>
  <r>
    <n v="155460904"/>
    <d v="2022-09-13T00:00:00"/>
    <d v="2023-06-14T00:00:00"/>
    <x v="0"/>
    <n v="39"/>
    <s v="month"/>
    <n v="274"/>
    <x v="5"/>
    <s v="No"/>
    <n v="0"/>
    <n v="1"/>
    <n v="274"/>
  </r>
  <r>
    <n v="155534484"/>
    <d v="2022-09-14T00:00:00"/>
    <d v="2022-09-15T00:00:00"/>
    <x v="1"/>
    <n v="39"/>
    <s v="month"/>
    <n v="1"/>
    <x v="6"/>
    <s v="No"/>
    <n v="1"/>
    <n v="0"/>
    <n v="1"/>
  </r>
  <r>
    <n v="155465332"/>
    <d v="2022-09-14T00:00:00"/>
    <d v="2023-03-06T00:00:00"/>
    <x v="0"/>
    <n v="39"/>
    <s v="month"/>
    <n v="173"/>
    <x v="6"/>
    <s v="No"/>
    <n v="0"/>
    <n v="1"/>
    <n v="173"/>
  </r>
  <r>
    <n v="155562517"/>
    <d v="2022-09-14T00:00:00"/>
    <d v="2022-12-07T00:00:00"/>
    <x v="0"/>
    <n v="39"/>
    <s v="month"/>
    <n v="84"/>
    <x v="6"/>
    <s v="No"/>
    <n v="0"/>
    <n v="1"/>
    <n v="84"/>
  </r>
  <r>
    <n v="153577096"/>
    <d v="2022-09-14T00:00:00"/>
    <d v="2022-10-21T00:00:00"/>
    <x v="0"/>
    <n v="39"/>
    <s v="month"/>
    <n v="37"/>
    <x v="6"/>
    <s v="No"/>
    <n v="0"/>
    <n v="1"/>
    <n v="37"/>
  </r>
  <r>
    <n v="154937101"/>
    <d v="2022-09-15T00:00:00"/>
    <m/>
    <x v="0"/>
    <n v="39"/>
    <s v="month"/>
    <s v=""/>
    <x v="0"/>
    <s v="No"/>
    <n v="0"/>
    <n v="0"/>
    <s v=""/>
  </r>
  <r>
    <n v="144968444"/>
    <d v="2022-09-15T00:00:00"/>
    <d v="2022-09-15T00:00:00"/>
    <x v="1"/>
    <n v="39"/>
    <s v="month"/>
    <n v="0"/>
    <x v="0"/>
    <s v="Yes"/>
    <n v="1"/>
    <n v="0"/>
    <n v="0"/>
  </r>
  <r>
    <n v="155270889"/>
    <d v="2022-09-15T00:00:00"/>
    <d v="2023-03-06T00:00:00"/>
    <x v="0"/>
    <n v="39"/>
    <s v="month"/>
    <n v="172"/>
    <x v="0"/>
    <s v="No"/>
    <n v="0"/>
    <n v="1"/>
    <n v="172"/>
  </r>
  <r>
    <n v="155601465"/>
    <d v="2022-09-15T00:00:00"/>
    <d v="2023-06-01T00:00:00"/>
    <x v="0"/>
    <n v="39"/>
    <s v="month"/>
    <n v="259"/>
    <x v="0"/>
    <s v="No"/>
    <n v="0"/>
    <n v="1"/>
    <n v="259"/>
  </r>
  <r>
    <n v="154045370"/>
    <d v="2022-09-15T00:00:00"/>
    <d v="2022-11-28T00:00:00"/>
    <x v="0"/>
    <n v="39"/>
    <s v="month"/>
    <n v="74"/>
    <x v="0"/>
    <s v="No"/>
    <n v="0"/>
    <n v="1"/>
    <n v="74"/>
  </r>
  <r>
    <n v="155612742"/>
    <d v="2022-09-15T00:00:00"/>
    <d v="2022-11-08T00:00:00"/>
    <x v="0"/>
    <n v="39"/>
    <s v="month"/>
    <n v="54"/>
    <x v="0"/>
    <s v="No"/>
    <n v="0"/>
    <n v="1"/>
    <n v="54"/>
  </r>
  <r>
    <n v="155621162"/>
    <d v="2022-09-15T00:00:00"/>
    <d v="2022-11-14T00:00:00"/>
    <x v="0"/>
    <n v="39"/>
    <s v="month"/>
    <n v="60"/>
    <x v="0"/>
    <s v="No"/>
    <n v="0"/>
    <n v="1"/>
    <n v="60"/>
  </r>
  <r>
    <n v="154904040"/>
    <d v="2022-09-15T00:00:00"/>
    <d v="2022-10-22T00:00:00"/>
    <x v="0"/>
    <n v="39"/>
    <s v="month"/>
    <n v="37"/>
    <x v="0"/>
    <s v="No"/>
    <n v="0"/>
    <n v="1"/>
    <n v="37"/>
  </r>
  <r>
    <n v="150810434"/>
    <d v="2022-09-15T00:00:00"/>
    <d v="2022-10-12T00:00:00"/>
    <x v="0"/>
    <n v="39"/>
    <s v="month"/>
    <n v="27"/>
    <x v="0"/>
    <s v="No"/>
    <n v="0"/>
    <n v="0"/>
    <n v="27"/>
  </r>
  <r>
    <n v="150825802"/>
    <d v="2022-09-15T00:00:00"/>
    <d v="2022-10-13T00:00:00"/>
    <x v="0"/>
    <n v="39"/>
    <s v="month"/>
    <n v="28"/>
    <x v="0"/>
    <s v="No"/>
    <n v="0"/>
    <n v="0"/>
    <n v="28"/>
  </r>
  <r>
    <n v="151907203"/>
    <d v="2022-09-15T00:00:00"/>
    <d v="2022-10-11T00:00:00"/>
    <x v="0"/>
    <n v="39"/>
    <s v="month"/>
    <n v="26"/>
    <x v="0"/>
    <s v="No"/>
    <n v="0"/>
    <n v="0"/>
    <n v="26"/>
  </r>
  <r>
    <n v="149595273"/>
    <d v="2022-09-15T00:00:00"/>
    <d v="2022-09-29T00:00:00"/>
    <x v="0"/>
    <n v="39"/>
    <s v="month"/>
    <n v="14"/>
    <x v="0"/>
    <s v="No"/>
    <n v="0"/>
    <n v="0"/>
    <n v="14"/>
  </r>
  <r>
    <n v="155596960"/>
    <d v="2022-09-15T00:00:00"/>
    <d v="2022-09-23T00:00:00"/>
    <x v="0"/>
    <n v="39"/>
    <s v="month"/>
    <n v="8"/>
    <x v="0"/>
    <s v="No"/>
    <n v="0"/>
    <n v="0"/>
    <n v="8"/>
  </r>
  <r>
    <n v="155192606"/>
    <d v="2022-09-16T00:00:00"/>
    <m/>
    <x v="0"/>
    <n v="39"/>
    <s v="month"/>
    <s v=""/>
    <x v="1"/>
    <s v="No"/>
    <n v="0"/>
    <n v="0"/>
    <s v=""/>
  </r>
  <r>
    <n v="129111644"/>
    <d v="2022-09-16T00:00:00"/>
    <d v="2023-03-23T00:00:00"/>
    <x v="0"/>
    <n v="39"/>
    <s v="month"/>
    <n v="188"/>
    <x v="1"/>
    <s v="No"/>
    <n v="0"/>
    <n v="1"/>
    <n v="188"/>
  </r>
  <r>
    <n v="155426674"/>
    <d v="2022-09-16T00:00:00"/>
    <d v="2023-04-10T00:00:00"/>
    <x v="0"/>
    <n v="39"/>
    <s v="month"/>
    <n v="206"/>
    <x v="1"/>
    <s v="No"/>
    <n v="0"/>
    <n v="1"/>
    <n v="206"/>
  </r>
  <r>
    <n v="154389303"/>
    <d v="2022-09-16T00:00:00"/>
    <d v="2023-01-05T00:00:00"/>
    <x v="0"/>
    <n v="39"/>
    <s v="month"/>
    <n v="111"/>
    <x v="1"/>
    <s v="No"/>
    <n v="0"/>
    <n v="1"/>
    <n v="111"/>
  </r>
  <r>
    <n v="155671632"/>
    <d v="2022-09-16T00:00:00"/>
    <d v="2022-12-22T00:00:00"/>
    <x v="0"/>
    <n v="39"/>
    <s v="month"/>
    <n v="97"/>
    <x v="1"/>
    <s v="No"/>
    <n v="0"/>
    <n v="1"/>
    <n v="97"/>
  </r>
  <r>
    <n v="155663101"/>
    <d v="2022-09-16T00:00:00"/>
    <d v="2022-10-04T00:00:00"/>
    <x v="0"/>
    <n v="39"/>
    <s v="month"/>
    <n v="18"/>
    <x v="1"/>
    <s v="No"/>
    <n v="0"/>
    <n v="0"/>
    <n v="18"/>
  </r>
  <r>
    <n v="152084572"/>
    <d v="2022-09-17T00:00:00"/>
    <m/>
    <x v="0"/>
    <n v="39"/>
    <s v="month"/>
    <s v=""/>
    <x v="2"/>
    <s v="No"/>
    <n v="0"/>
    <n v="0"/>
    <s v=""/>
  </r>
  <r>
    <n v="155783230"/>
    <d v="2022-09-17T00:00:00"/>
    <d v="2023-05-12T00:00:00"/>
    <x v="0"/>
    <n v="39"/>
    <s v="month"/>
    <n v="237"/>
    <x v="2"/>
    <s v="No"/>
    <n v="0"/>
    <n v="1"/>
    <n v="237"/>
  </r>
  <r>
    <n v="155714315"/>
    <d v="2022-09-17T00:00:00"/>
    <d v="2023-01-14T00:00:00"/>
    <x v="0"/>
    <n v="39"/>
    <s v="month"/>
    <n v="119"/>
    <x v="2"/>
    <s v="No"/>
    <n v="0"/>
    <n v="1"/>
    <n v="119"/>
  </r>
  <r>
    <n v="155774393"/>
    <d v="2022-09-17T00:00:00"/>
    <d v="2022-10-18T00:00:00"/>
    <x v="0"/>
    <n v="39"/>
    <s v="month"/>
    <n v="31"/>
    <x v="2"/>
    <s v="No"/>
    <n v="0"/>
    <n v="1"/>
    <n v="31"/>
  </r>
  <r>
    <n v="152901090"/>
    <d v="2022-09-18T00:00:00"/>
    <d v="2023-01-25T00:00:00"/>
    <x v="0"/>
    <n v="39"/>
    <s v="month"/>
    <n v="129"/>
    <x v="3"/>
    <s v="No"/>
    <n v="0"/>
    <n v="1"/>
    <n v="129"/>
  </r>
  <r>
    <n v="147029752"/>
    <d v="2022-09-18T00:00:00"/>
    <d v="2022-11-21T00:00:00"/>
    <x v="0"/>
    <n v="39"/>
    <s v="month"/>
    <n v="64"/>
    <x v="3"/>
    <s v="No"/>
    <n v="0"/>
    <n v="1"/>
    <n v="64"/>
  </r>
  <r>
    <n v="155809043"/>
    <d v="2022-09-18T00:00:00"/>
    <d v="2022-12-08T00:00:00"/>
    <x v="0"/>
    <n v="39"/>
    <s v="month"/>
    <n v="81"/>
    <x v="3"/>
    <s v="No"/>
    <n v="0"/>
    <n v="1"/>
    <n v="81"/>
  </r>
  <r>
    <n v="155180991"/>
    <d v="2022-09-18T00:00:00"/>
    <d v="2022-11-12T00:00:00"/>
    <x v="0"/>
    <n v="39"/>
    <s v="month"/>
    <n v="55"/>
    <x v="3"/>
    <s v="No"/>
    <n v="0"/>
    <n v="1"/>
    <n v="55"/>
  </r>
  <r>
    <n v="155713732"/>
    <d v="2022-09-18T00:00:00"/>
    <d v="2022-09-30T00:00:00"/>
    <x v="0"/>
    <n v="39"/>
    <s v="month"/>
    <n v="12"/>
    <x v="3"/>
    <s v="No"/>
    <n v="0"/>
    <n v="0"/>
    <n v="12"/>
  </r>
  <r>
    <n v="155204060"/>
    <d v="2022-09-18T00:00:00"/>
    <d v="2022-10-17T00:00:00"/>
    <x v="0"/>
    <n v="39"/>
    <s v="month"/>
    <n v="29"/>
    <x v="3"/>
    <s v="No"/>
    <n v="0"/>
    <n v="0"/>
    <n v="29"/>
  </r>
  <r>
    <n v="136817161"/>
    <d v="2022-09-19T00:00:00"/>
    <d v="2022-10-17T00:00:00"/>
    <x v="1"/>
    <n v="39"/>
    <s v="month"/>
    <n v="28"/>
    <x v="4"/>
    <s v="No"/>
    <n v="0"/>
    <n v="0"/>
    <n v="28"/>
  </r>
  <r>
    <n v="126212861"/>
    <d v="2022-09-19T00:00:00"/>
    <d v="2022-09-19T00:00:00"/>
    <x v="0"/>
    <n v="39"/>
    <s v="month"/>
    <n v="0"/>
    <x v="4"/>
    <s v="Yes"/>
    <n v="1"/>
    <n v="0"/>
    <n v="0"/>
  </r>
  <r>
    <n v="155265877"/>
    <d v="2022-09-19T00:00:00"/>
    <d v="2023-02-10T00:00:00"/>
    <x v="0"/>
    <n v="39"/>
    <s v="month"/>
    <n v="144"/>
    <x v="4"/>
    <s v="No"/>
    <n v="0"/>
    <n v="1"/>
    <n v="144"/>
  </r>
  <r>
    <n v="155916753"/>
    <d v="2022-09-19T00:00:00"/>
    <d v="2023-02-19T00:00:00"/>
    <x v="0"/>
    <n v="39"/>
    <s v="month"/>
    <n v="153"/>
    <x v="4"/>
    <s v="No"/>
    <n v="0"/>
    <n v="1"/>
    <n v="153"/>
  </r>
  <r>
    <n v="155927984"/>
    <d v="2022-09-19T00:00:00"/>
    <d v="2022-12-17T00:00:00"/>
    <x v="0"/>
    <n v="39"/>
    <s v="month"/>
    <n v="89"/>
    <x v="4"/>
    <s v="No"/>
    <n v="0"/>
    <n v="1"/>
    <n v="89"/>
  </r>
  <r>
    <n v="155876104"/>
    <d v="2022-09-19T00:00:00"/>
    <d v="2022-12-14T00:00:00"/>
    <x v="0"/>
    <n v="39"/>
    <s v="month"/>
    <n v="86"/>
    <x v="4"/>
    <s v="No"/>
    <n v="0"/>
    <n v="1"/>
    <n v="86"/>
  </r>
  <r>
    <n v="155733164"/>
    <d v="2022-09-19T00:00:00"/>
    <d v="2022-09-19T00:00:00"/>
    <x v="0"/>
    <n v="39"/>
    <s v="month"/>
    <n v="0"/>
    <x v="4"/>
    <s v="Yes"/>
    <n v="1"/>
    <n v="0"/>
    <n v="0"/>
  </r>
  <r>
    <n v="153832728"/>
    <d v="2022-09-19T00:00:00"/>
    <d v="2022-10-18T00:00:00"/>
    <x v="0"/>
    <n v="39"/>
    <s v="month"/>
    <n v="29"/>
    <x v="4"/>
    <s v="No"/>
    <n v="0"/>
    <n v="0"/>
    <n v="29"/>
  </r>
  <r>
    <n v="155876188"/>
    <d v="2022-09-19T00:00:00"/>
    <d v="2022-10-20T00:00:00"/>
    <x v="0"/>
    <n v="39"/>
    <s v="month"/>
    <n v="31"/>
    <x v="4"/>
    <s v="No"/>
    <n v="0"/>
    <n v="1"/>
    <n v="31"/>
  </r>
  <r>
    <n v="150687940"/>
    <d v="2022-09-19T00:00:00"/>
    <d v="2022-10-18T00:00:00"/>
    <x v="0"/>
    <n v="39"/>
    <s v="month"/>
    <n v="29"/>
    <x v="4"/>
    <s v="No"/>
    <n v="0"/>
    <n v="0"/>
    <n v="29"/>
  </r>
  <r>
    <n v="155967446"/>
    <d v="2022-09-20T00:00:00"/>
    <m/>
    <x v="0"/>
    <n v="39"/>
    <s v="month"/>
    <s v=""/>
    <x v="5"/>
    <s v="No"/>
    <n v="0"/>
    <n v="0"/>
    <s v=""/>
  </r>
  <r>
    <n v="155687378"/>
    <d v="2022-09-20T00:00:00"/>
    <d v="2023-03-27T00:00:00"/>
    <x v="0"/>
    <n v="39"/>
    <s v="month"/>
    <n v="188"/>
    <x v="5"/>
    <s v="No"/>
    <n v="0"/>
    <n v="1"/>
    <n v="188"/>
  </r>
  <r>
    <n v="156020667"/>
    <d v="2022-09-20T00:00:00"/>
    <d v="2023-05-09T00:00:00"/>
    <x v="0"/>
    <n v="39"/>
    <s v="month"/>
    <n v="231"/>
    <x v="5"/>
    <s v="No"/>
    <n v="0"/>
    <n v="1"/>
    <n v="231"/>
  </r>
  <r>
    <n v="155869412"/>
    <d v="2022-09-20T00:00:00"/>
    <d v="2022-12-21T00:00:00"/>
    <x v="0"/>
    <n v="39"/>
    <s v="month"/>
    <n v="92"/>
    <x v="5"/>
    <s v="No"/>
    <n v="0"/>
    <n v="1"/>
    <n v="92"/>
  </r>
  <r>
    <n v="156042204"/>
    <d v="2022-09-20T00:00:00"/>
    <d v="2022-11-08T00:00:00"/>
    <x v="0"/>
    <n v="39"/>
    <s v="month"/>
    <n v="49"/>
    <x v="5"/>
    <s v="No"/>
    <n v="0"/>
    <n v="1"/>
    <n v="49"/>
  </r>
  <r>
    <n v="153568990"/>
    <d v="2022-09-20T00:00:00"/>
    <d v="2022-09-30T00:00:00"/>
    <x v="0"/>
    <n v="39"/>
    <s v="month"/>
    <n v="10"/>
    <x v="5"/>
    <s v="No"/>
    <n v="0"/>
    <n v="0"/>
    <n v="10"/>
  </r>
  <r>
    <n v="155327111"/>
    <d v="2022-09-20T00:00:00"/>
    <d v="2022-10-31T00:00:00"/>
    <x v="0"/>
    <n v="39"/>
    <s v="month"/>
    <n v="41"/>
    <x v="5"/>
    <s v="No"/>
    <n v="0"/>
    <n v="1"/>
    <n v="41"/>
  </r>
  <r>
    <n v="155270521"/>
    <d v="2022-09-20T00:00:00"/>
    <d v="2023-08-08T00:00:00"/>
    <x v="0"/>
    <n v="39"/>
    <s v="month"/>
    <n v="322"/>
    <x v="5"/>
    <s v="No"/>
    <n v="0"/>
    <n v="1"/>
    <n v="322"/>
  </r>
  <r>
    <n v="155991618"/>
    <d v="2022-09-21T00:00:00"/>
    <d v="2023-06-28T00:00:00"/>
    <x v="0"/>
    <n v="39"/>
    <s v="month"/>
    <n v="280"/>
    <x v="6"/>
    <s v="No"/>
    <n v="0"/>
    <n v="1"/>
    <n v="280"/>
  </r>
  <r>
    <n v="156045144"/>
    <d v="2022-09-21T00:00:00"/>
    <d v="2022-12-06T00:00:00"/>
    <x v="0"/>
    <n v="39"/>
    <s v="month"/>
    <n v="76"/>
    <x v="6"/>
    <s v="No"/>
    <n v="0"/>
    <n v="1"/>
    <n v="76"/>
  </r>
  <r>
    <n v="155439932"/>
    <d v="2022-09-21T00:00:00"/>
    <d v="2022-11-14T00:00:00"/>
    <x v="0"/>
    <n v="39"/>
    <s v="month"/>
    <n v="54"/>
    <x v="6"/>
    <s v="No"/>
    <n v="0"/>
    <n v="1"/>
    <n v="54"/>
  </r>
  <r>
    <n v="152674430"/>
    <d v="2022-09-21T00:00:00"/>
    <d v="2022-10-03T00:00:00"/>
    <x v="0"/>
    <n v="39"/>
    <s v="month"/>
    <n v="12"/>
    <x v="6"/>
    <s v="No"/>
    <n v="0"/>
    <n v="0"/>
    <n v="12"/>
  </r>
  <r>
    <n v="156135106"/>
    <d v="2022-09-22T00:00:00"/>
    <m/>
    <x v="0"/>
    <n v="39"/>
    <s v="month"/>
    <s v=""/>
    <x v="0"/>
    <s v="No"/>
    <n v="0"/>
    <n v="0"/>
    <s v=""/>
  </r>
  <r>
    <n v="156185490"/>
    <d v="2022-09-22T00:00:00"/>
    <d v="2023-05-02T00:00:00"/>
    <x v="0"/>
    <n v="39"/>
    <s v="month"/>
    <n v="222"/>
    <x v="0"/>
    <s v="No"/>
    <n v="0"/>
    <n v="1"/>
    <n v="222"/>
  </r>
  <r>
    <n v="156180312"/>
    <d v="2022-09-22T00:00:00"/>
    <d v="2022-11-15T00:00:00"/>
    <x v="0"/>
    <n v="39"/>
    <s v="month"/>
    <n v="54"/>
    <x v="0"/>
    <s v="No"/>
    <n v="0"/>
    <n v="1"/>
    <n v="54"/>
  </r>
  <r>
    <n v="151263484"/>
    <d v="2022-09-22T00:00:00"/>
    <d v="2022-10-29T00:00:00"/>
    <x v="0"/>
    <n v="39"/>
    <s v="month"/>
    <n v="37"/>
    <x v="0"/>
    <s v="No"/>
    <n v="0"/>
    <n v="1"/>
    <n v="37"/>
  </r>
  <r>
    <n v="156008989"/>
    <d v="2022-09-22T00:00:00"/>
    <d v="2022-10-21T00:00:00"/>
    <x v="0"/>
    <n v="39"/>
    <s v="month"/>
    <n v="29"/>
    <x v="0"/>
    <s v="No"/>
    <n v="0"/>
    <n v="0"/>
    <n v="29"/>
  </r>
  <r>
    <n v="147687218"/>
    <d v="2022-09-22T00:00:00"/>
    <d v="2022-10-29T00:00:00"/>
    <x v="0"/>
    <n v="39"/>
    <s v="month"/>
    <n v="37"/>
    <x v="0"/>
    <s v="No"/>
    <n v="0"/>
    <n v="1"/>
    <n v="37"/>
  </r>
  <r>
    <n v="156235650"/>
    <d v="2022-09-23T00:00:00"/>
    <m/>
    <x v="0"/>
    <n v="39"/>
    <s v="month"/>
    <s v=""/>
    <x v="1"/>
    <s v="No"/>
    <n v="0"/>
    <n v="0"/>
    <s v=""/>
  </r>
  <r>
    <n v="131128612"/>
    <d v="2022-09-23T00:00:00"/>
    <d v="2023-01-16T00:00:00"/>
    <x v="0"/>
    <n v="39"/>
    <s v="month"/>
    <n v="115"/>
    <x v="1"/>
    <s v="No"/>
    <n v="0"/>
    <n v="1"/>
    <n v="115"/>
  </r>
  <r>
    <n v="156198840"/>
    <d v="2022-09-23T00:00:00"/>
    <d v="2023-01-21T00:00:00"/>
    <x v="0"/>
    <n v="39"/>
    <s v="month"/>
    <n v="120"/>
    <x v="1"/>
    <s v="No"/>
    <n v="0"/>
    <n v="1"/>
    <n v="120"/>
  </r>
  <r>
    <n v="144166296"/>
    <d v="2022-09-23T00:00:00"/>
    <d v="2022-10-19T00:00:00"/>
    <x v="0"/>
    <n v="39"/>
    <s v="month"/>
    <n v="26"/>
    <x v="1"/>
    <s v="No"/>
    <n v="0"/>
    <n v="0"/>
    <n v="26"/>
  </r>
  <r>
    <n v="136108848"/>
    <d v="2022-09-23T00:00:00"/>
    <d v="2022-11-30T00:00:00"/>
    <x v="0"/>
    <n v="39"/>
    <s v="month"/>
    <n v="68"/>
    <x v="1"/>
    <s v="No"/>
    <n v="0"/>
    <n v="1"/>
    <n v="68"/>
  </r>
  <r>
    <n v="156225482"/>
    <d v="2022-09-23T00:00:00"/>
    <d v="2022-10-14T00:00:00"/>
    <x v="0"/>
    <n v="39"/>
    <s v="month"/>
    <n v="21"/>
    <x v="1"/>
    <s v="No"/>
    <n v="0"/>
    <n v="0"/>
    <n v="21"/>
  </r>
  <r>
    <n v="156209360"/>
    <d v="2022-09-23T00:00:00"/>
    <d v="2022-10-30T00:00:00"/>
    <x v="0"/>
    <n v="39"/>
    <s v="month"/>
    <n v="37"/>
    <x v="1"/>
    <s v="No"/>
    <n v="0"/>
    <n v="1"/>
    <n v="37"/>
  </r>
  <r>
    <n v="153492199"/>
    <d v="2022-09-24T00:00:00"/>
    <d v="2022-12-01T00:00:00"/>
    <x v="0"/>
    <n v="39"/>
    <s v="month"/>
    <n v="68"/>
    <x v="2"/>
    <s v="No"/>
    <n v="0"/>
    <n v="1"/>
    <n v="68"/>
  </r>
  <r>
    <n v="156127439"/>
    <d v="2022-09-24T00:00:00"/>
    <d v="2022-11-01T00:00:00"/>
    <x v="0"/>
    <n v="39"/>
    <s v="month"/>
    <n v="38"/>
    <x v="2"/>
    <s v="No"/>
    <n v="0"/>
    <n v="1"/>
    <n v="38"/>
  </r>
  <r>
    <n v="156197748"/>
    <d v="2022-09-24T00:00:00"/>
    <d v="2022-10-26T00:00:00"/>
    <x v="0"/>
    <n v="39"/>
    <s v="month"/>
    <n v="32"/>
    <x v="2"/>
    <s v="No"/>
    <n v="0"/>
    <n v="1"/>
    <n v="32"/>
  </r>
  <r>
    <n v="156292980"/>
    <d v="2022-09-25T00:00:00"/>
    <m/>
    <x v="0"/>
    <n v="39"/>
    <s v="month"/>
    <s v=""/>
    <x v="3"/>
    <s v="No"/>
    <n v="0"/>
    <n v="0"/>
    <s v=""/>
  </r>
  <r>
    <n v="129284681"/>
    <d v="2022-09-25T00:00:00"/>
    <d v="2022-11-01T00:00:00"/>
    <x v="0"/>
    <n v="39"/>
    <s v="month"/>
    <n v="37"/>
    <x v="3"/>
    <s v="No"/>
    <n v="0"/>
    <n v="1"/>
    <n v="37"/>
  </r>
  <r>
    <n v="156249750"/>
    <d v="2022-09-25T00:00:00"/>
    <d v="2022-11-02T00:00:00"/>
    <x v="0"/>
    <n v="39"/>
    <s v="month"/>
    <n v="38"/>
    <x v="3"/>
    <s v="No"/>
    <n v="0"/>
    <n v="1"/>
    <n v="38"/>
  </r>
  <r>
    <n v="155143974"/>
    <d v="2022-09-25T00:00:00"/>
    <d v="2022-11-18T00:00:00"/>
    <x v="0"/>
    <n v="39"/>
    <s v="month"/>
    <n v="54"/>
    <x v="3"/>
    <s v="No"/>
    <n v="0"/>
    <n v="1"/>
    <n v="54"/>
  </r>
  <r>
    <n v="151354965"/>
    <d v="2022-09-25T00:00:00"/>
    <d v="2022-10-29T00:00:00"/>
    <x v="0"/>
    <n v="39"/>
    <s v="month"/>
    <n v="34"/>
    <x v="3"/>
    <s v="No"/>
    <n v="0"/>
    <n v="1"/>
    <n v="34"/>
  </r>
  <r>
    <n v="156178486"/>
    <d v="2022-09-25T00:00:00"/>
    <d v="2022-10-24T00:00:00"/>
    <x v="0"/>
    <n v="39"/>
    <s v="month"/>
    <n v="29"/>
    <x v="3"/>
    <s v="No"/>
    <n v="0"/>
    <n v="0"/>
    <n v="29"/>
  </r>
  <r>
    <n v="132314522"/>
    <d v="2022-09-26T00:00:00"/>
    <d v="2022-12-04T00:00:00"/>
    <x v="0"/>
    <n v="39"/>
    <s v="month"/>
    <n v="69"/>
    <x v="4"/>
    <s v="No"/>
    <n v="0"/>
    <n v="1"/>
    <n v="69"/>
  </r>
  <r>
    <n v="152505897"/>
    <d v="2022-09-26T00:00:00"/>
    <d v="2023-04-07T00:00:00"/>
    <x v="0"/>
    <n v="39"/>
    <s v="month"/>
    <n v="193"/>
    <x v="4"/>
    <s v="No"/>
    <n v="0"/>
    <n v="1"/>
    <n v="193"/>
  </r>
  <r>
    <n v="151086770"/>
    <d v="2022-09-26T00:00:00"/>
    <d v="2023-01-23T00:00:00"/>
    <x v="0"/>
    <n v="39"/>
    <s v="month"/>
    <n v="119"/>
    <x v="4"/>
    <s v="No"/>
    <n v="0"/>
    <n v="1"/>
    <n v="119"/>
  </r>
  <r>
    <n v="148713821"/>
    <d v="2022-09-26T00:00:00"/>
    <d v="2023-02-10T00:00:00"/>
    <x v="0"/>
    <n v="39"/>
    <s v="month"/>
    <n v="137"/>
    <x v="4"/>
    <s v="No"/>
    <n v="0"/>
    <n v="1"/>
    <n v="137"/>
  </r>
  <r>
    <n v="146422602"/>
    <d v="2022-09-26T00:00:00"/>
    <d v="2022-11-03T00:00:00"/>
    <x v="0"/>
    <n v="39"/>
    <s v="month"/>
    <n v="38"/>
    <x v="4"/>
    <s v="No"/>
    <n v="0"/>
    <n v="1"/>
    <n v="38"/>
  </r>
  <r>
    <n v="156460574"/>
    <d v="2022-09-26T00:00:00"/>
    <d v="2022-11-17T00:00:00"/>
    <x v="0"/>
    <n v="39"/>
    <s v="month"/>
    <n v="52"/>
    <x v="4"/>
    <s v="No"/>
    <n v="0"/>
    <n v="1"/>
    <n v="52"/>
  </r>
  <r>
    <n v="156364063"/>
    <d v="2022-09-26T00:00:00"/>
    <d v="2022-11-14T00:00:00"/>
    <x v="0"/>
    <n v="39"/>
    <s v="month"/>
    <n v="49"/>
    <x v="4"/>
    <s v="No"/>
    <n v="0"/>
    <n v="1"/>
    <n v="49"/>
  </r>
  <r>
    <n v="149139298"/>
    <d v="2022-09-26T00:00:00"/>
    <d v="2022-10-26T00:00:00"/>
    <x v="0"/>
    <n v="39"/>
    <s v="month"/>
    <n v="30"/>
    <x v="4"/>
    <s v="No"/>
    <n v="0"/>
    <n v="0"/>
    <n v="30"/>
  </r>
  <r>
    <n v="156371514"/>
    <d v="2022-09-26T00:00:00"/>
    <d v="2022-10-24T00:00:00"/>
    <x v="0"/>
    <n v="39"/>
    <s v="month"/>
    <n v="28"/>
    <x v="4"/>
    <s v="No"/>
    <n v="0"/>
    <n v="0"/>
    <n v="28"/>
  </r>
  <r>
    <n v="156423167"/>
    <d v="2022-09-27T00:00:00"/>
    <d v="2023-01-18T00:00:00"/>
    <x v="0"/>
    <n v="39"/>
    <s v="month"/>
    <n v="113"/>
    <x v="5"/>
    <s v="No"/>
    <n v="0"/>
    <n v="1"/>
    <n v="113"/>
  </r>
  <r>
    <n v="155199164"/>
    <d v="2022-09-27T00:00:00"/>
    <d v="2023-01-03T00:00:00"/>
    <x v="0"/>
    <n v="39"/>
    <s v="month"/>
    <n v="98"/>
    <x v="5"/>
    <s v="No"/>
    <n v="0"/>
    <n v="1"/>
    <n v="98"/>
  </r>
  <r>
    <n v="156373191"/>
    <d v="2022-09-27T00:00:00"/>
    <d v="2022-12-28T00:00:00"/>
    <x v="0"/>
    <n v="39"/>
    <s v="month"/>
    <n v="92"/>
    <x v="5"/>
    <s v="No"/>
    <n v="0"/>
    <n v="1"/>
    <n v="92"/>
  </r>
  <r>
    <n v="156517374"/>
    <d v="2022-09-27T00:00:00"/>
    <d v="2022-09-27T00:00:00"/>
    <x v="0"/>
    <n v="39"/>
    <s v="month"/>
    <n v="0"/>
    <x v="5"/>
    <s v="Yes"/>
    <n v="1"/>
    <n v="0"/>
    <n v="0"/>
  </r>
  <r>
    <n v="156032089"/>
    <d v="2022-09-28T00:00:00"/>
    <m/>
    <x v="0"/>
    <n v="39"/>
    <s v="month"/>
    <s v=""/>
    <x v="6"/>
    <s v="No"/>
    <n v="0"/>
    <n v="0"/>
    <s v=""/>
  </r>
  <r>
    <n v="154563706"/>
    <d v="2022-09-28T00:00:00"/>
    <d v="2023-03-25T00:00:00"/>
    <x v="0"/>
    <n v="39"/>
    <s v="month"/>
    <n v="178"/>
    <x v="6"/>
    <s v="No"/>
    <n v="0"/>
    <n v="1"/>
    <n v="178"/>
  </r>
  <r>
    <n v="124481723"/>
    <d v="2022-09-28T00:00:00"/>
    <d v="2022-11-22T00:00:00"/>
    <x v="0"/>
    <n v="39"/>
    <s v="month"/>
    <n v="55"/>
    <x v="6"/>
    <s v="No"/>
    <n v="0"/>
    <n v="1"/>
    <n v="55"/>
  </r>
  <r>
    <n v="146861757"/>
    <d v="2022-09-28T00:00:00"/>
    <d v="2022-12-22T00:00:00"/>
    <x v="0"/>
    <n v="39"/>
    <s v="month"/>
    <n v="85"/>
    <x v="6"/>
    <s v="No"/>
    <n v="0"/>
    <n v="1"/>
    <n v="85"/>
  </r>
  <r>
    <n v="152476124"/>
    <d v="2022-09-28T00:00:00"/>
    <d v="2022-11-28T00:00:00"/>
    <x v="0"/>
    <n v="39"/>
    <s v="month"/>
    <n v="61"/>
    <x v="6"/>
    <s v="No"/>
    <n v="0"/>
    <n v="1"/>
    <n v="61"/>
  </r>
  <r>
    <n v="156192628"/>
    <d v="2022-09-28T00:00:00"/>
    <d v="2022-11-20T00:00:00"/>
    <x v="0"/>
    <n v="39"/>
    <s v="month"/>
    <n v="53"/>
    <x v="6"/>
    <s v="No"/>
    <n v="0"/>
    <n v="1"/>
    <n v="53"/>
  </r>
  <r>
    <n v="152109538"/>
    <d v="2022-09-28T00:00:00"/>
    <d v="2022-10-19T00:00:00"/>
    <x v="0"/>
    <n v="39"/>
    <s v="month"/>
    <n v="21"/>
    <x v="6"/>
    <s v="No"/>
    <n v="0"/>
    <n v="0"/>
    <n v="21"/>
  </r>
  <r>
    <n v="156659071"/>
    <d v="2022-09-28T00:00:00"/>
    <d v="2022-09-29T00:00:00"/>
    <x v="0"/>
    <n v="39"/>
    <s v="month"/>
    <n v="1"/>
    <x v="6"/>
    <s v="No"/>
    <n v="1"/>
    <n v="0"/>
    <n v="1"/>
  </r>
  <r>
    <n v="156717075"/>
    <d v="2022-09-29T00:00:00"/>
    <d v="2023-04-14T00:00:00"/>
    <x v="0"/>
    <n v="39"/>
    <s v="month"/>
    <n v="197"/>
    <x v="0"/>
    <s v="No"/>
    <n v="0"/>
    <n v="1"/>
    <n v="197"/>
  </r>
  <r>
    <n v="156715443"/>
    <d v="2022-09-29T00:00:00"/>
    <d v="2022-12-29T00:00:00"/>
    <x v="0"/>
    <n v="39"/>
    <s v="month"/>
    <n v="91"/>
    <x v="0"/>
    <s v="No"/>
    <n v="0"/>
    <n v="1"/>
    <n v="91"/>
  </r>
  <r>
    <n v="147656952"/>
    <d v="2022-09-29T00:00:00"/>
    <d v="2022-12-28T00:00:00"/>
    <x v="0"/>
    <n v="39"/>
    <s v="month"/>
    <n v="90"/>
    <x v="0"/>
    <s v="No"/>
    <n v="0"/>
    <n v="1"/>
    <n v="90"/>
  </r>
  <r>
    <n v="152918862"/>
    <d v="2022-09-29T00:00:00"/>
    <d v="2022-11-20T00:00:00"/>
    <x v="0"/>
    <n v="39"/>
    <s v="month"/>
    <n v="52"/>
    <x v="0"/>
    <s v="No"/>
    <n v="0"/>
    <n v="1"/>
    <n v="52"/>
  </r>
  <r>
    <n v="146866890"/>
    <d v="2022-09-29T00:00:00"/>
    <d v="2022-10-24T00:00:00"/>
    <x v="0"/>
    <n v="39"/>
    <s v="month"/>
    <n v="25"/>
    <x v="0"/>
    <s v="No"/>
    <n v="0"/>
    <n v="0"/>
    <n v="25"/>
  </r>
  <r>
    <n v="151735444"/>
    <d v="2022-09-30T00:00:00"/>
    <m/>
    <x v="0"/>
    <n v="39"/>
    <s v="month"/>
    <s v=""/>
    <x v="1"/>
    <s v="No"/>
    <n v="0"/>
    <n v="0"/>
    <s v=""/>
  </r>
  <r>
    <n v="155608371"/>
    <d v="2022-09-30T00:00:00"/>
    <d v="2022-10-01T00:00:00"/>
    <x v="1"/>
    <n v="39"/>
    <s v="month"/>
    <n v="1"/>
    <x v="1"/>
    <s v="No"/>
    <n v="1"/>
    <n v="0"/>
    <n v="1"/>
  </r>
  <r>
    <n v="156809544"/>
    <d v="2022-09-30T00:00:00"/>
    <d v="2023-03-28T00:00:00"/>
    <x v="0"/>
    <n v="39"/>
    <s v="month"/>
    <n v="179"/>
    <x v="1"/>
    <s v="No"/>
    <n v="0"/>
    <n v="1"/>
    <n v="179"/>
  </r>
  <r>
    <n v="156813288"/>
    <d v="2022-09-30T00:00:00"/>
    <d v="2023-05-20T00:00:00"/>
    <x v="0"/>
    <n v="39"/>
    <s v="month"/>
    <n v="232"/>
    <x v="1"/>
    <s v="No"/>
    <n v="0"/>
    <n v="1"/>
    <n v="232"/>
  </r>
  <r>
    <n v="156817946"/>
    <d v="2022-09-30T00:00:00"/>
    <d v="2023-06-03T00:00:00"/>
    <x v="0"/>
    <n v="39"/>
    <s v="month"/>
    <n v="246"/>
    <x v="1"/>
    <s v="No"/>
    <n v="0"/>
    <n v="1"/>
    <n v="246"/>
  </r>
  <r>
    <n v="156194905"/>
    <d v="2022-09-30T00:00:00"/>
    <d v="2023-04-06T00:00:00"/>
    <x v="0"/>
    <n v="39"/>
    <s v="month"/>
    <n v="188"/>
    <x v="1"/>
    <s v="No"/>
    <n v="0"/>
    <n v="1"/>
    <n v="188"/>
  </r>
  <r>
    <n v="148568942"/>
    <d v="2022-09-30T00:00:00"/>
    <d v="2023-01-06T00:00:00"/>
    <x v="0"/>
    <n v="39"/>
    <s v="month"/>
    <n v="98"/>
    <x v="1"/>
    <s v="No"/>
    <n v="0"/>
    <n v="1"/>
    <n v="98"/>
  </r>
  <r>
    <n v="151154171"/>
    <d v="2022-09-30T00:00:00"/>
    <d v="2022-11-29T00:00:00"/>
    <x v="0"/>
    <n v="39"/>
    <s v="month"/>
    <n v="60"/>
    <x v="1"/>
    <s v="No"/>
    <n v="0"/>
    <n v="1"/>
    <n v="60"/>
  </r>
  <r>
    <n v="122921842"/>
    <d v="2022-09-30T00:00:00"/>
    <d v="2022-11-06T00:00:00"/>
    <x v="0"/>
    <n v="39"/>
    <s v="month"/>
    <n v="37"/>
    <x v="1"/>
    <s v="No"/>
    <n v="0"/>
    <n v="1"/>
    <n v="37"/>
  </r>
  <r>
    <n v="156754286"/>
    <d v="2022-10-01T00:00:00"/>
    <m/>
    <x v="0"/>
    <n v="39"/>
    <s v="month"/>
    <s v=""/>
    <x v="2"/>
    <s v="No"/>
    <n v="0"/>
    <n v="0"/>
    <s v=""/>
  </r>
  <r>
    <n v="144160302"/>
    <d v="2022-10-01T00:00:00"/>
    <d v="2022-10-02T00:00:00"/>
    <x v="0"/>
    <n v="39"/>
    <s v="month"/>
    <n v="1"/>
    <x v="2"/>
    <s v="No"/>
    <n v="1"/>
    <n v="0"/>
    <n v="1"/>
  </r>
  <r>
    <n v="155045053"/>
    <d v="2022-10-01T00:00:00"/>
    <d v="2023-01-01T00:00:00"/>
    <x v="0"/>
    <n v="39"/>
    <s v="month"/>
    <n v="92"/>
    <x v="2"/>
    <s v="No"/>
    <n v="0"/>
    <n v="1"/>
    <n v="92"/>
  </r>
  <r>
    <n v="133869989"/>
    <d v="2022-10-01T00:00:00"/>
    <d v="2022-11-02T00:00:00"/>
    <x v="0"/>
    <n v="39"/>
    <s v="month"/>
    <n v="32"/>
    <x v="2"/>
    <s v="No"/>
    <n v="0"/>
    <n v="1"/>
    <n v="32"/>
  </r>
  <r>
    <n v="156863940"/>
    <d v="2022-10-01T00:00:00"/>
    <d v="2022-11-02T00:00:00"/>
    <x v="0"/>
    <n v="39"/>
    <s v="month"/>
    <n v="32"/>
    <x v="2"/>
    <s v="No"/>
    <n v="0"/>
    <n v="1"/>
    <n v="32"/>
  </r>
  <r>
    <n v="156884323"/>
    <d v="2022-10-01T00:00:00"/>
    <d v="2022-10-25T00:00:00"/>
    <x v="0"/>
    <n v="39"/>
    <s v="month"/>
    <n v="24"/>
    <x v="2"/>
    <s v="No"/>
    <n v="0"/>
    <n v="0"/>
    <n v="24"/>
  </r>
  <r>
    <n v="156365410"/>
    <d v="2022-10-01T00:00:00"/>
    <d v="2022-10-29T00:00:00"/>
    <x v="0"/>
    <n v="39"/>
    <s v="month"/>
    <n v="28"/>
    <x v="2"/>
    <s v="No"/>
    <n v="0"/>
    <n v="0"/>
    <n v="28"/>
  </r>
  <r>
    <n v="153957162"/>
    <d v="2022-10-02T00:00:00"/>
    <m/>
    <x v="0"/>
    <n v="39"/>
    <s v="month"/>
    <s v=""/>
    <x v="3"/>
    <s v="No"/>
    <n v="0"/>
    <n v="0"/>
    <s v=""/>
  </r>
  <r>
    <n v="152436949"/>
    <d v="2022-10-02T00:00:00"/>
    <d v="2022-10-03T00:00:00"/>
    <x v="1"/>
    <n v="39"/>
    <s v="month"/>
    <n v="1"/>
    <x v="3"/>
    <s v="No"/>
    <n v="1"/>
    <n v="0"/>
    <n v="1"/>
  </r>
  <r>
    <n v="156403612"/>
    <d v="2022-10-02T00:00:00"/>
    <d v="2023-01-26T00:00:00"/>
    <x v="0"/>
    <n v="39"/>
    <s v="month"/>
    <n v="116"/>
    <x v="3"/>
    <s v="No"/>
    <n v="0"/>
    <n v="1"/>
    <n v="116"/>
  </r>
  <r>
    <n v="154198756"/>
    <d v="2022-10-02T00:00:00"/>
    <d v="2022-11-14T00:00:00"/>
    <x v="0"/>
    <n v="39"/>
    <s v="month"/>
    <n v="43"/>
    <x v="3"/>
    <s v="No"/>
    <n v="0"/>
    <n v="1"/>
    <n v="43"/>
  </r>
  <r>
    <n v="156917754"/>
    <d v="2022-10-02T00:00:00"/>
    <d v="2022-10-28T00:00:00"/>
    <x v="0"/>
    <n v="39"/>
    <s v="month"/>
    <n v="26"/>
    <x v="3"/>
    <s v="No"/>
    <n v="0"/>
    <n v="0"/>
    <n v="26"/>
  </r>
  <r>
    <n v="134975906"/>
    <d v="2022-10-03T00:00:00"/>
    <d v="2022-10-27T00:00:00"/>
    <x v="0"/>
    <n v="39"/>
    <s v="month"/>
    <n v="24"/>
    <x v="4"/>
    <s v="No"/>
    <n v="0"/>
    <n v="0"/>
    <n v="24"/>
  </r>
  <r>
    <n v="156955735"/>
    <d v="2022-10-03T00:00:00"/>
    <d v="2023-07-02T00:00:00"/>
    <x v="0"/>
    <n v="39"/>
    <s v="month"/>
    <n v="272"/>
    <x v="4"/>
    <s v="No"/>
    <n v="0"/>
    <n v="1"/>
    <n v="272"/>
  </r>
  <r>
    <n v="156982750"/>
    <d v="2022-10-03T00:00:00"/>
    <d v="2023-02-06T00:00:00"/>
    <x v="0"/>
    <n v="39"/>
    <s v="month"/>
    <n v="126"/>
    <x v="4"/>
    <s v="No"/>
    <n v="0"/>
    <n v="1"/>
    <n v="126"/>
  </r>
  <r>
    <n v="156953312"/>
    <d v="2022-10-03T00:00:00"/>
    <d v="2023-03-17T00:00:00"/>
    <x v="0"/>
    <n v="39"/>
    <s v="month"/>
    <n v="165"/>
    <x v="4"/>
    <s v="No"/>
    <n v="0"/>
    <n v="1"/>
    <n v="165"/>
  </r>
  <r>
    <n v="124642102"/>
    <d v="2022-10-03T00:00:00"/>
    <d v="2023-01-03T00:00:00"/>
    <x v="0"/>
    <n v="39"/>
    <s v="month"/>
    <n v="92"/>
    <x v="4"/>
    <s v="No"/>
    <n v="0"/>
    <n v="1"/>
    <n v="92"/>
  </r>
  <r>
    <n v="156940530"/>
    <d v="2022-10-03T00:00:00"/>
    <d v="2023-01-10T00:00:00"/>
    <x v="0"/>
    <n v="39"/>
    <s v="month"/>
    <n v="99"/>
    <x v="4"/>
    <s v="No"/>
    <n v="0"/>
    <n v="1"/>
    <n v="99"/>
  </r>
  <r>
    <n v="155602780"/>
    <d v="2022-10-03T00:00:00"/>
    <d v="2023-01-20T00:00:00"/>
    <x v="0"/>
    <n v="39"/>
    <s v="month"/>
    <n v="109"/>
    <x v="4"/>
    <s v="No"/>
    <n v="0"/>
    <n v="1"/>
    <n v="109"/>
  </r>
  <r>
    <n v="149635726"/>
    <d v="2022-10-03T00:00:00"/>
    <d v="2022-11-08T00:00:00"/>
    <x v="0"/>
    <n v="39"/>
    <s v="month"/>
    <n v="36"/>
    <x v="4"/>
    <s v="No"/>
    <n v="0"/>
    <n v="1"/>
    <n v="36"/>
  </r>
  <r>
    <n v="152660102"/>
    <d v="2022-10-03T00:00:00"/>
    <d v="2022-11-28T00:00:00"/>
    <x v="0"/>
    <n v="39"/>
    <s v="month"/>
    <n v="56"/>
    <x v="4"/>
    <s v="No"/>
    <n v="0"/>
    <n v="1"/>
    <n v="56"/>
  </r>
  <r>
    <n v="153620734"/>
    <d v="2022-10-03T00:00:00"/>
    <d v="2022-11-29T00:00:00"/>
    <x v="0"/>
    <n v="39"/>
    <s v="month"/>
    <n v="57"/>
    <x v="4"/>
    <s v="No"/>
    <n v="0"/>
    <n v="1"/>
    <n v="57"/>
  </r>
  <r>
    <n v="156940254"/>
    <d v="2022-10-03T00:00:00"/>
    <d v="2022-10-03T00:00:00"/>
    <x v="0"/>
    <n v="39"/>
    <s v="month"/>
    <n v="0"/>
    <x v="4"/>
    <s v="Yes"/>
    <n v="1"/>
    <n v="0"/>
    <n v="0"/>
  </r>
  <r>
    <n v="156940060"/>
    <d v="2022-10-03T00:00:00"/>
    <d v="2022-10-10T00:00:00"/>
    <x v="0"/>
    <n v="39"/>
    <s v="month"/>
    <n v="7"/>
    <x v="4"/>
    <s v="No"/>
    <n v="0"/>
    <n v="0"/>
    <n v="7"/>
  </r>
  <r>
    <n v="156938938"/>
    <d v="2022-10-03T00:00:00"/>
    <d v="2022-10-03T00:00:00"/>
    <x v="0"/>
    <n v="39"/>
    <s v="month"/>
    <n v="0"/>
    <x v="4"/>
    <s v="Yes"/>
    <n v="1"/>
    <n v="0"/>
    <n v="0"/>
  </r>
  <r>
    <n v="156955272"/>
    <d v="2022-10-04T00:00:00"/>
    <d v="2023-04-21T00:00:00"/>
    <x v="0"/>
    <n v="39"/>
    <s v="month"/>
    <n v="199"/>
    <x v="5"/>
    <s v="No"/>
    <n v="0"/>
    <n v="1"/>
    <n v="199"/>
  </r>
  <r>
    <n v="156941638"/>
    <d v="2022-10-04T00:00:00"/>
    <d v="2023-03-15T00:00:00"/>
    <x v="0"/>
    <n v="39"/>
    <s v="month"/>
    <n v="162"/>
    <x v="5"/>
    <s v="No"/>
    <n v="0"/>
    <n v="1"/>
    <n v="162"/>
  </r>
  <r>
    <n v="157154624"/>
    <d v="2022-10-04T00:00:00"/>
    <d v="2023-01-30T00:00:00"/>
    <x v="0"/>
    <n v="39"/>
    <s v="month"/>
    <n v="118"/>
    <x v="5"/>
    <s v="No"/>
    <n v="0"/>
    <n v="1"/>
    <n v="118"/>
  </r>
  <r>
    <n v="151677119"/>
    <d v="2022-10-04T00:00:00"/>
    <d v="2022-12-14T00:00:00"/>
    <x v="0"/>
    <n v="39"/>
    <s v="month"/>
    <n v="71"/>
    <x v="5"/>
    <s v="No"/>
    <n v="0"/>
    <n v="1"/>
    <n v="71"/>
  </r>
  <r>
    <n v="139465940"/>
    <d v="2022-10-04T00:00:00"/>
    <d v="2022-11-05T00:00:00"/>
    <x v="0"/>
    <n v="39"/>
    <s v="month"/>
    <n v="32"/>
    <x v="5"/>
    <s v="No"/>
    <n v="0"/>
    <n v="1"/>
    <n v="32"/>
  </r>
  <r>
    <n v="156895692"/>
    <d v="2022-10-05T00:00:00"/>
    <m/>
    <x v="0"/>
    <n v="39"/>
    <s v="month"/>
    <s v=""/>
    <x v="6"/>
    <s v="No"/>
    <n v="0"/>
    <n v="0"/>
    <s v=""/>
  </r>
  <r>
    <n v="153587226"/>
    <d v="2022-10-05T00:00:00"/>
    <m/>
    <x v="0"/>
    <n v="39"/>
    <s v="month"/>
    <s v=""/>
    <x v="6"/>
    <s v="No"/>
    <n v="0"/>
    <n v="0"/>
    <s v=""/>
  </r>
  <r>
    <n v="157295262"/>
    <d v="2022-10-05T00:00:00"/>
    <d v="2023-04-03T00:00:00"/>
    <x v="0"/>
    <n v="39"/>
    <s v="month"/>
    <n v="180"/>
    <x v="6"/>
    <s v="No"/>
    <n v="0"/>
    <n v="1"/>
    <n v="180"/>
  </r>
  <r>
    <n v="157284386"/>
    <d v="2022-10-05T00:00:00"/>
    <d v="2023-04-02T00:00:00"/>
    <x v="0"/>
    <n v="39"/>
    <s v="month"/>
    <n v="179"/>
    <x v="6"/>
    <s v="No"/>
    <n v="0"/>
    <n v="1"/>
    <n v="179"/>
  </r>
  <r>
    <n v="148762867"/>
    <d v="2022-10-05T00:00:00"/>
    <d v="2023-06-23T00:00:00"/>
    <x v="0"/>
    <n v="39"/>
    <s v="month"/>
    <n v="261"/>
    <x v="6"/>
    <s v="No"/>
    <n v="0"/>
    <n v="1"/>
    <n v="261"/>
  </r>
  <r>
    <n v="150433978"/>
    <d v="2022-10-05T00:00:00"/>
    <d v="2022-11-05T00:00:00"/>
    <x v="0"/>
    <n v="39"/>
    <s v="month"/>
    <n v="31"/>
    <x v="6"/>
    <s v="No"/>
    <n v="0"/>
    <n v="1"/>
    <n v="31"/>
  </r>
  <r>
    <n v="157272487"/>
    <d v="2022-10-05T00:00:00"/>
    <d v="2022-12-07T00:00:00"/>
    <x v="0"/>
    <n v="39"/>
    <s v="month"/>
    <n v="63"/>
    <x v="6"/>
    <s v="No"/>
    <n v="0"/>
    <n v="1"/>
    <n v="63"/>
  </r>
  <r>
    <n v="153776370"/>
    <d v="2022-10-06T00:00:00"/>
    <d v="2022-12-06T00:00:00"/>
    <x v="0"/>
    <n v="39"/>
    <s v="month"/>
    <n v="61"/>
    <x v="0"/>
    <s v="No"/>
    <n v="0"/>
    <n v="1"/>
    <n v="61"/>
  </r>
  <r>
    <n v="157371444"/>
    <d v="2022-10-06T00:00:00"/>
    <d v="2022-12-08T00:00:00"/>
    <x v="0"/>
    <n v="39"/>
    <s v="month"/>
    <n v="63"/>
    <x v="0"/>
    <s v="No"/>
    <n v="0"/>
    <n v="1"/>
    <n v="63"/>
  </r>
  <r>
    <n v="157095464"/>
    <d v="2022-10-06T00:00:00"/>
    <d v="2023-07-13T00:00:00"/>
    <x v="0"/>
    <n v="39"/>
    <s v="month"/>
    <n v="280"/>
    <x v="0"/>
    <s v="No"/>
    <n v="0"/>
    <n v="1"/>
    <n v="280"/>
  </r>
  <r>
    <n v="153554190"/>
    <d v="2022-10-07T00:00:00"/>
    <m/>
    <x v="0"/>
    <n v="39"/>
    <s v="month"/>
    <s v=""/>
    <x v="1"/>
    <s v="No"/>
    <n v="0"/>
    <n v="0"/>
    <s v=""/>
  </r>
  <r>
    <n v="157411994"/>
    <d v="2022-10-07T00:00:00"/>
    <m/>
    <x v="0"/>
    <n v="39"/>
    <s v="month"/>
    <s v=""/>
    <x v="1"/>
    <s v="No"/>
    <n v="0"/>
    <n v="0"/>
    <s v=""/>
  </r>
  <r>
    <n v="157374056"/>
    <d v="2022-10-07T00:00:00"/>
    <d v="2022-11-07T00:00:00"/>
    <x v="0"/>
    <n v="39"/>
    <s v="month"/>
    <n v="31"/>
    <x v="1"/>
    <s v="No"/>
    <n v="0"/>
    <n v="1"/>
    <n v="31"/>
  </r>
  <r>
    <n v="157397941"/>
    <d v="2022-10-07T00:00:00"/>
    <d v="2022-11-03T00:00:00"/>
    <x v="0"/>
    <n v="39"/>
    <s v="month"/>
    <n v="27"/>
    <x v="1"/>
    <s v="No"/>
    <n v="0"/>
    <n v="0"/>
    <n v="27"/>
  </r>
  <r>
    <n v="157234944"/>
    <d v="2022-10-07T00:00:00"/>
    <d v="2022-10-24T00:00:00"/>
    <x v="0"/>
    <n v="39"/>
    <s v="month"/>
    <n v="17"/>
    <x v="1"/>
    <s v="No"/>
    <n v="0"/>
    <n v="0"/>
    <n v="17"/>
  </r>
  <r>
    <n v="157490039"/>
    <d v="2022-10-08T00:00:00"/>
    <d v="2023-03-15T00:00:00"/>
    <x v="0"/>
    <n v="39"/>
    <s v="month"/>
    <n v="158"/>
    <x v="2"/>
    <s v="No"/>
    <n v="0"/>
    <n v="1"/>
    <n v="158"/>
  </r>
  <r>
    <n v="157484010"/>
    <d v="2022-10-08T00:00:00"/>
    <d v="2023-03-15T00:00:00"/>
    <x v="0"/>
    <n v="39"/>
    <s v="month"/>
    <n v="158"/>
    <x v="2"/>
    <s v="No"/>
    <n v="0"/>
    <n v="1"/>
    <n v="158"/>
  </r>
  <r>
    <n v="125038257"/>
    <d v="2022-10-08T00:00:00"/>
    <d v="2022-11-17T00:00:00"/>
    <x v="0"/>
    <n v="39"/>
    <s v="month"/>
    <n v="40"/>
    <x v="2"/>
    <s v="No"/>
    <n v="0"/>
    <n v="1"/>
    <n v="40"/>
  </r>
  <r>
    <n v="157400730"/>
    <d v="2022-10-08T00:00:00"/>
    <d v="2022-10-26T00:00:00"/>
    <x v="0"/>
    <n v="39"/>
    <s v="month"/>
    <n v="18"/>
    <x v="2"/>
    <s v="No"/>
    <n v="0"/>
    <n v="0"/>
    <n v="18"/>
  </r>
  <r>
    <n v="157450645"/>
    <d v="2022-10-08T00:00:00"/>
    <d v="2022-10-18T00:00:00"/>
    <x v="0"/>
    <n v="39"/>
    <s v="month"/>
    <n v="10"/>
    <x v="2"/>
    <s v="No"/>
    <n v="0"/>
    <n v="0"/>
    <n v="10"/>
  </r>
  <r>
    <n v="156943008"/>
    <d v="2022-10-09T00:00:00"/>
    <d v="2022-10-10T00:00:00"/>
    <x v="0"/>
    <n v="39"/>
    <s v="month"/>
    <n v="1"/>
    <x v="3"/>
    <s v="No"/>
    <n v="1"/>
    <n v="0"/>
    <n v="1"/>
  </r>
  <r>
    <n v="127328047"/>
    <d v="2022-10-09T00:00:00"/>
    <d v="2023-01-16T00:00:00"/>
    <x v="0"/>
    <n v="39"/>
    <s v="month"/>
    <n v="99"/>
    <x v="3"/>
    <s v="No"/>
    <n v="0"/>
    <n v="1"/>
    <n v="99"/>
  </r>
  <r>
    <n v="157506842"/>
    <d v="2022-10-09T00:00:00"/>
    <d v="2022-11-15T00:00:00"/>
    <x v="0"/>
    <n v="39"/>
    <s v="month"/>
    <n v="37"/>
    <x v="3"/>
    <s v="No"/>
    <n v="0"/>
    <n v="1"/>
    <n v="37"/>
  </r>
  <r>
    <n v="150924853"/>
    <d v="2022-10-09T00:00:00"/>
    <d v="2022-11-23T00:00:00"/>
    <x v="0"/>
    <n v="39"/>
    <s v="month"/>
    <n v="45"/>
    <x v="3"/>
    <s v="No"/>
    <n v="0"/>
    <n v="1"/>
    <n v="45"/>
  </r>
  <r>
    <n v="156996568"/>
    <d v="2022-10-10T00:00:00"/>
    <m/>
    <x v="0"/>
    <n v="39"/>
    <s v="month"/>
    <s v=""/>
    <x v="4"/>
    <s v="No"/>
    <n v="0"/>
    <n v="0"/>
    <s v=""/>
  </r>
  <r>
    <n v="157627904"/>
    <d v="2022-10-10T00:00:00"/>
    <d v="2023-01-11T00:00:00"/>
    <x v="0"/>
    <n v="39"/>
    <s v="month"/>
    <n v="93"/>
    <x v="4"/>
    <s v="No"/>
    <n v="0"/>
    <n v="1"/>
    <n v="93"/>
  </r>
  <r>
    <n v="157058101"/>
    <d v="2022-10-10T00:00:00"/>
    <d v="2022-11-09T00:00:00"/>
    <x v="0"/>
    <n v="39"/>
    <s v="month"/>
    <n v="30"/>
    <x v="4"/>
    <s v="No"/>
    <n v="0"/>
    <n v="0"/>
    <n v="30"/>
  </r>
  <r>
    <n v="157394598"/>
    <d v="2022-10-11T00:00:00"/>
    <d v="2022-10-12T00:00:00"/>
    <x v="1"/>
    <n v="39"/>
    <s v="month"/>
    <n v="1"/>
    <x v="5"/>
    <s v="No"/>
    <n v="1"/>
    <n v="0"/>
    <n v="1"/>
  </r>
  <r>
    <n v="157765918"/>
    <d v="2022-10-11T00:00:00"/>
    <d v="2022-10-12T00:00:00"/>
    <x v="1"/>
    <n v="39"/>
    <s v="month"/>
    <n v="1"/>
    <x v="5"/>
    <s v="No"/>
    <n v="1"/>
    <n v="0"/>
    <n v="1"/>
  </r>
  <r>
    <n v="157746458"/>
    <d v="2022-10-11T00:00:00"/>
    <d v="2023-04-25T00:00:00"/>
    <x v="0"/>
    <n v="39"/>
    <s v="month"/>
    <n v="196"/>
    <x v="5"/>
    <s v="No"/>
    <n v="0"/>
    <n v="1"/>
    <n v="196"/>
  </r>
  <r>
    <n v="157590918"/>
    <d v="2022-10-11T00:00:00"/>
    <d v="2023-02-12T00:00:00"/>
    <x v="0"/>
    <n v="39"/>
    <s v="month"/>
    <n v="124"/>
    <x v="5"/>
    <s v="No"/>
    <n v="0"/>
    <n v="1"/>
    <n v="124"/>
  </r>
  <r>
    <n v="157290992"/>
    <d v="2022-10-11T00:00:00"/>
    <d v="2023-01-10T00:00:00"/>
    <x v="0"/>
    <n v="39"/>
    <s v="month"/>
    <n v="91"/>
    <x v="5"/>
    <s v="No"/>
    <n v="0"/>
    <n v="1"/>
    <n v="91"/>
  </r>
  <r>
    <n v="156895701"/>
    <d v="2022-10-11T00:00:00"/>
    <d v="2022-12-18T00:00:00"/>
    <x v="0"/>
    <n v="39"/>
    <s v="month"/>
    <n v="68"/>
    <x v="5"/>
    <s v="No"/>
    <n v="0"/>
    <n v="1"/>
    <n v="68"/>
  </r>
  <r>
    <n v="155926313"/>
    <d v="2022-10-11T00:00:00"/>
    <d v="2022-11-28T00:00:00"/>
    <x v="0"/>
    <n v="39"/>
    <s v="month"/>
    <n v="48"/>
    <x v="5"/>
    <s v="No"/>
    <n v="0"/>
    <n v="1"/>
    <n v="48"/>
  </r>
  <r>
    <n v="156110000"/>
    <d v="2022-10-11T00:00:00"/>
    <d v="2022-11-16T00:00:00"/>
    <x v="0"/>
    <n v="39"/>
    <s v="month"/>
    <n v="36"/>
    <x v="5"/>
    <s v="No"/>
    <n v="0"/>
    <n v="1"/>
    <n v="36"/>
  </r>
  <r>
    <n v="157851493"/>
    <d v="2022-10-12T00:00:00"/>
    <d v="2023-04-04T00:00:00"/>
    <x v="0"/>
    <n v="39"/>
    <s v="month"/>
    <n v="174"/>
    <x v="6"/>
    <s v="No"/>
    <n v="0"/>
    <n v="1"/>
    <n v="174"/>
  </r>
  <r>
    <n v="157792408"/>
    <d v="2022-10-12T00:00:00"/>
    <d v="2023-06-10T00:00:00"/>
    <x v="0"/>
    <n v="39"/>
    <s v="month"/>
    <n v="241"/>
    <x v="6"/>
    <s v="No"/>
    <n v="0"/>
    <n v="1"/>
    <n v="241"/>
  </r>
  <r>
    <n v="157868778"/>
    <d v="2022-10-12T00:00:00"/>
    <d v="2022-11-07T00:00:00"/>
    <x v="0"/>
    <n v="39"/>
    <s v="month"/>
    <n v="26"/>
    <x v="6"/>
    <s v="No"/>
    <n v="0"/>
    <n v="0"/>
    <n v="26"/>
  </r>
  <r>
    <n v="157833252"/>
    <d v="2022-10-12T00:00:00"/>
    <d v="2022-10-23T00:00:00"/>
    <x v="0"/>
    <n v="39"/>
    <s v="month"/>
    <n v="11"/>
    <x v="6"/>
    <s v="No"/>
    <n v="0"/>
    <n v="0"/>
    <n v="11"/>
  </r>
  <r>
    <n v="149662340"/>
    <d v="2022-10-13T00:00:00"/>
    <m/>
    <x v="0"/>
    <n v="39"/>
    <s v="month"/>
    <s v=""/>
    <x v="0"/>
    <s v="No"/>
    <n v="0"/>
    <n v="0"/>
    <s v=""/>
  </r>
  <r>
    <n v="126918448"/>
    <d v="2022-10-13T00:00:00"/>
    <m/>
    <x v="0"/>
    <n v="39"/>
    <s v="month"/>
    <s v=""/>
    <x v="0"/>
    <s v="No"/>
    <n v="0"/>
    <n v="0"/>
    <s v=""/>
  </r>
  <r>
    <n v="136897370"/>
    <d v="2022-10-13T00:00:00"/>
    <d v="2023-01-17T00:00:00"/>
    <x v="0"/>
    <n v="39"/>
    <s v="month"/>
    <n v="96"/>
    <x v="0"/>
    <s v="No"/>
    <n v="0"/>
    <n v="1"/>
    <n v="96"/>
  </r>
  <r>
    <n v="157921307"/>
    <d v="2022-10-13T00:00:00"/>
    <d v="2023-05-30T00:00:00"/>
    <x v="0"/>
    <n v="39"/>
    <s v="month"/>
    <n v="229"/>
    <x v="0"/>
    <s v="No"/>
    <n v="0"/>
    <n v="1"/>
    <n v="229"/>
  </r>
  <r>
    <n v="157905868"/>
    <d v="2022-10-13T00:00:00"/>
    <d v="2023-02-06T00:00:00"/>
    <x v="0"/>
    <n v="39"/>
    <s v="month"/>
    <n v="116"/>
    <x v="0"/>
    <s v="No"/>
    <n v="0"/>
    <n v="1"/>
    <n v="116"/>
  </r>
  <r>
    <n v="152377785"/>
    <d v="2022-10-13T00:00:00"/>
    <d v="2023-01-11T00:00:00"/>
    <x v="0"/>
    <n v="39"/>
    <s v="month"/>
    <n v="90"/>
    <x v="0"/>
    <s v="No"/>
    <n v="0"/>
    <n v="1"/>
    <n v="90"/>
  </r>
  <r>
    <n v="157567612"/>
    <d v="2022-10-13T00:00:00"/>
    <d v="2022-11-03T00:00:00"/>
    <x v="0"/>
    <n v="39"/>
    <s v="month"/>
    <n v="21"/>
    <x v="0"/>
    <s v="No"/>
    <n v="0"/>
    <n v="0"/>
    <n v="21"/>
  </r>
  <r>
    <n v="157993772"/>
    <d v="2022-10-15T00:00:00"/>
    <d v="2022-10-15T00:00:00"/>
    <x v="1"/>
    <n v="39"/>
    <s v="month"/>
    <n v="0"/>
    <x v="2"/>
    <s v="Yes"/>
    <n v="1"/>
    <n v="0"/>
    <n v="0"/>
  </r>
  <r>
    <n v="148769034"/>
    <d v="2022-10-15T00:00:00"/>
    <d v="2023-03-13T00:00:00"/>
    <x v="0"/>
    <n v="39"/>
    <s v="month"/>
    <n v="149"/>
    <x v="2"/>
    <s v="No"/>
    <n v="0"/>
    <n v="1"/>
    <n v="149"/>
  </r>
  <r>
    <n v="158050283"/>
    <d v="2022-10-15T00:00:00"/>
    <d v="2023-07-07T00:00:00"/>
    <x v="0"/>
    <n v="39"/>
    <s v="month"/>
    <n v="265"/>
    <x v="2"/>
    <s v="No"/>
    <n v="0"/>
    <n v="1"/>
    <n v="265"/>
  </r>
  <r>
    <n v="157436507"/>
    <d v="2022-10-16T00:00:00"/>
    <m/>
    <x v="0"/>
    <n v="39"/>
    <s v="month"/>
    <s v=""/>
    <x v="3"/>
    <s v="No"/>
    <n v="0"/>
    <n v="0"/>
    <s v=""/>
  </r>
  <r>
    <n v="123808301"/>
    <d v="2022-10-16T00:00:00"/>
    <d v="2022-10-27T00:00:00"/>
    <x v="0"/>
    <n v="39"/>
    <s v="month"/>
    <n v="11"/>
    <x v="3"/>
    <s v="No"/>
    <n v="0"/>
    <n v="0"/>
    <n v="11"/>
  </r>
  <r>
    <n v="158033452"/>
    <d v="2022-10-16T00:00:00"/>
    <d v="2023-03-02T00:00:00"/>
    <x v="0"/>
    <n v="39"/>
    <s v="month"/>
    <n v="137"/>
    <x v="3"/>
    <s v="No"/>
    <n v="0"/>
    <n v="1"/>
    <n v="137"/>
  </r>
  <r>
    <n v="156796659"/>
    <d v="2022-10-16T00:00:00"/>
    <d v="2023-03-09T00:00:00"/>
    <x v="0"/>
    <n v="39"/>
    <s v="month"/>
    <n v="144"/>
    <x v="3"/>
    <s v="No"/>
    <n v="0"/>
    <n v="1"/>
    <n v="144"/>
  </r>
  <r>
    <n v="158093021"/>
    <d v="2022-10-16T00:00:00"/>
    <d v="2022-12-27T00:00:00"/>
    <x v="0"/>
    <n v="39"/>
    <s v="month"/>
    <n v="72"/>
    <x v="3"/>
    <s v="No"/>
    <n v="0"/>
    <n v="1"/>
    <n v="72"/>
  </r>
  <r>
    <n v="157900412"/>
    <d v="2022-10-16T00:00:00"/>
    <d v="2022-11-09T00:00:00"/>
    <x v="0"/>
    <n v="39"/>
    <s v="month"/>
    <n v="24"/>
    <x v="3"/>
    <s v="No"/>
    <n v="0"/>
    <n v="0"/>
    <n v="24"/>
  </r>
  <r>
    <n v="152892719"/>
    <d v="2022-10-16T00:00:00"/>
    <d v="2022-10-16T00:00:00"/>
    <x v="0"/>
    <n v="39"/>
    <s v="month"/>
    <n v="0"/>
    <x v="3"/>
    <s v="Yes"/>
    <n v="1"/>
    <n v="0"/>
    <n v="0"/>
  </r>
  <r>
    <n v="158009130"/>
    <d v="2022-10-17T00:00:00"/>
    <m/>
    <x v="0"/>
    <n v="39"/>
    <s v="month"/>
    <s v=""/>
    <x v="4"/>
    <s v="No"/>
    <n v="0"/>
    <n v="0"/>
    <s v=""/>
  </r>
  <r>
    <n v="157904656"/>
    <d v="2022-10-17T00:00:00"/>
    <d v="2022-12-15T00:00:00"/>
    <x v="0"/>
    <n v="39"/>
    <s v="month"/>
    <n v="59"/>
    <x v="4"/>
    <s v="No"/>
    <n v="0"/>
    <n v="1"/>
    <n v="59"/>
  </r>
  <r>
    <n v="157838980"/>
    <d v="2022-10-17T00:00:00"/>
    <d v="2023-02-16T00:00:00"/>
    <x v="0"/>
    <n v="39"/>
    <s v="month"/>
    <n v="122"/>
    <x v="4"/>
    <s v="No"/>
    <n v="0"/>
    <n v="1"/>
    <n v="122"/>
  </r>
  <r>
    <n v="123402996"/>
    <d v="2022-10-17T00:00:00"/>
    <d v="2023-01-04T00:00:00"/>
    <x v="0"/>
    <n v="39"/>
    <s v="month"/>
    <n v="79"/>
    <x v="4"/>
    <s v="No"/>
    <n v="0"/>
    <n v="1"/>
    <n v="79"/>
  </r>
  <r>
    <n v="158112356"/>
    <d v="2022-10-17T00:00:00"/>
    <d v="2022-12-30T00:00:00"/>
    <x v="0"/>
    <n v="39"/>
    <s v="month"/>
    <n v="74"/>
    <x v="4"/>
    <s v="No"/>
    <n v="0"/>
    <n v="1"/>
    <n v="74"/>
  </r>
  <r>
    <n v="152410420"/>
    <d v="2022-10-17T00:00:00"/>
    <d v="2022-11-18T00:00:00"/>
    <x v="0"/>
    <n v="39"/>
    <s v="month"/>
    <n v="32"/>
    <x v="4"/>
    <s v="No"/>
    <n v="0"/>
    <n v="1"/>
    <n v="32"/>
  </r>
  <r>
    <n v="158164441"/>
    <d v="2022-10-17T00:00:00"/>
    <d v="2022-11-17T00:00:00"/>
    <x v="0"/>
    <n v="39"/>
    <s v="month"/>
    <n v="31"/>
    <x v="4"/>
    <s v="No"/>
    <n v="0"/>
    <n v="1"/>
    <n v="31"/>
  </r>
  <r>
    <n v="153956466"/>
    <d v="2022-10-17T00:00:00"/>
    <d v="2022-11-17T00:00:00"/>
    <x v="0"/>
    <n v="39"/>
    <s v="month"/>
    <n v="31"/>
    <x v="4"/>
    <s v="No"/>
    <n v="0"/>
    <n v="1"/>
    <n v="31"/>
  </r>
  <r>
    <n v="158100990"/>
    <d v="2022-10-17T00:00:00"/>
    <d v="2022-11-14T00:00:00"/>
    <x v="0"/>
    <n v="39"/>
    <s v="month"/>
    <n v="28"/>
    <x v="4"/>
    <s v="No"/>
    <n v="0"/>
    <n v="0"/>
    <n v="28"/>
  </r>
  <r>
    <n v="158096894"/>
    <d v="2022-10-17T00:00:00"/>
    <d v="2022-11-14T00:00:00"/>
    <x v="0"/>
    <n v="39"/>
    <s v="month"/>
    <n v="28"/>
    <x v="4"/>
    <s v="No"/>
    <n v="0"/>
    <n v="0"/>
    <n v="28"/>
  </r>
  <r>
    <n v="158066376"/>
    <d v="2022-10-17T00:00:00"/>
    <d v="2022-11-08T00:00:00"/>
    <x v="0"/>
    <n v="39"/>
    <s v="month"/>
    <n v="22"/>
    <x v="4"/>
    <s v="No"/>
    <n v="0"/>
    <n v="0"/>
    <n v="22"/>
  </r>
  <r>
    <n v="158220808"/>
    <d v="2022-10-18T00:00:00"/>
    <m/>
    <x v="1"/>
    <n v="39"/>
    <s v="month"/>
    <s v=""/>
    <x v="5"/>
    <s v="No"/>
    <n v="0"/>
    <n v="0"/>
    <s v=""/>
  </r>
  <r>
    <n v="131779624"/>
    <d v="2022-10-18T00:00:00"/>
    <d v="2022-11-25T00:00:00"/>
    <x v="0"/>
    <n v="39"/>
    <s v="month"/>
    <n v="38"/>
    <x v="5"/>
    <s v="No"/>
    <n v="0"/>
    <n v="1"/>
    <n v="38"/>
  </r>
  <r>
    <n v="158267390"/>
    <d v="2022-10-18T00:00:00"/>
    <d v="2022-12-25T00:00:00"/>
    <x v="0"/>
    <n v="39"/>
    <s v="month"/>
    <n v="68"/>
    <x v="5"/>
    <s v="No"/>
    <n v="0"/>
    <n v="1"/>
    <n v="68"/>
  </r>
  <r>
    <n v="152354478"/>
    <d v="2022-10-18T00:00:00"/>
    <d v="2023-02-02T00:00:00"/>
    <x v="0"/>
    <n v="39"/>
    <s v="month"/>
    <n v="107"/>
    <x v="5"/>
    <s v="No"/>
    <n v="0"/>
    <n v="1"/>
    <n v="107"/>
  </r>
  <r>
    <n v="146376235"/>
    <d v="2022-10-18T00:00:00"/>
    <d v="2022-12-07T00:00:00"/>
    <x v="0"/>
    <n v="39"/>
    <s v="month"/>
    <n v="50"/>
    <x v="5"/>
    <s v="No"/>
    <n v="0"/>
    <n v="1"/>
    <n v="50"/>
  </r>
  <r>
    <n v="153953296"/>
    <d v="2022-10-18T00:00:00"/>
    <d v="2022-11-02T00:00:00"/>
    <x v="0"/>
    <n v="39"/>
    <s v="month"/>
    <n v="15"/>
    <x v="5"/>
    <s v="No"/>
    <n v="0"/>
    <n v="0"/>
    <n v="15"/>
  </r>
  <r>
    <n v="154659594"/>
    <d v="2022-10-18T00:00:00"/>
    <d v="2022-11-14T00:00:00"/>
    <x v="0"/>
    <n v="39"/>
    <s v="month"/>
    <n v="27"/>
    <x v="5"/>
    <s v="No"/>
    <n v="0"/>
    <n v="0"/>
    <n v="27"/>
  </r>
  <r>
    <n v="157998778"/>
    <d v="2022-10-18T00:00:00"/>
    <d v="2022-11-25T00:00:00"/>
    <x v="0"/>
    <n v="39"/>
    <s v="month"/>
    <n v="38"/>
    <x v="5"/>
    <s v="No"/>
    <n v="0"/>
    <n v="1"/>
    <n v="38"/>
  </r>
  <r>
    <n v="150668840"/>
    <d v="2022-10-18T00:00:00"/>
    <d v="2022-11-01T00:00:00"/>
    <x v="0"/>
    <n v="39"/>
    <s v="month"/>
    <n v="14"/>
    <x v="5"/>
    <s v="No"/>
    <n v="0"/>
    <n v="0"/>
    <n v="14"/>
  </r>
  <r>
    <n v="158184958"/>
    <d v="2022-10-18T00:00:00"/>
    <d v="2022-11-02T00:00:00"/>
    <x v="0"/>
    <n v="39"/>
    <s v="month"/>
    <n v="15"/>
    <x v="5"/>
    <s v="No"/>
    <n v="0"/>
    <n v="0"/>
    <n v="15"/>
  </r>
  <r>
    <n v="158362440"/>
    <d v="2022-10-19T00:00:00"/>
    <d v="2023-05-19T00:00:00"/>
    <x v="0"/>
    <n v="39"/>
    <s v="month"/>
    <n v="212"/>
    <x v="6"/>
    <s v="No"/>
    <n v="0"/>
    <n v="1"/>
    <n v="212"/>
  </r>
  <r>
    <n v="158477370"/>
    <d v="2022-10-19T00:00:00"/>
    <d v="2023-02-21T00:00:00"/>
    <x v="0"/>
    <n v="39"/>
    <s v="month"/>
    <n v="125"/>
    <x v="6"/>
    <s v="No"/>
    <n v="0"/>
    <n v="1"/>
    <n v="125"/>
  </r>
  <r>
    <n v="158047538"/>
    <d v="2022-10-19T00:00:00"/>
    <d v="2023-01-22T00:00:00"/>
    <x v="0"/>
    <n v="39"/>
    <s v="month"/>
    <n v="95"/>
    <x v="6"/>
    <s v="No"/>
    <n v="0"/>
    <n v="1"/>
    <n v="95"/>
  </r>
  <r>
    <n v="157910445"/>
    <d v="2022-10-19T00:00:00"/>
    <d v="2023-01-15T00:00:00"/>
    <x v="0"/>
    <n v="39"/>
    <s v="month"/>
    <n v="88"/>
    <x v="6"/>
    <s v="No"/>
    <n v="0"/>
    <n v="1"/>
    <n v="88"/>
  </r>
  <r>
    <n v="154091460"/>
    <d v="2022-10-19T00:00:00"/>
    <d v="2023-06-21T00:00:00"/>
    <x v="0"/>
    <n v="39"/>
    <s v="month"/>
    <n v="245"/>
    <x v="6"/>
    <s v="No"/>
    <n v="0"/>
    <n v="1"/>
    <n v="245"/>
  </r>
  <r>
    <n v="158532103"/>
    <d v="2022-10-20T00:00:00"/>
    <d v="2023-05-13T00:00:00"/>
    <x v="0"/>
    <n v="39"/>
    <s v="month"/>
    <n v="205"/>
    <x v="0"/>
    <s v="No"/>
    <n v="0"/>
    <n v="1"/>
    <n v="205"/>
  </r>
  <r>
    <n v="158591698"/>
    <d v="2022-10-20T00:00:00"/>
    <d v="2023-03-17T00:00:00"/>
    <x v="0"/>
    <n v="39"/>
    <s v="month"/>
    <n v="148"/>
    <x v="0"/>
    <s v="No"/>
    <n v="0"/>
    <n v="1"/>
    <n v="148"/>
  </r>
  <r>
    <n v="158533909"/>
    <d v="2022-10-20T00:00:00"/>
    <d v="2023-01-27T00:00:00"/>
    <x v="0"/>
    <n v="39"/>
    <s v="month"/>
    <n v="99"/>
    <x v="0"/>
    <s v="No"/>
    <n v="0"/>
    <n v="1"/>
    <n v="99"/>
  </r>
  <r>
    <n v="156372496"/>
    <d v="2022-10-20T00:00:00"/>
    <d v="2022-12-15T00:00:00"/>
    <x v="0"/>
    <n v="39"/>
    <s v="month"/>
    <n v="56"/>
    <x v="0"/>
    <s v="No"/>
    <n v="0"/>
    <n v="1"/>
    <n v="56"/>
  </r>
  <r>
    <n v="158620475"/>
    <d v="2022-10-20T00:00:00"/>
    <d v="2023-07-28T00:00:00"/>
    <x v="0"/>
    <n v="39"/>
    <s v="month"/>
    <n v="281"/>
    <x v="0"/>
    <s v="No"/>
    <n v="0"/>
    <n v="1"/>
    <n v="281"/>
  </r>
  <r>
    <n v="158539824"/>
    <d v="2022-10-20T00:00:00"/>
    <d v="2023-06-20T00:00:00"/>
    <x v="0"/>
    <n v="39"/>
    <s v="month"/>
    <n v="243"/>
    <x v="0"/>
    <s v="No"/>
    <n v="0"/>
    <n v="1"/>
    <n v="243"/>
  </r>
  <r>
    <n v="158499042"/>
    <d v="2022-10-21T00:00:00"/>
    <m/>
    <x v="0"/>
    <n v="39"/>
    <s v="month"/>
    <s v=""/>
    <x v="1"/>
    <s v="No"/>
    <n v="0"/>
    <n v="0"/>
    <s v=""/>
  </r>
  <r>
    <n v="158755464"/>
    <d v="2022-10-21T00:00:00"/>
    <d v="2022-11-28T00:00:00"/>
    <x v="0"/>
    <n v="39"/>
    <s v="month"/>
    <n v="38"/>
    <x v="1"/>
    <s v="No"/>
    <n v="0"/>
    <n v="1"/>
    <n v="38"/>
  </r>
  <r>
    <n v="149112756"/>
    <d v="2022-10-21T00:00:00"/>
    <d v="2023-05-28T00:00:00"/>
    <x v="0"/>
    <n v="39"/>
    <s v="month"/>
    <n v="219"/>
    <x v="1"/>
    <s v="No"/>
    <n v="0"/>
    <n v="1"/>
    <n v="219"/>
  </r>
  <r>
    <n v="149065622"/>
    <d v="2022-10-21T00:00:00"/>
    <d v="2022-12-28T00:00:00"/>
    <x v="0"/>
    <n v="39"/>
    <s v="month"/>
    <n v="68"/>
    <x v="1"/>
    <s v="No"/>
    <n v="0"/>
    <n v="1"/>
    <n v="68"/>
  </r>
  <r>
    <n v="158656065"/>
    <d v="2022-10-21T00:00:00"/>
    <d v="2022-12-30T00:00:00"/>
    <x v="0"/>
    <n v="39"/>
    <s v="month"/>
    <n v="70"/>
    <x v="1"/>
    <s v="No"/>
    <n v="0"/>
    <n v="1"/>
    <n v="70"/>
  </r>
  <r>
    <n v="158756090"/>
    <d v="2022-10-21T00:00:00"/>
    <d v="2022-11-02T00:00:00"/>
    <x v="0"/>
    <n v="39"/>
    <s v="month"/>
    <n v="12"/>
    <x v="1"/>
    <s v="No"/>
    <n v="0"/>
    <n v="0"/>
    <n v="12"/>
  </r>
  <r>
    <n v="158447710"/>
    <d v="2022-10-21T00:00:00"/>
    <d v="2022-11-18T00:00:00"/>
    <x v="0"/>
    <n v="39"/>
    <s v="month"/>
    <n v="28"/>
    <x v="1"/>
    <s v="No"/>
    <n v="0"/>
    <n v="0"/>
    <n v="28"/>
  </r>
  <r>
    <n v="157568391"/>
    <d v="2022-10-21T00:00:00"/>
    <d v="2022-11-21T00:00:00"/>
    <x v="0"/>
    <n v="39"/>
    <s v="month"/>
    <n v="31"/>
    <x v="1"/>
    <s v="No"/>
    <n v="0"/>
    <n v="1"/>
    <n v="31"/>
  </r>
  <r>
    <n v="157505106"/>
    <d v="2022-10-22T00:00:00"/>
    <m/>
    <x v="0"/>
    <n v="39"/>
    <s v="month"/>
    <s v=""/>
    <x v="2"/>
    <s v="No"/>
    <n v="0"/>
    <n v="0"/>
    <s v=""/>
  </r>
  <r>
    <n v="158761363"/>
    <d v="2022-10-22T00:00:00"/>
    <d v="2023-02-26T00:00:00"/>
    <x v="0"/>
    <n v="39"/>
    <s v="month"/>
    <n v="127"/>
    <x v="2"/>
    <s v="No"/>
    <n v="0"/>
    <n v="1"/>
    <n v="127"/>
  </r>
  <r>
    <n v="144858980"/>
    <d v="2022-10-22T00:00:00"/>
    <d v="2022-12-22T00:00:00"/>
    <x v="0"/>
    <n v="39"/>
    <s v="month"/>
    <n v="61"/>
    <x v="2"/>
    <s v="No"/>
    <n v="0"/>
    <n v="1"/>
    <n v="61"/>
  </r>
  <r>
    <n v="151000288"/>
    <d v="2022-10-22T00:00:00"/>
    <d v="2022-12-22T00:00:00"/>
    <x v="0"/>
    <n v="39"/>
    <s v="month"/>
    <n v="61"/>
    <x v="2"/>
    <s v="No"/>
    <n v="0"/>
    <n v="1"/>
    <n v="61"/>
  </r>
  <r>
    <n v="136276852"/>
    <d v="2022-10-22T00:00:00"/>
    <d v="2022-11-22T00:00:00"/>
    <x v="0"/>
    <n v="39"/>
    <s v="month"/>
    <n v="31"/>
    <x v="2"/>
    <s v="No"/>
    <n v="0"/>
    <n v="1"/>
    <n v="31"/>
  </r>
  <r>
    <n v="158767852"/>
    <d v="2022-10-22T00:00:00"/>
    <d v="2022-11-29T00:00:00"/>
    <x v="0"/>
    <n v="39"/>
    <s v="month"/>
    <n v="38"/>
    <x v="2"/>
    <s v="No"/>
    <n v="0"/>
    <n v="1"/>
    <n v="38"/>
  </r>
  <r>
    <n v="158849640"/>
    <d v="2022-10-23T00:00:00"/>
    <m/>
    <x v="0"/>
    <n v="39"/>
    <s v="month"/>
    <s v=""/>
    <x v="3"/>
    <s v="No"/>
    <n v="0"/>
    <n v="0"/>
    <s v=""/>
  </r>
  <r>
    <n v="151491892"/>
    <d v="2022-10-23T00:00:00"/>
    <d v="2022-10-24T00:00:00"/>
    <x v="0"/>
    <n v="39"/>
    <s v="month"/>
    <n v="1"/>
    <x v="3"/>
    <s v="No"/>
    <n v="1"/>
    <n v="0"/>
    <n v="1"/>
  </r>
  <r>
    <n v="157474087"/>
    <d v="2022-10-23T00:00:00"/>
    <d v="2022-12-30T00:00:00"/>
    <x v="0"/>
    <n v="39"/>
    <s v="month"/>
    <n v="68"/>
    <x v="3"/>
    <s v="No"/>
    <n v="0"/>
    <n v="1"/>
    <n v="68"/>
  </r>
  <r>
    <n v="157997679"/>
    <d v="2022-10-23T00:00:00"/>
    <d v="2023-06-18T00:00:00"/>
    <x v="0"/>
    <n v="39"/>
    <s v="month"/>
    <n v="238"/>
    <x v="3"/>
    <s v="No"/>
    <n v="0"/>
    <n v="1"/>
    <n v="238"/>
  </r>
  <r>
    <n v="158566772"/>
    <d v="2022-10-23T00:00:00"/>
    <d v="2023-02-21T00:00:00"/>
    <x v="0"/>
    <n v="39"/>
    <s v="month"/>
    <n v="121"/>
    <x v="3"/>
    <s v="No"/>
    <n v="0"/>
    <n v="1"/>
    <n v="121"/>
  </r>
  <r>
    <n v="157788656"/>
    <d v="2022-10-23T00:00:00"/>
    <d v="2022-12-20T00:00:00"/>
    <x v="0"/>
    <n v="39"/>
    <s v="month"/>
    <n v="58"/>
    <x v="3"/>
    <s v="No"/>
    <n v="0"/>
    <n v="1"/>
    <n v="58"/>
  </r>
  <r>
    <n v="158832658"/>
    <d v="2022-10-23T00:00:00"/>
    <d v="2022-11-02T00:00:00"/>
    <x v="0"/>
    <n v="39"/>
    <s v="month"/>
    <n v="10"/>
    <x v="3"/>
    <s v="No"/>
    <n v="0"/>
    <n v="0"/>
    <n v="10"/>
  </r>
  <r>
    <n v="130837976"/>
    <d v="2022-10-23T00:00:00"/>
    <d v="2022-11-23T00:00:00"/>
    <x v="0"/>
    <n v="39"/>
    <s v="month"/>
    <n v="31"/>
    <x v="3"/>
    <s v="No"/>
    <n v="0"/>
    <n v="1"/>
    <n v="31"/>
  </r>
  <r>
    <n v="159095030"/>
    <d v="2022-10-24T00:00:00"/>
    <d v="2023-02-16T00:00:00"/>
    <x v="0"/>
    <n v="39"/>
    <s v="month"/>
    <n v="115"/>
    <x v="4"/>
    <s v="No"/>
    <n v="0"/>
    <n v="1"/>
    <n v="115"/>
  </r>
  <r>
    <n v="159028041"/>
    <d v="2022-10-24T00:00:00"/>
    <d v="2022-12-01T00:00:00"/>
    <x v="0"/>
    <n v="39"/>
    <s v="month"/>
    <n v="38"/>
    <x v="4"/>
    <s v="No"/>
    <n v="0"/>
    <n v="1"/>
    <n v="38"/>
  </r>
  <r>
    <n v="159018168"/>
    <d v="2022-10-24T00:00:00"/>
    <d v="2022-12-01T00:00:00"/>
    <x v="0"/>
    <n v="39"/>
    <s v="month"/>
    <n v="38"/>
    <x v="4"/>
    <s v="No"/>
    <n v="0"/>
    <n v="1"/>
    <n v="38"/>
  </r>
  <r>
    <n v="157981870"/>
    <d v="2022-10-24T00:00:00"/>
    <d v="2022-11-07T00:00:00"/>
    <x v="0"/>
    <n v="39"/>
    <s v="month"/>
    <n v="14"/>
    <x v="4"/>
    <s v="No"/>
    <n v="0"/>
    <n v="0"/>
    <n v="14"/>
  </r>
  <r>
    <n v="153061698"/>
    <d v="2022-10-24T00:00:00"/>
    <d v="2022-11-24T00:00:00"/>
    <x v="0"/>
    <n v="39"/>
    <s v="month"/>
    <n v="31"/>
    <x v="4"/>
    <s v="No"/>
    <n v="0"/>
    <n v="1"/>
    <n v="31"/>
  </r>
  <r>
    <n v="159204523"/>
    <d v="2022-10-25T00:00:00"/>
    <m/>
    <x v="0"/>
    <n v="39"/>
    <s v="month"/>
    <s v=""/>
    <x v="5"/>
    <s v="No"/>
    <n v="0"/>
    <n v="0"/>
    <s v=""/>
  </r>
  <r>
    <n v="159236268"/>
    <d v="2022-10-25T00:00:00"/>
    <m/>
    <x v="1"/>
    <n v="39"/>
    <s v="month"/>
    <s v=""/>
    <x v="5"/>
    <s v="No"/>
    <n v="0"/>
    <n v="0"/>
    <s v=""/>
  </r>
  <r>
    <n v="159256553"/>
    <d v="2022-10-25T00:00:00"/>
    <d v="2023-01-10T00:00:00"/>
    <x v="0"/>
    <n v="39"/>
    <s v="month"/>
    <n v="77"/>
    <x v="5"/>
    <s v="No"/>
    <n v="0"/>
    <n v="1"/>
    <n v="77"/>
  </r>
  <r>
    <n v="159211568"/>
    <d v="2022-10-25T00:00:00"/>
    <d v="2023-01-02T00:00:00"/>
    <x v="0"/>
    <n v="39"/>
    <s v="month"/>
    <n v="69"/>
    <x v="5"/>
    <s v="No"/>
    <n v="0"/>
    <n v="1"/>
    <n v="69"/>
  </r>
  <r>
    <n v="154778395"/>
    <d v="2022-10-25T00:00:00"/>
    <d v="2022-11-28T00:00:00"/>
    <x v="0"/>
    <n v="39"/>
    <s v="month"/>
    <n v="34"/>
    <x v="5"/>
    <s v="No"/>
    <n v="0"/>
    <n v="1"/>
    <n v="34"/>
  </r>
  <r>
    <n v="157961180"/>
    <d v="2022-10-25T00:00:00"/>
    <d v="2022-11-24T00:00:00"/>
    <x v="0"/>
    <n v="39"/>
    <s v="month"/>
    <n v="30"/>
    <x v="5"/>
    <s v="No"/>
    <n v="0"/>
    <n v="0"/>
    <n v="30"/>
  </r>
  <r>
    <n v="159281338"/>
    <d v="2022-10-26T00:00:00"/>
    <m/>
    <x v="0"/>
    <n v="39"/>
    <s v="month"/>
    <s v=""/>
    <x v="6"/>
    <s v="No"/>
    <n v="0"/>
    <n v="0"/>
    <s v=""/>
  </r>
  <r>
    <n v="159364232"/>
    <d v="2022-10-26T00:00:00"/>
    <m/>
    <x v="0"/>
    <n v="39"/>
    <s v="month"/>
    <s v=""/>
    <x v="6"/>
    <s v="No"/>
    <n v="0"/>
    <n v="0"/>
    <s v=""/>
  </r>
  <r>
    <n v="159276280"/>
    <d v="2022-10-26T00:00:00"/>
    <m/>
    <x v="0"/>
    <n v="39"/>
    <s v="month"/>
    <s v=""/>
    <x v="6"/>
    <s v="No"/>
    <n v="0"/>
    <n v="0"/>
    <s v=""/>
  </r>
  <r>
    <n v="159326830"/>
    <d v="2022-10-26T00:00:00"/>
    <d v="2022-10-27T00:00:00"/>
    <x v="0"/>
    <n v="39"/>
    <s v="month"/>
    <n v="1"/>
    <x v="6"/>
    <s v="No"/>
    <n v="1"/>
    <n v="0"/>
    <n v="1"/>
  </r>
  <r>
    <n v="158144924"/>
    <d v="2022-10-26T00:00:00"/>
    <d v="2023-02-23T00:00:00"/>
    <x v="0"/>
    <n v="39"/>
    <s v="month"/>
    <n v="120"/>
    <x v="6"/>
    <s v="No"/>
    <n v="0"/>
    <n v="1"/>
    <n v="120"/>
  </r>
  <r>
    <n v="159239867"/>
    <d v="2022-10-26T00:00:00"/>
    <d v="2022-12-15T00:00:00"/>
    <x v="0"/>
    <n v="39"/>
    <s v="month"/>
    <n v="50"/>
    <x v="6"/>
    <s v="No"/>
    <n v="0"/>
    <n v="1"/>
    <n v="50"/>
  </r>
  <r>
    <n v="159108970"/>
    <d v="2022-10-26T00:00:00"/>
    <d v="2022-12-20T00:00:00"/>
    <x v="0"/>
    <n v="39"/>
    <s v="month"/>
    <n v="55"/>
    <x v="6"/>
    <s v="No"/>
    <n v="0"/>
    <n v="1"/>
    <n v="55"/>
  </r>
  <r>
    <n v="158644133"/>
    <d v="2022-10-26T00:00:00"/>
    <d v="2022-11-26T00:00:00"/>
    <x v="0"/>
    <n v="39"/>
    <s v="month"/>
    <n v="31"/>
    <x v="6"/>
    <s v="No"/>
    <n v="0"/>
    <n v="1"/>
    <n v="31"/>
  </r>
  <r>
    <n v="153830193"/>
    <d v="2022-10-26T00:00:00"/>
    <d v="2022-10-27T00:00:00"/>
    <x v="0"/>
    <n v="39"/>
    <s v="month"/>
    <n v="1"/>
    <x v="6"/>
    <s v="No"/>
    <n v="1"/>
    <n v="0"/>
    <n v="1"/>
  </r>
  <r>
    <n v="159664292"/>
    <d v="2022-10-27T00:00:00"/>
    <m/>
    <x v="0"/>
    <n v="39"/>
    <s v="month"/>
    <s v=""/>
    <x v="0"/>
    <s v="No"/>
    <n v="0"/>
    <n v="0"/>
    <s v=""/>
  </r>
  <r>
    <n v="152937944"/>
    <d v="2022-10-27T00:00:00"/>
    <d v="2022-10-28T00:00:00"/>
    <x v="1"/>
    <n v="39"/>
    <s v="month"/>
    <n v="1"/>
    <x v="0"/>
    <s v="No"/>
    <n v="1"/>
    <n v="0"/>
    <n v="1"/>
  </r>
  <r>
    <n v="159446393"/>
    <d v="2022-10-27T00:00:00"/>
    <d v="2023-04-19T00:00:00"/>
    <x v="0"/>
    <n v="39"/>
    <s v="month"/>
    <n v="174"/>
    <x v="0"/>
    <s v="No"/>
    <n v="0"/>
    <n v="1"/>
    <n v="174"/>
  </r>
  <r>
    <n v="156837717"/>
    <d v="2022-10-27T00:00:00"/>
    <d v="2023-06-11T00:00:00"/>
    <x v="0"/>
    <n v="39"/>
    <s v="month"/>
    <n v="227"/>
    <x v="0"/>
    <s v="No"/>
    <n v="0"/>
    <n v="1"/>
    <n v="227"/>
  </r>
  <r>
    <n v="149000400"/>
    <d v="2022-10-27T00:00:00"/>
    <d v="2023-02-26T00:00:00"/>
    <x v="0"/>
    <n v="39"/>
    <s v="month"/>
    <n v="122"/>
    <x v="0"/>
    <s v="No"/>
    <n v="0"/>
    <n v="1"/>
    <n v="122"/>
  </r>
  <r>
    <n v="157923615"/>
    <d v="2022-10-27T00:00:00"/>
    <d v="2023-01-03T00:00:00"/>
    <x v="0"/>
    <n v="39"/>
    <s v="month"/>
    <n v="68"/>
    <x v="0"/>
    <s v="No"/>
    <n v="0"/>
    <n v="1"/>
    <n v="68"/>
  </r>
  <r>
    <n v="159699736"/>
    <d v="2022-10-27T00:00:00"/>
    <d v="2022-11-25T00:00:00"/>
    <x v="0"/>
    <n v="39"/>
    <s v="month"/>
    <n v="29"/>
    <x v="0"/>
    <s v="No"/>
    <n v="0"/>
    <n v="0"/>
    <n v="29"/>
  </r>
  <r>
    <n v="150816815"/>
    <d v="2022-10-27T00:00:00"/>
    <d v="2022-11-16T00:00:00"/>
    <x v="0"/>
    <n v="39"/>
    <s v="month"/>
    <n v="20"/>
    <x v="0"/>
    <s v="No"/>
    <n v="0"/>
    <n v="0"/>
    <n v="20"/>
  </r>
  <r>
    <n v="159634168"/>
    <d v="2022-10-27T00:00:00"/>
    <d v="2023-06-30T00:00:00"/>
    <x v="0"/>
    <n v="39"/>
    <s v="month"/>
    <n v="246"/>
    <x v="0"/>
    <s v="No"/>
    <n v="0"/>
    <n v="1"/>
    <n v="246"/>
  </r>
  <r>
    <n v="158114418"/>
    <d v="2022-10-28T00:00:00"/>
    <m/>
    <x v="0"/>
    <n v="39"/>
    <s v="month"/>
    <s v=""/>
    <x v="1"/>
    <s v="No"/>
    <n v="0"/>
    <n v="0"/>
    <s v=""/>
  </r>
  <r>
    <n v="159706104"/>
    <d v="2022-10-28T00:00:00"/>
    <m/>
    <x v="0"/>
    <n v="39"/>
    <s v="month"/>
    <s v=""/>
    <x v="1"/>
    <s v="No"/>
    <n v="0"/>
    <n v="0"/>
    <s v=""/>
  </r>
  <r>
    <n v="150704581"/>
    <d v="2022-10-28T00:00:00"/>
    <d v="2023-05-10T00:00:00"/>
    <x v="0"/>
    <n v="39"/>
    <s v="month"/>
    <n v="194"/>
    <x v="1"/>
    <s v="No"/>
    <n v="0"/>
    <n v="1"/>
    <n v="194"/>
  </r>
  <r>
    <n v="159733207"/>
    <d v="2022-10-28T00:00:00"/>
    <d v="2023-02-27T00:00:00"/>
    <x v="0"/>
    <n v="39"/>
    <s v="month"/>
    <n v="122"/>
    <x v="1"/>
    <s v="No"/>
    <n v="0"/>
    <n v="1"/>
    <n v="122"/>
  </r>
  <r>
    <n v="159775056"/>
    <d v="2022-10-28T00:00:00"/>
    <d v="2023-03-31T00:00:00"/>
    <x v="0"/>
    <n v="39"/>
    <s v="month"/>
    <n v="154"/>
    <x v="1"/>
    <s v="No"/>
    <n v="0"/>
    <n v="1"/>
    <n v="154"/>
  </r>
  <r>
    <n v="144328609"/>
    <d v="2022-10-28T00:00:00"/>
    <d v="2022-12-25T00:00:00"/>
    <x v="0"/>
    <n v="39"/>
    <s v="month"/>
    <n v="58"/>
    <x v="1"/>
    <s v="No"/>
    <n v="0"/>
    <n v="1"/>
    <n v="58"/>
  </r>
  <r>
    <n v="153172687"/>
    <d v="2022-10-28T00:00:00"/>
    <d v="2023-08-21T00:00:00"/>
    <x v="0"/>
    <n v="39"/>
    <s v="month"/>
    <n v="297"/>
    <x v="1"/>
    <s v="No"/>
    <n v="0"/>
    <n v="1"/>
    <n v="297"/>
  </r>
  <r>
    <n v="159861170"/>
    <d v="2022-10-29T00:00:00"/>
    <m/>
    <x v="0"/>
    <n v="39"/>
    <s v="month"/>
    <s v=""/>
    <x v="2"/>
    <s v="No"/>
    <n v="0"/>
    <n v="0"/>
    <s v=""/>
  </r>
  <r>
    <n v="133474642"/>
    <d v="2022-10-29T00:00:00"/>
    <d v="2022-12-20T00:00:00"/>
    <x v="0"/>
    <n v="39"/>
    <s v="month"/>
    <n v="52"/>
    <x v="2"/>
    <s v="No"/>
    <n v="0"/>
    <n v="1"/>
    <n v="52"/>
  </r>
  <r>
    <n v="159817608"/>
    <d v="2022-10-29T00:00:00"/>
    <d v="2023-03-23T00:00:00"/>
    <x v="0"/>
    <n v="39"/>
    <s v="month"/>
    <n v="145"/>
    <x v="2"/>
    <s v="No"/>
    <n v="0"/>
    <n v="1"/>
    <n v="145"/>
  </r>
  <r>
    <n v="159867686"/>
    <d v="2022-10-29T00:00:00"/>
    <d v="2023-01-05T00:00:00"/>
    <x v="0"/>
    <n v="39"/>
    <s v="month"/>
    <n v="68"/>
    <x v="2"/>
    <s v="No"/>
    <n v="0"/>
    <n v="1"/>
    <n v="68"/>
  </r>
  <r>
    <n v="158484064"/>
    <d v="2022-10-29T00:00:00"/>
    <d v="2023-01-05T00:00:00"/>
    <x v="0"/>
    <n v="39"/>
    <s v="month"/>
    <n v="68"/>
    <x v="2"/>
    <s v="No"/>
    <n v="0"/>
    <n v="1"/>
    <n v="68"/>
  </r>
  <r>
    <n v="159829834"/>
    <d v="2022-10-30T00:00:00"/>
    <m/>
    <x v="0"/>
    <n v="39"/>
    <s v="month"/>
    <s v=""/>
    <x v="3"/>
    <s v="No"/>
    <n v="0"/>
    <n v="0"/>
    <s v=""/>
  </r>
  <r>
    <n v="159875790"/>
    <d v="2022-10-30T00:00:00"/>
    <d v="2023-03-07T00:00:00"/>
    <x v="0"/>
    <n v="39"/>
    <s v="month"/>
    <n v="128"/>
    <x v="3"/>
    <s v="No"/>
    <n v="0"/>
    <n v="1"/>
    <n v="128"/>
  </r>
  <r>
    <n v="155520280"/>
    <d v="2022-10-30T00:00:00"/>
    <d v="2022-12-07T00:00:00"/>
    <x v="0"/>
    <n v="39"/>
    <s v="month"/>
    <n v="38"/>
    <x v="3"/>
    <s v="No"/>
    <n v="0"/>
    <n v="1"/>
    <n v="38"/>
  </r>
  <r>
    <n v="159783942"/>
    <d v="2022-10-30T00:00:00"/>
    <d v="2022-12-28T00:00:00"/>
    <x v="0"/>
    <n v="39"/>
    <s v="month"/>
    <n v="59"/>
    <x v="3"/>
    <s v="No"/>
    <n v="0"/>
    <n v="1"/>
    <n v="59"/>
  </r>
  <r>
    <n v="149696432"/>
    <d v="2022-10-30T00:00:00"/>
    <d v="2022-11-26T00:00:00"/>
    <x v="0"/>
    <n v="39"/>
    <s v="month"/>
    <n v="27"/>
    <x v="3"/>
    <s v="No"/>
    <n v="0"/>
    <n v="0"/>
    <n v="27"/>
  </r>
  <r>
    <n v="159979372"/>
    <d v="2022-10-31T00:00:00"/>
    <m/>
    <x v="0"/>
    <n v="39"/>
    <s v="month"/>
    <s v=""/>
    <x v="4"/>
    <s v="No"/>
    <n v="0"/>
    <n v="0"/>
    <s v=""/>
  </r>
  <r>
    <n v="153814649"/>
    <d v="2022-10-31T00:00:00"/>
    <m/>
    <x v="0"/>
    <n v="39"/>
    <s v="month"/>
    <s v=""/>
    <x v="4"/>
    <s v="No"/>
    <n v="0"/>
    <n v="0"/>
    <s v=""/>
  </r>
  <r>
    <n v="159931469"/>
    <d v="2022-10-31T00:00:00"/>
    <m/>
    <x v="0"/>
    <n v="39"/>
    <s v="month"/>
    <s v=""/>
    <x v="4"/>
    <s v="No"/>
    <n v="0"/>
    <n v="0"/>
    <s v=""/>
  </r>
  <r>
    <n v="138061210"/>
    <d v="2022-10-31T00:00:00"/>
    <d v="2022-10-31T00:00:00"/>
    <x v="0"/>
    <n v="39"/>
    <s v="month"/>
    <n v="0"/>
    <x v="4"/>
    <s v="Yes"/>
    <n v="1"/>
    <n v="0"/>
    <n v="0"/>
  </r>
  <r>
    <n v="141403460"/>
    <d v="2022-10-31T00:00:00"/>
    <d v="2023-01-16T00:00:00"/>
    <x v="0"/>
    <n v="39"/>
    <s v="month"/>
    <n v="77"/>
    <x v="4"/>
    <s v="No"/>
    <n v="0"/>
    <n v="1"/>
    <n v="77"/>
  </r>
  <r>
    <n v="159991922"/>
    <d v="2022-10-31T00:00:00"/>
    <d v="2022-12-17T00:00:00"/>
    <x v="0"/>
    <n v="39"/>
    <s v="month"/>
    <n v="47"/>
    <x v="4"/>
    <s v="No"/>
    <n v="0"/>
    <n v="1"/>
    <n v="47"/>
  </r>
  <r>
    <n v="159241648"/>
    <d v="2022-10-31T00:00:00"/>
    <d v="2022-12-14T00:00:00"/>
    <x v="0"/>
    <n v="39"/>
    <s v="month"/>
    <n v="44"/>
    <x v="4"/>
    <s v="No"/>
    <n v="0"/>
    <n v="1"/>
    <n v="44"/>
  </r>
  <r>
    <n v="150703411"/>
    <d v="2022-10-31T00:00:00"/>
    <d v="2022-12-01T00:00:00"/>
    <x v="0"/>
    <n v="39"/>
    <s v="month"/>
    <n v="31"/>
    <x v="4"/>
    <s v="No"/>
    <n v="0"/>
    <n v="1"/>
    <n v="31"/>
  </r>
  <r>
    <n v="159773641"/>
    <d v="2022-10-31T00:00:00"/>
    <d v="2022-11-15T00:00:00"/>
    <x v="0"/>
    <n v="39"/>
    <s v="month"/>
    <n v="15"/>
    <x v="4"/>
    <s v="No"/>
    <n v="0"/>
    <n v="0"/>
    <n v="15"/>
  </r>
  <r>
    <n v="128002797"/>
    <d v="2022-10-31T00:00:00"/>
    <d v="2022-11-30T00:00:00"/>
    <x v="0"/>
    <n v="39"/>
    <s v="month"/>
    <n v="30"/>
    <x v="4"/>
    <s v="No"/>
    <n v="0"/>
    <n v="0"/>
    <n v="30"/>
  </r>
  <r>
    <n v="155807489"/>
    <d v="2022-11-01T00:00:00"/>
    <d v="2022-11-02T00:00:00"/>
    <x v="1"/>
    <n v="39"/>
    <s v="month"/>
    <n v="1"/>
    <x v="5"/>
    <s v="No"/>
    <n v="1"/>
    <n v="0"/>
    <n v="1"/>
  </r>
  <r>
    <n v="143077712"/>
    <d v="2022-11-01T00:00:00"/>
    <d v="2022-11-02T00:00:00"/>
    <x v="1"/>
    <n v="39"/>
    <s v="month"/>
    <n v="1"/>
    <x v="5"/>
    <s v="No"/>
    <n v="1"/>
    <n v="0"/>
    <n v="1"/>
  </r>
  <r>
    <n v="159745646"/>
    <d v="2022-11-01T00:00:00"/>
    <d v="2023-04-14T00:00:00"/>
    <x v="0"/>
    <n v="39"/>
    <s v="month"/>
    <n v="164"/>
    <x v="5"/>
    <s v="No"/>
    <n v="0"/>
    <n v="1"/>
    <n v="164"/>
  </r>
  <r>
    <n v="139004918"/>
    <d v="2022-11-01T00:00:00"/>
    <d v="2022-12-01T00:00:00"/>
    <x v="0"/>
    <n v="39"/>
    <s v="month"/>
    <n v="30"/>
    <x v="5"/>
    <s v="No"/>
    <n v="0"/>
    <n v="0"/>
    <n v="30"/>
  </r>
  <r>
    <n v="153255183"/>
    <d v="2022-11-01T00:00:00"/>
    <d v="2023-02-16T00:00:00"/>
    <x v="0"/>
    <n v="39"/>
    <s v="month"/>
    <n v="107"/>
    <x v="5"/>
    <s v="No"/>
    <n v="0"/>
    <n v="1"/>
    <n v="107"/>
  </r>
  <r>
    <n v="157708746"/>
    <d v="2022-11-01T00:00:00"/>
    <d v="2023-01-31T00:00:00"/>
    <x v="0"/>
    <n v="39"/>
    <s v="month"/>
    <n v="91"/>
    <x v="5"/>
    <s v="No"/>
    <n v="0"/>
    <n v="1"/>
    <n v="91"/>
  </r>
  <r>
    <n v="155652993"/>
    <d v="2022-11-01T00:00:00"/>
    <d v="2023-01-08T00:00:00"/>
    <x v="0"/>
    <n v="39"/>
    <s v="month"/>
    <n v="68"/>
    <x v="5"/>
    <s v="No"/>
    <n v="0"/>
    <n v="1"/>
    <n v="68"/>
  </r>
  <r>
    <n v="159977918"/>
    <d v="2022-11-01T00:00:00"/>
    <d v="2023-01-24T00:00:00"/>
    <x v="0"/>
    <n v="39"/>
    <s v="month"/>
    <n v="84"/>
    <x v="5"/>
    <s v="No"/>
    <n v="0"/>
    <n v="1"/>
    <n v="84"/>
  </r>
  <r>
    <n v="160108159"/>
    <d v="2022-11-01T00:00:00"/>
    <d v="2022-12-04T00:00:00"/>
    <x v="0"/>
    <n v="39"/>
    <s v="month"/>
    <n v="33"/>
    <x v="5"/>
    <s v="No"/>
    <n v="0"/>
    <n v="1"/>
    <n v="33"/>
  </r>
  <r>
    <n v="160051910"/>
    <d v="2022-11-01T00:00:00"/>
    <d v="2022-11-09T00:00:00"/>
    <x v="0"/>
    <n v="39"/>
    <s v="month"/>
    <n v="8"/>
    <x v="5"/>
    <s v="No"/>
    <n v="0"/>
    <n v="0"/>
    <n v="8"/>
  </r>
  <r>
    <n v="146169043"/>
    <d v="2022-11-01T00:00:00"/>
    <d v="2023-08-10T00:00:00"/>
    <x v="0"/>
    <n v="39"/>
    <s v="month"/>
    <n v="282"/>
    <x v="5"/>
    <s v="No"/>
    <n v="0"/>
    <n v="1"/>
    <n v="282"/>
  </r>
  <r>
    <n v="159927090"/>
    <d v="2022-11-02T00:00:00"/>
    <m/>
    <x v="0"/>
    <n v="39"/>
    <s v="month"/>
    <s v=""/>
    <x v="6"/>
    <s v="No"/>
    <n v="0"/>
    <n v="0"/>
    <s v=""/>
  </r>
  <r>
    <n v="149188028"/>
    <d v="2022-11-02T00:00:00"/>
    <m/>
    <x v="0"/>
    <n v="39"/>
    <s v="month"/>
    <s v=""/>
    <x v="6"/>
    <s v="No"/>
    <n v="0"/>
    <n v="0"/>
    <s v=""/>
  </r>
  <r>
    <n v="138535334"/>
    <d v="2022-11-02T00:00:00"/>
    <d v="2022-12-15T00:00:00"/>
    <x v="0"/>
    <n v="39"/>
    <s v="month"/>
    <n v="43"/>
    <x v="6"/>
    <s v="No"/>
    <n v="0"/>
    <n v="1"/>
    <n v="43"/>
  </r>
  <r>
    <n v="159901871"/>
    <d v="2022-11-02T00:00:00"/>
    <d v="2022-12-09T00:00:00"/>
    <x v="0"/>
    <n v="39"/>
    <s v="month"/>
    <n v="37"/>
    <x v="6"/>
    <s v="No"/>
    <n v="0"/>
    <n v="1"/>
    <n v="37"/>
  </r>
  <r>
    <n v="159620660"/>
    <d v="2022-11-02T00:00:00"/>
    <d v="2022-12-12T00:00:00"/>
    <x v="0"/>
    <n v="39"/>
    <s v="month"/>
    <n v="40"/>
    <x v="6"/>
    <s v="No"/>
    <n v="0"/>
    <n v="1"/>
    <n v="40"/>
  </r>
  <r>
    <n v="160199525"/>
    <d v="2022-11-02T00:00:00"/>
    <d v="2022-11-23T00:00:00"/>
    <x v="0"/>
    <n v="39"/>
    <s v="month"/>
    <n v="21"/>
    <x v="6"/>
    <s v="No"/>
    <n v="0"/>
    <n v="0"/>
    <n v="21"/>
  </r>
  <r>
    <n v="160183686"/>
    <d v="2022-11-03T00:00:00"/>
    <d v="2022-11-04T00:00:00"/>
    <x v="1"/>
    <n v="39"/>
    <s v="month"/>
    <n v="1"/>
    <x v="0"/>
    <s v="No"/>
    <n v="1"/>
    <n v="0"/>
    <n v="1"/>
  </r>
  <r>
    <n v="152504354"/>
    <d v="2022-11-03T00:00:00"/>
    <d v="2023-03-03T00:00:00"/>
    <x v="0"/>
    <n v="39"/>
    <s v="month"/>
    <n v="120"/>
    <x v="0"/>
    <s v="No"/>
    <n v="0"/>
    <n v="1"/>
    <n v="120"/>
  </r>
  <r>
    <n v="143164854"/>
    <d v="2022-11-03T00:00:00"/>
    <d v="2023-02-18T00:00:00"/>
    <x v="0"/>
    <n v="39"/>
    <s v="month"/>
    <n v="107"/>
    <x v="0"/>
    <s v="No"/>
    <n v="0"/>
    <n v="1"/>
    <n v="107"/>
  </r>
  <r>
    <n v="160366020"/>
    <d v="2022-11-03T00:00:00"/>
    <d v="2022-12-03T00:00:00"/>
    <x v="0"/>
    <n v="39"/>
    <s v="month"/>
    <n v="30"/>
    <x v="0"/>
    <s v="No"/>
    <n v="0"/>
    <n v="0"/>
    <n v="30"/>
  </r>
  <r>
    <n v="160298168"/>
    <d v="2022-11-03T00:00:00"/>
    <d v="2022-12-02T00:00:00"/>
    <x v="0"/>
    <n v="39"/>
    <s v="month"/>
    <n v="29"/>
    <x v="0"/>
    <s v="No"/>
    <n v="0"/>
    <n v="0"/>
    <n v="29"/>
  </r>
  <r>
    <n v="160243008"/>
    <d v="2022-11-03T00:00:00"/>
    <d v="2022-12-29T00:00:00"/>
    <x v="0"/>
    <n v="39"/>
    <s v="month"/>
    <n v="56"/>
    <x v="0"/>
    <s v="No"/>
    <n v="0"/>
    <n v="1"/>
    <n v="56"/>
  </r>
  <r>
    <n v="150878120"/>
    <d v="2022-11-03T00:00:00"/>
    <d v="2022-12-10T00:00:00"/>
    <x v="0"/>
    <n v="39"/>
    <s v="month"/>
    <n v="37"/>
    <x v="0"/>
    <s v="No"/>
    <n v="0"/>
    <n v="1"/>
    <n v="37"/>
  </r>
  <r>
    <n v="160208723"/>
    <d v="2022-11-04T00:00:00"/>
    <m/>
    <x v="0"/>
    <n v="39"/>
    <s v="month"/>
    <s v=""/>
    <x v="1"/>
    <s v="No"/>
    <n v="0"/>
    <n v="0"/>
    <s v=""/>
  </r>
  <r>
    <n v="153539322"/>
    <d v="2022-11-04T00:00:00"/>
    <d v="2023-02-07T00:00:00"/>
    <x v="0"/>
    <n v="39"/>
    <s v="month"/>
    <n v="95"/>
    <x v="1"/>
    <s v="No"/>
    <n v="0"/>
    <n v="1"/>
    <n v="95"/>
  </r>
  <r>
    <n v="160164472"/>
    <d v="2022-11-04T00:00:00"/>
    <d v="2023-02-24T00:00:00"/>
    <x v="0"/>
    <n v="39"/>
    <s v="month"/>
    <n v="112"/>
    <x v="1"/>
    <s v="No"/>
    <n v="0"/>
    <n v="1"/>
    <n v="112"/>
  </r>
  <r>
    <n v="160193644"/>
    <d v="2022-11-04T00:00:00"/>
    <d v="2023-01-11T00:00:00"/>
    <x v="0"/>
    <n v="39"/>
    <s v="month"/>
    <n v="68"/>
    <x v="1"/>
    <s v="No"/>
    <n v="0"/>
    <n v="1"/>
    <n v="68"/>
  </r>
  <r>
    <n v="156294098"/>
    <d v="2022-11-04T00:00:00"/>
    <d v="2022-12-03T00:00:00"/>
    <x v="0"/>
    <n v="39"/>
    <s v="month"/>
    <n v="29"/>
    <x v="1"/>
    <s v="No"/>
    <n v="0"/>
    <n v="0"/>
    <n v="29"/>
  </r>
  <r>
    <n v="146625866"/>
    <d v="2022-11-04T00:00:00"/>
    <d v="2022-11-19T00:00:00"/>
    <x v="0"/>
    <n v="39"/>
    <s v="month"/>
    <n v="15"/>
    <x v="1"/>
    <s v="No"/>
    <n v="0"/>
    <n v="0"/>
    <n v="15"/>
  </r>
  <r>
    <n v="157663870"/>
    <d v="2022-11-05T00:00:00"/>
    <d v="2022-11-06T00:00:00"/>
    <x v="0"/>
    <n v="39"/>
    <s v="month"/>
    <n v="1"/>
    <x v="2"/>
    <s v="No"/>
    <n v="1"/>
    <n v="0"/>
    <n v="1"/>
  </r>
  <r>
    <n v="159679042"/>
    <d v="2022-11-05T00:00:00"/>
    <d v="2022-11-06T00:00:00"/>
    <x v="1"/>
    <n v="39"/>
    <s v="month"/>
    <n v="1"/>
    <x v="2"/>
    <s v="No"/>
    <n v="1"/>
    <n v="0"/>
    <n v="1"/>
  </r>
  <r>
    <n v="160558904"/>
    <d v="2022-11-05T00:00:00"/>
    <d v="2023-01-24T00:00:00"/>
    <x v="0"/>
    <n v="39"/>
    <s v="month"/>
    <n v="80"/>
    <x v="2"/>
    <s v="No"/>
    <n v="0"/>
    <n v="1"/>
    <n v="80"/>
  </r>
  <r>
    <n v="127836197"/>
    <d v="2022-11-05T00:00:00"/>
    <d v="2022-11-05T00:00:00"/>
    <x v="0"/>
    <n v="39"/>
    <s v="month"/>
    <n v="0"/>
    <x v="2"/>
    <s v="Yes"/>
    <n v="1"/>
    <n v="0"/>
    <n v="0"/>
  </r>
  <r>
    <n v="155334332"/>
    <d v="2022-11-05T00:00:00"/>
    <d v="2022-12-04T00:00:00"/>
    <x v="0"/>
    <n v="39"/>
    <s v="month"/>
    <n v="29"/>
    <x v="2"/>
    <s v="No"/>
    <n v="0"/>
    <n v="0"/>
    <n v="29"/>
  </r>
  <r>
    <n v="160523170"/>
    <d v="2022-11-05T00:00:00"/>
    <d v="2022-12-12T00:00:00"/>
    <x v="0"/>
    <n v="39"/>
    <s v="month"/>
    <n v="37"/>
    <x v="2"/>
    <s v="No"/>
    <n v="0"/>
    <n v="1"/>
    <n v="37"/>
  </r>
  <r>
    <n v="156907890"/>
    <d v="2022-11-05T00:00:00"/>
    <d v="2022-11-05T00:00:00"/>
    <x v="0"/>
    <n v="39"/>
    <s v="month"/>
    <n v="0"/>
    <x v="2"/>
    <s v="Yes"/>
    <n v="1"/>
    <n v="0"/>
    <n v="0"/>
  </r>
  <r>
    <n v="160608516"/>
    <d v="2022-11-05T00:00:00"/>
    <d v="2023-08-03T00:00:00"/>
    <x v="0"/>
    <n v="39"/>
    <s v="month"/>
    <n v="271"/>
    <x v="2"/>
    <s v="No"/>
    <n v="0"/>
    <n v="1"/>
    <n v="271"/>
  </r>
  <r>
    <n v="113181220"/>
    <d v="2022-11-05T00:00:00"/>
    <d v="2023-07-23T00:00:00"/>
    <x v="0"/>
    <n v="39"/>
    <s v="month"/>
    <n v="260"/>
    <x v="2"/>
    <s v="No"/>
    <n v="0"/>
    <n v="1"/>
    <n v="260"/>
  </r>
  <r>
    <n v="159790393"/>
    <d v="2022-11-06T00:00:00"/>
    <d v="2023-02-13T00:00:00"/>
    <x v="0"/>
    <n v="39"/>
    <s v="month"/>
    <n v="99"/>
    <x v="3"/>
    <s v="No"/>
    <n v="0"/>
    <n v="1"/>
    <n v="99"/>
  </r>
  <r>
    <n v="147813476"/>
    <d v="2022-11-06T00:00:00"/>
    <d v="2023-01-27T00:00:00"/>
    <x v="0"/>
    <n v="39"/>
    <s v="month"/>
    <n v="82"/>
    <x v="3"/>
    <s v="No"/>
    <n v="0"/>
    <n v="1"/>
    <n v="82"/>
  </r>
  <r>
    <n v="156078158"/>
    <d v="2022-11-06T00:00:00"/>
    <d v="2023-01-25T00:00:00"/>
    <x v="0"/>
    <n v="39"/>
    <s v="month"/>
    <n v="80"/>
    <x v="3"/>
    <s v="No"/>
    <n v="0"/>
    <n v="1"/>
    <n v="80"/>
  </r>
  <r>
    <n v="154879898"/>
    <d v="2022-11-06T00:00:00"/>
    <d v="2022-11-17T00:00:00"/>
    <x v="0"/>
    <n v="39"/>
    <s v="month"/>
    <n v="11"/>
    <x v="3"/>
    <s v="No"/>
    <n v="0"/>
    <n v="0"/>
    <n v="11"/>
  </r>
  <r>
    <n v="136157937"/>
    <d v="2022-11-06T00:00:00"/>
    <d v="2022-12-13T00:00:00"/>
    <x v="0"/>
    <n v="39"/>
    <s v="month"/>
    <n v="37"/>
    <x v="3"/>
    <s v="No"/>
    <n v="0"/>
    <n v="1"/>
    <n v="37"/>
  </r>
  <r>
    <n v="160176868"/>
    <d v="2022-11-06T00:00:00"/>
    <d v="2022-12-01T00:00:00"/>
    <x v="0"/>
    <n v="39"/>
    <s v="month"/>
    <n v="25"/>
    <x v="3"/>
    <s v="No"/>
    <n v="0"/>
    <n v="0"/>
    <n v="25"/>
  </r>
  <r>
    <n v="160622888"/>
    <d v="2022-11-06T00:00:00"/>
    <d v="2022-11-06T00:00:00"/>
    <x v="0"/>
    <n v="39"/>
    <s v="month"/>
    <n v="0"/>
    <x v="3"/>
    <s v="Yes"/>
    <n v="1"/>
    <n v="0"/>
    <n v="0"/>
  </r>
  <r>
    <n v="158736659"/>
    <d v="2022-11-07T00:00:00"/>
    <m/>
    <x v="0"/>
    <n v="39"/>
    <s v="month"/>
    <s v=""/>
    <x v="4"/>
    <s v="No"/>
    <n v="0"/>
    <n v="0"/>
    <s v=""/>
  </r>
  <r>
    <n v="160813660"/>
    <d v="2022-11-07T00:00:00"/>
    <m/>
    <x v="0"/>
    <n v="39"/>
    <s v="month"/>
    <s v=""/>
    <x v="4"/>
    <s v="No"/>
    <n v="0"/>
    <n v="0"/>
    <s v=""/>
  </r>
  <r>
    <n v="158524240"/>
    <d v="2022-11-07T00:00:00"/>
    <m/>
    <x v="0"/>
    <n v="39"/>
    <s v="month"/>
    <s v=""/>
    <x v="4"/>
    <s v="No"/>
    <n v="0"/>
    <n v="0"/>
    <s v=""/>
  </r>
  <r>
    <n v="160702738"/>
    <d v="2022-11-07T00:00:00"/>
    <m/>
    <x v="0"/>
    <n v="39"/>
    <s v="month"/>
    <s v=""/>
    <x v="4"/>
    <s v="No"/>
    <n v="0"/>
    <n v="0"/>
    <s v=""/>
  </r>
  <r>
    <n v="138919619"/>
    <d v="2022-11-07T00:00:00"/>
    <d v="2022-12-06T00:00:00"/>
    <x v="0"/>
    <n v="39"/>
    <s v="month"/>
    <n v="29"/>
    <x v="4"/>
    <s v="No"/>
    <n v="0"/>
    <n v="0"/>
    <n v="29"/>
  </r>
  <r>
    <n v="121571816"/>
    <d v="2022-11-07T00:00:00"/>
    <d v="2023-03-26T00:00:00"/>
    <x v="0"/>
    <n v="39"/>
    <s v="month"/>
    <n v="139"/>
    <x v="4"/>
    <s v="No"/>
    <n v="0"/>
    <n v="1"/>
    <n v="139"/>
  </r>
  <r>
    <n v="160623955"/>
    <d v="2022-11-07T00:00:00"/>
    <d v="2023-07-05T00:00:00"/>
    <x v="0"/>
    <n v="39"/>
    <s v="month"/>
    <n v="240"/>
    <x v="4"/>
    <s v="No"/>
    <n v="0"/>
    <n v="1"/>
    <n v="240"/>
  </r>
  <r>
    <n v="160010850"/>
    <d v="2022-11-07T00:00:00"/>
    <d v="2023-03-09T00:00:00"/>
    <x v="0"/>
    <n v="39"/>
    <s v="month"/>
    <n v="122"/>
    <x v="4"/>
    <s v="No"/>
    <n v="0"/>
    <n v="1"/>
    <n v="122"/>
  </r>
  <r>
    <n v="160823268"/>
    <d v="2022-11-07T00:00:00"/>
    <d v="2023-02-06T00:00:00"/>
    <x v="0"/>
    <n v="39"/>
    <s v="month"/>
    <n v="91"/>
    <x v="4"/>
    <s v="No"/>
    <n v="0"/>
    <n v="1"/>
    <n v="91"/>
  </r>
  <r>
    <n v="158992873"/>
    <d v="2022-11-07T00:00:00"/>
    <d v="2023-02-14T00:00:00"/>
    <x v="0"/>
    <n v="39"/>
    <s v="month"/>
    <n v="99"/>
    <x v="4"/>
    <s v="No"/>
    <n v="0"/>
    <n v="1"/>
    <n v="99"/>
  </r>
  <r>
    <n v="159878556"/>
    <d v="2022-11-07T00:00:00"/>
    <d v="2022-12-07T00:00:00"/>
    <x v="0"/>
    <n v="39"/>
    <s v="month"/>
    <n v="30"/>
    <x v="4"/>
    <s v="No"/>
    <n v="0"/>
    <n v="0"/>
    <n v="30"/>
  </r>
  <r>
    <n v="160833652"/>
    <d v="2022-11-07T00:00:00"/>
    <d v="2022-12-14T00:00:00"/>
    <x v="0"/>
    <n v="39"/>
    <s v="month"/>
    <n v="37"/>
    <x v="4"/>
    <s v="No"/>
    <n v="0"/>
    <n v="1"/>
    <n v="37"/>
  </r>
  <r>
    <n v="157663870"/>
    <d v="2022-11-07T00:00:00"/>
    <d v="2022-12-08T00:00:00"/>
    <x v="0"/>
    <n v="39"/>
    <s v="month"/>
    <n v="31"/>
    <x v="4"/>
    <s v="No"/>
    <n v="0"/>
    <n v="1"/>
    <n v="31"/>
  </r>
  <r>
    <n v="160615413"/>
    <d v="2022-11-07T00:00:00"/>
    <d v="2022-12-25T00:00:00"/>
    <x v="0"/>
    <n v="39"/>
    <s v="month"/>
    <n v="48"/>
    <x v="4"/>
    <s v="No"/>
    <n v="0"/>
    <n v="1"/>
    <n v="48"/>
  </r>
  <r>
    <n v="156207052"/>
    <d v="2022-11-07T00:00:00"/>
    <d v="2022-12-04T00:00:00"/>
    <x v="0"/>
    <n v="39"/>
    <s v="month"/>
    <n v="27"/>
    <x v="4"/>
    <s v="No"/>
    <n v="0"/>
    <n v="0"/>
    <n v="27"/>
  </r>
  <r>
    <n v="160103792"/>
    <d v="2022-11-07T00:00:00"/>
    <d v="2022-11-07T00:00:00"/>
    <x v="0"/>
    <n v="39"/>
    <s v="month"/>
    <n v="0"/>
    <x v="4"/>
    <s v="Yes"/>
    <n v="1"/>
    <n v="0"/>
    <n v="0"/>
  </r>
  <r>
    <n v="160969302"/>
    <d v="2022-11-09T00:00:00"/>
    <d v="2023-08-30T00:00:00"/>
    <x v="0"/>
    <n v="39"/>
    <s v="month"/>
    <n v="294"/>
    <x v="6"/>
    <s v="No"/>
    <n v="0"/>
    <n v="1"/>
    <n v="294"/>
  </r>
  <r>
    <n v="149648746"/>
    <d v="2022-11-09T00:00:00"/>
    <d v="2023-06-02T00:00:00"/>
    <x v="0"/>
    <n v="39"/>
    <s v="month"/>
    <n v="205"/>
    <x v="6"/>
    <s v="No"/>
    <n v="0"/>
    <n v="1"/>
    <n v="205"/>
  </r>
  <r>
    <n v="155643390"/>
    <d v="2022-11-09T00:00:00"/>
    <d v="2023-03-31T00:00:00"/>
    <x v="0"/>
    <n v="39"/>
    <s v="month"/>
    <n v="142"/>
    <x v="6"/>
    <s v="No"/>
    <n v="0"/>
    <n v="1"/>
    <n v="142"/>
  </r>
  <r>
    <n v="119294384"/>
    <d v="2022-11-09T00:00:00"/>
    <d v="2023-03-02T00:00:00"/>
    <x v="0"/>
    <n v="39"/>
    <s v="month"/>
    <n v="113"/>
    <x v="6"/>
    <s v="No"/>
    <n v="0"/>
    <n v="1"/>
    <n v="113"/>
  </r>
  <r>
    <n v="160171541"/>
    <d v="2022-11-09T00:00:00"/>
    <d v="2023-01-03T00:00:00"/>
    <x v="0"/>
    <n v="39"/>
    <s v="month"/>
    <n v="55"/>
    <x v="6"/>
    <s v="No"/>
    <n v="0"/>
    <n v="1"/>
    <n v="55"/>
  </r>
  <r>
    <n v="150569213"/>
    <d v="2022-11-09T00:00:00"/>
    <d v="2022-12-16T00:00:00"/>
    <x v="0"/>
    <n v="39"/>
    <s v="month"/>
    <n v="37"/>
    <x v="6"/>
    <s v="No"/>
    <n v="0"/>
    <n v="1"/>
    <n v="37"/>
  </r>
  <r>
    <n v="156710028"/>
    <d v="2022-11-10T00:00:00"/>
    <d v="2023-03-07T00:00:00"/>
    <x v="0"/>
    <n v="39"/>
    <s v="month"/>
    <n v="117"/>
    <x v="0"/>
    <s v="No"/>
    <n v="0"/>
    <n v="1"/>
    <n v="117"/>
  </r>
  <r>
    <n v="157670310"/>
    <d v="2022-11-10T00:00:00"/>
    <d v="2023-02-01T00:00:00"/>
    <x v="0"/>
    <n v="39"/>
    <s v="month"/>
    <n v="83"/>
    <x v="0"/>
    <s v="No"/>
    <n v="0"/>
    <n v="1"/>
    <n v="83"/>
  </r>
  <r>
    <n v="157091067"/>
    <d v="2022-11-10T00:00:00"/>
    <d v="2023-02-12T00:00:00"/>
    <x v="0"/>
    <n v="39"/>
    <s v="month"/>
    <n v="94"/>
    <x v="0"/>
    <s v="No"/>
    <n v="0"/>
    <n v="1"/>
    <n v="94"/>
  </r>
  <r>
    <n v="159639128"/>
    <d v="2022-11-10T00:00:00"/>
    <d v="2022-11-10T00:00:00"/>
    <x v="0"/>
    <n v="39"/>
    <s v="month"/>
    <n v="0"/>
    <x v="0"/>
    <s v="Yes"/>
    <n v="1"/>
    <n v="0"/>
    <n v="0"/>
  </r>
  <r>
    <n v="149728468"/>
    <d v="2022-11-11T00:00:00"/>
    <d v="2022-11-12T00:00:00"/>
    <x v="0"/>
    <n v="39"/>
    <s v="month"/>
    <n v="1"/>
    <x v="1"/>
    <s v="No"/>
    <n v="1"/>
    <n v="0"/>
    <n v="1"/>
  </r>
  <r>
    <n v="160714172"/>
    <d v="2022-11-11T00:00:00"/>
    <d v="2022-12-31T00:00:00"/>
    <x v="0"/>
    <n v="39"/>
    <s v="month"/>
    <n v="50"/>
    <x v="1"/>
    <s v="No"/>
    <n v="0"/>
    <n v="1"/>
    <n v="50"/>
  </r>
  <r>
    <n v="161464205"/>
    <d v="2022-11-11T00:00:00"/>
    <d v="2022-12-16T00:00:00"/>
    <x v="0"/>
    <n v="39"/>
    <s v="month"/>
    <n v="35"/>
    <x v="1"/>
    <s v="No"/>
    <n v="0"/>
    <n v="1"/>
    <n v="35"/>
  </r>
  <r>
    <n v="141084753"/>
    <d v="2022-11-12T00:00:00"/>
    <d v="2023-04-19T00:00:00"/>
    <x v="0"/>
    <n v="39"/>
    <s v="month"/>
    <n v="158"/>
    <x v="2"/>
    <s v="No"/>
    <n v="0"/>
    <n v="1"/>
    <n v="158"/>
  </r>
  <r>
    <n v="161768948"/>
    <d v="2022-11-12T00:00:00"/>
    <d v="2023-04-05T00:00:00"/>
    <x v="0"/>
    <n v="39"/>
    <s v="month"/>
    <n v="144"/>
    <x v="2"/>
    <s v="No"/>
    <n v="0"/>
    <n v="1"/>
    <n v="144"/>
  </r>
  <r>
    <n v="161692109"/>
    <d v="2022-11-12T00:00:00"/>
    <d v="2023-02-19T00:00:00"/>
    <x v="0"/>
    <n v="39"/>
    <s v="month"/>
    <n v="99"/>
    <x v="2"/>
    <s v="No"/>
    <n v="0"/>
    <n v="1"/>
    <n v="99"/>
  </r>
  <r>
    <n v="161424706"/>
    <d v="2022-11-12T00:00:00"/>
    <d v="2022-12-09T00:00:00"/>
    <x v="0"/>
    <n v="39"/>
    <s v="month"/>
    <n v="27"/>
    <x v="2"/>
    <s v="No"/>
    <n v="0"/>
    <n v="0"/>
    <n v="27"/>
  </r>
  <r>
    <n v="153186137"/>
    <d v="2022-11-12T00:00:00"/>
    <d v="2022-11-12T00:00:00"/>
    <x v="0"/>
    <n v="39"/>
    <s v="month"/>
    <n v="0"/>
    <x v="2"/>
    <s v="Yes"/>
    <n v="1"/>
    <n v="0"/>
    <n v="0"/>
  </r>
  <r>
    <n v="158906669"/>
    <d v="2022-11-13T00:00:00"/>
    <d v="2023-02-12T00:00:00"/>
    <x v="0"/>
    <n v="39"/>
    <s v="month"/>
    <n v="91"/>
    <x v="3"/>
    <s v="No"/>
    <n v="0"/>
    <n v="1"/>
    <n v="91"/>
  </r>
  <r>
    <n v="154085972"/>
    <d v="2022-11-13T00:00:00"/>
    <d v="2022-12-05T00:00:00"/>
    <x v="0"/>
    <n v="39"/>
    <s v="month"/>
    <n v="22"/>
    <x v="3"/>
    <s v="No"/>
    <n v="0"/>
    <n v="0"/>
    <n v="22"/>
  </r>
  <r>
    <n v="162409676"/>
    <d v="2022-11-14T00:00:00"/>
    <m/>
    <x v="0"/>
    <n v="39"/>
    <s v="month"/>
    <s v=""/>
    <x v="4"/>
    <s v="No"/>
    <n v="0"/>
    <n v="0"/>
    <s v=""/>
  </r>
  <r>
    <n v="157438261"/>
    <d v="2022-11-14T00:00:00"/>
    <m/>
    <x v="0"/>
    <n v="39"/>
    <s v="month"/>
    <s v=""/>
    <x v="4"/>
    <s v="No"/>
    <n v="0"/>
    <n v="0"/>
    <s v=""/>
  </r>
  <r>
    <n v="132579012"/>
    <d v="2022-11-14T00:00:00"/>
    <d v="2023-03-14T00:00:00"/>
    <x v="0"/>
    <n v="39"/>
    <s v="month"/>
    <n v="120"/>
    <x v="4"/>
    <s v="No"/>
    <n v="0"/>
    <n v="1"/>
    <n v="120"/>
  </r>
  <r>
    <n v="129140042"/>
    <d v="2022-11-14T00:00:00"/>
    <d v="2023-02-09T00:00:00"/>
    <x v="0"/>
    <n v="39"/>
    <s v="month"/>
    <n v="87"/>
    <x v="4"/>
    <s v="No"/>
    <n v="0"/>
    <n v="1"/>
    <n v="87"/>
  </r>
  <r>
    <n v="147100996"/>
    <d v="2022-11-14T00:00:00"/>
    <d v="2023-01-15T00:00:00"/>
    <x v="0"/>
    <n v="39"/>
    <s v="month"/>
    <n v="62"/>
    <x v="4"/>
    <s v="No"/>
    <n v="0"/>
    <n v="1"/>
    <n v="62"/>
  </r>
  <r>
    <n v="158437198"/>
    <d v="2022-11-14T00:00:00"/>
    <d v="2023-03-26T00:00:00"/>
    <x v="0"/>
    <n v="39"/>
    <s v="month"/>
    <n v="132"/>
    <x v="4"/>
    <s v="No"/>
    <n v="0"/>
    <n v="1"/>
    <n v="132"/>
  </r>
  <r>
    <n v="162343403"/>
    <d v="2022-11-14T00:00:00"/>
    <d v="2023-03-16T00:00:00"/>
    <x v="0"/>
    <n v="39"/>
    <s v="month"/>
    <n v="122"/>
    <x v="4"/>
    <s v="No"/>
    <n v="0"/>
    <n v="1"/>
    <n v="122"/>
  </r>
  <r>
    <n v="162218672"/>
    <d v="2022-11-14T00:00:00"/>
    <d v="2023-03-09T00:00:00"/>
    <x v="0"/>
    <n v="39"/>
    <s v="month"/>
    <n v="115"/>
    <x v="4"/>
    <s v="No"/>
    <n v="0"/>
    <n v="1"/>
    <n v="115"/>
  </r>
  <r>
    <n v="120738319"/>
    <d v="2022-11-14T00:00:00"/>
    <d v="2023-04-03T00:00:00"/>
    <x v="0"/>
    <n v="39"/>
    <s v="month"/>
    <n v="140"/>
    <x v="4"/>
    <s v="No"/>
    <n v="0"/>
    <n v="1"/>
    <n v="140"/>
  </r>
  <r>
    <n v="162147786"/>
    <d v="2022-11-14T00:00:00"/>
    <d v="2023-04-14T00:00:00"/>
    <x v="0"/>
    <n v="39"/>
    <s v="month"/>
    <n v="151"/>
    <x v="4"/>
    <s v="No"/>
    <n v="0"/>
    <n v="1"/>
    <n v="151"/>
  </r>
  <r>
    <n v="153165084"/>
    <d v="2022-11-14T00:00:00"/>
    <d v="2023-02-08T00:00:00"/>
    <x v="0"/>
    <n v="39"/>
    <s v="month"/>
    <n v="86"/>
    <x v="4"/>
    <s v="No"/>
    <n v="0"/>
    <n v="1"/>
    <n v="86"/>
  </r>
  <r>
    <n v="161815335"/>
    <d v="2022-11-14T00:00:00"/>
    <d v="2023-02-19T00:00:00"/>
    <x v="0"/>
    <n v="39"/>
    <s v="month"/>
    <n v="97"/>
    <x v="4"/>
    <s v="No"/>
    <n v="0"/>
    <n v="1"/>
    <n v="97"/>
  </r>
  <r>
    <n v="162294529"/>
    <d v="2022-11-14T00:00:00"/>
    <d v="2023-02-07T00:00:00"/>
    <x v="0"/>
    <n v="39"/>
    <s v="month"/>
    <n v="85"/>
    <x v="4"/>
    <s v="No"/>
    <n v="0"/>
    <n v="1"/>
    <n v="85"/>
  </r>
  <r>
    <n v="162176080"/>
    <d v="2022-11-14T00:00:00"/>
    <d v="2023-02-05T00:00:00"/>
    <x v="0"/>
    <n v="39"/>
    <s v="month"/>
    <n v="83"/>
    <x v="4"/>
    <s v="No"/>
    <n v="0"/>
    <n v="1"/>
    <n v="83"/>
  </r>
  <r>
    <n v="162412232"/>
    <d v="2022-11-14T00:00:00"/>
    <d v="2022-12-21T00:00:00"/>
    <x v="0"/>
    <n v="39"/>
    <s v="month"/>
    <n v="37"/>
    <x v="4"/>
    <s v="No"/>
    <n v="0"/>
    <n v="1"/>
    <n v="37"/>
  </r>
  <r>
    <n v="158575772"/>
    <d v="2022-11-14T00:00:00"/>
    <d v="2022-12-16T00:00:00"/>
    <x v="0"/>
    <n v="39"/>
    <s v="month"/>
    <n v="32"/>
    <x v="4"/>
    <s v="No"/>
    <n v="0"/>
    <n v="1"/>
    <n v="32"/>
  </r>
  <r>
    <n v="162247173"/>
    <d v="2022-11-14T00:00:00"/>
    <d v="2022-12-11T00:00:00"/>
    <x v="0"/>
    <n v="39"/>
    <s v="month"/>
    <n v="27"/>
    <x v="4"/>
    <s v="No"/>
    <n v="0"/>
    <n v="0"/>
    <n v="27"/>
  </r>
  <r>
    <n v="153630282"/>
    <d v="2022-11-14T00:00:00"/>
    <d v="2022-12-08T00:00:00"/>
    <x v="0"/>
    <n v="39"/>
    <s v="month"/>
    <n v="24"/>
    <x v="4"/>
    <s v="No"/>
    <n v="0"/>
    <n v="0"/>
    <n v="24"/>
  </r>
  <r>
    <n v="156699431"/>
    <d v="2022-11-14T00:00:00"/>
    <d v="2022-11-23T00:00:00"/>
    <x v="0"/>
    <n v="39"/>
    <s v="month"/>
    <n v="9"/>
    <x v="4"/>
    <s v="No"/>
    <n v="0"/>
    <n v="0"/>
    <n v="9"/>
  </r>
  <r>
    <n v="148018000"/>
    <d v="2022-11-14T00:00:00"/>
    <d v="2023-08-01T00:00:00"/>
    <x v="0"/>
    <n v="39"/>
    <s v="month"/>
    <n v="260"/>
    <x v="4"/>
    <s v="No"/>
    <n v="0"/>
    <n v="1"/>
    <n v="260"/>
  </r>
  <r>
    <n v="161623906"/>
    <d v="2022-11-15T00:00:00"/>
    <m/>
    <x v="0"/>
    <n v="39"/>
    <s v="month"/>
    <s v=""/>
    <x v="5"/>
    <s v="No"/>
    <n v="0"/>
    <n v="0"/>
    <s v=""/>
  </r>
  <r>
    <n v="145664226"/>
    <d v="2022-11-15T00:00:00"/>
    <m/>
    <x v="0"/>
    <n v="39"/>
    <s v="month"/>
    <s v=""/>
    <x v="5"/>
    <s v="No"/>
    <n v="0"/>
    <n v="0"/>
    <s v=""/>
  </r>
  <r>
    <n v="162529715"/>
    <d v="2022-11-15T00:00:00"/>
    <d v="2023-03-22T00:00:00"/>
    <x v="0"/>
    <n v="39"/>
    <s v="month"/>
    <n v="127"/>
    <x v="5"/>
    <s v="No"/>
    <n v="0"/>
    <n v="1"/>
    <n v="127"/>
  </r>
  <r>
    <n v="162581284"/>
    <d v="2022-11-15T00:00:00"/>
    <d v="2022-12-11T00:00:00"/>
    <x v="0"/>
    <n v="39"/>
    <s v="month"/>
    <n v="26"/>
    <x v="5"/>
    <s v="No"/>
    <n v="0"/>
    <n v="0"/>
    <n v="26"/>
  </r>
  <r>
    <n v="152655443"/>
    <d v="2022-11-15T00:00:00"/>
    <d v="2023-01-24T00:00:00"/>
    <x v="0"/>
    <n v="39"/>
    <s v="month"/>
    <n v="70"/>
    <x v="5"/>
    <s v="No"/>
    <n v="0"/>
    <n v="1"/>
    <n v="70"/>
  </r>
  <r>
    <n v="162443327"/>
    <d v="2022-11-15T00:00:00"/>
    <d v="2023-01-12T00:00:00"/>
    <x v="0"/>
    <n v="39"/>
    <s v="month"/>
    <n v="58"/>
    <x v="5"/>
    <s v="No"/>
    <n v="0"/>
    <n v="1"/>
    <n v="58"/>
  </r>
  <r>
    <n v="148348600"/>
    <d v="2022-11-15T00:00:00"/>
    <d v="2022-12-13T00:00:00"/>
    <x v="0"/>
    <n v="39"/>
    <s v="month"/>
    <n v="28"/>
    <x v="5"/>
    <s v="No"/>
    <n v="0"/>
    <n v="0"/>
    <n v="28"/>
  </r>
  <r>
    <n v="162992590"/>
    <d v="2022-11-16T00:00:00"/>
    <m/>
    <x v="0"/>
    <n v="39"/>
    <s v="month"/>
    <s v=""/>
    <x v="6"/>
    <s v="No"/>
    <n v="0"/>
    <n v="0"/>
    <s v=""/>
  </r>
  <r>
    <n v="156633222"/>
    <d v="2022-11-16T00:00:00"/>
    <d v="2022-11-16T00:00:00"/>
    <x v="1"/>
    <n v="39"/>
    <s v="month"/>
    <n v="0"/>
    <x v="6"/>
    <s v="Yes"/>
    <n v="1"/>
    <n v="0"/>
    <n v="0"/>
  </r>
  <r>
    <n v="133595094"/>
    <d v="2022-11-16T00:00:00"/>
    <d v="2023-03-03T00:00:00"/>
    <x v="0"/>
    <n v="39"/>
    <s v="month"/>
    <n v="107"/>
    <x v="6"/>
    <s v="No"/>
    <n v="0"/>
    <n v="1"/>
    <n v="107"/>
  </r>
  <r>
    <n v="147770763"/>
    <d v="2022-11-16T00:00:00"/>
    <d v="2023-03-03T00:00:00"/>
    <x v="0"/>
    <n v="39"/>
    <s v="month"/>
    <n v="107"/>
    <x v="6"/>
    <s v="No"/>
    <n v="0"/>
    <n v="1"/>
    <n v="107"/>
  </r>
  <r>
    <n v="155370139"/>
    <d v="2022-11-16T00:00:00"/>
    <d v="2023-03-23T00:00:00"/>
    <x v="0"/>
    <n v="39"/>
    <s v="month"/>
    <n v="127"/>
    <x v="6"/>
    <s v="No"/>
    <n v="0"/>
    <n v="1"/>
    <n v="127"/>
  </r>
  <r>
    <n v="151890876"/>
    <d v="2022-11-16T00:00:00"/>
    <d v="2023-02-23T00:00:00"/>
    <x v="0"/>
    <n v="39"/>
    <s v="month"/>
    <n v="99"/>
    <x v="6"/>
    <s v="No"/>
    <n v="0"/>
    <n v="1"/>
    <n v="99"/>
  </r>
  <r>
    <n v="162920304"/>
    <d v="2022-11-16T00:00:00"/>
    <d v="2023-01-15T00:00:00"/>
    <x v="0"/>
    <n v="39"/>
    <s v="month"/>
    <n v="60"/>
    <x v="6"/>
    <s v="No"/>
    <n v="0"/>
    <n v="1"/>
    <n v="60"/>
  </r>
  <r>
    <n v="148838269"/>
    <d v="2022-11-16T00:00:00"/>
    <d v="2022-11-16T00:00:00"/>
    <x v="0"/>
    <n v="39"/>
    <s v="month"/>
    <n v="0"/>
    <x v="6"/>
    <s v="Yes"/>
    <n v="1"/>
    <n v="0"/>
    <n v="0"/>
  </r>
  <r>
    <n v="162913792"/>
    <d v="2022-11-16T00:00:00"/>
    <d v="2023-08-23T00:00:00"/>
    <x v="0"/>
    <n v="39"/>
    <s v="month"/>
    <n v="280"/>
    <x v="6"/>
    <s v="No"/>
    <n v="0"/>
    <n v="1"/>
    <n v="280"/>
  </r>
  <r>
    <n v="152316740"/>
    <d v="2022-11-17T00:00:00"/>
    <m/>
    <x v="0"/>
    <n v="39"/>
    <s v="month"/>
    <s v=""/>
    <x v="0"/>
    <s v="No"/>
    <n v="0"/>
    <n v="0"/>
    <s v=""/>
  </r>
  <r>
    <n v="135480868"/>
    <d v="2022-11-17T00:00:00"/>
    <d v="2023-01-26T00:00:00"/>
    <x v="0"/>
    <n v="39"/>
    <s v="month"/>
    <n v="70"/>
    <x v="0"/>
    <s v="No"/>
    <n v="0"/>
    <n v="1"/>
    <n v="70"/>
  </r>
  <r>
    <n v="136315690"/>
    <d v="2022-11-17T00:00:00"/>
    <d v="2023-02-24T00:00:00"/>
    <x v="0"/>
    <n v="39"/>
    <s v="month"/>
    <n v="99"/>
    <x v="0"/>
    <s v="No"/>
    <n v="0"/>
    <n v="1"/>
    <n v="99"/>
  </r>
  <r>
    <n v="163224262"/>
    <d v="2022-11-17T00:00:00"/>
    <d v="2023-02-12T00:00:00"/>
    <x v="0"/>
    <n v="39"/>
    <s v="month"/>
    <n v="87"/>
    <x v="0"/>
    <s v="No"/>
    <n v="0"/>
    <n v="1"/>
    <n v="87"/>
  </r>
  <r>
    <n v="163330072"/>
    <d v="2022-11-17T00:00:00"/>
    <d v="2023-01-24T00:00:00"/>
    <x v="0"/>
    <n v="39"/>
    <s v="month"/>
    <n v="68"/>
    <x v="0"/>
    <s v="No"/>
    <n v="0"/>
    <n v="1"/>
    <n v="68"/>
  </r>
  <r>
    <n v="134646164"/>
    <d v="2022-11-17T00:00:00"/>
    <d v="2022-12-24T00:00:00"/>
    <x v="0"/>
    <n v="39"/>
    <s v="month"/>
    <n v="37"/>
    <x v="0"/>
    <s v="No"/>
    <n v="0"/>
    <n v="1"/>
    <n v="37"/>
  </r>
  <r>
    <n v="163282336"/>
    <d v="2022-11-17T00:00:00"/>
    <d v="2023-08-10T00:00:00"/>
    <x v="0"/>
    <n v="39"/>
    <s v="month"/>
    <n v="266"/>
    <x v="0"/>
    <s v="No"/>
    <n v="0"/>
    <n v="1"/>
    <n v="266"/>
  </r>
  <r>
    <n v="162490128"/>
    <d v="2022-11-18T00:00:00"/>
    <m/>
    <x v="0"/>
    <n v="39"/>
    <s v="month"/>
    <s v=""/>
    <x v="1"/>
    <s v="No"/>
    <n v="0"/>
    <n v="0"/>
    <s v=""/>
  </r>
  <r>
    <n v="147122277"/>
    <d v="2022-11-18T00:00:00"/>
    <d v="2022-11-19T00:00:00"/>
    <x v="1"/>
    <n v="39"/>
    <s v="month"/>
    <n v="1"/>
    <x v="1"/>
    <s v="No"/>
    <n v="1"/>
    <n v="0"/>
    <n v="1"/>
  </r>
  <r>
    <n v="163623375"/>
    <d v="2022-11-18T00:00:00"/>
    <d v="2022-11-19T00:00:00"/>
    <x v="1"/>
    <n v="39"/>
    <s v="month"/>
    <n v="1"/>
    <x v="1"/>
    <s v="No"/>
    <n v="1"/>
    <n v="0"/>
    <n v="1"/>
  </r>
  <r>
    <n v="132918654"/>
    <d v="2022-11-18T00:00:00"/>
    <d v="2023-01-18T00:00:00"/>
    <x v="0"/>
    <n v="39"/>
    <s v="month"/>
    <n v="61"/>
    <x v="1"/>
    <s v="No"/>
    <n v="0"/>
    <n v="1"/>
    <n v="61"/>
  </r>
  <r>
    <n v="160601062"/>
    <d v="2022-11-18T00:00:00"/>
    <d v="2023-01-09T00:00:00"/>
    <x v="0"/>
    <n v="39"/>
    <s v="month"/>
    <n v="52"/>
    <x v="1"/>
    <s v="No"/>
    <n v="0"/>
    <n v="1"/>
    <n v="52"/>
  </r>
  <r>
    <n v="144573808"/>
    <d v="2022-11-18T00:00:00"/>
    <d v="2023-01-18T00:00:00"/>
    <x v="0"/>
    <n v="39"/>
    <s v="month"/>
    <n v="61"/>
    <x v="1"/>
    <s v="No"/>
    <n v="0"/>
    <n v="1"/>
    <n v="61"/>
  </r>
  <r>
    <n v="114435366"/>
    <d v="2022-11-18T00:00:00"/>
    <d v="2022-11-18T00:00:00"/>
    <x v="0"/>
    <n v="39"/>
    <s v="month"/>
    <n v="0"/>
    <x v="1"/>
    <s v="Yes"/>
    <n v="1"/>
    <n v="0"/>
    <n v="0"/>
  </r>
  <r>
    <n v="163399934"/>
    <d v="2022-11-18T00:00:00"/>
    <d v="2022-11-18T00:00:00"/>
    <x v="0"/>
    <n v="39"/>
    <s v="month"/>
    <n v="0"/>
    <x v="1"/>
    <s v="Yes"/>
    <n v="1"/>
    <n v="0"/>
    <n v="0"/>
  </r>
  <r>
    <n v="133599090"/>
    <d v="2022-11-19T00:00:00"/>
    <d v="2023-03-11T00:00:00"/>
    <x v="0"/>
    <n v="39"/>
    <s v="month"/>
    <n v="112"/>
    <x v="2"/>
    <s v="No"/>
    <n v="0"/>
    <n v="1"/>
    <n v="112"/>
  </r>
  <r>
    <n v="154767246"/>
    <d v="2022-11-19T00:00:00"/>
    <d v="2022-12-20T00:00:00"/>
    <x v="0"/>
    <n v="39"/>
    <s v="month"/>
    <n v="31"/>
    <x v="2"/>
    <s v="No"/>
    <n v="0"/>
    <n v="1"/>
    <n v="31"/>
  </r>
  <r>
    <n v="164085988"/>
    <d v="2022-11-19T00:00:00"/>
    <d v="2022-12-20T00:00:00"/>
    <x v="0"/>
    <n v="39"/>
    <s v="month"/>
    <n v="31"/>
    <x v="2"/>
    <s v="No"/>
    <n v="0"/>
    <n v="1"/>
    <n v="31"/>
  </r>
  <r>
    <n v="164255751"/>
    <d v="2022-11-20T00:00:00"/>
    <d v="2023-08-21T00:00:00"/>
    <x v="0"/>
    <n v="39"/>
    <s v="month"/>
    <n v="274"/>
    <x v="3"/>
    <s v="No"/>
    <n v="0"/>
    <n v="1"/>
    <n v="274"/>
  </r>
  <r>
    <n v="150663530"/>
    <d v="2022-11-20T00:00:00"/>
    <d v="2023-04-27T00:00:00"/>
    <x v="0"/>
    <n v="39"/>
    <s v="month"/>
    <n v="158"/>
    <x v="3"/>
    <s v="No"/>
    <n v="0"/>
    <n v="1"/>
    <n v="158"/>
  </r>
  <r>
    <n v="155333508"/>
    <d v="2022-11-20T00:00:00"/>
    <d v="2023-01-19T00:00:00"/>
    <x v="0"/>
    <n v="39"/>
    <s v="month"/>
    <n v="60"/>
    <x v="3"/>
    <s v="No"/>
    <n v="0"/>
    <n v="1"/>
    <n v="60"/>
  </r>
  <r>
    <n v="163178244"/>
    <d v="2022-11-21T00:00:00"/>
    <m/>
    <x v="1"/>
    <n v="39"/>
    <s v="month"/>
    <s v=""/>
    <x v="4"/>
    <s v="No"/>
    <n v="0"/>
    <n v="0"/>
    <s v=""/>
  </r>
  <r>
    <n v="130245484"/>
    <d v="2022-11-21T00:00:00"/>
    <d v="2023-02-20T00:00:00"/>
    <x v="0"/>
    <n v="39"/>
    <s v="month"/>
    <n v="91"/>
    <x v="4"/>
    <s v="No"/>
    <n v="0"/>
    <n v="1"/>
    <n v="91"/>
  </r>
  <r>
    <n v="164578320"/>
    <d v="2022-11-21T00:00:00"/>
    <d v="2022-12-21T00:00:00"/>
    <x v="0"/>
    <n v="39"/>
    <s v="month"/>
    <n v="30"/>
    <x v="4"/>
    <s v="No"/>
    <n v="0"/>
    <n v="0"/>
    <n v="30"/>
  </r>
  <r>
    <n v="164542692"/>
    <d v="2022-11-21T00:00:00"/>
    <d v="2022-12-28T00:00:00"/>
    <x v="0"/>
    <n v="39"/>
    <s v="month"/>
    <n v="37"/>
    <x v="4"/>
    <s v="No"/>
    <n v="0"/>
    <n v="1"/>
    <n v="37"/>
  </r>
  <r>
    <n v="164087136"/>
    <d v="2022-11-22T00:00:00"/>
    <m/>
    <x v="0"/>
    <n v="39"/>
    <s v="month"/>
    <s v=""/>
    <x v="5"/>
    <s v="No"/>
    <n v="0"/>
    <n v="0"/>
    <s v=""/>
  </r>
  <r>
    <n v="155414052"/>
    <d v="2022-11-22T00:00:00"/>
    <d v="2022-11-23T00:00:00"/>
    <x v="1"/>
    <n v="39"/>
    <s v="month"/>
    <n v="1"/>
    <x v="5"/>
    <s v="No"/>
    <n v="1"/>
    <n v="0"/>
    <n v="1"/>
  </r>
  <r>
    <n v="152253972"/>
    <d v="2022-11-22T00:00:00"/>
    <d v="2023-03-29T00:00:00"/>
    <x v="0"/>
    <n v="39"/>
    <s v="month"/>
    <n v="127"/>
    <x v="5"/>
    <s v="No"/>
    <n v="0"/>
    <n v="1"/>
    <n v="127"/>
  </r>
  <r>
    <n v="152754329"/>
    <d v="2022-11-22T00:00:00"/>
    <d v="2023-01-23T00:00:00"/>
    <x v="0"/>
    <n v="39"/>
    <s v="month"/>
    <n v="62"/>
    <x v="5"/>
    <s v="No"/>
    <n v="0"/>
    <n v="1"/>
    <n v="62"/>
  </r>
  <r>
    <n v="159724071"/>
    <d v="2022-11-23T00:00:00"/>
    <d v="2023-01-19T00:00:00"/>
    <x v="0"/>
    <n v="39"/>
    <s v="month"/>
    <n v="57"/>
    <x v="6"/>
    <s v="No"/>
    <n v="0"/>
    <n v="1"/>
    <n v="57"/>
  </r>
  <r>
    <n v="165164673"/>
    <d v="2022-11-23T00:00:00"/>
    <d v="2022-11-26T00:00:00"/>
    <x v="0"/>
    <n v="39"/>
    <s v="month"/>
    <n v="3"/>
    <x v="6"/>
    <s v="No"/>
    <n v="0"/>
    <n v="0"/>
    <n v="3"/>
  </r>
  <r>
    <n v="165529460"/>
    <d v="2022-11-24T00:00:00"/>
    <d v="2023-04-21T00:00:00"/>
    <x v="0"/>
    <n v="39"/>
    <s v="month"/>
    <n v="148"/>
    <x v="0"/>
    <s v="No"/>
    <n v="0"/>
    <n v="1"/>
    <n v="148"/>
  </r>
  <r>
    <n v="163362190"/>
    <d v="2022-11-25T00:00:00"/>
    <m/>
    <x v="0"/>
    <n v="39"/>
    <s v="month"/>
    <s v=""/>
    <x v="1"/>
    <s v="No"/>
    <n v="0"/>
    <n v="0"/>
    <s v=""/>
  </r>
  <r>
    <n v="155810350"/>
    <d v="2022-11-25T00:00:00"/>
    <d v="2022-12-22T00:00:00"/>
    <x v="0"/>
    <n v="39"/>
    <s v="month"/>
    <n v="27"/>
    <x v="1"/>
    <s v="No"/>
    <n v="0"/>
    <n v="0"/>
    <n v="27"/>
  </r>
  <r>
    <n v="161793136"/>
    <d v="2022-11-25T00:00:00"/>
    <d v="2023-06-13T00:00:00"/>
    <x v="0"/>
    <n v="39"/>
    <s v="month"/>
    <n v="200"/>
    <x v="1"/>
    <s v="No"/>
    <n v="0"/>
    <n v="1"/>
    <n v="200"/>
  </r>
  <r>
    <n v="159255776"/>
    <d v="2022-11-25T00:00:00"/>
    <d v="2023-03-21T00:00:00"/>
    <x v="0"/>
    <n v="39"/>
    <s v="month"/>
    <n v="116"/>
    <x v="1"/>
    <s v="No"/>
    <n v="0"/>
    <n v="1"/>
    <n v="116"/>
  </r>
  <r>
    <n v="165807144"/>
    <d v="2022-11-25T00:00:00"/>
    <d v="2023-02-01T00:00:00"/>
    <x v="0"/>
    <n v="39"/>
    <s v="month"/>
    <n v="68"/>
    <x v="1"/>
    <s v="No"/>
    <n v="0"/>
    <n v="1"/>
    <n v="68"/>
  </r>
  <r>
    <n v="165788743"/>
    <d v="2022-11-25T00:00:00"/>
    <d v="2023-02-18T00:00:00"/>
    <x v="0"/>
    <n v="39"/>
    <s v="month"/>
    <n v="85"/>
    <x v="1"/>
    <s v="No"/>
    <n v="0"/>
    <n v="1"/>
    <n v="85"/>
  </r>
  <r>
    <n v="162513776"/>
    <d v="2022-11-25T00:00:00"/>
    <d v="2023-01-30T00:00:00"/>
    <x v="0"/>
    <n v="39"/>
    <s v="month"/>
    <n v="66"/>
    <x v="1"/>
    <s v="No"/>
    <n v="0"/>
    <n v="1"/>
    <n v="66"/>
  </r>
  <r>
    <n v="161841028"/>
    <d v="2022-11-25T00:00:00"/>
    <d v="2023-01-25T00:00:00"/>
    <x v="0"/>
    <n v="39"/>
    <s v="month"/>
    <n v="61"/>
    <x v="1"/>
    <s v="No"/>
    <n v="0"/>
    <n v="1"/>
    <n v="61"/>
  </r>
  <r>
    <n v="160597612"/>
    <d v="2022-11-25T00:00:00"/>
    <d v="2022-12-11T00:00:00"/>
    <x v="0"/>
    <n v="39"/>
    <s v="month"/>
    <n v="16"/>
    <x v="1"/>
    <s v="No"/>
    <n v="0"/>
    <n v="0"/>
    <n v="16"/>
  </r>
  <r>
    <n v="165937140"/>
    <d v="2022-11-26T00:00:00"/>
    <d v="2022-11-27T00:00:00"/>
    <x v="1"/>
    <n v="39"/>
    <s v="month"/>
    <n v="1"/>
    <x v="2"/>
    <s v="No"/>
    <n v="1"/>
    <n v="0"/>
    <n v="1"/>
  </r>
  <r>
    <n v="165613975"/>
    <d v="2022-11-26T00:00:00"/>
    <d v="2023-05-07T00:00:00"/>
    <x v="0"/>
    <n v="39"/>
    <s v="month"/>
    <n v="162"/>
    <x v="2"/>
    <s v="No"/>
    <n v="0"/>
    <n v="1"/>
    <n v="162"/>
  </r>
  <r>
    <n v="164662173"/>
    <d v="2022-11-26T00:00:00"/>
    <d v="2023-01-26T00:00:00"/>
    <x v="0"/>
    <n v="39"/>
    <s v="month"/>
    <n v="61"/>
    <x v="2"/>
    <s v="No"/>
    <n v="0"/>
    <n v="1"/>
    <n v="61"/>
  </r>
  <r>
    <n v="162411394"/>
    <d v="2022-11-26T00:00:00"/>
    <d v="2023-01-04T00:00:00"/>
    <x v="0"/>
    <n v="39"/>
    <s v="month"/>
    <n v="39"/>
    <x v="2"/>
    <s v="No"/>
    <n v="0"/>
    <n v="1"/>
    <n v="39"/>
  </r>
  <r>
    <n v="121439836"/>
    <d v="2022-11-27T00:00:00"/>
    <m/>
    <x v="0"/>
    <n v="39"/>
    <s v="month"/>
    <s v=""/>
    <x v="3"/>
    <s v="No"/>
    <n v="0"/>
    <n v="0"/>
    <s v=""/>
  </r>
  <r>
    <n v="157353623"/>
    <d v="2022-11-27T00:00:00"/>
    <d v="2022-11-27T00:00:00"/>
    <x v="1"/>
    <n v="39"/>
    <s v="month"/>
    <n v="0"/>
    <x v="3"/>
    <s v="Yes"/>
    <n v="1"/>
    <n v="0"/>
    <n v="0"/>
  </r>
  <r>
    <n v="165953219"/>
    <d v="2022-11-27T00:00:00"/>
    <d v="2023-01-03T00:00:00"/>
    <x v="0"/>
    <n v="39"/>
    <s v="month"/>
    <n v="37"/>
    <x v="3"/>
    <s v="No"/>
    <n v="0"/>
    <n v="1"/>
    <n v="37"/>
  </r>
  <r>
    <n v="154710805"/>
    <d v="2022-11-28T00:00:00"/>
    <m/>
    <x v="0"/>
    <n v="39"/>
    <s v="month"/>
    <s v=""/>
    <x v="4"/>
    <s v="No"/>
    <n v="0"/>
    <n v="0"/>
    <s v=""/>
  </r>
  <r>
    <n v="164084318"/>
    <d v="2022-11-28T00:00:00"/>
    <m/>
    <x v="0"/>
    <n v="39"/>
    <s v="month"/>
    <s v=""/>
    <x v="4"/>
    <s v="No"/>
    <n v="0"/>
    <n v="0"/>
    <s v=""/>
  </r>
  <r>
    <n v="160043327"/>
    <d v="2022-11-28T00:00:00"/>
    <d v="2022-11-29T00:00:00"/>
    <x v="1"/>
    <n v="39"/>
    <s v="month"/>
    <n v="1"/>
    <x v="4"/>
    <s v="No"/>
    <n v="1"/>
    <n v="0"/>
    <n v="1"/>
  </r>
  <r>
    <n v="131166579"/>
    <d v="2022-11-28T00:00:00"/>
    <d v="2023-01-04T00:00:00"/>
    <x v="0"/>
    <n v="39"/>
    <s v="month"/>
    <n v="37"/>
    <x v="4"/>
    <s v="No"/>
    <n v="0"/>
    <n v="1"/>
    <n v="37"/>
  </r>
  <r>
    <n v="166109726"/>
    <d v="2022-11-28T00:00:00"/>
    <d v="2023-01-12T00:00:00"/>
    <x v="0"/>
    <n v="39"/>
    <s v="month"/>
    <n v="45"/>
    <x v="4"/>
    <s v="No"/>
    <n v="0"/>
    <n v="1"/>
    <n v="45"/>
  </r>
  <r>
    <n v="155446081"/>
    <d v="2022-11-28T00:00:00"/>
    <d v="2023-01-01T00:00:00"/>
    <x v="0"/>
    <n v="39"/>
    <s v="month"/>
    <n v="34"/>
    <x v="4"/>
    <s v="No"/>
    <n v="0"/>
    <n v="1"/>
    <n v="34"/>
  </r>
  <r>
    <n v="166342075"/>
    <d v="2022-11-28T00:00:00"/>
    <d v="2022-12-28T00:00:00"/>
    <x v="0"/>
    <n v="39"/>
    <s v="month"/>
    <n v="30"/>
    <x v="4"/>
    <s v="No"/>
    <n v="0"/>
    <n v="0"/>
    <n v="30"/>
  </r>
  <r>
    <n v="154063985"/>
    <d v="2022-11-28T00:00:00"/>
    <d v="2023-08-04T00:00:00"/>
    <x v="0"/>
    <n v="39"/>
    <s v="month"/>
    <n v="249"/>
    <x v="4"/>
    <s v="No"/>
    <n v="0"/>
    <n v="1"/>
    <n v="249"/>
  </r>
  <r>
    <n v="164141888"/>
    <d v="2022-11-29T00:00:00"/>
    <m/>
    <x v="0"/>
    <n v="39"/>
    <s v="month"/>
    <s v=""/>
    <x v="5"/>
    <s v="No"/>
    <n v="0"/>
    <n v="0"/>
    <s v=""/>
  </r>
  <r>
    <n v="165244044"/>
    <d v="2022-11-29T00:00:00"/>
    <d v="2023-05-15T00:00:00"/>
    <x v="0"/>
    <n v="39"/>
    <s v="month"/>
    <n v="167"/>
    <x v="5"/>
    <s v="No"/>
    <n v="0"/>
    <n v="1"/>
    <n v="167"/>
  </r>
  <r>
    <n v="136149379"/>
    <d v="2022-11-29T00:00:00"/>
    <d v="2023-04-02T00:00:00"/>
    <x v="0"/>
    <n v="39"/>
    <s v="month"/>
    <n v="124"/>
    <x v="5"/>
    <s v="No"/>
    <n v="0"/>
    <n v="1"/>
    <n v="124"/>
  </r>
  <r>
    <n v="158227426"/>
    <d v="2022-11-29T00:00:00"/>
    <d v="2023-03-01T00:00:00"/>
    <x v="0"/>
    <n v="39"/>
    <s v="month"/>
    <n v="92"/>
    <x v="5"/>
    <s v="No"/>
    <n v="0"/>
    <n v="1"/>
    <n v="92"/>
  </r>
  <r>
    <n v="166366125"/>
    <d v="2022-11-29T00:00:00"/>
    <d v="2023-03-09T00:00:00"/>
    <x v="0"/>
    <n v="39"/>
    <s v="month"/>
    <n v="100"/>
    <x v="5"/>
    <s v="No"/>
    <n v="0"/>
    <n v="1"/>
    <n v="100"/>
  </r>
  <r>
    <n v="166753946"/>
    <d v="2022-11-29T00:00:00"/>
    <d v="2023-02-05T00:00:00"/>
    <x v="0"/>
    <n v="39"/>
    <s v="month"/>
    <n v="68"/>
    <x v="5"/>
    <s v="No"/>
    <n v="0"/>
    <n v="1"/>
    <n v="68"/>
  </r>
  <r>
    <n v="157883110"/>
    <d v="2022-11-29T00:00:00"/>
    <d v="2023-01-23T00:00:00"/>
    <x v="0"/>
    <n v="39"/>
    <s v="month"/>
    <n v="55"/>
    <x v="5"/>
    <s v="No"/>
    <n v="0"/>
    <n v="1"/>
    <n v="55"/>
  </r>
  <r>
    <n v="138475621"/>
    <d v="2022-11-29T00:00:00"/>
    <d v="2022-12-15T00:00:00"/>
    <x v="0"/>
    <n v="39"/>
    <s v="month"/>
    <n v="16"/>
    <x v="5"/>
    <s v="No"/>
    <n v="0"/>
    <n v="0"/>
    <n v="16"/>
  </r>
  <r>
    <n v="166529240"/>
    <d v="2022-11-30T00:00:00"/>
    <m/>
    <x v="0"/>
    <n v="39"/>
    <s v="month"/>
    <s v=""/>
    <x v="6"/>
    <s v="No"/>
    <n v="0"/>
    <n v="0"/>
    <s v=""/>
  </r>
  <r>
    <n v="125828506"/>
    <d v="2022-11-30T00:00:00"/>
    <d v="2023-02-14T00:00:00"/>
    <x v="0"/>
    <n v="39"/>
    <s v="month"/>
    <n v="76"/>
    <x v="6"/>
    <s v="No"/>
    <n v="0"/>
    <n v="1"/>
    <n v="76"/>
  </r>
  <r>
    <n v="148869381"/>
    <d v="2022-11-30T00:00:00"/>
    <d v="2023-01-31T00:00:00"/>
    <x v="0"/>
    <n v="39"/>
    <s v="month"/>
    <n v="62"/>
    <x v="6"/>
    <s v="No"/>
    <n v="0"/>
    <n v="1"/>
    <n v="62"/>
  </r>
  <r>
    <n v="134825962"/>
    <d v="2022-11-30T00:00:00"/>
    <d v="2023-01-01T00:00:00"/>
    <x v="0"/>
    <n v="39"/>
    <s v="month"/>
    <n v="32"/>
    <x v="6"/>
    <s v="No"/>
    <n v="0"/>
    <n v="1"/>
    <n v="32"/>
  </r>
  <r>
    <n v="151163143"/>
    <d v="2022-11-30T00:00:00"/>
    <d v="2023-01-06T00:00:00"/>
    <x v="0"/>
    <n v="39"/>
    <s v="month"/>
    <n v="37"/>
    <x v="6"/>
    <s v="No"/>
    <n v="0"/>
    <n v="1"/>
    <n v="37"/>
  </r>
  <r>
    <n v="156111982"/>
    <d v="2022-11-30T00:00:00"/>
    <d v="2022-12-23T00:00:00"/>
    <x v="0"/>
    <n v="39"/>
    <s v="month"/>
    <n v="23"/>
    <x v="6"/>
    <s v="No"/>
    <n v="0"/>
    <n v="0"/>
    <n v="23"/>
  </r>
  <r>
    <n v="166546201"/>
    <d v="2022-11-30T00:00:00"/>
    <d v="2022-12-11T00:00:00"/>
    <x v="0"/>
    <n v="39"/>
    <s v="month"/>
    <n v="11"/>
    <x v="6"/>
    <s v="No"/>
    <n v="0"/>
    <n v="0"/>
    <n v="11"/>
  </r>
  <r>
    <n v="162126074"/>
    <d v="2022-12-01T00:00:00"/>
    <m/>
    <x v="0"/>
    <n v="39"/>
    <s v="month"/>
    <s v=""/>
    <x v="0"/>
    <s v="No"/>
    <n v="0"/>
    <n v="0"/>
    <s v=""/>
  </r>
  <r>
    <n v="162640429"/>
    <d v="2022-12-01T00:00:00"/>
    <m/>
    <x v="0"/>
    <n v="39"/>
    <s v="month"/>
    <s v=""/>
    <x v="0"/>
    <s v="No"/>
    <n v="0"/>
    <n v="0"/>
    <s v=""/>
  </r>
  <r>
    <n v="164413682"/>
    <d v="2022-12-01T00:00:00"/>
    <m/>
    <x v="0"/>
    <n v="39"/>
    <s v="month"/>
    <s v=""/>
    <x v="0"/>
    <s v="No"/>
    <n v="0"/>
    <n v="0"/>
    <s v=""/>
  </r>
  <r>
    <n v="162850052"/>
    <d v="2022-12-01T00:00:00"/>
    <m/>
    <x v="0"/>
    <n v="39"/>
    <s v="month"/>
    <s v=""/>
    <x v="0"/>
    <s v="No"/>
    <n v="0"/>
    <n v="0"/>
    <s v=""/>
  </r>
  <r>
    <n v="162177746"/>
    <d v="2022-12-01T00:00:00"/>
    <d v="2022-12-29T00:00:00"/>
    <x v="0"/>
    <n v="39"/>
    <s v="month"/>
    <n v="28"/>
    <x v="0"/>
    <s v="No"/>
    <n v="0"/>
    <n v="0"/>
    <n v="28"/>
  </r>
  <r>
    <n v="135587508"/>
    <d v="2022-12-01T00:00:00"/>
    <d v="2023-02-09T00:00:00"/>
    <x v="0"/>
    <n v="39"/>
    <s v="month"/>
    <n v="70"/>
    <x v="0"/>
    <s v="No"/>
    <n v="0"/>
    <n v="1"/>
    <n v="70"/>
  </r>
  <r>
    <n v="161428649"/>
    <d v="2022-12-01T00:00:00"/>
    <d v="2023-04-08T00:00:00"/>
    <x v="0"/>
    <n v="39"/>
    <s v="month"/>
    <n v="128"/>
    <x v="0"/>
    <s v="No"/>
    <n v="0"/>
    <n v="1"/>
    <n v="128"/>
  </r>
  <r>
    <n v="166977144"/>
    <d v="2022-12-01T00:00:00"/>
    <d v="2023-04-08T00:00:00"/>
    <x v="0"/>
    <n v="39"/>
    <s v="month"/>
    <n v="128"/>
    <x v="0"/>
    <s v="No"/>
    <n v="0"/>
    <n v="1"/>
    <n v="128"/>
  </r>
  <r>
    <n v="161640666"/>
    <d v="2022-12-01T00:00:00"/>
    <d v="2023-03-01T00:00:00"/>
    <x v="0"/>
    <n v="39"/>
    <s v="month"/>
    <n v="90"/>
    <x v="0"/>
    <s v="No"/>
    <n v="0"/>
    <n v="1"/>
    <n v="90"/>
  </r>
  <r>
    <n v="165932696"/>
    <d v="2022-12-01T00:00:00"/>
    <d v="2023-03-01T00:00:00"/>
    <x v="0"/>
    <n v="39"/>
    <s v="month"/>
    <n v="90"/>
    <x v="0"/>
    <s v="No"/>
    <n v="0"/>
    <n v="1"/>
    <n v="90"/>
  </r>
  <r>
    <n v="165204032"/>
    <d v="2022-12-01T00:00:00"/>
    <d v="2023-02-14T00:00:00"/>
    <x v="0"/>
    <n v="39"/>
    <s v="month"/>
    <n v="75"/>
    <x v="0"/>
    <s v="No"/>
    <n v="0"/>
    <n v="1"/>
    <n v="75"/>
  </r>
  <r>
    <n v="162469903"/>
    <d v="2022-12-01T00:00:00"/>
    <d v="2023-02-08T00:00:00"/>
    <x v="0"/>
    <n v="39"/>
    <s v="month"/>
    <n v="69"/>
    <x v="0"/>
    <s v="No"/>
    <n v="0"/>
    <n v="1"/>
    <n v="69"/>
  </r>
  <r>
    <n v="166515564"/>
    <d v="2022-12-01T00:00:00"/>
    <d v="2023-01-19T00:00:00"/>
    <x v="0"/>
    <n v="39"/>
    <s v="month"/>
    <n v="49"/>
    <x v="0"/>
    <s v="No"/>
    <n v="0"/>
    <n v="1"/>
    <n v="49"/>
  </r>
  <r>
    <n v="139323228"/>
    <d v="2022-12-01T00:00:00"/>
    <d v="2023-01-24T00:00:00"/>
    <x v="0"/>
    <n v="39"/>
    <s v="month"/>
    <n v="54"/>
    <x v="0"/>
    <s v="No"/>
    <n v="0"/>
    <n v="1"/>
    <n v="54"/>
  </r>
  <r>
    <n v="162569750"/>
    <d v="2022-12-01T00:00:00"/>
    <d v="2022-12-04T00:00:00"/>
    <x v="0"/>
    <n v="39"/>
    <s v="month"/>
    <n v="3"/>
    <x v="0"/>
    <s v="No"/>
    <n v="0"/>
    <n v="0"/>
    <n v="3"/>
  </r>
  <r>
    <n v="165959602"/>
    <d v="2022-12-01T00:00:00"/>
    <d v="2022-12-23T00:00:00"/>
    <x v="0"/>
    <n v="39"/>
    <s v="month"/>
    <n v="22"/>
    <x v="0"/>
    <s v="No"/>
    <n v="0"/>
    <n v="0"/>
    <n v="22"/>
  </r>
  <r>
    <n v="160968524"/>
    <d v="2022-12-01T00:00:00"/>
    <d v="2023-07-20T00:00:00"/>
    <x v="0"/>
    <n v="39"/>
    <s v="month"/>
    <n v="231"/>
    <x v="0"/>
    <s v="No"/>
    <n v="0"/>
    <n v="1"/>
    <n v="231"/>
  </r>
  <r>
    <n v="163258260"/>
    <d v="2022-12-02T00:00:00"/>
    <m/>
    <x v="0"/>
    <n v="39"/>
    <s v="month"/>
    <s v=""/>
    <x v="1"/>
    <s v="No"/>
    <n v="0"/>
    <n v="0"/>
    <s v=""/>
  </r>
  <r>
    <n v="167051046"/>
    <d v="2022-12-02T00:00:00"/>
    <m/>
    <x v="0"/>
    <n v="39"/>
    <s v="month"/>
    <s v=""/>
    <x v="1"/>
    <s v="No"/>
    <n v="0"/>
    <n v="0"/>
    <s v=""/>
  </r>
  <r>
    <n v="161182367"/>
    <d v="2022-12-02T00:00:00"/>
    <d v="2022-12-03T00:00:00"/>
    <x v="0"/>
    <n v="39"/>
    <s v="month"/>
    <n v="1"/>
    <x v="1"/>
    <s v="No"/>
    <n v="1"/>
    <n v="0"/>
    <n v="1"/>
  </r>
  <r>
    <n v="167292985"/>
    <d v="2022-12-02T00:00:00"/>
    <d v="2022-12-03T00:00:00"/>
    <x v="1"/>
    <n v="39"/>
    <s v="month"/>
    <n v="1"/>
    <x v="1"/>
    <s v="No"/>
    <n v="1"/>
    <n v="0"/>
    <n v="1"/>
  </r>
  <r>
    <n v="166183014"/>
    <d v="2022-12-02T00:00:00"/>
    <d v="2022-12-03T00:00:00"/>
    <x v="1"/>
    <n v="39"/>
    <s v="month"/>
    <n v="1"/>
    <x v="1"/>
    <s v="No"/>
    <n v="1"/>
    <n v="0"/>
    <n v="1"/>
  </r>
  <r>
    <n v="165143920"/>
    <d v="2022-12-02T00:00:00"/>
    <d v="2023-06-02T00:00:00"/>
    <x v="0"/>
    <n v="39"/>
    <s v="month"/>
    <n v="182"/>
    <x v="1"/>
    <s v="No"/>
    <n v="0"/>
    <n v="1"/>
    <n v="182"/>
  </r>
  <r>
    <n v="165958089"/>
    <d v="2022-12-02T00:00:00"/>
    <d v="2023-02-09T00:00:00"/>
    <x v="0"/>
    <n v="39"/>
    <s v="month"/>
    <n v="69"/>
    <x v="1"/>
    <s v="No"/>
    <n v="0"/>
    <n v="1"/>
    <n v="69"/>
  </r>
  <r>
    <n v="165431576"/>
    <d v="2022-12-02T00:00:00"/>
    <d v="2023-02-01T00:00:00"/>
    <x v="0"/>
    <n v="39"/>
    <s v="month"/>
    <n v="61"/>
    <x v="1"/>
    <s v="No"/>
    <n v="0"/>
    <n v="1"/>
    <n v="61"/>
  </r>
  <r>
    <n v="163708513"/>
    <d v="2022-12-02T00:00:00"/>
    <d v="2022-12-30T00:00:00"/>
    <x v="0"/>
    <n v="39"/>
    <s v="month"/>
    <n v="28"/>
    <x v="1"/>
    <s v="No"/>
    <n v="0"/>
    <n v="0"/>
    <n v="28"/>
  </r>
  <r>
    <n v="164521419"/>
    <d v="2022-12-02T00:00:00"/>
    <d v="2022-12-29T00:00:00"/>
    <x v="0"/>
    <n v="39"/>
    <s v="month"/>
    <n v="27"/>
    <x v="1"/>
    <s v="No"/>
    <n v="0"/>
    <n v="0"/>
    <n v="27"/>
  </r>
  <r>
    <n v="166257164"/>
    <d v="2022-12-02T00:00:00"/>
    <d v="2022-12-21T00:00:00"/>
    <x v="0"/>
    <n v="39"/>
    <s v="month"/>
    <n v="19"/>
    <x v="1"/>
    <s v="No"/>
    <n v="0"/>
    <n v="0"/>
    <n v="19"/>
  </r>
  <r>
    <n v="121348156"/>
    <d v="2022-12-02T00:00:00"/>
    <d v="2022-12-06T00:00:00"/>
    <x v="0"/>
    <n v="39"/>
    <s v="month"/>
    <n v="4"/>
    <x v="1"/>
    <s v="No"/>
    <n v="0"/>
    <n v="0"/>
    <n v="4"/>
  </r>
  <r>
    <n v="167280894"/>
    <d v="2022-12-02T00:00:00"/>
    <d v="2023-07-06T00:00:00"/>
    <x v="0"/>
    <n v="39"/>
    <s v="month"/>
    <n v="216"/>
    <x v="1"/>
    <s v="No"/>
    <n v="0"/>
    <n v="1"/>
    <n v="216"/>
  </r>
  <r>
    <n v="160980795"/>
    <d v="2022-12-03T00:00:00"/>
    <m/>
    <x v="0"/>
    <n v="39"/>
    <s v="month"/>
    <s v=""/>
    <x v="2"/>
    <s v="No"/>
    <n v="0"/>
    <n v="0"/>
    <s v=""/>
  </r>
  <r>
    <n v="167544686"/>
    <d v="2022-12-03T00:00:00"/>
    <m/>
    <x v="0"/>
    <n v="39"/>
    <s v="month"/>
    <s v=""/>
    <x v="2"/>
    <s v="No"/>
    <n v="0"/>
    <n v="0"/>
    <s v=""/>
  </r>
  <r>
    <n v="161968719"/>
    <d v="2022-12-03T00:00:00"/>
    <m/>
    <x v="0"/>
    <n v="39"/>
    <s v="month"/>
    <s v=""/>
    <x v="2"/>
    <s v="No"/>
    <n v="0"/>
    <n v="0"/>
    <s v=""/>
  </r>
  <r>
    <n v="159070152"/>
    <d v="2022-12-03T00:00:00"/>
    <m/>
    <x v="0"/>
    <n v="39"/>
    <s v="month"/>
    <s v=""/>
    <x v="2"/>
    <s v="No"/>
    <n v="0"/>
    <n v="0"/>
    <s v=""/>
  </r>
  <r>
    <n v="167445788"/>
    <d v="2022-12-03T00:00:00"/>
    <d v="2022-12-04T00:00:00"/>
    <x v="1"/>
    <n v="39"/>
    <s v="month"/>
    <n v="1"/>
    <x v="2"/>
    <s v="No"/>
    <n v="1"/>
    <n v="0"/>
    <n v="1"/>
  </r>
  <r>
    <n v="167441263"/>
    <d v="2022-12-03T00:00:00"/>
    <d v="2023-06-10T00:00:00"/>
    <x v="0"/>
    <n v="39"/>
    <s v="month"/>
    <n v="189"/>
    <x v="2"/>
    <s v="No"/>
    <n v="0"/>
    <n v="1"/>
    <n v="189"/>
  </r>
  <r>
    <n v="167586100"/>
    <d v="2022-12-03T00:00:00"/>
    <d v="2023-03-02T00:00:00"/>
    <x v="0"/>
    <n v="39"/>
    <s v="month"/>
    <n v="89"/>
    <x v="2"/>
    <s v="No"/>
    <n v="0"/>
    <n v="1"/>
    <n v="89"/>
  </r>
  <r>
    <n v="139789436"/>
    <d v="2022-12-03T00:00:00"/>
    <d v="2023-01-29T00:00:00"/>
    <x v="0"/>
    <n v="39"/>
    <s v="month"/>
    <n v="57"/>
    <x v="2"/>
    <s v="No"/>
    <n v="0"/>
    <n v="1"/>
    <n v="57"/>
  </r>
  <r>
    <n v="116319450"/>
    <d v="2022-12-04T00:00:00"/>
    <d v="2023-04-19T00:00:00"/>
    <x v="0"/>
    <n v="39"/>
    <s v="month"/>
    <n v="136"/>
    <x v="3"/>
    <s v="No"/>
    <n v="0"/>
    <n v="1"/>
    <n v="136"/>
  </r>
  <r>
    <n v="162939264"/>
    <d v="2022-12-04T00:00:00"/>
    <d v="2023-05-04T00:00:00"/>
    <x v="0"/>
    <n v="39"/>
    <s v="month"/>
    <n v="151"/>
    <x v="3"/>
    <s v="No"/>
    <n v="0"/>
    <n v="1"/>
    <n v="151"/>
  </r>
  <r>
    <n v="167711417"/>
    <d v="2022-12-04T00:00:00"/>
    <d v="2023-03-25T00:00:00"/>
    <x v="0"/>
    <n v="39"/>
    <s v="month"/>
    <n v="111"/>
    <x v="3"/>
    <s v="No"/>
    <n v="0"/>
    <n v="1"/>
    <n v="111"/>
  </r>
  <r>
    <n v="157381517"/>
    <d v="2022-12-05T00:00:00"/>
    <m/>
    <x v="0"/>
    <n v="39"/>
    <s v="month"/>
    <s v=""/>
    <x v="4"/>
    <s v="No"/>
    <n v="0"/>
    <n v="0"/>
    <s v=""/>
  </r>
  <r>
    <n v="162912102"/>
    <d v="2022-12-05T00:00:00"/>
    <d v="2022-12-06T00:00:00"/>
    <x v="0"/>
    <n v="39"/>
    <s v="month"/>
    <n v="1"/>
    <x v="4"/>
    <s v="No"/>
    <n v="1"/>
    <n v="0"/>
    <n v="1"/>
  </r>
  <r>
    <n v="167833210"/>
    <d v="2022-12-05T00:00:00"/>
    <d v="2023-07-03T00:00:00"/>
    <x v="0"/>
    <n v="39"/>
    <s v="month"/>
    <n v="210"/>
    <x v="4"/>
    <s v="No"/>
    <n v="0"/>
    <n v="1"/>
    <n v="210"/>
  </r>
  <r>
    <n v="165676999"/>
    <d v="2022-12-05T00:00:00"/>
    <d v="2023-02-05T00:00:00"/>
    <x v="0"/>
    <n v="39"/>
    <s v="month"/>
    <n v="62"/>
    <x v="4"/>
    <s v="No"/>
    <n v="0"/>
    <n v="1"/>
    <n v="62"/>
  </r>
  <r>
    <n v="167253106"/>
    <d v="2022-12-05T00:00:00"/>
    <d v="2023-02-06T00:00:00"/>
    <x v="0"/>
    <n v="39"/>
    <s v="month"/>
    <n v="63"/>
    <x v="4"/>
    <s v="No"/>
    <n v="0"/>
    <n v="1"/>
    <n v="63"/>
  </r>
  <r>
    <n v="168022972"/>
    <d v="2022-12-05T00:00:00"/>
    <d v="2023-01-13T00:00:00"/>
    <x v="0"/>
    <n v="39"/>
    <s v="month"/>
    <n v="39"/>
    <x v="4"/>
    <s v="No"/>
    <n v="0"/>
    <n v="1"/>
    <n v="39"/>
  </r>
  <r>
    <n v="167315920"/>
    <d v="2022-12-05T00:00:00"/>
    <d v="2023-01-05T00:00:00"/>
    <x v="0"/>
    <n v="39"/>
    <s v="month"/>
    <n v="31"/>
    <x v="4"/>
    <s v="No"/>
    <n v="0"/>
    <n v="1"/>
    <n v="31"/>
  </r>
  <r>
    <n v="167928962"/>
    <d v="2022-12-05T00:00:00"/>
    <d v="2022-12-29T00:00:00"/>
    <x v="0"/>
    <n v="39"/>
    <s v="month"/>
    <n v="24"/>
    <x v="4"/>
    <s v="No"/>
    <n v="0"/>
    <n v="0"/>
    <n v="24"/>
  </r>
  <r>
    <n v="166211741"/>
    <d v="2022-12-06T00:00:00"/>
    <d v="2023-04-11T00:00:00"/>
    <x v="0"/>
    <n v="39"/>
    <s v="month"/>
    <n v="126"/>
    <x v="5"/>
    <s v="No"/>
    <n v="0"/>
    <n v="1"/>
    <n v="126"/>
  </r>
  <r>
    <n v="161450418"/>
    <d v="2022-12-06T00:00:00"/>
    <d v="2023-05-04T00:00:00"/>
    <x v="0"/>
    <n v="39"/>
    <s v="month"/>
    <n v="149"/>
    <x v="5"/>
    <s v="No"/>
    <n v="0"/>
    <n v="1"/>
    <n v="149"/>
  </r>
  <r>
    <n v="144961802"/>
    <d v="2022-12-06T00:00:00"/>
    <d v="2023-03-02T00:00:00"/>
    <x v="0"/>
    <n v="39"/>
    <s v="month"/>
    <n v="86"/>
    <x v="5"/>
    <s v="No"/>
    <n v="0"/>
    <n v="1"/>
    <n v="86"/>
  </r>
  <r>
    <n v="168137404"/>
    <d v="2022-12-06T00:00:00"/>
    <d v="2023-02-01T00:00:00"/>
    <x v="0"/>
    <n v="39"/>
    <s v="month"/>
    <n v="57"/>
    <x v="5"/>
    <s v="No"/>
    <n v="0"/>
    <n v="1"/>
    <n v="57"/>
  </r>
  <r>
    <n v="153441732"/>
    <d v="2022-12-06T00:00:00"/>
    <d v="2023-02-13T00:00:00"/>
    <x v="0"/>
    <n v="39"/>
    <s v="month"/>
    <n v="69"/>
    <x v="5"/>
    <s v="No"/>
    <n v="0"/>
    <n v="1"/>
    <n v="69"/>
  </r>
  <r>
    <n v="167649041"/>
    <d v="2022-12-06T00:00:00"/>
    <d v="2023-01-31T00:00:00"/>
    <x v="0"/>
    <n v="39"/>
    <s v="month"/>
    <n v="56"/>
    <x v="5"/>
    <s v="No"/>
    <n v="0"/>
    <n v="1"/>
    <n v="56"/>
  </r>
  <r>
    <n v="168089746"/>
    <d v="2022-12-06T00:00:00"/>
    <d v="2023-01-13T00:00:00"/>
    <x v="0"/>
    <n v="39"/>
    <s v="month"/>
    <n v="38"/>
    <x v="5"/>
    <s v="No"/>
    <n v="0"/>
    <n v="1"/>
    <n v="38"/>
  </r>
  <r>
    <n v="158177274"/>
    <d v="2022-12-06T00:00:00"/>
    <d v="2023-01-26T00:00:00"/>
    <x v="0"/>
    <n v="39"/>
    <s v="month"/>
    <n v="51"/>
    <x v="5"/>
    <s v="No"/>
    <n v="0"/>
    <n v="1"/>
    <n v="51"/>
  </r>
  <r>
    <n v="168061628"/>
    <d v="2022-12-06T00:00:00"/>
    <d v="2023-01-13T00:00:00"/>
    <x v="0"/>
    <n v="39"/>
    <s v="month"/>
    <n v="38"/>
    <x v="5"/>
    <s v="No"/>
    <n v="0"/>
    <n v="1"/>
    <n v="38"/>
  </r>
  <r>
    <n v="168436401"/>
    <d v="2022-12-07T00:00:00"/>
    <m/>
    <x v="0"/>
    <n v="39"/>
    <s v="month"/>
    <s v=""/>
    <x v="6"/>
    <s v="No"/>
    <n v="0"/>
    <n v="0"/>
    <s v=""/>
  </r>
  <r>
    <n v="126770376"/>
    <d v="2022-12-07T00:00:00"/>
    <d v="2023-01-02T00:00:00"/>
    <x v="0"/>
    <n v="39"/>
    <s v="month"/>
    <n v="26"/>
    <x v="6"/>
    <s v="No"/>
    <n v="0"/>
    <n v="0"/>
    <n v="26"/>
  </r>
  <r>
    <n v="153468957"/>
    <d v="2022-12-07T00:00:00"/>
    <d v="2023-02-14T00:00:00"/>
    <x v="0"/>
    <n v="39"/>
    <s v="month"/>
    <n v="69"/>
    <x v="6"/>
    <s v="No"/>
    <n v="0"/>
    <n v="1"/>
    <n v="69"/>
  </r>
  <r>
    <n v="168336474"/>
    <d v="2022-12-07T00:00:00"/>
    <d v="2023-02-27T00:00:00"/>
    <x v="0"/>
    <n v="39"/>
    <s v="month"/>
    <n v="82"/>
    <x v="6"/>
    <s v="No"/>
    <n v="0"/>
    <n v="1"/>
    <n v="82"/>
  </r>
  <r>
    <n v="166929423"/>
    <d v="2022-12-07T00:00:00"/>
    <d v="2022-12-28T00:00:00"/>
    <x v="0"/>
    <n v="39"/>
    <s v="month"/>
    <n v="21"/>
    <x v="6"/>
    <s v="No"/>
    <n v="0"/>
    <n v="0"/>
    <n v="21"/>
  </r>
  <r>
    <n v="163990458"/>
    <d v="2022-12-07T00:00:00"/>
    <d v="2022-12-22T00:00:00"/>
    <x v="0"/>
    <n v="39"/>
    <s v="month"/>
    <n v="15"/>
    <x v="6"/>
    <s v="No"/>
    <n v="0"/>
    <n v="0"/>
    <n v="15"/>
  </r>
  <r>
    <n v="166411463"/>
    <d v="2022-12-08T00:00:00"/>
    <m/>
    <x v="0"/>
    <n v="39"/>
    <s v="month"/>
    <s v=""/>
    <x v="0"/>
    <s v="No"/>
    <n v="0"/>
    <n v="0"/>
    <s v=""/>
  </r>
  <r>
    <n v="168433088"/>
    <d v="2022-12-08T00:00:00"/>
    <m/>
    <x v="0"/>
    <n v="39"/>
    <s v="month"/>
    <s v=""/>
    <x v="0"/>
    <s v="No"/>
    <n v="0"/>
    <n v="0"/>
    <s v=""/>
  </r>
  <r>
    <n v="155426075"/>
    <d v="2022-12-08T00:00:00"/>
    <m/>
    <x v="0"/>
    <n v="39"/>
    <s v="month"/>
    <s v=""/>
    <x v="0"/>
    <s v="No"/>
    <n v="0"/>
    <n v="0"/>
    <s v=""/>
  </r>
  <r>
    <n v="168555694"/>
    <d v="2022-12-08T00:00:00"/>
    <d v="2022-12-09T00:00:00"/>
    <x v="1"/>
    <n v="39"/>
    <s v="month"/>
    <n v="1"/>
    <x v="0"/>
    <s v="No"/>
    <n v="1"/>
    <n v="0"/>
    <n v="1"/>
  </r>
  <r>
    <n v="162912102"/>
    <d v="2022-12-08T00:00:00"/>
    <d v="2023-05-15T00:00:00"/>
    <x v="0"/>
    <n v="39"/>
    <s v="month"/>
    <n v="158"/>
    <x v="0"/>
    <s v="No"/>
    <n v="0"/>
    <n v="1"/>
    <n v="158"/>
  </r>
  <r>
    <n v="168471192"/>
    <d v="2022-12-08T00:00:00"/>
    <d v="2023-02-03T00:00:00"/>
    <x v="0"/>
    <n v="39"/>
    <s v="month"/>
    <n v="57"/>
    <x v="0"/>
    <s v="No"/>
    <n v="0"/>
    <n v="1"/>
    <n v="57"/>
  </r>
  <r>
    <n v="168825734"/>
    <d v="2022-12-08T00:00:00"/>
    <d v="2023-01-15T00:00:00"/>
    <x v="0"/>
    <n v="39"/>
    <s v="month"/>
    <n v="38"/>
    <x v="0"/>
    <s v="No"/>
    <n v="0"/>
    <n v="1"/>
    <n v="38"/>
  </r>
  <r>
    <n v="163852568"/>
    <d v="2022-12-08T00:00:00"/>
    <d v="2022-12-12T00:00:00"/>
    <x v="0"/>
    <n v="39"/>
    <s v="month"/>
    <n v="4"/>
    <x v="0"/>
    <s v="No"/>
    <n v="0"/>
    <n v="0"/>
    <n v="4"/>
  </r>
  <r>
    <n v="168460834"/>
    <d v="2022-12-08T00:00:00"/>
    <d v="2022-12-27T00:00:00"/>
    <x v="0"/>
    <n v="39"/>
    <s v="month"/>
    <n v="19"/>
    <x v="0"/>
    <s v="No"/>
    <n v="0"/>
    <n v="0"/>
    <n v="19"/>
  </r>
  <r>
    <n v="169085351"/>
    <d v="2022-12-09T00:00:00"/>
    <d v="2023-07-05T00:00:00"/>
    <x v="0"/>
    <n v="39"/>
    <s v="month"/>
    <n v="208"/>
    <x v="1"/>
    <s v="No"/>
    <n v="0"/>
    <n v="1"/>
    <n v="208"/>
  </r>
  <r>
    <n v="168456070"/>
    <d v="2022-12-09T00:00:00"/>
    <d v="2023-04-22T00:00:00"/>
    <x v="0"/>
    <n v="39"/>
    <s v="month"/>
    <n v="134"/>
    <x v="1"/>
    <s v="No"/>
    <n v="0"/>
    <n v="1"/>
    <n v="134"/>
  </r>
  <r>
    <n v="168900021"/>
    <d v="2022-12-09T00:00:00"/>
    <d v="2023-02-06T00:00:00"/>
    <x v="0"/>
    <n v="39"/>
    <s v="month"/>
    <n v="59"/>
    <x v="1"/>
    <s v="No"/>
    <n v="0"/>
    <n v="1"/>
    <n v="59"/>
  </r>
  <r>
    <n v="169113748"/>
    <d v="2022-12-09T00:00:00"/>
    <d v="2023-01-13T00:00:00"/>
    <x v="0"/>
    <n v="39"/>
    <s v="month"/>
    <n v="35"/>
    <x v="1"/>
    <s v="No"/>
    <n v="0"/>
    <n v="1"/>
    <n v="35"/>
  </r>
  <r>
    <n v="162193491"/>
    <d v="2022-12-09T00:00:00"/>
    <d v="2023-01-20T00:00:00"/>
    <x v="0"/>
    <n v="39"/>
    <s v="month"/>
    <n v="42"/>
    <x v="1"/>
    <s v="No"/>
    <n v="0"/>
    <n v="1"/>
    <n v="42"/>
  </r>
  <r>
    <n v="167761722"/>
    <d v="2022-12-09T00:00:00"/>
    <d v="2023-07-16T00:00:00"/>
    <x v="0"/>
    <n v="39"/>
    <s v="month"/>
    <n v="219"/>
    <x v="1"/>
    <s v="No"/>
    <n v="0"/>
    <n v="1"/>
    <n v="219"/>
  </r>
  <r>
    <n v="169244937"/>
    <d v="2022-12-10T00:00:00"/>
    <d v="2023-03-04T00:00:00"/>
    <x v="0"/>
    <n v="39"/>
    <s v="month"/>
    <n v="84"/>
    <x v="2"/>
    <s v="No"/>
    <n v="0"/>
    <n v="1"/>
    <n v="84"/>
  </r>
  <r>
    <n v="167923504"/>
    <d v="2022-12-10T00:00:00"/>
    <d v="2023-02-08T00:00:00"/>
    <x v="0"/>
    <n v="39"/>
    <s v="month"/>
    <n v="60"/>
    <x v="2"/>
    <s v="No"/>
    <n v="0"/>
    <n v="1"/>
    <n v="60"/>
  </r>
  <r>
    <n v="167459469"/>
    <d v="2022-12-10T00:00:00"/>
    <d v="2023-01-14T00:00:00"/>
    <x v="0"/>
    <n v="39"/>
    <s v="month"/>
    <n v="35"/>
    <x v="2"/>
    <s v="No"/>
    <n v="0"/>
    <n v="1"/>
    <n v="35"/>
  </r>
  <r>
    <n v="123169152"/>
    <d v="2022-12-10T00:00:00"/>
    <d v="2023-01-03T00:00:00"/>
    <x v="0"/>
    <n v="39"/>
    <s v="month"/>
    <n v="24"/>
    <x v="2"/>
    <s v="No"/>
    <n v="0"/>
    <n v="0"/>
    <n v="24"/>
  </r>
  <r>
    <n v="153157541"/>
    <d v="2022-12-11T00:00:00"/>
    <m/>
    <x v="0"/>
    <n v="39"/>
    <s v="month"/>
    <s v=""/>
    <x v="3"/>
    <s v="No"/>
    <n v="0"/>
    <n v="0"/>
    <s v=""/>
  </r>
  <r>
    <n v="169133180"/>
    <d v="2022-12-11T00:00:00"/>
    <m/>
    <x v="0"/>
    <n v="39"/>
    <s v="month"/>
    <s v=""/>
    <x v="3"/>
    <s v="No"/>
    <n v="0"/>
    <n v="0"/>
    <s v=""/>
  </r>
  <r>
    <n v="129447970"/>
    <d v="2022-12-11T00:00:00"/>
    <d v="2022-12-12T00:00:00"/>
    <x v="0"/>
    <n v="39"/>
    <s v="month"/>
    <n v="1"/>
    <x v="3"/>
    <s v="No"/>
    <n v="1"/>
    <n v="0"/>
    <n v="1"/>
  </r>
  <r>
    <n v="169388365"/>
    <d v="2022-12-11T00:00:00"/>
    <d v="2023-06-18T00:00:00"/>
    <x v="0"/>
    <n v="39"/>
    <s v="month"/>
    <n v="189"/>
    <x v="3"/>
    <s v="No"/>
    <n v="0"/>
    <n v="1"/>
    <n v="189"/>
  </r>
  <r>
    <n v="130872019"/>
    <d v="2022-12-11T00:00:00"/>
    <d v="2023-04-11T00:00:00"/>
    <x v="0"/>
    <n v="39"/>
    <s v="month"/>
    <n v="121"/>
    <x v="3"/>
    <s v="No"/>
    <n v="0"/>
    <n v="1"/>
    <n v="121"/>
  </r>
  <r>
    <n v="167674086"/>
    <d v="2022-12-11T00:00:00"/>
    <d v="2023-05-01T00:00:00"/>
    <x v="0"/>
    <n v="39"/>
    <s v="month"/>
    <n v="141"/>
    <x v="3"/>
    <s v="No"/>
    <n v="0"/>
    <n v="1"/>
    <n v="141"/>
  </r>
  <r>
    <n v="169590994"/>
    <d v="2022-12-11T00:00:00"/>
    <d v="2023-02-26T00:00:00"/>
    <x v="0"/>
    <n v="39"/>
    <s v="month"/>
    <n v="77"/>
    <x v="3"/>
    <s v="No"/>
    <n v="0"/>
    <n v="1"/>
    <n v="77"/>
  </r>
  <r>
    <n v="166199181"/>
    <d v="2022-12-11T00:00:00"/>
    <d v="2023-01-18T00:00:00"/>
    <x v="0"/>
    <n v="39"/>
    <s v="month"/>
    <n v="38"/>
    <x v="3"/>
    <s v="No"/>
    <n v="0"/>
    <n v="1"/>
    <n v="38"/>
  </r>
  <r>
    <n v="169895510"/>
    <d v="2022-12-12T00:00:00"/>
    <m/>
    <x v="0"/>
    <n v="39"/>
    <s v="month"/>
    <s v=""/>
    <x v="4"/>
    <s v="No"/>
    <n v="0"/>
    <n v="0"/>
    <s v=""/>
  </r>
  <r>
    <n v="169837410"/>
    <d v="2022-12-12T00:00:00"/>
    <m/>
    <x v="0"/>
    <n v="39"/>
    <s v="month"/>
    <s v=""/>
    <x v="4"/>
    <s v="No"/>
    <n v="0"/>
    <n v="0"/>
    <s v=""/>
  </r>
  <r>
    <n v="169854397"/>
    <d v="2022-12-12T00:00:00"/>
    <m/>
    <x v="1"/>
    <n v="39"/>
    <s v="month"/>
    <s v=""/>
    <x v="4"/>
    <s v="No"/>
    <n v="0"/>
    <n v="0"/>
    <s v=""/>
  </r>
  <r>
    <n v="145987169"/>
    <d v="2022-12-12T00:00:00"/>
    <d v="2023-01-27T00:00:00"/>
    <x v="0"/>
    <n v="39"/>
    <s v="month"/>
    <n v="46"/>
    <x v="4"/>
    <s v="No"/>
    <n v="0"/>
    <n v="1"/>
    <n v="46"/>
  </r>
  <r>
    <n v="169915574"/>
    <d v="2022-12-12T00:00:00"/>
    <d v="2023-03-13T00:00:00"/>
    <x v="0"/>
    <n v="39"/>
    <s v="month"/>
    <n v="91"/>
    <x v="4"/>
    <s v="No"/>
    <n v="0"/>
    <n v="1"/>
    <n v="91"/>
  </r>
  <r>
    <n v="164632485"/>
    <d v="2022-12-12T00:00:00"/>
    <d v="2023-03-07T00:00:00"/>
    <x v="0"/>
    <n v="39"/>
    <s v="month"/>
    <n v="85"/>
    <x v="4"/>
    <s v="No"/>
    <n v="0"/>
    <n v="1"/>
    <n v="85"/>
  </r>
  <r>
    <n v="169830063"/>
    <d v="2022-12-12T00:00:00"/>
    <d v="2023-01-30T00:00:00"/>
    <x v="0"/>
    <n v="39"/>
    <s v="month"/>
    <n v="49"/>
    <x v="4"/>
    <s v="No"/>
    <n v="0"/>
    <n v="1"/>
    <n v="49"/>
  </r>
  <r>
    <n v="162624984"/>
    <d v="2022-12-12T00:00:00"/>
    <d v="2023-01-23T00:00:00"/>
    <x v="0"/>
    <n v="39"/>
    <s v="month"/>
    <n v="42"/>
    <x v="4"/>
    <s v="No"/>
    <n v="0"/>
    <n v="1"/>
    <n v="42"/>
  </r>
  <r>
    <n v="169020452"/>
    <d v="2022-12-12T00:00:00"/>
    <d v="2023-08-09T00:00:00"/>
    <x v="0"/>
    <n v="39"/>
    <s v="month"/>
    <n v="240"/>
    <x v="4"/>
    <s v="No"/>
    <n v="0"/>
    <n v="1"/>
    <n v="240"/>
  </r>
  <r>
    <n v="170037760"/>
    <d v="2022-12-13T00:00:00"/>
    <m/>
    <x v="0"/>
    <n v="39"/>
    <s v="month"/>
    <s v=""/>
    <x v="5"/>
    <s v="No"/>
    <n v="0"/>
    <n v="0"/>
    <s v=""/>
  </r>
  <r>
    <n v="116060198"/>
    <d v="2022-12-13T00:00:00"/>
    <d v="2023-03-20T00:00:00"/>
    <x v="0"/>
    <n v="39"/>
    <s v="month"/>
    <n v="97"/>
    <x v="5"/>
    <s v="No"/>
    <n v="0"/>
    <n v="1"/>
    <n v="97"/>
  </r>
  <r>
    <n v="129798657"/>
    <d v="2022-12-13T00:00:00"/>
    <d v="2023-03-13T00:00:00"/>
    <x v="0"/>
    <n v="39"/>
    <s v="month"/>
    <n v="90"/>
    <x v="5"/>
    <s v="No"/>
    <n v="0"/>
    <n v="1"/>
    <n v="90"/>
  </r>
  <r>
    <n v="170426615"/>
    <d v="2022-12-13T00:00:00"/>
    <d v="2023-02-13T00:00:00"/>
    <x v="0"/>
    <n v="39"/>
    <s v="month"/>
    <n v="62"/>
    <x v="5"/>
    <s v="No"/>
    <n v="0"/>
    <n v="1"/>
    <n v="62"/>
  </r>
  <r>
    <n v="161574018"/>
    <d v="2022-12-13T00:00:00"/>
    <d v="2023-02-21T00:00:00"/>
    <x v="0"/>
    <n v="39"/>
    <s v="month"/>
    <n v="70"/>
    <x v="5"/>
    <s v="No"/>
    <n v="0"/>
    <n v="1"/>
    <n v="70"/>
  </r>
  <r>
    <n v="160272364"/>
    <d v="2022-12-14T00:00:00"/>
    <m/>
    <x v="0"/>
    <n v="39"/>
    <s v="month"/>
    <s v=""/>
    <x v="6"/>
    <s v="No"/>
    <n v="0"/>
    <n v="0"/>
    <s v=""/>
  </r>
  <r>
    <n v="144938943"/>
    <d v="2022-12-14T00:00:00"/>
    <m/>
    <x v="1"/>
    <n v="39"/>
    <s v="month"/>
    <s v=""/>
    <x v="6"/>
    <s v="No"/>
    <n v="0"/>
    <n v="0"/>
    <s v=""/>
  </r>
  <r>
    <n v="170004555"/>
    <d v="2022-12-14T00:00:00"/>
    <d v="2023-02-11T00:00:00"/>
    <x v="0"/>
    <n v="39"/>
    <s v="month"/>
    <n v="59"/>
    <x v="6"/>
    <s v="No"/>
    <n v="0"/>
    <n v="1"/>
    <n v="59"/>
  </r>
  <r>
    <n v="167673987"/>
    <d v="2022-12-14T00:00:00"/>
    <d v="2023-02-21T00:00:00"/>
    <x v="0"/>
    <n v="39"/>
    <s v="month"/>
    <n v="69"/>
    <x v="6"/>
    <s v="No"/>
    <n v="0"/>
    <n v="1"/>
    <n v="69"/>
  </r>
  <r>
    <n v="154448870"/>
    <d v="2022-12-14T00:00:00"/>
    <d v="2023-01-02T00:00:00"/>
    <x v="0"/>
    <n v="39"/>
    <s v="month"/>
    <n v="19"/>
    <x v="6"/>
    <s v="No"/>
    <n v="0"/>
    <n v="0"/>
    <n v="19"/>
  </r>
  <r>
    <n v="153508650"/>
    <d v="2022-12-14T00:00:00"/>
    <d v="2023-01-31T00:00:00"/>
    <x v="0"/>
    <n v="39"/>
    <s v="month"/>
    <n v="48"/>
    <x v="6"/>
    <s v="No"/>
    <n v="0"/>
    <n v="1"/>
    <n v="48"/>
  </r>
  <r>
    <n v="156521981"/>
    <d v="2022-12-14T00:00:00"/>
    <d v="2023-01-14T00:00:00"/>
    <x v="0"/>
    <n v="39"/>
    <s v="month"/>
    <n v="31"/>
    <x v="6"/>
    <s v="No"/>
    <n v="0"/>
    <n v="1"/>
    <n v="31"/>
  </r>
  <r>
    <n v="170897520"/>
    <d v="2022-12-14T00:00:00"/>
    <d v="2023-07-04T00:00:00"/>
    <x v="0"/>
    <n v="39"/>
    <s v="month"/>
    <n v="202"/>
    <x v="6"/>
    <s v="No"/>
    <n v="0"/>
    <n v="1"/>
    <n v="202"/>
  </r>
  <r>
    <n v="167076396"/>
    <d v="2022-12-14T00:00:00"/>
    <d v="2023-08-04T00:00:00"/>
    <x v="0"/>
    <n v="39"/>
    <s v="month"/>
    <n v="233"/>
    <x v="6"/>
    <s v="No"/>
    <n v="0"/>
    <n v="1"/>
    <n v="233"/>
  </r>
  <r>
    <n v="170968987"/>
    <d v="2022-12-15T00:00:00"/>
    <m/>
    <x v="0"/>
    <n v="39"/>
    <s v="month"/>
    <s v=""/>
    <x v="0"/>
    <s v="No"/>
    <n v="0"/>
    <n v="0"/>
    <s v=""/>
  </r>
  <r>
    <n v="170154956"/>
    <d v="2022-12-15T00:00:00"/>
    <d v="2023-04-18T00:00:00"/>
    <x v="0"/>
    <n v="39"/>
    <s v="month"/>
    <n v="124"/>
    <x v="0"/>
    <s v="No"/>
    <n v="0"/>
    <n v="1"/>
    <n v="124"/>
  </r>
  <r>
    <n v="170976924"/>
    <d v="2022-12-15T00:00:00"/>
    <d v="2023-05-30T00:00:00"/>
    <x v="0"/>
    <n v="39"/>
    <s v="month"/>
    <n v="166"/>
    <x v="0"/>
    <s v="No"/>
    <n v="0"/>
    <n v="1"/>
    <n v="166"/>
  </r>
  <r>
    <n v="171090027"/>
    <d v="2022-12-15T00:00:00"/>
    <d v="2023-03-14T00:00:00"/>
    <x v="0"/>
    <n v="39"/>
    <s v="month"/>
    <n v="89"/>
    <x v="0"/>
    <s v="No"/>
    <n v="0"/>
    <n v="1"/>
    <n v="89"/>
  </r>
  <r>
    <n v="167135160"/>
    <d v="2022-12-15T00:00:00"/>
    <d v="2023-01-18T00:00:00"/>
    <x v="0"/>
    <n v="39"/>
    <s v="month"/>
    <n v="34"/>
    <x v="0"/>
    <s v="No"/>
    <n v="0"/>
    <n v="1"/>
    <n v="34"/>
  </r>
  <r>
    <n v="171339244"/>
    <d v="2022-12-15T00:00:00"/>
    <d v="2022-12-15T00:00:00"/>
    <x v="0"/>
    <n v="39"/>
    <s v="month"/>
    <n v="0"/>
    <x v="0"/>
    <s v="Yes"/>
    <n v="1"/>
    <n v="0"/>
    <n v="0"/>
  </r>
  <r>
    <n v="169285280"/>
    <d v="2022-12-16T00:00:00"/>
    <d v="2022-12-17T00:00:00"/>
    <x v="1"/>
    <n v="39"/>
    <s v="month"/>
    <n v="1"/>
    <x v="1"/>
    <s v="No"/>
    <n v="1"/>
    <n v="0"/>
    <n v="1"/>
  </r>
  <r>
    <n v="137315832"/>
    <d v="2022-12-16T00:00:00"/>
    <d v="2023-03-23T00:00:00"/>
    <x v="0"/>
    <n v="39"/>
    <s v="month"/>
    <n v="97"/>
    <x v="1"/>
    <s v="No"/>
    <n v="0"/>
    <n v="1"/>
    <n v="97"/>
  </r>
  <r>
    <n v="171286538"/>
    <d v="2022-12-16T00:00:00"/>
    <d v="2023-04-13T00:00:00"/>
    <x v="0"/>
    <n v="39"/>
    <s v="month"/>
    <n v="118"/>
    <x v="1"/>
    <s v="No"/>
    <n v="0"/>
    <n v="1"/>
    <n v="118"/>
  </r>
  <r>
    <n v="154531106"/>
    <d v="2022-12-16T00:00:00"/>
    <d v="2023-04-14T00:00:00"/>
    <x v="0"/>
    <n v="39"/>
    <s v="month"/>
    <n v="119"/>
    <x v="1"/>
    <s v="No"/>
    <n v="0"/>
    <n v="1"/>
    <n v="119"/>
  </r>
  <r>
    <n v="169998988"/>
    <d v="2022-12-16T00:00:00"/>
    <d v="2023-05-17T00:00:00"/>
    <x v="0"/>
    <n v="39"/>
    <s v="month"/>
    <n v="152"/>
    <x v="1"/>
    <s v="No"/>
    <n v="0"/>
    <n v="1"/>
    <n v="152"/>
  </r>
  <r>
    <n v="171860036"/>
    <d v="2022-12-16T00:00:00"/>
    <d v="2023-03-18T00:00:00"/>
    <x v="0"/>
    <n v="39"/>
    <s v="month"/>
    <n v="92"/>
    <x v="1"/>
    <s v="No"/>
    <n v="0"/>
    <n v="1"/>
    <n v="92"/>
  </r>
  <r>
    <n v="169906376"/>
    <d v="2022-12-16T00:00:00"/>
    <d v="2023-02-13T00:00:00"/>
    <x v="0"/>
    <n v="39"/>
    <s v="month"/>
    <n v="59"/>
    <x v="1"/>
    <s v="No"/>
    <n v="0"/>
    <n v="1"/>
    <n v="59"/>
  </r>
  <r>
    <n v="171681744"/>
    <d v="2022-12-16T00:00:00"/>
    <d v="2023-02-22T00:00:00"/>
    <x v="0"/>
    <n v="39"/>
    <s v="month"/>
    <n v="68"/>
    <x v="1"/>
    <s v="No"/>
    <n v="0"/>
    <n v="1"/>
    <n v="68"/>
  </r>
  <r>
    <n v="171375108"/>
    <d v="2022-12-16T00:00:00"/>
    <d v="2023-01-16T00:00:00"/>
    <x v="0"/>
    <n v="39"/>
    <s v="month"/>
    <n v="31"/>
    <x v="1"/>
    <s v="No"/>
    <n v="0"/>
    <n v="1"/>
    <n v="31"/>
  </r>
  <r>
    <n v="166358674"/>
    <d v="2022-12-16T00:00:00"/>
    <d v="2023-01-23T00:00:00"/>
    <x v="0"/>
    <n v="39"/>
    <s v="month"/>
    <n v="38"/>
    <x v="1"/>
    <s v="No"/>
    <n v="0"/>
    <n v="1"/>
    <n v="38"/>
  </r>
  <r>
    <n v="168696864"/>
    <d v="2022-12-17T00:00:00"/>
    <d v="2022-12-18T00:00:00"/>
    <x v="0"/>
    <n v="39"/>
    <s v="month"/>
    <n v="1"/>
    <x v="2"/>
    <s v="No"/>
    <n v="1"/>
    <n v="0"/>
    <n v="1"/>
  </r>
  <r>
    <n v="149303812"/>
    <d v="2022-12-17T00:00:00"/>
    <d v="2023-02-20T00:00:00"/>
    <x v="0"/>
    <n v="39"/>
    <s v="month"/>
    <n v="65"/>
    <x v="2"/>
    <s v="No"/>
    <n v="0"/>
    <n v="1"/>
    <n v="65"/>
  </r>
  <r>
    <n v="145969392"/>
    <d v="2022-12-17T00:00:00"/>
    <d v="2023-02-01T00:00:00"/>
    <x v="0"/>
    <n v="39"/>
    <s v="month"/>
    <n v="46"/>
    <x v="2"/>
    <s v="No"/>
    <n v="0"/>
    <n v="1"/>
    <n v="46"/>
  </r>
  <r>
    <n v="169399624"/>
    <d v="2022-12-17T00:00:00"/>
    <d v="2023-02-10T00:00:00"/>
    <x v="0"/>
    <n v="39"/>
    <s v="month"/>
    <n v="55"/>
    <x v="2"/>
    <s v="No"/>
    <n v="0"/>
    <n v="1"/>
    <n v="55"/>
  </r>
  <r>
    <n v="162423643"/>
    <d v="2022-12-17T00:00:00"/>
    <d v="2022-12-17T00:00:00"/>
    <x v="0"/>
    <n v="39"/>
    <s v="month"/>
    <n v="0"/>
    <x v="2"/>
    <s v="Yes"/>
    <n v="1"/>
    <n v="0"/>
    <n v="0"/>
  </r>
  <r>
    <n v="171131528"/>
    <d v="2022-12-18T00:00:00"/>
    <m/>
    <x v="0"/>
    <n v="39"/>
    <s v="month"/>
    <s v=""/>
    <x v="3"/>
    <s v="No"/>
    <n v="0"/>
    <n v="0"/>
    <s v=""/>
  </r>
  <r>
    <n v="172370430"/>
    <d v="2022-12-18T00:00:00"/>
    <d v="2022-12-19T00:00:00"/>
    <x v="1"/>
    <n v="39"/>
    <s v="month"/>
    <n v="1"/>
    <x v="3"/>
    <s v="No"/>
    <n v="1"/>
    <n v="0"/>
    <n v="1"/>
  </r>
  <r>
    <n v="122646091"/>
    <d v="2022-12-18T00:00:00"/>
    <d v="2023-03-21T00:00:00"/>
    <x v="0"/>
    <n v="39"/>
    <s v="month"/>
    <n v="93"/>
    <x v="3"/>
    <s v="No"/>
    <n v="0"/>
    <n v="1"/>
    <n v="93"/>
  </r>
  <r>
    <n v="171688728"/>
    <d v="2022-12-18T00:00:00"/>
    <d v="2023-01-13T00:00:00"/>
    <x v="0"/>
    <n v="39"/>
    <s v="month"/>
    <n v="26"/>
    <x v="3"/>
    <s v="No"/>
    <n v="0"/>
    <n v="0"/>
    <n v="26"/>
  </r>
  <r>
    <n v="173037778"/>
    <d v="2022-12-18T00:00:00"/>
    <d v="2023-01-27T00:00:00"/>
    <x v="0"/>
    <n v="39"/>
    <s v="month"/>
    <n v="40"/>
    <x v="3"/>
    <s v="No"/>
    <n v="0"/>
    <n v="1"/>
    <n v="40"/>
  </r>
  <r>
    <n v="139247241"/>
    <d v="2022-12-18T00:00:00"/>
    <d v="2023-01-07T00:00:00"/>
    <x v="0"/>
    <n v="39"/>
    <s v="month"/>
    <n v="20"/>
    <x v="3"/>
    <s v="No"/>
    <n v="0"/>
    <n v="0"/>
    <n v="20"/>
  </r>
  <r>
    <n v="138235674"/>
    <d v="2022-12-19T00:00:00"/>
    <m/>
    <x v="0"/>
    <n v="39"/>
    <s v="month"/>
    <s v=""/>
    <x v="4"/>
    <s v="No"/>
    <n v="0"/>
    <n v="0"/>
    <s v=""/>
  </r>
  <r>
    <n v="173832314"/>
    <d v="2022-12-19T00:00:00"/>
    <d v="2023-02-26T00:00:00"/>
    <x v="0"/>
    <n v="39"/>
    <s v="month"/>
    <n v="69"/>
    <x v="4"/>
    <s v="No"/>
    <n v="0"/>
    <n v="1"/>
    <n v="69"/>
  </r>
  <r>
    <n v="170752898"/>
    <d v="2022-12-19T00:00:00"/>
    <d v="2023-02-23T00:00:00"/>
    <x v="0"/>
    <n v="39"/>
    <s v="month"/>
    <n v="66"/>
    <x v="4"/>
    <s v="No"/>
    <n v="0"/>
    <n v="1"/>
    <n v="66"/>
  </r>
  <r>
    <n v="172517999"/>
    <d v="2022-12-19T00:00:00"/>
    <d v="2023-01-26T00:00:00"/>
    <x v="0"/>
    <n v="39"/>
    <s v="month"/>
    <n v="38"/>
    <x v="4"/>
    <s v="No"/>
    <n v="0"/>
    <n v="1"/>
    <n v="38"/>
  </r>
  <r>
    <n v="150779000"/>
    <d v="2022-12-19T00:00:00"/>
    <d v="2023-01-02T00:00:00"/>
    <x v="0"/>
    <n v="39"/>
    <s v="month"/>
    <n v="14"/>
    <x v="4"/>
    <s v="No"/>
    <n v="0"/>
    <n v="0"/>
    <n v="14"/>
  </r>
  <r>
    <n v="171304646"/>
    <d v="2022-12-19T00:00:00"/>
    <d v="2023-08-26T00:00:00"/>
    <x v="0"/>
    <n v="39"/>
    <s v="month"/>
    <n v="250"/>
    <x v="4"/>
    <s v="No"/>
    <n v="0"/>
    <n v="1"/>
    <n v="250"/>
  </r>
  <r>
    <n v="168696864"/>
    <d v="2022-12-20T00:00:00"/>
    <m/>
    <x v="0"/>
    <n v="39"/>
    <s v="month"/>
    <s v=""/>
    <x v="5"/>
    <s v="No"/>
    <n v="0"/>
    <n v="0"/>
    <s v=""/>
  </r>
  <r>
    <n v="174268714"/>
    <d v="2022-12-20T00:00:00"/>
    <m/>
    <x v="0"/>
    <n v="39"/>
    <s v="month"/>
    <s v=""/>
    <x v="5"/>
    <s v="No"/>
    <n v="0"/>
    <n v="0"/>
    <s v=""/>
  </r>
  <r>
    <n v="147022677"/>
    <d v="2022-12-20T00:00:00"/>
    <m/>
    <x v="0"/>
    <n v="39"/>
    <s v="month"/>
    <s v=""/>
    <x v="5"/>
    <s v="No"/>
    <n v="0"/>
    <n v="0"/>
    <s v=""/>
  </r>
  <r>
    <n v="156864062"/>
    <d v="2022-12-20T00:00:00"/>
    <d v="2022-12-21T00:00:00"/>
    <x v="1"/>
    <n v="39"/>
    <s v="month"/>
    <n v="1"/>
    <x v="5"/>
    <s v="No"/>
    <n v="1"/>
    <n v="0"/>
    <n v="1"/>
  </r>
  <r>
    <n v="123065349"/>
    <d v="2022-12-20T00:00:00"/>
    <d v="2023-03-27T00:00:00"/>
    <x v="0"/>
    <n v="39"/>
    <s v="month"/>
    <n v="97"/>
    <x v="5"/>
    <s v="No"/>
    <n v="0"/>
    <n v="1"/>
    <n v="97"/>
  </r>
  <r>
    <n v="174258180"/>
    <d v="2022-12-20T00:00:00"/>
    <d v="2023-04-29T00:00:00"/>
    <x v="0"/>
    <n v="39"/>
    <s v="month"/>
    <n v="130"/>
    <x v="5"/>
    <s v="No"/>
    <n v="0"/>
    <n v="1"/>
    <n v="130"/>
  </r>
  <r>
    <n v="174269667"/>
    <d v="2022-12-20T00:00:00"/>
    <d v="2023-03-03T00:00:00"/>
    <x v="0"/>
    <n v="39"/>
    <s v="month"/>
    <n v="73"/>
    <x v="5"/>
    <s v="No"/>
    <n v="0"/>
    <n v="1"/>
    <n v="73"/>
  </r>
  <r>
    <n v="171889946"/>
    <d v="2022-12-20T00:00:00"/>
    <d v="2023-02-10T00:00:00"/>
    <x v="0"/>
    <n v="39"/>
    <s v="month"/>
    <n v="52"/>
    <x v="5"/>
    <s v="No"/>
    <n v="0"/>
    <n v="1"/>
    <n v="52"/>
  </r>
  <r>
    <n v="171613468"/>
    <d v="2022-12-20T00:00:00"/>
    <d v="2023-02-22T00:00:00"/>
    <x v="0"/>
    <n v="39"/>
    <s v="month"/>
    <n v="64"/>
    <x v="5"/>
    <s v="No"/>
    <n v="0"/>
    <n v="1"/>
    <n v="64"/>
  </r>
  <r>
    <n v="122922737"/>
    <d v="2022-12-21T00:00:00"/>
    <m/>
    <x v="0"/>
    <n v="39"/>
    <s v="month"/>
    <s v=""/>
    <x v="6"/>
    <s v="No"/>
    <n v="0"/>
    <n v="0"/>
    <s v=""/>
  </r>
  <r>
    <n v="174646924"/>
    <d v="2022-12-21T00:00:00"/>
    <d v="2023-03-28T00:00:00"/>
    <x v="0"/>
    <n v="39"/>
    <s v="month"/>
    <n v="97"/>
    <x v="6"/>
    <s v="No"/>
    <n v="0"/>
    <n v="1"/>
    <n v="97"/>
  </r>
  <r>
    <n v="174264280"/>
    <d v="2022-12-21T00:00:00"/>
    <d v="2023-03-28T00:00:00"/>
    <x v="0"/>
    <n v="39"/>
    <s v="month"/>
    <n v="97"/>
    <x v="6"/>
    <s v="No"/>
    <n v="0"/>
    <n v="1"/>
    <n v="97"/>
  </r>
  <r>
    <n v="174609120"/>
    <d v="2022-12-21T00:00:00"/>
    <d v="2023-03-18T00:00:00"/>
    <x v="0"/>
    <n v="39"/>
    <s v="month"/>
    <n v="87"/>
    <x v="6"/>
    <s v="No"/>
    <n v="0"/>
    <n v="1"/>
    <n v="87"/>
  </r>
  <r>
    <n v="174158995"/>
    <d v="2022-12-21T00:00:00"/>
    <d v="2023-02-25T00:00:00"/>
    <x v="0"/>
    <n v="39"/>
    <s v="month"/>
    <n v="66"/>
    <x v="6"/>
    <s v="No"/>
    <n v="0"/>
    <n v="1"/>
    <n v="66"/>
  </r>
  <r>
    <n v="174484311"/>
    <d v="2022-12-21T00:00:00"/>
    <d v="2023-02-25T00:00:00"/>
    <x v="0"/>
    <n v="39"/>
    <s v="month"/>
    <n v="66"/>
    <x v="6"/>
    <s v="No"/>
    <n v="0"/>
    <n v="1"/>
    <n v="66"/>
  </r>
  <r>
    <n v="169556175"/>
    <d v="2022-12-21T00:00:00"/>
    <d v="2023-01-22T00:00:00"/>
    <x v="0"/>
    <n v="39"/>
    <s v="month"/>
    <n v="32"/>
    <x v="6"/>
    <s v="No"/>
    <n v="0"/>
    <n v="1"/>
    <n v="32"/>
  </r>
  <r>
    <n v="153122282"/>
    <d v="2022-12-21T00:00:00"/>
    <d v="2022-12-21T00:00:00"/>
    <x v="0"/>
    <n v="39"/>
    <s v="month"/>
    <n v="0"/>
    <x v="6"/>
    <s v="Yes"/>
    <n v="1"/>
    <n v="0"/>
    <n v="0"/>
  </r>
  <r>
    <n v="174576654"/>
    <d v="2022-12-21T00:00:00"/>
    <d v="2023-07-07T00:00:00"/>
    <x v="0"/>
    <n v="39"/>
    <s v="month"/>
    <n v="198"/>
    <x v="6"/>
    <s v="No"/>
    <n v="0"/>
    <n v="1"/>
    <n v="198"/>
  </r>
  <r>
    <n v="154711077"/>
    <d v="2022-12-22T00:00:00"/>
    <m/>
    <x v="0"/>
    <n v="39"/>
    <s v="month"/>
    <s v=""/>
    <x v="0"/>
    <s v="No"/>
    <n v="0"/>
    <n v="0"/>
    <s v=""/>
  </r>
  <r>
    <n v="163619032"/>
    <d v="2022-12-22T00:00:00"/>
    <m/>
    <x v="0"/>
    <n v="39"/>
    <s v="month"/>
    <s v=""/>
    <x v="0"/>
    <s v="No"/>
    <n v="0"/>
    <n v="0"/>
    <s v=""/>
  </r>
  <r>
    <n v="171001864"/>
    <d v="2022-12-22T00:00:00"/>
    <m/>
    <x v="0"/>
    <n v="39"/>
    <s v="month"/>
    <s v=""/>
    <x v="0"/>
    <s v="No"/>
    <n v="0"/>
    <n v="0"/>
    <s v=""/>
  </r>
  <r>
    <n v="151890014"/>
    <d v="2022-12-22T00:00:00"/>
    <m/>
    <x v="0"/>
    <n v="39"/>
    <s v="month"/>
    <s v=""/>
    <x v="0"/>
    <s v="No"/>
    <n v="0"/>
    <n v="0"/>
    <s v=""/>
  </r>
  <r>
    <n v="158575772"/>
    <d v="2022-12-22T00:00:00"/>
    <d v="2022-12-23T00:00:00"/>
    <x v="0"/>
    <n v="39"/>
    <s v="month"/>
    <n v="1"/>
    <x v="0"/>
    <s v="No"/>
    <n v="1"/>
    <n v="0"/>
    <n v="1"/>
  </r>
  <r>
    <n v="164462665"/>
    <d v="2022-12-22T00:00:00"/>
    <d v="2022-12-23T00:00:00"/>
    <x v="1"/>
    <n v="39"/>
    <s v="month"/>
    <n v="1"/>
    <x v="0"/>
    <s v="No"/>
    <n v="1"/>
    <n v="0"/>
    <n v="1"/>
  </r>
  <r>
    <n v="121830768"/>
    <d v="2022-12-22T00:00:00"/>
    <d v="2023-01-24T00:00:00"/>
    <x v="0"/>
    <n v="39"/>
    <s v="month"/>
    <n v="33"/>
    <x v="0"/>
    <s v="No"/>
    <n v="0"/>
    <n v="1"/>
    <n v="33"/>
  </r>
  <r>
    <n v="174605216"/>
    <d v="2022-12-22T00:00:00"/>
    <d v="2023-05-12T00:00:00"/>
    <x v="0"/>
    <n v="39"/>
    <s v="month"/>
    <n v="141"/>
    <x v="0"/>
    <s v="No"/>
    <n v="0"/>
    <n v="1"/>
    <n v="141"/>
  </r>
  <r>
    <n v="174655316"/>
    <d v="2022-12-22T00:00:00"/>
    <d v="2023-03-15T00:00:00"/>
    <x v="0"/>
    <n v="39"/>
    <s v="month"/>
    <n v="83"/>
    <x v="0"/>
    <s v="No"/>
    <n v="0"/>
    <n v="1"/>
    <n v="83"/>
  </r>
  <r>
    <n v="174622570"/>
    <d v="2022-12-22T00:00:00"/>
    <d v="2023-01-01T00:00:00"/>
    <x v="0"/>
    <n v="39"/>
    <s v="month"/>
    <n v="10"/>
    <x v="0"/>
    <s v="No"/>
    <n v="0"/>
    <n v="0"/>
    <n v="10"/>
  </r>
  <r>
    <n v="174720005"/>
    <d v="2022-12-22T00:00:00"/>
    <d v="2022-12-23T00:00:00"/>
    <x v="0"/>
    <n v="39"/>
    <s v="month"/>
    <n v="1"/>
    <x v="0"/>
    <s v="No"/>
    <n v="1"/>
    <n v="0"/>
    <n v="1"/>
  </r>
  <r>
    <n v="174696512"/>
    <d v="2022-12-23T00:00:00"/>
    <m/>
    <x v="0"/>
    <n v="39"/>
    <s v="month"/>
    <s v=""/>
    <x v="1"/>
    <s v="No"/>
    <n v="0"/>
    <n v="0"/>
    <s v=""/>
  </r>
  <r>
    <n v="175314293"/>
    <d v="2022-12-23T00:00:00"/>
    <m/>
    <x v="0"/>
    <n v="39"/>
    <s v="month"/>
    <s v=""/>
    <x v="1"/>
    <s v="No"/>
    <n v="0"/>
    <n v="0"/>
    <s v=""/>
  </r>
  <r>
    <n v="175451863"/>
    <d v="2022-12-23T00:00:00"/>
    <d v="2023-03-20T00:00:00"/>
    <x v="0"/>
    <n v="39"/>
    <s v="month"/>
    <n v="87"/>
    <x v="1"/>
    <s v="No"/>
    <n v="0"/>
    <n v="1"/>
    <n v="87"/>
  </r>
  <r>
    <n v="174752844"/>
    <d v="2022-12-23T00:00:00"/>
    <d v="2023-01-30T00:00:00"/>
    <x v="0"/>
    <n v="39"/>
    <s v="month"/>
    <n v="38"/>
    <x v="1"/>
    <s v="No"/>
    <n v="0"/>
    <n v="1"/>
    <n v="38"/>
  </r>
  <r>
    <n v="175431141"/>
    <d v="2022-12-24T00:00:00"/>
    <m/>
    <x v="0"/>
    <n v="39"/>
    <s v="month"/>
    <s v=""/>
    <x v="2"/>
    <s v="No"/>
    <n v="0"/>
    <n v="0"/>
    <s v=""/>
  </r>
  <r>
    <n v="132228678"/>
    <d v="2022-12-24T00:00:00"/>
    <d v="2022-12-24T00:00:00"/>
    <x v="0"/>
    <n v="39"/>
    <s v="month"/>
    <n v="0"/>
    <x v="2"/>
    <s v="Yes"/>
    <n v="1"/>
    <n v="0"/>
    <n v="0"/>
  </r>
  <r>
    <n v="161151062"/>
    <d v="2022-12-24T00:00:00"/>
    <d v="2023-04-19T00:00:00"/>
    <x v="0"/>
    <n v="39"/>
    <s v="month"/>
    <n v="116"/>
    <x v="2"/>
    <s v="No"/>
    <n v="0"/>
    <n v="1"/>
    <n v="116"/>
  </r>
  <r>
    <n v="167653319"/>
    <d v="2022-12-24T00:00:00"/>
    <d v="2023-03-13T00:00:00"/>
    <x v="0"/>
    <n v="39"/>
    <s v="month"/>
    <n v="79"/>
    <x v="2"/>
    <s v="No"/>
    <n v="0"/>
    <n v="1"/>
    <n v="79"/>
  </r>
  <r>
    <n v="171659515"/>
    <d v="2022-12-24T00:00:00"/>
    <d v="2023-01-23T00:00:00"/>
    <x v="0"/>
    <n v="39"/>
    <s v="month"/>
    <n v="30"/>
    <x v="2"/>
    <s v="No"/>
    <n v="0"/>
    <n v="0"/>
    <n v="30"/>
  </r>
  <r>
    <n v="175720159"/>
    <d v="2022-12-24T00:00:00"/>
    <d v="2023-01-09T00:00:00"/>
    <x v="0"/>
    <n v="39"/>
    <s v="month"/>
    <n v="16"/>
    <x v="2"/>
    <s v="No"/>
    <n v="0"/>
    <n v="0"/>
    <n v="16"/>
  </r>
  <r>
    <n v="170593141"/>
    <d v="2022-12-24T00:00:00"/>
    <d v="2023-01-08T00:00:00"/>
    <x v="0"/>
    <n v="39"/>
    <s v="month"/>
    <n v="15"/>
    <x v="2"/>
    <s v="No"/>
    <n v="0"/>
    <n v="0"/>
    <n v="15"/>
  </r>
  <r>
    <n v="173981170"/>
    <d v="2022-12-24T00:00:00"/>
    <d v="2022-12-25T00:00:00"/>
    <x v="0"/>
    <n v="39"/>
    <s v="month"/>
    <n v="1"/>
    <x v="2"/>
    <s v="No"/>
    <n v="1"/>
    <n v="0"/>
    <n v="1"/>
  </r>
  <r>
    <n v="175166391"/>
    <d v="2022-12-25T00:00:00"/>
    <m/>
    <x v="0"/>
    <n v="39"/>
    <s v="month"/>
    <s v=""/>
    <x v="3"/>
    <s v="No"/>
    <n v="0"/>
    <n v="0"/>
    <s v=""/>
  </r>
  <r>
    <n v="161175048"/>
    <d v="2022-12-25T00:00:00"/>
    <d v="2023-02-22T00:00:00"/>
    <x v="0"/>
    <n v="39"/>
    <s v="month"/>
    <n v="59"/>
    <x v="3"/>
    <s v="No"/>
    <n v="0"/>
    <n v="1"/>
    <n v="59"/>
  </r>
  <r>
    <n v="164254865"/>
    <d v="2022-12-25T00:00:00"/>
    <d v="2023-01-24T00:00:00"/>
    <x v="0"/>
    <n v="39"/>
    <s v="month"/>
    <n v="30"/>
    <x v="3"/>
    <s v="No"/>
    <n v="0"/>
    <n v="0"/>
    <n v="30"/>
  </r>
  <r>
    <n v="143248615"/>
    <d v="2022-12-26T00:00:00"/>
    <m/>
    <x v="0"/>
    <n v="39"/>
    <s v="month"/>
    <s v=""/>
    <x v="4"/>
    <s v="No"/>
    <n v="0"/>
    <n v="0"/>
    <s v=""/>
  </r>
  <r>
    <n v="176032070"/>
    <d v="2022-12-26T00:00:00"/>
    <d v="2023-01-14T00:00:00"/>
    <x v="0"/>
    <n v="39"/>
    <s v="month"/>
    <n v="19"/>
    <x v="4"/>
    <s v="No"/>
    <n v="0"/>
    <n v="0"/>
    <n v="19"/>
  </r>
  <r>
    <n v="174132333"/>
    <d v="2022-12-27T00:00:00"/>
    <m/>
    <x v="0"/>
    <n v="39"/>
    <s v="month"/>
    <s v=""/>
    <x v="5"/>
    <s v="No"/>
    <n v="0"/>
    <n v="0"/>
    <s v=""/>
  </r>
  <r>
    <n v="177051147"/>
    <d v="2022-12-27T00:00:00"/>
    <d v="2022-12-28T00:00:00"/>
    <x v="0"/>
    <n v="39"/>
    <s v="month"/>
    <n v="1"/>
    <x v="5"/>
    <s v="No"/>
    <n v="1"/>
    <n v="0"/>
    <n v="1"/>
  </r>
  <r>
    <n v="176571319"/>
    <d v="2022-12-27T00:00:00"/>
    <d v="2023-04-01T00:00:00"/>
    <x v="0"/>
    <n v="39"/>
    <s v="month"/>
    <n v="95"/>
    <x v="5"/>
    <s v="No"/>
    <n v="0"/>
    <n v="1"/>
    <n v="95"/>
  </r>
  <r>
    <n v="166932902"/>
    <d v="2022-12-27T00:00:00"/>
    <d v="2023-03-06T00:00:00"/>
    <x v="0"/>
    <n v="39"/>
    <s v="month"/>
    <n v="69"/>
    <x v="5"/>
    <s v="No"/>
    <n v="0"/>
    <n v="1"/>
    <n v="69"/>
  </r>
  <r>
    <n v="175851244"/>
    <d v="2022-12-27T00:00:00"/>
    <d v="2023-02-03T00:00:00"/>
    <x v="0"/>
    <n v="39"/>
    <s v="month"/>
    <n v="38"/>
    <x v="5"/>
    <s v="No"/>
    <n v="0"/>
    <n v="1"/>
    <n v="38"/>
  </r>
  <r>
    <n v="155613371"/>
    <d v="2022-12-27T00:00:00"/>
    <d v="2023-02-03T00:00:00"/>
    <x v="0"/>
    <n v="39"/>
    <s v="month"/>
    <n v="38"/>
    <x v="5"/>
    <s v="No"/>
    <n v="0"/>
    <n v="1"/>
    <n v="38"/>
  </r>
  <r>
    <n v="167678290"/>
    <d v="2022-12-27T00:00:00"/>
    <d v="2023-01-27T00:00:00"/>
    <x v="0"/>
    <n v="39"/>
    <s v="month"/>
    <n v="31"/>
    <x v="5"/>
    <s v="No"/>
    <n v="0"/>
    <n v="1"/>
    <n v="31"/>
  </r>
  <r>
    <n v="176995917"/>
    <d v="2022-12-27T00:00:00"/>
    <d v="2023-06-29T00:00:00"/>
    <x v="0"/>
    <n v="39"/>
    <s v="month"/>
    <n v="184"/>
    <x v="5"/>
    <s v="No"/>
    <n v="0"/>
    <n v="1"/>
    <n v="184"/>
  </r>
  <r>
    <n v="161187523"/>
    <d v="2022-12-27T00:00:00"/>
    <d v="2023-07-19T00:00:00"/>
    <x v="0"/>
    <n v="39"/>
    <s v="month"/>
    <n v="204"/>
    <x v="5"/>
    <s v="No"/>
    <n v="0"/>
    <n v="1"/>
    <n v="204"/>
  </r>
  <r>
    <n v="175884318"/>
    <d v="2022-12-28T00:00:00"/>
    <d v="2023-01-14T00:00:00"/>
    <x v="0"/>
    <n v="39"/>
    <s v="month"/>
    <n v="17"/>
    <x v="6"/>
    <s v="No"/>
    <n v="0"/>
    <n v="0"/>
    <n v="17"/>
  </r>
  <r>
    <n v="173911972"/>
    <d v="2022-12-28T00:00:00"/>
    <d v="2023-04-24T00:00:00"/>
    <x v="0"/>
    <n v="39"/>
    <s v="month"/>
    <n v="117"/>
    <x v="6"/>
    <s v="No"/>
    <n v="0"/>
    <n v="1"/>
    <n v="117"/>
  </r>
  <r>
    <n v="177696301"/>
    <d v="2022-12-28T00:00:00"/>
    <d v="2023-05-27T00:00:00"/>
    <x v="0"/>
    <n v="39"/>
    <s v="month"/>
    <n v="150"/>
    <x v="6"/>
    <s v="No"/>
    <n v="0"/>
    <n v="1"/>
    <n v="150"/>
  </r>
  <r>
    <n v="165744582"/>
    <d v="2022-12-28T00:00:00"/>
    <d v="2023-02-12T00:00:00"/>
    <x v="0"/>
    <n v="39"/>
    <s v="month"/>
    <n v="46"/>
    <x v="6"/>
    <s v="No"/>
    <n v="0"/>
    <n v="1"/>
    <n v="46"/>
  </r>
  <r>
    <n v="177323966"/>
    <d v="2022-12-28T00:00:00"/>
    <d v="2022-12-28T00:00:00"/>
    <x v="0"/>
    <n v="39"/>
    <s v="month"/>
    <n v="0"/>
    <x v="6"/>
    <s v="Yes"/>
    <n v="1"/>
    <n v="0"/>
    <n v="0"/>
  </r>
  <r>
    <n v="178355844"/>
    <d v="2022-12-29T00:00:00"/>
    <m/>
    <x v="0"/>
    <n v="39"/>
    <s v="month"/>
    <s v=""/>
    <x v="0"/>
    <s v="No"/>
    <n v="0"/>
    <n v="0"/>
    <s v=""/>
  </r>
  <r>
    <n v="176989743"/>
    <d v="2022-12-29T00:00:00"/>
    <m/>
    <x v="0"/>
    <n v="39"/>
    <s v="month"/>
    <s v=""/>
    <x v="0"/>
    <s v="No"/>
    <n v="0"/>
    <n v="0"/>
    <s v=""/>
  </r>
  <r>
    <n v="177971827"/>
    <d v="2022-12-29T00:00:00"/>
    <m/>
    <x v="0"/>
    <n v="39"/>
    <s v="month"/>
    <s v=""/>
    <x v="0"/>
    <s v="No"/>
    <n v="0"/>
    <n v="0"/>
    <s v=""/>
  </r>
  <r>
    <n v="131147038"/>
    <d v="2022-12-29T00:00:00"/>
    <d v="2023-02-13T00:00:00"/>
    <x v="0"/>
    <n v="39"/>
    <s v="month"/>
    <n v="46"/>
    <x v="0"/>
    <s v="No"/>
    <n v="0"/>
    <n v="1"/>
    <n v="46"/>
  </r>
  <r>
    <n v="152142457"/>
    <d v="2022-12-29T00:00:00"/>
    <d v="2023-02-12T00:00:00"/>
    <x v="0"/>
    <n v="39"/>
    <s v="month"/>
    <n v="45"/>
    <x v="0"/>
    <s v="No"/>
    <n v="0"/>
    <n v="1"/>
    <n v="45"/>
  </r>
  <r>
    <n v="174293226"/>
    <d v="2022-12-29T00:00:00"/>
    <d v="2023-06-06T00:00:00"/>
    <x v="0"/>
    <n v="39"/>
    <s v="month"/>
    <n v="159"/>
    <x v="0"/>
    <s v="No"/>
    <n v="0"/>
    <n v="1"/>
    <n v="159"/>
  </r>
  <r>
    <n v="177051147"/>
    <d v="2022-12-29T00:00:00"/>
    <d v="2023-03-27T00:00:00"/>
    <x v="0"/>
    <n v="39"/>
    <s v="month"/>
    <n v="88"/>
    <x v="0"/>
    <s v="No"/>
    <n v="0"/>
    <n v="1"/>
    <n v="88"/>
  </r>
  <r>
    <n v="177963240"/>
    <d v="2022-12-29T00:00:00"/>
    <d v="2023-01-27T00:00:00"/>
    <x v="0"/>
    <n v="39"/>
    <s v="month"/>
    <n v="29"/>
    <x v="0"/>
    <s v="No"/>
    <n v="0"/>
    <n v="0"/>
    <n v="29"/>
  </r>
  <r>
    <n v="176639972"/>
    <d v="2022-12-29T00:00:00"/>
    <d v="2023-01-28T00:00:00"/>
    <x v="0"/>
    <n v="39"/>
    <s v="month"/>
    <n v="30"/>
    <x v="0"/>
    <s v="No"/>
    <n v="0"/>
    <n v="0"/>
    <n v="30"/>
  </r>
  <r>
    <n v="175818000"/>
    <d v="2022-12-30T00:00:00"/>
    <d v="2023-06-09T00:00:00"/>
    <x v="0"/>
    <n v="39"/>
    <s v="month"/>
    <n v="161"/>
    <x v="1"/>
    <s v="No"/>
    <n v="0"/>
    <n v="1"/>
    <n v="161"/>
  </r>
  <r>
    <n v="117856836"/>
    <d v="2022-12-30T00:00:00"/>
    <d v="2023-02-02T00:00:00"/>
    <x v="0"/>
    <n v="39"/>
    <s v="month"/>
    <n v="34"/>
    <x v="1"/>
    <s v="No"/>
    <n v="0"/>
    <n v="1"/>
    <n v="34"/>
  </r>
  <r>
    <n v="177266058"/>
    <d v="2022-12-30T00:00:00"/>
    <d v="2023-04-06T00:00:00"/>
    <x v="0"/>
    <n v="39"/>
    <s v="month"/>
    <n v="97"/>
    <x v="1"/>
    <s v="No"/>
    <n v="0"/>
    <n v="1"/>
    <n v="97"/>
  </r>
  <r>
    <n v="174203866"/>
    <d v="2022-12-30T00:00:00"/>
    <d v="2023-02-28T00:00:00"/>
    <x v="0"/>
    <n v="39"/>
    <s v="month"/>
    <n v="60"/>
    <x v="1"/>
    <s v="No"/>
    <n v="0"/>
    <n v="1"/>
    <n v="60"/>
  </r>
  <r>
    <n v="174991614"/>
    <d v="2022-12-30T00:00:00"/>
    <d v="2023-01-30T00:00:00"/>
    <x v="0"/>
    <n v="39"/>
    <s v="month"/>
    <n v="31"/>
    <x v="1"/>
    <s v="No"/>
    <n v="0"/>
    <n v="1"/>
    <n v="31"/>
  </r>
  <r>
    <n v="175354348"/>
    <d v="2022-12-30T00:00:00"/>
    <d v="2023-01-21T00:00:00"/>
    <x v="0"/>
    <n v="39"/>
    <s v="month"/>
    <n v="22"/>
    <x v="1"/>
    <s v="No"/>
    <n v="0"/>
    <n v="0"/>
    <n v="22"/>
  </r>
  <r>
    <n v="176573512"/>
    <d v="2022-12-30T00:00:00"/>
    <d v="2023-07-03T00:00:00"/>
    <x v="0"/>
    <n v="39"/>
    <s v="month"/>
    <n v="185"/>
    <x v="1"/>
    <s v="No"/>
    <n v="0"/>
    <n v="1"/>
    <n v="185"/>
  </r>
  <r>
    <n v="178379352"/>
    <d v="2022-12-31T00:00:00"/>
    <d v="2023-01-02T00:00:00"/>
    <x v="0"/>
    <n v="39"/>
    <s v="month"/>
    <n v="2"/>
    <x v="2"/>
    <s v="No"/>
    <n v="1"/>
    <n v="0"/>
    <n v="2"/>
  </r>
  <r>
    <n v="152980676"/>
    <d v="2022-12-31T00:00:00"/>
    <d v="2023-01-21T00:00:00"/>
    <x v="0"/>
    <n v="39"/>
    <s v="month"/>
    <n v="21"/>
    <x v="2"/>
    <s v="No"/>
    <n v="0"/>
    <n v="0"/>
    <n v="21"/>
  </r>
  <r>
    <n v="179551652"/>
    <d v="2022-12-31T00:00:00"/>
    <d v="2023-05-07T00:00:00"/>
    <x v="0"/>
    <n v="39"/>
    <s v="month"/>
    <n v="127"/>
    <x v="2"/>
    <s v="No"/>
    <n v="0"/>
    <n v="1"/>
    <n v="127"/>
  </r>
  <r>
    <n v="175899028"/>
    <d v="2022-12-31T00:00:00"/>
    <d v="2023-03-24T00:00:00"/>
    <x v="0"/>
    <n v="39"/>
    <s v="month"/>
    <n v="83"/>
    <x v="2"/>
    <s v="No"/>
    <n v="0"/>
    <n v="1"/>
    <n v="83"/>
  </r>
  <r>
    <n v="148427368"/>
    <d v="2022-12-31T00:00:00"/>
    <d v="2023-02-07T00:00:00"/>
    <x v="0"/>
    <n v="39"/>
    <s v="month"/>
    <n v="38"/>
    <x v="2"/>
    <s v="No"/>
    <n v="0"/>
    <n v="1"/>
    <n v="38"/>
  </r>
  <r>
    <n v="149335749"/>
    <d v="2022-12-31T00:00:00"/>
    <d v="2023-01-30T00:00:00"/>
    <x v="0"/>
    <n v="39"/>
    <s v="month"/>
    <n v="30"/>
    <x v="2"/>
    <s v="No"/>
    <n v="0"/>
    <n v="0"/>
    <n v="30"/>
  </r>
  <r>
    <n v="179395204"/>
    <d v="2022-12-31T00:00:00"/>
    <d v="2023-01-16T00:00:00"/>
    <x v="0"/>
    <n v="39"/>
    <s v="month"/>
    <n v="16"/>
    <x v="2"/>
    <s v="No"/>
    <n v="0"/>
    <n v="0"/>
    <n v="16"/>
  </r>
  <r>
    <n v="150870576"/>
    <d v="2023-01-01T00:00:00"/>
    <d v="2023-06-15T00:00:00"/>
    <x v="0"/>
    <n v="39"/>
    <s v="month"/>
    <n v="165"/>
    <x v="3"/>
    <s v="No"/>
    <n v="0"/>
    <n v="1"/>
    <n v="165"/>
  </r>
  <r>
    <n v="176200716"/>
    <d v="2023-01-01T00:00:00"/>
    <d v="2023-04-24T00:00:00"/>
    <x v="0"/>
    <n v="39"/>
    <s v="month"/>
    <n v="113"/>
    <x v="3"/>
    <s v="No"/>
    <n v="0"/>
    <n v="1"/>
    <n v="113"/>
  </r>
  <r>
    <n v="178097351"/>
    <d v="2023-01-01T00:00:00"/>
    <d v="2023-02-08T00:00:00"/>
    <x v="0"/>
    <n v="39"/>
    <s v="month"/>
    <n v="38"/>
    <x v="3"/>
    <s v="No"/>
    <n v="0"/>
    <n v="1"/>
    <n v="38"/>
  </r>
  <r>
    <n v="177238262"/>
    <d v="2023-01-02T00:00:00"/>
    <m/>
    <x v="0"/>
    <n v="39"/>
    <s v="month"/>
    <s v=""/>
    <x v="4"/>
    <s v="No"/>
    <n v="0"/>
    <n v="0"/>
    <s v=""/>
  </r>
  <r>
    <n v="173131478"/>
    <d v="2023-01-02T00:00:00"/>
    <m/>
    <x v="0"/>
    <n v="39"/>
    <s v="month"/>
    <s v=""/>
    <x v="4"/>
    <s v="No"/>
    <n v="0"/>
    <n v="0"/>
    <s v=""/>
  </r>
  <r>
    <n v="180123121"/>
    <d v="2023-01-02T00:00:00"/>
    <d v="2023-01-02T00:00:00"/>
    <x v="1"/>
    <n v="39"/>
    <s v="month"/>
    <n v="0"/>
    <x v="4"/>
    <s v="Yes"/>
    <n v="1"/>
    <n v="0"/>
    <n v="0"/>
  </r>
  <r>
    <n v="139136640"/>
    <d v="2023-01-02T00:00:00"/>
    <d v="2023-03-09T00:00:00"/>
    <x v="0"/>
    <n v="39"/>
    <s v="month"/>
    <n v="66"/>
    <x v="4"/>
    <s v="No"/>
    <n v="0"/>
    <n v="1"/>
    <n v="66"/>
  </r>
  <r>
    <n v="172951272"/>
    <d v="2023-01-02T00:00:00"/>
    <d v="2023-05-06T00:00:00"/>
    <x v="0"/>
    <n v="39"/>
    <s v="month"/>
    <n v="124"/>
    <x v="4"/>
    <s v="No"/>
    <n v="0"/>
    <n v="1"/>
    <n v="124"/>
  </r>
  <r>
    <n v="175473611"/>
    <d v="2023-01-02T00:00:00"/>
    <d v="2023-04-23T00:00:00"/>
    <x v="0"/>
    <n v="39"/>
    <s v="month"/>
    <n v="111"/>
    <x v="4"/>
    <s v="No"/>
    <n v="0"/>
    <n v="1"/>
    <n v="111"/>
  </r>
  <r>
    <n v="170776130"/>
    <d v="2023-01-02T00:00:00"/>
    <d v="2023-04-18T00:00:00"/>
    <x v="0"/>
    <n v="39"/>
    <s v="month"/>
    <n v="106"/>
    <x v="4"/>
    <s v="No"/>
    <n v="0"/>
    <n v="1"/>
    <n v="106"/>
  </r>
  <r>
    <n v="180558466"/>
    <d v="2023-01-02T00:00:00"/>
    <d v="2023-03-24T00:00:00"/>
    <x v="0"/>
    <n v="39"/>
    <s v="month"/>
    <n v="81"/>
    <x v="4"/>
    <s v="No"/>
    <n v="0"/>
    <n v="1"/>
    <n v="81"/>
  </r>
  <r>
    <n v="171398636"/>
    <d v="2023-01-02T00:00:00"/>
    <d v="2023-03-10T00:00:00"/>
    <x v="0"/>
    <n v="39"/>
    <s v="month"/>
    <n v="67"/>
    <x v="4"/>
    <s v="No"/>
    <n v="0"/>
    <n v="1"/>
    <n v="67"/>
  </r>
  <r>
    <n v="180424776"/>
    <d v="2023-01-02T00:00:00"/>
    <d v="2023-03-19T00:00:00"/>
    <x v="0"/>
    <n v="39"/>
    <s v="month"/>
    <n v="76"/>
    <x v="4"/>
    <s v="No"/>
    <n v="0"/>
    <n v="1"/>
    <n v="76"/>
  </r>
  <r>
    <n v="180198528"/>
    <d v="2023-01-02T00:00:00"/>
    <d v="2023-02-09T00:00:00"/>
    <x v="0"/>
    <n v="39"/>
    <s v="month"/>
    <n v="38"/>
    <x v="4"/>
    <s v="No"/>
    <n v="0"/>
    <n v="1"/>
    <n v="38"/>
  </r>
  <r>
    <n v="124634385"/>
    <d v="2023-01-03T00:00:00"/>
    <m/>
    <x v="0"/>
    <n v="39"/>
    <s v="month"/>
    <s v=""/>
    <x v="5"/>
    <s v="No"/>
    <n v="0"/>
    <n v="0"/>
    <s v=""/>
  </r>
  <r>
    <n v="180740092"/>
    <d v="2023-01-03T00:00:00"/>
    <m/>
    <x v="0"/>
    <n v="39"/>
    <s v="month"/>
    <s v=""/>
    <x v="5"/>
    <s v="No"/>
    <n v="0"/>
    <n v="0"/>
    <s v=""/>
  </r>
  <r>
    <n v="144385898"/>
    <d v="2023-01-03T00:00:00"/>
    <d v="2023-07-03T00:00:00"/>
    <x v="0"/>
    <n v="39"/>
    <s v="month"/>
    <n v="181"/>
    <x v="5"/>
    <s v="No"/>
    <n v="0"/>
    <n v="1"/>
    <n v="181"/>
  </r>
  <r>
    <n v="175138132"/>
    <d v="2023-01-03T00:00:00"/>
    <d v="2023-04-23T00:00:00"/>
    <x v="0"/>
    <n v="39"/>
    <s v="month"/>
    <n v="110"/>
    <x v="5"/>
    <s v="No"/>
    <n v="0"/>
    <n v="1"/>
    <n v="110"/>
  </r>
  <r>
    <n v="180968287"/>
    <d v="2023-01-03T00:00:00"/>
    <d v="2023-03-27T00:00:00"/>
    <x v="0"/>
    <n v="39"/>
    <s v="month"/>
    <n v="83"/>
    <x v="5"/>
    <s v="No"/>
    <n v="0"/>
    <n v="1"/>
    <n v="83"/>
  </r>
  <r>
    <n v="180959934"/>
    <d v="2023-01-03T00:00:00"/>
    <d v="2023-03-08T00:00:00"/>
    <x v="0"/>
    <n v="39"/>
    <s v="month"/>
    <n v="64"/>
    <x v="5"/>
    <s v="No"/>
    <n v="0"/>
    <n v="1"/>
    <n v="64"/>
  </r>
  <r>
    <n v="176445635"/>
    <d v="2023-01-03T00:00:00"/>
    <d v="2023-02-18T00:00:00"/>
    <x v="0"/>
    <n v="39"/>
    <s v="month"/>
    <n v="46"/>
    <x v="5"/>
    <s v="No"/>
    <n v="0"/>
    <n v="1"/>
    <n v="46"/>
  </r>
  <r>
    <n v="180798046"/>
    <d v="2023-01-03T00:00:00"/>
    <d v="2023-01-31T00:00:00"/>
    <x v="0"/>
    <n v="39"/>
    <s v="month"/>
    <n v="28"/>
    <x v="5"/>
    <s v="No"/>
    <n v="0"/>
    <n v="0"/>
    <n v="28"/>
  </r>
  <r>
    <n v="180718702"/>
    <d v="2023-01-03T00:00:00"/>
    <d v="2023-01-25T00:00:00"/>
    <x v="0"/>
    <n v="39"/>
    <s v="month"/>
    <n v="22"/>
    <x v="5"/>
    <s v="No"/>
    <n v="0"/>
    <n v="0"/>
    <n v="22"/>
  </r>
  <r>
    <n v="181052392"/>
    <d v="2023-01-03T00:00:00"/>
    <d v="2023-08-23T00:00:00"/>
    <x v="0"/>
    <n v="39"/>
    <s v="month"/>
    <n v="232"/>
    <x v="5"/>
    <s v="No"/>
    <n v="0"/>
    <n v="1"/>
    <n v="232"/>
  </r>
  <r>
    <n v="181717508"/>
    <d v="2023-01-04T00:00:00"/>
    <m/>
    <x v="0"/>
    <n v="39"/>
    <s v="month"/>
    <s v=""/>
    <x v="6"/>
    <s v="No"/>
    <n v="0"/>
    <n v="0"/>
    <s v=""/>
  </r>
  <r>
    <n v="163103592"/>
    <d v="2023-01-04T00:00:00"/>
    <d v="2023-01-05T00:00:00"/>
    <x v="1"/>
    <n v="39"/>
    <s v="month"/>
    <n v="1"/>
    <x v="6"/>
    <s v="No"/>
    <n v="1"/>
    <n v="0"/>
    <n v="1"/>
  </r>
  <r>
    <n v="146860806"/>
    <d v="2023-01-04T00:00:00"/>
    <d v="2023-03-04T00:00:00"/>
    <x v="0"/>
    <n v="39"/>
    <s v="month"/>
    <n v="59"/>
    <x v="6"/>
    <s v="No"/>
    <n v="0"/>
    <n v="1"/>
    <n v="59"/>
  </r>
  <r>
    <n v="160532210"/>
    <d v="2023-01-04T00:00:00"/>
    <d v="2023-02-12T00:00:00"/>
    <x v="0"/>
    <n v="39"/>
    <s v="month"/>
    <n v="39"/>
    <x v="6"/>
    <s v="No"/>
    <n v="0"/>
    <n v="1"/>
    <n v="39"/>
  </r>
  <r>
    <n v="181003342"/>
    <d v="2023-01-04T00:00:00"/>
    <d v="2023-02-28T00:00:00"/>
    <x v="0"/>
    <n v="39"/>
    <s v="month"/>
    <n v="55"/>
    <x v="6"/>
    <s v="No"/>
    <n v="0"/>
    <n v="1"/>
    <n v="55"/>
  </r>
  <r>
    <n v="178661698"/>
    <d v="2023-01-04T00:00:00"/>
    <d v="2023-07-11T00:00:00"/>
    <x v="0"/>
    <n v="39"/>
    <s v="month"/>
    <n v="188"/>
    <x v="6"/>
    <s v="No"/>
    <n v="0"/>
    <n v="1"/>
    <n v="188"/>
  </r>
  <r>
    <n v="178928897"/>
    <d v="2023-01-05T00:00:00"/>
    <m/>
    <x v="0"/>
    <n v="39"/>
    <s v="month"/>
    <s v=""/>
    <x v="0"/>
    <s v="No"/>
    <n v="0"/>
    <n v="0"/>
    <s v=""/>
  </r>
  <r>
    <n v="181840814"/>
    <d v="2023-01-05T00:00:00"/>
    <m/>
    <x v="0"/>
    <n v="39"/>
    <s v="month"/>
    <s v=""/>
    <x v="0"/>
    <s v="No"/>
    <n v="0"/>
    <n v="0"/>
    <s v=""/>
  </r>
  <r>
    <n v="166930287"/>
    <d v="2023-01-05T00:00:00"/>
    <d v="2023-01-06T00:00:00"/>
    <x v="1"/>
    <n v="39"/>
    <s v="month"/>
    <n v="1"/>
    <x v="0"/>
    <s v="No"/>
    <n v="1"/>
    <n v="0"/>
    <n v="1"/>
  </r>
  <r>
    <n v="155956314"/>
    <d v="2023-01-05T00:00:00"/>
    <d v="2023-01-05T00:00:00"/>
    <x v="1"/>
    <n v="39"/>
    <s v="month"/>
    <n v="0"/>
    <x v="0"/>
    <s v="Yes"/>
    <n v="1"/>
    <n v="0"/>
    <n v="0"/>
  </r>
  <r>
    <n v="182408564"/>
    <d v="2023-01-05T00:00:00"/>
    <d v="2023-05-04T00:00:00"/>
    <x v="0"/>
    <n v="39"/>
    <s v="month"/>
    <n v="119"/>
    <x v="0"/>
    <s v="No"/>
    <n v="0"/>
    <n v="1"/>
    <n v="119"/>
  </r>
  <r>
    <n v="182295766"/>
    <d v="2023-01-05T00:00:00"/>
    <d v="2023-03-12T00:00:00"/>
    <x v="0"/>
    <n v="39"/>
    <s v="month"/>
    <n v="66"/>
    <x v="0"/>
    <s v="No"/>
    <n v="0"/>
    <n v="1"/>
    <n v="66"/>
  </r>
  <r>
    <n v="155881023"/>
    <d v="2023-01-05T00:00:00"/>
    <d v="2023-03-02T00:00:00"/>
    <x v="0"/>
    <n v="39"/>
    <s v="month"/>
    <n v="56"/>
    <x v="0"/>
    <s v="No"/>
    <n v="0"/>
    <n v="1"/>
    <n v="56"/>
  </r>
  <r>
    <n v="152750569"/>
    <d v="2023-01-05T00:00:00"/>
    <d v="2023-02-12T00:00:00"/>
    <x v="0"/>
    <n v="39"/>
    <s v="month"/>
    <n v="38"/>
    <x v="0"/>
    <s v="No"/>
    <n v="0"/>
    <n v="1"/>
    <n v="38"/>
  </r>
  <r>
    <n v="178345451"/>
    <d v="2023-01-05T00:00:00"/>
    <d v="2023-02-12T00:00:00"/>
    <x v="0"/>
    <n v="39"/>
    <s v="month"/>
    <n v="38"/>
    <x v="0"/>
    <s v="No"/>
    <n v="0"/>
    <n v="1"/>
    <n v="38"/>
  </r>
  <r>
    <n v="179758181"/>
    <d v="2023-01-06T00:00:00"/>
    <m/>
    <x v="0"/>
    <n v="39"/>
    <s v="month"/>
    <s v=""/>
    <x v="1"/>
    <s v="No"/>
    <n v="0"/>
    <n v="0"/>
    <s v=""/>
  </r>
  <r>
    <n v="167266048"/>
    <d v="2023-01-06T00:00:00"/>
    <m/>
    <x v="0"/>
    <n v="39"/>
    <s v="month"/>
    <s v=""/>
    <x v="1"/>
    <s v="No"/>
    <n v="0"/>
    <n v="0"/>
    <s v=""/>
  </r>
  <r>
    <n v="182719870"/>
    <d v="2023-01-06T00:00:00"/>
    <d v="2023-05-04T00:00:00"/>
    <x v="0"/>
    <n v="39"/>
    <s v="month"/>
    <n v="118"/>
    <x v="1"/>
    <s v="No"/>
    <n v="0"/>
    <n v="1"/>
    <n v="118"/>
  </r>
  <r>
    <n v="182408430"/>
    <d v="2023-01-06T00:00:00"/>
    <d v="2023-05-10T00:00:00"/>
    <x v="0"/>
    <n v="39"/>
    <s v="month"/>
    <n v="124"/>
    <x v="1"/>
    <s v="No"/>
    <n v="0"/>
    <n v="1"/>
    <n v="124"/>
  </r>
  <r>
    <n v="181072524"/>
    <d v="2023-01-06T00:00:00"/>
    <d v="2023-06-30T00:00:00"/>
    <x v="0"/>
    <n v="39"/>
    <s v="month"/>
    <n v="175"/>
    <x v="1"/>
    <s v="No"/>
    <n v="0"/>
    <n v="1"/>
    <n v="175"/>
  </r>
  <r>
    <n v="182747824"/>
    <d v="2023-01-06T00:00:00"/>
    <d v="2023-04-13T00:00:00"/>
    <x v="0"/>
    <n v="39"/>
    <s v="month"/>
    <n v="97"/>
    <x v="1"/>
    <s v="No"/>
    <n v="0"/>
    <n v="1"/>
    <n v="97"/>
  </r>
  <r>
    <n v="182700534"/>
    <d v="2023-01-06T00:00:00"/>
    <d v="2023-03-26T00:00:00"/>
    <x v="0"/>
    <n v="39"/>
    <s v="month"/>
    <n v="79"/>
    <x v="1"/>
    <s v="No"/>
    <n v="0"/>
    <n v="1"/>
    <n v="79"/>
  </r>
  <r>
    <n v="182727349"/>
    <d v="2023-01-06T00:00:00"/>
    <d v="2023-02-06T00:00:00"/>
    <x v="0"/>
    <n v="39"/>
    <s v="month"/>
    <n v="31"/>
    <x v="1"/>
    <s v="No"/>
    <n v="0"/>
    <n v="1"/>
    <n v="31"/>
  </r>
  <r>
    <n v="182636324"/>
    <d v="2023-01-06T00:00:00"/>
    <d v="2023-02-03T00:00:00"/>
    <x v="0"/>
    <n v="39"/>
    <s v="month"/>
    <n v="28"/>
    <x v="1"/>
    <s v="No"/>
    <n v="0"/>
    <n v="0"/>
    <n v="28"/>
  </r>
  <r>
    <n v="170485769"/>
    <d v="2023-01-06T00:00:00"/>
    <d v="2023-01-06T00:00:00"/>
    <x v="0"/>
    <n v="39"/>
    <s v="month"/>
    <n v="0"/>
    <x v="1"/>
    <s v="Yes"/>
    <n v="1"/>
    <n v="0"/>
    <n v="0"/>
  </r>
  <r>
    <n v="182627508"/>
    <d v="2023-01-06T00:00:00"/>
    <d v="2023-01-06T00:00:00"/>
    <x v="0"/>
    <n v="39"/>
    <s v="month"/>
    <n v="0"/>
    <x v="1"/>
    <s v="Yes"/>
    <n v="1"/>
    <n v="0"/>
    <n v="0"/>
  </r>
  <r>
    <n v="182834016"/>
    <d v="2023-01-07T00:00:00"/>
    <d v="2023-06-14T00:00:00"/>
    <x v="0"/>
    <n v="39"/>
    <s v="month"/>
    <n v="158"/>
    <x v="2"/>
    <s v="No"/>
    <n v="0"/>
    <n v="1"/>
    <n v="158"/>
  </r>
  <r>
    <n v="163535855"/>
    <d v="2023-01-07T00:00:00"/>
    <d v="2023-06-21T00:00:00"/>
    <x v="0"/>
    <n v="39"/>
    <s v="month"/>
    <n v="165"/>
    <x v="2"/>
    <s v="No"/>
    <n v="0"/>
    <n v="1"/>
    <n v="165"/>
  </r>
  <r>
    <n v="183002853"/>
    <d v="2023-01-07T00:00:00"/>
    <d v="2023-04-08T00:00:00"/>
    <x v="0"/>
    <n v="39"/>
    <s v="month"/>
    <n v="91"/>
    <x v="2"/>
    <s v="No"/>
    <n v="0"/>
    <n v="1"/>
    <n v="91"/>
  </r>
  <r>
    <n v="148338824"/>
    <d v="2023-01-07T00:00:00"/>
    <d v="2023-02-07T00:00:00"/>
    <x v="0"/>
    <n v="39"/>
    <s v="month"/>
    <n v="31"/>
    <x v="2"/>
    <s v="No"/>
    <n v="0"/>
    <n v="1"/>
    <n v="31"/>
  </r>
  <r>
    <n v="181712692"/>
    <d v="2023-01-07T00:00:00"/>
    <d v="2023-01-07T00:00:00"/>
    <x v="0"/>
    <n v="39"/>
    <s v="month"/>
    <n v="0"/>
    <x v="2"/>
    <s v="Yes"/>
    <n v="1"/>
    <n v="0"/>
    <n v="0"/>
  </r>
  <r>
    <n v="181770777"/>
    <d v="2023-01-08T00:00:00"/>
    <m/>
    <x v="0"/>
    <n v="39"/>
    <s v="month"/>
    <s v=""/>
    <x v="3"/>
    <s v="No"/>
    <n v="0"/>
    <n v="0"/>
    <s v=""/>
  </r>
  <r>
    <n v="161269602"/>
    <d v="2023-01-08T00:00:00"/>
    <d v="2023-01-08T00:00:00"/>
    <x v="0"/>
    <n v="39"/>
    <s v="month"/>
    <n v="0"/>
    <x v="3"/>
    <s v="Yes"/>
    <n v="1"/>
    <n v="0"/>
    <n v="0"/>
  </r>
  <r>
    <n v="145799416"/>
    <d v="2023-01-08T00:00:00"/>
    <d v="2023-02-10T00:00:00"/>
    <x v="0"/>
    <n v="39"/>
    <s v="month"/>
    <n v="33"/>
    <x v="3"/>
    <s v="No"/>
    <n v="0"/>
    <n v="1"/>
    <n v="33"/>
  </r>
  <r>
    <n v="182753953"/>
    <d v="2023-01-08T00:00:00"/>
    <d v="2023-04-03T00:00:00"/>
    <x v="0"/>
    <n v="39"/>
    <s v="month"/>
    <n v="85"/>
    <x v="3"/>
    <s v="No"/>
    <n v="0"/>
    <n v="1"/>
    <n v="85"/>
  </r>
  <r>
    <n v="162944728"/>
    <d v="2023-01-08T00:00:00"/>
    <d v="2023-03-01T00:00:00"/>
    <x v="0"/>
    <n v="39"/>
    <s v="month"/>
    <n v="52"/>
    <x v="3"/>
    <s v="No"/>
    <n v="0"/>
    <n v="1"/>
    <n v="52"/>
  </r>
  <r>
    <n v="161249852"/>
    <d v="2023-01-08T00:00:00"/>
    <d v="2023-01-15T00:00:00"/>
    <x v="0"/>
    <n v="39"/>
    <s v="month"/>
    <n v="7"/>
    <x v="3"/>
    <s v="No"/>
    <n v="0"/>
    <n v="0"/>
    <n v="7"/>
  </r>
  <r>
    <n v="183916833"/>
    <d v="2023-01-09T00:00:00"/>
    <m/>
    <x v="0"/>
    <n v="39"/>
    <s v="month"/>
    <s v=""/>
    <x v="4"/>
    <s v="No"/>
    <n v="0"/>
    <n v="0"/>
    <s v=""/>
  </r>
  <r>
    <n v="169141612"/>
    <d v="2023-01-09T00:00:00"/>
    <d v="2023-01-10T00:00:00"/>
    <x v="1"/>
    <n v="39"/>
    <s v="month"/>
    <n v="1"/>
    <x v="4"/>
    <s v="No"/>
    <n v="1"/>
    <n v="0"/>
    <n v="1"/>
  </r>
  <r>
    <n v="128768010"/>
    <d v="2023-01-09T00:00:00"/>
    <d v="2023-01-12T00:00:00"/>
    <x v="0"/>
    <n v="39"/>
    <s v="month"/>
    <n v="3"/>
    <x v="4"/>
    <s v="No"/>
    <n v="0"/>
    <n v="0"/>
    <n v="3"/>
  </r>
  <r>
    <n v="138520918"/>
    <d v="2023-01-09T00:00:00"/>
    <d v="2023-01-09T00:00:00"/>
    <x v="0"/>
    <n v="39"/>
    <s v="month"/>
    <n v="0"/>
    <x v="4"/>
    <s v="Yes"/>
    <n v="1"/>
    <n v="0"/>
    <n v="0"/>
  </r>
  <r>
    <n v="162946328"/>
    <d v="2023-01-09T00:00:00"/>
    <d v="2023-05-08T00:00:00"/>
    <x v="0"/>
    <n v="39"/>
    <s v="month"/>
    <n v="119"/>
    <x v="4"/>
    <s v="No"/>
    <n v="0"/>
    <n v="1"/>
    <n v="119"/>
  </r>
  <r>
    <n v="182929556"/>
    <d v="2023-01-09T00:00:00"/>
    <d v="2023-04-10T00:00:00"/>
    <x v="0"/>
    <n v="39"/>
    <s v="month"/>
    <n v="91"/>
    <x v="4"/>
    <s v="No"/>
    <n v="0"/>
    <n v="1"/>
    <n v="91"/>
  </r>
  <r>
    <n v="153704184"/>
    <d v="2023-01-09T00:00:00"/>
    <d v="2023-04-08T00:00:00"/>
    <x v="0"/>
    <n v="39"/>
    <s v="month"/>
    <n v="89"/>
    <x v="4"/>
    <s v="No"/>
    <n v="0"/>
    <n v="1"/>
    <n v="89"/>
  </r>
  <r>
    <n v="136326172"/>
    <d v="2023-01-09T00:00:00"/>
    <d v="2023-03-08T00:00:00"/>
    <x v="0"/>
    <n v="39"/>
    <s v="month"/>
    <n v="58"/>
    <x v="4"/>
    <s v="No"/>
    <n v="0"/>
    <n v="1"/>
    <n v="58"/>
  </r>
  <r>
    <n v="182505210"/>
    <d v="2023-01-09T00:00:00"/>
    <d v="2023-02-08T00:00:00"/>
    <x v="0"/>
    <n v="39"/>
    <s v="month"/>
    <n v="30"/>
    <x v="4"/>
    <s v="No"/>
    <n v="0"/>
    <n v="0"/>
    <n v="30"/>
  </r>
  <r>
    <n v="184370857"/>
    <d v="2023-01-10T00:00:00"/>
    <m/>
    <x v="0"/>
    <n v="39"/>
    <s v="month"/>
    <s v=""/>
    <x v="5"/>
    <s v="No"/>
    <n v="0"/>
    <n v="0"/>
    <s v=""/>
  </r>
  <r>
    <n v="184310344"/>
    <d v="2023-01-10T00:00:00"/>
    <d v="2023-04-11T00:00:00"/>
    <x v="0"/>
    <n v="39"/>
    <s v="month"/>
    <n v="91"/>
    <x v="5"/>
    <s v="No"/>
    <n v="0"/>
    <n v="1"/>
    <n v="91"/>
  </r>
  <r>
    <n v="183346055"/>
    <d v="2023-01-10T00:00:00"/>
    <d v="2023-03-17T00:00:00"/>
    <x v="0"/>
    <n v="39"/>
    <s v="month"/>
    <n v="66"/>
    <x v="5"/>
    <s v="No"/>
    <n v="0"/>
    <n v="1"/>
    <n v="66"/>
  </r>
  <r>
    <n v="178952278"/>
    <d v="2023-01-10T00:00:00"/>
    <d v="2023-03-11T00:00:00"/>
    <x v="0"/>
    <n v="39"/>
    <s v="month"/>
    <n v="60"/>
    <x v="5"/>
    <s v="No"/>
    <n v="0"/>
    <n v="1"/>
    <n v="60"/>
  </r>
  <r>
    <n v="184345202"/>
    <d v="2023-01-10T00:00:00"/>
    <d v="2023-02-23T00:00:00"/>
    <x v="0"/>
    <n v="39"/>
    <s v="month"/>
    <n v="44"/>
    <x v="5"/>
    <s v="No"/>
    <n v="0"/>
    <n v="1"/>
    <n v="44"/>
  </r>
  <r>
    <n v="182837162"/>
    <d v="2023-01-10T00:00:00"/>
    <d v="2023-02-05T00:00:00"/>
    <x v="0"/>
    <n v="39"/>
    <s v="month"/>
    <n v="26"/>
    <x v="5"/>
    <s v="No"/>
    <n v="0"/>
    <n v="0"/>
    <n v="26"/>
  </r>
  <r>
    <n v="182927038"/>
    <d v="2023-01-10T00:00:00"/>
    <d v="2023-02-18T00:00:00"/>
    <x v="0"/>
    <n v="39"/>
    <s v="month"/>
    <n v="39"/>
    <x v="5"/>
    <s v="No"/>
    <n v="0"/>
    <n v="1"/>
    <n v="39"/>
  </r>
  <r>
    <n v="181739784"/>
    <d v="2023-01-10T00:00:00"/>
    <d v="2023-02-08T00:00:00"/>
    <x v="0"/>
    <n v="39"/>
    <s v="month"/>
    <n v="29"/>
    <x v="5"/>
    <s v="No"/>
    <n v="0"/>
    <n v="0"/>
    <n v="29"/>
  </r>
  <r>
    <n v="178605410"/>
    <d v="2023-01-10T00:00:00"/>
    <d v="2023-02-17T00:00:00"/>
    <x v="0"/>
    <n v="39"/>
    <s v="month"/>
    <n v="38"/>
    <x v="5"/>
    <s v="No"/>
    <n v="0"/>
    <n v="1"/>
    <n v="38"/>
  </r>
  <r>
    <n v="184334484"/>
    <d v="2023-01-11T00:00:00"/>
    <m/>
    <x v="0"/>
    <n v="39"/>
    <s v="month"/>
    <s v=""/>
    <x v="6"/>
    <s v="No"/>
    <n v="0"/>
    <n v="0"/>
    <s v=""/>
  </r>
  <r>
    <n v="181576265"/>
    <d v="2023-01-11T00:00:00"/>
    <m/>
    <x v="0"/>
    <n v="39"/>
    <s v="month"/>
    <s v=""/>
    <x v="6"/>
    <s v="No"/>
    <n v="0"/>
    <n v="0"/>
    <s v=""/>
  </r>
  <r>
    <n v="183645116"/>
    <d v="2023-01-11T00:00:00"/>
    <m/>
    <x v="0"/>
    <n v="39"/>
    <s v="month"/>
    <s v=""/>
    <x v="6"/>
    <s v="No"/>
    <n v="0"/>
    <n v="0"/>
    <s v=""/>
  </r>
  <r>
    <n v="184812094"/>
    <d v="2023-01-11T00:00:00"/>
    <d v="2023-04-07T00:00:00"/>
    <x v="0"/>
    <n v="39"/>
    <s v="month"/>
    <n v="86"/>
    <x v="6"/>
    <s v="No"/>
    <n v="0"/>
    <n v="1"/>
    <n v="86"/>
  </r>
  <r>
    <n v="152089648"/>
    <d v="2023-01-11T00:00:00"/>
    <d v="2023-03-18T00:00:00"/>
    <x v="0"/>
    <n v="39"/>
    <s v="month"/>
    <n v="66"/>
    <x v="6"/>
    <s v="No"/>
    <n v="0"/>
    <n v="1"/>
    <n v="66"/>
  </r>
  <r>
    <n v="148710968"/>
    <d v="2023-01-11T00:00:00"/>
    <d v="2023-02-07T00:00:00"/>
    <x v="0"/>
    <n v="39"/>
    <s v="month"/>
    <n v="27"/>
    <x v="6"/>
    <s v="No"/>
    <n v="0"/>
    <n v="0"/>
    <n v="27"/>
  </r>
  <r>
    <n v="183197132"/>
    <d v="2023-01-12T00:00:00"/>
    <m/>
    <x v="0"/>
    <n v="39"/>
    <s v="month"/>
    <s v=""/>
    <x v="0"/>
    <s v="No"/>
    <n v="0"/>
    <n v="0"/>
    <s v=""/>
  </r>
  <r>
    <n v="156239744"/>
    <d v="2023-01-12T00:00:00"/>
    <m/>
    <x v="0"/>
    <n v="39"/>
    <s v="month"/>
    <s v=""/>
    <x v="0"/>
    <s v="No"/>
    <n v="0"/>
    <n v="0"/>
    <s v=""/>
  </r>
  <r>
    <n v="184481262"/>
    <d v="2023-01-12T00:00:00"/>
    <m/>
    <x v="0"/>
    <n v="39"/>
    <s v="month"/>
    <s v=""/>
    <x v="0"/>
    <s v="No"/>
    <n v="0"/>
    <n v="0"/>
    <s v=""/>
  </r>
  <r>
    <n v="153186137"/>
    <d v="2023-01-12T00:00:00"/>
    <d v="2023-01-13T00:00:00"/>
    <x v="0"/>
    <n v="39"/>
    <s v="month"/>
    <n v="1"/>
    <x v="0"/>
    <s v="No"/>
    <n v="1"/>
    <n v="0"/>
    <n v="1"/>
  </r>
  <r>
    <n v="185374268"/>
    <d v="2023-01-12T00:00:00"/>
    <d v="2023-01-13T00:00:00"/>
    <x v="1"/>
    <n v="39"/>
    <s v="month"/>
    <n v="1"/>
    <x v="0"/>
    <s v="No"/>
    <n v="1"/>
    <n v="0"/>
    <n v="1"/>
  </r>
  <r>
    <n v="185367349"/>
    <d v="2023-01-12T00:00:00"/>
    <d v="2023-01-13T00:00:00"/>
    <x v="1"/>
    <n v="39"/>
    <s v="month"/>
    <n v="1"/>
    <x v="0"/>
    <s v="No"/>
    <n v="1"/>
    <n v="0"/>
    <n v="1"/>
  </r>
  <r>
    <n v="150793080"/>
    <d v="2023-01-12T00:00:00"/>
    <d v="2023-03-01T00:00:00"/>
    <x v="0"/>
    <n v="39"/>
    <s v="month"/>
    <n v="48"/>
    <x v="0"/>
    <s v="No"/>
    <n v="0"/>
    <n v="1"/>
    <n v="48"/>
  </r>
  <r>
    <n v="183406772"/>
    <d v="2023-01-12T00:00:00"/>
    <d v="2023-03-05T00:00:00"/>
    <x v="0"/>
    <n v="39"/>
    <s v="month"/>
    <n v="52"/>
    <x v="0"/>
    <s v="No"/>
    <n v="0"/>
    <n v="1"/>
    <n v="52"/>
  </r>
  <r>
    <n v="175760281"/>
    <d v="2023-01-12T00:00:00"/>
    <d v="2023-02-12T00:00:00"/>
    <x v="0"/>
    <n v="39"/>
    <s v="month"/>
    <n v="31"/>
    <x v="0"/>
    <s v="No"/>
    <n v="0"/>
    <n v="1"/>
    <n v="31"/>
  </r>
  <r>
    <n v="162095012"/>
    <d v="2023-01-12T00:00:00"/>
    <d v="2023-01-25T00:00:00"/>
    <x v="0"/>
    <n v="39"/>
    <s v="month"/>
    <n v="13"/>
    <x v="0"/>
    <s v="No"/>
    <n v="0"/>
    <n v="0"/>
    <n v="13"/>
  </r>
  <r>
    <n v="179356036"/>
    <d v="2023-01-12T00:00:00"/>
    <d v="2023-01-12T00:00:00"/>
    <x v="0"/>
    <n v="39"/>
    <s v="month"/>
    <n v="0"/>
    <x v="0"/>
    <s v="Yes"/>
    <n v="1"/>
    <n v="0"/>
    <n v="0"/>
  </r>
  <r>
    <n v="184567432"/>
    <d v="2023-01-12T00:00:00"/>
    <d v="2023-01-23T00:00:00"/>
    <x v="0"/>
    <n v="39"/>
    <s v="month"/>
    <n v="11"/>
    <x v="0"/>
    <s v="No"/>
    <n v="0"/>
    <n v="0"/>
    <n v="11"/>
  </r>
  <r>
    <n v="185503171"/>
    <d v="2023-01-12T00:00:00"/>
    <d v="2023-07-05T00:00:00"/>
    <x v="0"/>
    <n v="39"/>
    <s v="month"/>
    <n v="174"/>
    <x v="0"/>
    <s v="No"/>
    <n v="0"/>
    <n v="1"/>
    <n v="174"/>
  </r>
  <r>
    <n v="171922477"/>
    <d v="2023-01-12T00:00:00"/>
    <d v="2023-06-28T00:00:00"/>
    <x v="0"/>
    <n v="39"/>
    <s v="month"/>
    <n v="167"/>
    <x v="0"/>
    <s v="No"/>
    <n v="0"/>
    <n v="1"/>
    <n v="167"/>
  </r>
  <r>
    <n v="144830936"/>
    <d v="2023-01-12T00:00:00"/>
    <d v="2023-07-27T00:00:00"/>
    <x v="0"/>
    <n v="39"/>
    <s v="month"/>
    <n v="196"/>
    <x v="0"/>
    <s v="No"/>
    <n v="0"/>
    <n v="1"/>
    <n v="196"/>
  </r>
  <r>
    <n v="157474087"/>
    <d v="2023-01-13T00:00:00"/>
    <m/>
    <x v="0"/>
    <n v="39"/>
    <s v="month"/>
    <s v=""/>
    <x v="1"/>
    <s v="No"/>
    <n v="0"/>
    <n v="0"/>
    <s v=""/>
  </r>
  <r>
    <n v="182350116"/>
    <d v="2023-01-13T00:00:00"/>
    <m/>
    <x v="0"/>
    <n v="39"/>
    <s v="month"/>
    <s v=""/>
    <x v="1"/>
    <s v="No"/>
    <n v="0"/>
    <n v="0"/>
    <s v=""/>
  </r>
  <r>
    <n v="132867770"/>
    <d v="2023-01-13T00:00:00"/>
    <d v="2023-01-14T00:00:00"/>
    <x v="0"/>
    <n v="39"/>
    <s v="month"/>
    <n v="1"/>
    <x v="1"/>
    <s v="No"/>
    <n v="1"/>
    <n v="0"/>
    <n v="1"/>
  </r>
  <r>
    <n v="185561880"/>
    <d v="2023-01-13T00:00:00"/>
    <d v="2023-01-14T00:00:00"/>
    <x v="1"/>
    <n v="39"/>
    <s v="month"/>
    <n v="1"/>
    <x v="1"/>
    <s v="No"/>
    <n v="1"/>
    <n v="0"/>
    <n v="1"/>
  </r>
  <r>
    <n v="168884196"/>
    <d v="2023-01-13T00:00:00"/>
    <d v="2023-04-06T00:00:00"/>
    <x v="0"/>
    <n v="39"/>
    <s v="month"/>
    <n v="83"/>
    <x v="1"/>
    <s v="No"/>
    <n v="0"/>
    <n v="1"/>
    <n v="83"/>
  </r>
  <r>
    <n v="161269602"/>
    <d v="2023-01-13T00:00:00"/>
    <d v="2023-02-20T00:00:00"/>
    <x v="0"/>
    <n v="39"/>
    <s v="month"/>
    <n v="38"/>
    <x v="1"/>
    <s v="No"/>
    <n v="0"/>
    <n v="1"/>
    <n v="38"/>
  </r>
  <r>
    <n v="185729058"/>
    <d v="2023-01-14T00:00:00"/>
    <d v="2023-05-06T00:00:00"/>
    <x v="0"/>
    <n v="39"/>
    <s v="month"/>
    <n v="112"/>
    <x v="2"/>
    <s v="No"/>
    <n v="0"/>
    <n v="1"/>
    <n v="112"/>
  </r>
  <r>
    <n v="182527446"/>
    <d v="2023-01-14T00:00:00"/>
    <d v="2023-05-04T00:00:00"/>
    <x v="0"/>
    <n v="39"/>
    <s v="month"/>
    <n v="110"/>
    <x v="2"/>
    <s v="No"/>
    <n v="0"/>
    <n v="1"/>
    <n v="110"/>
  </r>
  <r>
    <n v="151217806"/>
    <d v="2023-01-14T00:00:00"/>
    <d v="2023-03-05T00:00:00"/>
    <x v="0"/>
    <n v="39"/>
    <s v="month"/>
    <n v="50"/>
    <x v="2"/>
    <s v="No"/>
    <n v="0"/>
    <n v="1"/>
    <n v="50"/>
  </r>
  <r>
    <n v="181789030"/>
    <d v="2023-01-14T00:00:00"/>
    <d v="2023-02-05T00:00:00"/>
    <x v="0"/>
    <n v="39"/>
    <s v="month"/>
    <n v="22"/>
    <x v="2"/>
    <s v="No"/>
    <n v="0"/>
    <n v="0"/>
    <n v="22"/>
  </r>
  <r>
    <n v="167939138"/>
    <d v="2023-01-14T00:00:00"/>
    <d v="2023-07-11T00:00:00"/>
    <x v="0"/>
    <n v="39"/>
    <s v="month"/>
    <n v="178"/>
    <x v="2"/>
    <s v="No"/>
    <n v="0"/>
    <n v="1"/>
    <n v="178"/>
  </r>
  <r>
    <n v="168531226"/>
    <d v="2023-01-14T00:00:00"/>
    <d v="2023-08-13T00:00:00"/>
    <x v="0"/>
    <n v="39"/>
    <s v="month"/>
    <n v="211"/>
    <x v="2"/>
    <s v="No"/>
    <n v="0"/>
    <n v="1"/>
    <n v="211"/>
  </r>
  <r>
    <n v="183965840"/>
    <d v="2023-01-15T00:00:00"/>
    <m/>
    <x v="0"/>
    <n v="39"/>
    <s v="month"/>
    <s v=""/>
    <x v="3"/>
    <s v="No"/>
    <n v="0"/>
    <n v="0"/>
    <s v=""/>
  </r>
  <r>
    <n v="185522938"/>
    <d v="2023-01-15T00:00:00"/>
    <d v="2023-05-03T00:00:00"/>
    <x v="0"/>
    <n v="39"/>
    <s v="month"/>
    <n v="108"/>
    <x v="3"/>
    <s v="No"/>
    <n v="0"/>
    <n v="1"/>
    <n v="108"/>
  </r>
  <r>
    <n v="186413122"/>
    <d v="2023-01-15T00:00:00"/>
    <d v="2023-05-02T00:00:00"/>
    <x v="0"/>
    <n v="39"/>
    <s v="month"/>
    <n v="107"/>
    <x v="3"/>
    <s v="No"/>
    <n v="0"/>
    <n v="1"/>
    <n v="107"/>
  </r>
  <r>
    <n v="186481916"/>
    <d v="2023-01-15T00:00:00"/>
    <d v="2023-04-16T00:00:00"/>
    <x v="0"/>
    <n v="39"/>
    <s v="month"/>
    <n v="91"/>
    <x v="3"/>
    <s v="No"/>
    <n v="0"/>
    <n v="1"/>
    <n v="91"/>
  </r>
  <r>
    <n v="186177212"/>
    <d v="2023-01-15T00:00:00"/>
    <d v="2023-03-07T00:00:00"/>
    <x v="0"/>
    <n v="39"/>
    <s v="month"/>
    <n v="51"/>
    <x v="3"/>
    <s v="No"/>
    <n v="0"/>
    <n v="1"/>
    <n v="51"/>
  </r>
  <r>
    <n v="184809175"/>
    <d v="2023-01-15T00:00:00"/>
    <d v="2023-03-07T00:00:00"/>
    <x v="0"/>
    <n v="39"/>
    <s v="month"/>
    <n v="51"/>
    <x v="3"/>
    <s v="No"/>
    <n v="0"/>
    <n v="1"/>
    <n v="51"/>
  </r>
  <r>
    <n v="186690790"/>
    <d v="2023-01-15T00:00:00"/>
    <d v="2023-03-12T00:00:00"/>
    <x v="0"/>
    <n v="39"/>
    <s v="month"/>
    <n v="56"/>
    <x v="3"/>
    <s v="No"/>
    <n v="0"/>
    <n v="1"/>
    <n v="56"/>
  </r>
  <r>
    <n v="185711685"/>
    <d v="2023-01-15T00:00:00"/>
    <d v="2023-02-06T00:00:00"/>
    <x v="0"/>
    <n v="39"/>
    <s v="month"/>
    <n v="22"/>
    <x v="3"/>
    <s v="No"/>
    <n v="0"/>
    <n v="0"/>
    <n v="22"/>
  </r>
  <r>
    <n v="179509273"/>
    <d v="2023-01-15T00:00:00"/>
    <d v="2023-06-30T00:00:00"/>
    <x v="0"/>
    <n v="39"/>
    <s v="month"/>
    <n v="166"/>
    <x v="3"/>
    <s v="No"/>
    <n v="0"/>
    <n v="1"/>
    <n v="166"/>
  </r>
  <r>
    <n v="186770408"/>
    <d v="2023-01-16T00:00:00"/>
    <m/>
    <x v="0"/>
    <n v="39"/>
    <s v="month"/>
    <s v=""/>
    <x v="4"/>
    <s v="No"/>
    <n v="0"/>
    <n v="0"/>
    <s v=""/>
  </r>
  <r>
    <n v="181025165"/>
    <d v="2023-01-16T00:00:00"/>
    <m/>
    <x v="0"/>
    <n v="39"/>
    <s v="month"/>
    <s v=""/>
    <x v="4"/>
    <s v="No"/>
    <n v="0"/>
    <n v="0"/>
    <s v=""/>
  </r>
  <r>
    <n v="157919304"/>
    <d v="2023-01-16T00:00:00"/>
    <d v="2023-05-16T00:00:00"/>
    <x v="0"/>
    <n v="39"/>
    <s v="month"/>
    <n v="120"/>
    <x v="4"/>
    <s v="No"/>
    <n v="0"/>
    <n v="1"/>
    <n v="120"/>
  </r>
  <r>
    <n v="187051266"/>
    <d v="2023-01-16T00:00:00"/>
    <d v="2023-05-31T00:00:00"/>
    <x v="0"/>
    <n v="39"/>
    <s v="month"/>
    <n v="135"/>
    <x v="4"/>
    <s v="No"/>
    <n v="0"/>
    <n v="1"/>
    <n v="135"/>
  </r>
  <r>
    <n v="179713052"/>
    <d v="2023-01-16T00:00:00"/>
    <d v="2023-04-15T00:00:00"/>
    <x v="0"/>
    <n v="39"/>
    <s v="month"/>
    <n v="89"/>
    <x v="4"/>
    <s v="No"/>
    <n v="0"/>
    <n v="1"/>
    <n v="89"/>
  </r>
  <r>
    <n v="185431487"/>
    <d v="2023-01-16T00:00:00"/>
    <d v="2023-04-26T00:00:00"/>
    <x v="0"/>
    <n v="39"/>
    <s v="month"/>
    <n v="100"/>
    <x v="4"/>
    <s v="No"/>
    <n v="0"/>
    <n v="1"/>
    <n v="100"/>
  </r>
  <r>
    <n v="157929345"/>
    <d v="2023-01-16T00:00:00"/>
    <d v="2023-04-07T00:00:00"/>
    <x v="0"/>
    <n v="39"/>
    <s v="month"/>
    <n v="81"/>
    <x v="4"/>
    <s v="No"/>
    <n v="0"/>
    <n v="1"/>
    <n v="81"/>
  </r>
  <r>
    <n v="154087095"/>
    <d v="2023-01-16T00:00:00"/>
    <d v="2023-03-13T00:00:00"/>
    <x v="0"/>
    <n v="39"/>
    <s v="month"/>
    <n v="56"/>
    <x v="4"/>
    <s v="No"/>
    <n v="0"/>
    <n v="1"/>
    <n v="56"/>
  </r>
  <r>
    <n v="186674235"/>
    <d v="2023-01-16T00:00:00"/>
    <d v="2023-03-14T00:00:00"/>
    <x v="0"/>
    <n v="39"/>
    <s v="month"/>
    <n v="57"/>
    <x v="4"/>
    <s v="No"/>
    <n v="0"/>
    <n v="1"/>
    <n v="57"/>
  </r>
  <r>
    <n v="182656156"/>
    <d v="2023-01-16T00:00:00"/>
    <d v="2023-02-15T00:00:00"/>
    <x v="0"/>
    <n v="39"/>
    <s v="month"/>
    <n v="30"/>
    <x v="4"/>
    <s v="No"/>
    <n v="0"/>
    <n v="0"/>
    <n v="30"/>
  </r>
  <r>
    <n v="170319875"/>
    <d v="2023-01-16T00:00:00"/>
    <d v="2023-01-16T00:00:00"/>
    <x v="0"/>
    <n v="39"/>
    <s v="month"/>
    <n v="0"/>
    <x v="4"/>
    <s v="Yes"/>
    <n v="1"/>
    <n v="0"/>
    <n v="0"/>
  </r>
  <r>
    <n v="188226033"/>
    <d v="2023-01-17T00:00:00"/>
    <m/>
    <x v="1"/>
    <n v="39"/>
    <s v="month"/>
    <s v=""/>
    <x v="5"/>
    <s v="No"/>
    <n v="0"/>
    <n v="0"/>
    <s v=""/>
  </r>
  <r>
    <n v="188137320"/>
    <d v="2023-01-17T00:00:00"/>
    <m/>
    <x v="1"/>
    <n v="39"/>
    <s v="month"/>
    <s v=""/>
    <x v="5"/>
    <s v="No"/>
    <n v="0"/>
    <n v="0"/>
    <s v=""/>
  </r>
  <r>
    <n v="163220556"/>
    <d v="2023-01-17T00:00:00"/>
    <d v="2023-01-18T00:00:00"/>
    <x v="0"/>
    <n v="39"/>
    <s v="month"/>
    <n v="1"/>
    <x v="5"/>
    <s v="No"/>
    <n v="1"/>
    <n v="0"/>
    <n v="1"/>
  </r>
  <r>
    <n v="182960960"/>
    <d v="2023-01-17T00:00:00"/>
    <d v="2023-03-24T00:00:00"/>
    <x v="0"/>
    <n v="39"/>
    <s v="month"/>
    <n v="66"/>
    <x v="5"/>
    <s v="No"/>
    <n v="0"/>
    <n v="1"/>
    <n v="66"/>
  </r>
  <r>
    <n v="188175982"/>
    <d v="2023-01-17T00:00:00"/>
    <d v="2023-02-17T00:00:00"/>
    <x v="0"/>
    <n v="39"/>
    <s v="month"/>
    <n v="31"/>
    <x v="5"/>
    <s v="No"/>
    <n v="0"/>
    <n v="1"/>
    <n v="31"/>
  </r>
  <r>
    <n v="169729060"/>
    <d v="2023-01-17T00:00:00"/>
    <d v="2023-02-19T00:00:00"/>
    <x v="0"/>
    <n v="39"/>
    <s v="month"/>
    <n v="33"/>
    <x v="5"/>
    <s v="No"/>
    <n v="0"/>
    <n v="1"/>
    <n v="33"/>
  </r>
  <r>
    <n v="186841270"/>
    <d v="2023-01-17T00:00:00"/>
    <d v="2023-02-24T00:00:00"/>
    <x v="0"/>
    <n v="39"/>
    <s v="month"/>
    <n v="38"/>
    <x v="5"/>
    <s v="No"/>
    <n v="0"/>
    <n v="1"/>
    <n v="38"/>
  </r>
  <r>
    <n v="154563993"/>
    <d v="2023-01-17T00:00:00"/>
    <d v="2023-02-25T00:00:00"/>
    <x v="0"/>
    <n v="39"/>
    <s v="month"/>
    <n v="39"/>
    <x v="5"/>
    <s v="No"/>
    <n v="0"/>
    <n v="1"/>
    <n v="39"/>
  </r>
  <r>
    <n v="159767828"/>
    <d v="2023-01-17T00:00:00"/>
    <d v="2023-02-24T00:00:00"/>
    <x v="0"/>
    <n v="39"/>
    <s v="month"/>
    <n v="38"/>
    <x v="5"/>
    <s v="No"/>
    <n v="0"/>
    <n v="1"/>
    <n v="38"/>
  </r>
  <r>
    <n v="183186612"/>
    <d v="2023-01-17T00:00:00"/>
    <d v="2023-07-28T00:00:00"/>
    <x v="0"/>
    <n v="39"/>
    <s v="month"/>
    <n v="192"/>
    <x v="5"/>
    <s v="No"/>
    <n v="0"/>
    <n v="1"/>
    <n v="192"/>
  </r>
  <r>
    <n v="128603349"/>
    <d v="2023-01-18T00:00:00"/>
    <m/>
    <x v="0"/>
    <n v="39"/>
    <s v="month"/>
    <s v=""/>
    <x v="6"/>
    <s v="No"/>
    <n v="0"/>
    <n v="0"/>
    <s v=""/>
  </r>
  <r>
    <n v="183736457"/>
    <d v="2023-01-18T00:00:00"/>
    <d v="2023-01-19T00:00:00"/>
    <x v="1"/>
    <n v="39"/>
    <s v="month"/>
    <n v="1"/>
    <x v="6"/>
    <s v="No"/>
    <n v="1"/>
    <n v="0"/>
    <n v="1"/>
  </r>
  <r>
    <n v="188115641"/>
    <d v="2023-01-18T00:00:00"/>
    <d v="2023-01-18T00:00:00"/>
    <x v="1"/>
    <n v="39"/>
    <s v="month"/>
    <n v="0"/>
    <x v="6"/>
    <s v="Yes"/>
    <n v="1"/>
    <n v="0"/>
    <n v="0"/>
  </r>
  <r>
    <n v="188460699"/>
    <d v="2023-01-18T00:00:00"/>
    <d v="2023-01-18T00:00:00"/>
    <x v="1"/>
    <n v="39"/>
    <s v="month"/>
    <n v="0"/>
    <x v="6"/>
    <s v="Yes"/>
    <n v="1"/>
    <n v="0"/>
    <n v="0"/>
  </r>
  <r>
    <n v="138228332"/>
    <d v="2023-01-18T00:00:00"/>
    <d v="2023-02-25T00:00:00"/>
    <x v="0"/>
    <n v="39"/>
    <s v="month"/>
    <n v="38"/>
    <x v="6"/>
    <s v="No"/>
    <n v="0"/>
    <n v="1"/>
    <n v="38"/>
  </r>
  <r>
    <n v="184143564"/>
    <d v="2023-01-18T00:00:00"/>
    <d v="2023-05-22T00:00:00"/>
    <x v="0"/>
    <n v="39"/>
    <s v="month"/>
    <n v="124"/>
    <x v="6"/>
    <s v="No"/>
    <n v="0"/>
    <n v="1"/>
    <n v="124"/>
  </r>
  <r>
    <n v="179508142"/>
    <d v="2023-01-18T00:00:00"/>
    <d v="2023-06-13T00:00:00"/>
    <x v="0"/>
    <n v="39"/>
    <s v="month"/>
    <n v="146"/>
    <x v="6"/>
    <s v="No"/>
    <n v="0"/>
    <n v="1"/>
    <n v="146"/>
  </r>
  <r>
    <n v="188269607"/>
    <d v="2023-01-18T00:00:00"/>
    <d v="2023-04-16T00:00:00"/>
    <x v="0"/>
    <n v="39"/>
    <s v="month"/>
    <n v="88"/>
    <x v="6"/>
    <s v="No"/>
    <n v="0"/>
    <n v="1"/>
    <n v="88"/>
  </r>
  <r>
    <n v="181890100"/>
    <d v="2023-01-18T00:00:00"/>
    <d v="2023-03-26T00:00:00"/>
    <x v="0"/>
    <n v="39"/>
    <s v="month"/>
    <n v="67"/>
    <x v="6"/>
    <s v="No"/>
    <n v="0"/>
    <n v="1"/>
    <n v="67"/>
  </r>
  <r>
    <n v="185642830"/>
    <d v="2023-01-18T00:00:00"/>
    <d v="2023-03-14T00:00:00"/>
    <x v="0"/>
    <n v="39"/>
    <s v="month"/>
    <n v="55"/>
    <x v="6"/>
    <s v="No"/>
    <n v="0"/>
    <n v="1"/>
    <n v="55"/>
  </r>
  <r>
    <n v="152223051"/>
    <d v="2023-01-18T00:00:00"/>
    <d v="2023-02-25T00:00:00"/>
    <x v="0"/>
    <n v="39"/>
    <s v="month"/>
    <n v="38"/>
    <x v="6"/>
    <s v="No"/>
    <n v="0"/>
    <n v="1"/>
    <n v="38"/>
  </r>
  <r>
    <n v="156067850"/>
    <d v="2023-01-18T00:00:00"/>
    <d v="2023-02-18T00:00:00"/>
    <x v="0"/>
    <n v="39"/>
    <s v="month"/>
    <n v="31"/>
    <x v="6"/>
    <s v="No"/>
    <n v="0"/>
    <n v="1"/>
    <n v="31"/>
  </r>
  <r>
    <n v="188701816"/>
    <d v="2023-01-18T00:00:00"/>
    <d v="2023-02-17T00:00:00"/>
    <x v="0"/>
    <n v="39"/>
    <s v="month"/>
    <n v="30"/>
    <x v="6"/>
    <s v="No"/>
    <n v="0"/>
    <n v="0"/>
    <n v="30"/>
  </r>
  <r>
    <n v="188133192"/>
    <d v="2023-01-18T00:00:00"/>
    <d v="2023-02-19T00:00:00"/>
    <x v="0"/>
    <n v="39"/>
    <s v="month"/>
    <n v="32"/>
    <x v="6"/>
    <s v="No"/>
    <n v="0"/>
    <n v="1"/>
    <n v="32"/>
  </r>
  <r>
    <n v="183936068"/>
    <d v="2023-01-18T00:00:00"/>
    <d v="2023-07-03T00:00:00"/>
    <x v="0"/>
    <n v="39"/>
    <s v="month"/>
    <n v="166"/>
    <x v="6"/>
    <s v="No"/>
    <n v="0"/>
    <n v="1"/>
    <n v="166"/>
  </r>
  <r>
    <n v="188119778"/>
    <d v="2023-01-18T00:00:00"/>
    <d v="2023-06-18T00:00:00"/>
    <x v="0"/>
    <n v="39"/>
    <s v="month"/>
    <n v="151"/>
    <x v="6"/>
    <s v="No"/>
    <n v="0"/>
    <n v="1"/>
    <n v="151"/>
  </r>
  <r>
    <n v="189410056"/>
    <d v="2023-01-19T00:00:00"/>
    <m/>
    <x v="0"/>
    <n v="39"/>
    <s v="month"/>
    <s v=""/>
    <x v="0"/>
    <s v="No"/>
    <n v="0"/>
    <n v="0"/>
    <s v=""/>
  </r>
  <r>
    <n v="184970659"/>
    <d v="2023-01-19T00:00:00"/>
    <m/>
    <x v="0"/>
    <n v="39"/>
    <s v="month"/>
    <s v=""/>
    <x v="0"/>
    <s v="No"/>
    <n v="0"/>
    <n v="0"/>
    <s v=""/>
  </r>
  <r>
    <n v="148476648"/>
    <d v="2023-01-19T00:00:00"/>
    <d v="2023-05-12T00:00:00"/>
    <x v="0"/>
    <n v="39"/>
    <s v="month"/>
    <n v="113"/>
    <x v="0"/>
    <s v="No"/>
    <n v="0"/>
    <n v="1"/>
    <n v="113"/>
  </r>
  <r>
    <n v="189289885"/>
    <d v="2023-01-19T00:00:00"/>
    <d v="2023-04-20T00:00:00"/>
    <x v="0"/>
    <n v="39"/>
    <s v="month"/>
    <n v="91"/>
    <x v="0"/>
    <s v="No"/>
    <n v="0"/>
    <n v="1"/>
    <n v="91"/>
  </r>
  <r>
    <n v="150442182"/>
    <d v="2023-01-19T00:00:00"/>
    <d v="2023-03-19T00:00:00"/>
    <x v="0"/>
    <n v="39"/>
    <s v="month"/>
    <n v="59"/>
    <x v="0"/>
    <s v="No"/>
    <n v="0"/>
    <n v="1"/>
    <n v="59"/>
  </r>
  <r>
    <n v="184826230"/>
    <d v="2023-01-19T00:00:00"/>
    <d v="2023-02-15T00:00:00"/>
    <x v="0"/>
    <n v="39"/>
    <s v="month"/>
    <n v="27"/>
    <x v="0"/>
    <s v="No"/>
    <n v="0"/>
    <n v="0"/>
    <n v="27"/>
  </r>
  <r>
    <n v="184786342"/>
    <d v="2023-01-19T00:00:00"/>
    <d v="2023-01-19T00:00:00"/>
    <x v="0"/>
    <n v="39"/>
    <s v="month"/>
    <n v="0"/>
    <x v="0"/>
    <s v="Yes"/>
    <n v="1"/>
    <n v="0"/>
    <n v="0"/>
  </r>
  <r>
    <n v="181565760"/>
    <d v="2023-01-19T00:00:00"/>
    <d v="2023-01-26T00:00:00"/>
    <x v="0"/>
    <n v="39"/>
    <s v="month"/>
    <n v="7"/>
    <x v="0"/>
    <s v="No"/>
    <n v="0"/>
    <n v="0"/>
    <n v="7"/>
  </r>
  <r>
    <n v="189278478"/>
    <d v="2023-01-20T00:00:00"/>
    <m/>
    <x v="0"/>
    <n v="39"/>
    <s v="month"/>
    <s v=""/>
    <x v="1"/>
    <s v="No"/>
    <n v="0"/>
    <n v="0"/>
    <s v=""/>
  </r>
  <r>
    <n v="184066428"/>
    <d v="2023-01-20T00:00:00"/>
    <m/>
    <x v="0"/>
    <n v="39"/>
    <s v="month"/>
    <s v=""/>
    <x v="1"/>
    <s v="No"/>
    <n v="0"/>
    <n v="0"/>
    <s v=""/>
  </r>
  <r>
    <n v="135771077"/>
    <d v="2023-01-20T00:00:00"/>
    <m/>
    <x v="0"/>
    <n v="39"/>
    <s v="month"/>
    <s v=""/>
    <x v="1"/>
    <s v="No"/>
    <n v="0"/>
    <n v="0"/>
    <s v=""/>
  </r>
  <r>
    <n v="184831280"/>
    <d v="2023-01-20T00:00:00"/>
    <d v="2023-05-09T00:00:00"/>
    <x v="0"/>
    <n v="39"/>
    <s v="month"/>
    <n v="109"/>
    <x v="1"/>
    <s v="No"/>
    <n v="0"/>
    <n v="1"/>
    <n v="109"/>
  </r>
  <r>
    <n v="188828652"/>
    <d v="2023-01-20T00:00:00"/>
    <d v="2023-05-01T00:00:00"/>
    <x v="0"/>
    <n v="39"/>
    <s v="month"/>
    <n v="101"/>
    <x v="1"/>
    <s v="No"/>
    <n v="0"/>
    <n v="1"/>
    <n v="101"/>
  </r>
  <r>
    <n v="188666673"/>
    <d v="2023-01-20T00:00:00"/>
    <d v="2023-03-08T00:00:00"/>
    <x v="0"/>
    <n v="39"/>
    <s v="month"/>
    <n v="47"/>
    <x v="1"/>
    <s v="No"/>
    <n v="0"/>
    <n v="1"/>
    <n v="47"/>
  </r>
  <r>
    <n v="189880452"/>
    <d v="2023-01-20T00:00:00"/>
    <d v="2023-02-19T00:00:00"/>
    <x v="0"/>
    <n v="39"/>
    <s v="month"/>
    <n v="30"/>
    <x v="1"/>
    <s v="No"/>
    <n v="0"/>
    <n v="0"/>
    <n v="30"/>
  </r>
  <r>
    <n v="160986271"/>
    <d v="2023-01-20T00:00:00"/>
    <d v="2023-02-27T00:00:00"/>
    <x v="0"/>
    <n v="39"/>
    <s v="month"/>
    <n v="38"/>
    <x v="1"/>
    <s v="No"/>
    <n v="0"/>
    <n v="1"/>
    <n v="38"/>
  </r>
  <r>
    <n v="187895888"/>
    <d v="2023-01-20T00:00:00"/>
    <d v="2023-02-13T00:00:00"/>
    <x v="0"/>
    <n v="39"/>
    <s v="month"/>
    <n v="24"/>
    <x v="1"/>
    <s v="No"/>
    <n v="0"/>
    <n v="0"/>
    <n v="24"/>
  </r>
  <r>
    <n v="190871376"/>
    <d v="2023-01-21T00:00:00"/>
    <m/>
    <x v="0"/>
    <n v="39"/>
    <s v="month"/>
    <s v=""/>
    <x v="2"/>
    <s v="No"/>
    <n v="0"/>
    <n v="0"/>
    <s v=""/>
  </r>
  <r>
    <n v="166750222"/>
    <d v="2023-01-21T00:00:00"/>
    <d v="2023-05-02T00:00:00"/>
    <x v="0"/>
    <n v="39"/>
    <s v="month"/>
    <n v="101"/>
    <x v="2"/>
    <s v="No"/>
    <n v="0"/>
    <n v="1"/>
    <n v="101"/>
  </r>
  <r>
    <n v="189360536"/>
    <d v="2023-01-21T00:00:00"/>
    <d v="2023-04-25T00:00:00"/>
    <x v="0"/>
    <n v="39"/>
    <s v="month"/>
    <n v="94"/>
    <x v="2"/>
    <s v="No"/>
    <n v="0"/>
    <n v="1"/>
    <n v="94"/>
  </r>
  <r>
    <n v="188197564"/>
    <d v="2023-01-21T00:00:00"/>
    <d v="2023-04-20T00:00:00"/>
    <x v="0"/>
    <n v="39"/>
    <s v="month"/>
    <n v="89"/>
    <x v="2"/>
    <s v="No"/>
    <n v="0"/>
    <n v="1"/>
    <n v="89"/>
  </r>
  <r>
    <n v="191034251"/>
    <d v="2023-01-21T00:00:00"/>
    <d v="2023-02-15T00:00:00"/>
    <x v="0"/>
    <n v="39"/>
    <s v="month"/>
    <n v="25"/>
    <x v="2"/>
    <s v="No"/>
    <n v="0"/>
    <n v="0"/>
    <n v="25"/>
  </r>
  <r>
    <n v="182972593"/>
    <d v="2023-01-21T00:00:00"/>
    <d v="2023-02-03T00:00:00"/>
    <x v="0"/>
    <n v="39"/>
    <s v="month"/>
    <n v="13"/>
    <x v="2"/>
    <s v="No"/>
    <n v="0"/>
    <n v="0"/>
    <n v="13"/>
  </r>
  <r>
    <n v="182958960"/>
    <d v="2023-01-22T00:00:00"/>
    <d v="2023-01-23T00:00:00"/>
    <x v="0"/>
    <n v="39"/>
    <s v="month"/>
    <n v="1"/>
    <x v="3"/>
    <s v="No"/>
    <n v="1"/>
    <n v="0"/>
    <n v="1"/>
  </r>
  <r>
    <n v="163220556"/>
    <d v="2023-01-22T00:00:00"/>
    <d v="2023-03-09T00:00:00"/>
    <x v="0"/>
    <n v="39"/>
    <s v="month"/>
    <n v="46"/>
    <x v="3"/>
    <s v="No"/>
    <n v="0"/>
    <n v="1"/>
    <n v="46"/>
  </r>
  <r>
    <n v="191730833"/>
    <d v="2023-01-22T00:00:00"/>
    <d v="2023-03-21T00:00:00"/>
    <x v="0"/>
    <n v="39"/>
    <s v="month"/>
    <n v="58"/>
    <x v="3"/>
    <s v="No"/>
    <n v="0"/>
    <n v="1"/>
    <n v="58"/>
  </r>
  <r>
    <n v="189680563"/>
    <d v="2023-01-22T00:00:00"/>
    <d v="2023-03-21T00:00:00"/>
    <x v="0"/>
    <n v="39"/>
    <s v="month"/>
    <n v="58"/>
    <x v="3"/>
    <s v="No"/>
    <n v="0"/>
    <n v="1"/>
    <n v="58"/>
  </r>
  <r>
    <n v="190666110"/>
    <d v="2023-01-23T00:00:00"/>
    <m/>
    <x v="0"/>
    <n v="39"/>
    <s v="month"/>
    <s v=""/>
    <x v="4"/>
    <s v="No"/>
    <n v="0"/>
    <n v="0"/>
    <s v=""/>
  </r>
  <r>
    <n v="180622613"/>
    <d v="2023-01-23T00:00:00"/>
    <m/>
    <x v="0"/>
    <n v="39"/>
    <s v="month"/>
    <s v=""/>
    <x v="4"/>
    <s v="No"/>
    <n v="0"/>
    <n v="0"/>
    <s v=""/>
  </r>
  <r>
    <n v="188827172"/>
    <d v="2023-01-23T00:00:00"/>
    <m/>
    <x v="0"/>
    <n v="39"/>
    <s v="month"/>
    <s v=""/>
    <x v="4"/>
    <s v="No"/>
    <n v="0"/>
    <n v="0"/>
    <s v=""/>
  </r>
  <r>
    <n v="188068965"/>
    <d v="2023-01-23T00:00:00"/>
    <d v="2023-05-30T00:00:00"/>
    <x v="0"/>
    <n v="39"/>
    <s v="month"/>
    <n v="127"/>
    <x v="4"/>
    <s v="No"/>
    <n v="0"/>
    <n v="1"/>
    <n v="127"/>
  </r>
  <r>
    <n v="182958960"/>
    <d v="2023-01-23T00:00:00"/>
    <d v="2023-03-02T00:00:00"/>
    <x v="0"/>
    <n v="39"/>
    <s v="month"/>
    <n v="38"/>
    <x v="4"/>
    <s v="No"/>
    <n v="0"/>
    <n v="1"/>
    <n v="38"/>
  </r>
  <r>
    <n v="191999674"/>
    <d v="2023-01-23T00:00:00"/>
    <d v="2023-02-13T00:00:00"/>
    <x v="0"/>
    <n v="39"/>
    <s v="month"/>
    <n v="21"/>
    <x v="4"/>
    <s v="No"/>
    <n v="0"/>
    <n v="0"/>
    <n v="21"/>
  </r>
  <r>
    <n v="183451114"/>
    <d v="2023-01-23T00:00:00"/>
    <d v="2023-08-30T00:00:00"/>
    <x v="0"/>
    <n v="39"/>
    <s v="month"/>
    <n v="219"/>
    <x v="4"/>
    <s v="No"/>
    <n v="0"/>
    <n v="1"/>
    <n v="219"/>
  </r>
  <r>
    <n v="191807491"/>
    <d v="2023-01-24T00:00:00"/>
    <m/>
    <x v="0"/>
    <n v="39"/>
    <s v="month"/>
    <s v=""/>
    <x v="5"/>
    <s v="No"/>
    <n v="0"/>
    <n v="0"/>
    <s v=""/>
  </r>
  <r>
    <n v="157833252"/>
    <d v="2023-01-24T00:00:00"/>
    <d v="2023-09-07T00:00:00"/>
    <x v="0"/>
    <n v="39"/>
    <s v="month"/>
    <n v="226"/>
    <x v="5"/>
    <s v="No"/>
    <n v="0"/>
    <n v="1"/>
    <n v="226"/>
  </r>
  <r>
    <n v="188162430"/>
    <d v="2023-01-24T00:00:00"/>
    <d v="2023-06-16T00:00:00"/>
    <x v="0"/>
    <n v="39"/>
    <s v="month"/>
    <n v="143"/>
    <x v="5"/>
    <s v="No"/>
    <n v="0"/>
    <n v="1"/>
    <n v="143"/>
  </r>
  <r>
    <n v="190733249"/>
    <d v="2023-01-24T00:00:00"/>
    <d v="2023-03-20T00:00:00"/>
    <x v="0"/>
    <n v="39"/>
    <s v="month"/>
    <n v="55"/>
    <x v="5"/>
    <s v="No"/>
    <n v="0"/>
    <n v="1"/>
    <n v="55"/>
  </r>
  <r>
    <n v="192539054"/>
    <d v="2023-01-24T00:00:00"/>
    <d v="2023-02-28T00:00:00"/>
    <x v="0"/>
    <n v="39"/>
    <s v="month"/>
    <n v="35"/>
    <x v="5"/>
    <s v="No"/>
    <n v="0"/>
    <n v="1"/>
    <n v="35"/>
  </r>
  <r>
    <n v="193572822"/>
    <d v="2023-01-24T00:00:00"/>
    <d v="2023-02-20T00:00:00"/>
    <x v="0"/>
    <n v="39"/>
    <s v="month"/>
    <n v="27"/>
    <x v="5"/>
    <s v="No"/>
    <n v="0"/>
    <n v="0"/>
    <n v="27"/>
  </r>
  <r>
    <n v="141399368"/>
    <d v="2023-01-25T00:00:00"/>
    <m/>
    <x v="0"/>
    <n v="39"/>
    <s v="month"/>
    <s v=""/>
    <x v="6"/>
    <s v="No"/>
    <n v="0"/>
    <n v="0"/>
    <s v=""/>
  </r>
  <r>
    <n v="193285633"/>
    <d v="2023-01-25T00:00:00"/>
    <m/>
    <x v="0"/>
    <n v="39"/>
    <s v="month"/>
    <s v=""/>
    <x v="6"/>
    <s v="No"/>
    <n v="0"/>
    <n v="0"/>
    <s v=""/>
  </r>
  <r>
    <n v="193891378"/>
    <d v="2023-01-25T00:00:00"/>
    <m/>
    <x v="0"/>
    <n v="39"/>
    <s v="month"/>
    <s v=""/>
    <x v="6"/>
    <s v="No"/>
    <n v="0"/>
    <n v="0"/>
    <s v=""/>
  </r>
  <r>
    <n v="153628260"/>
    <d v="2023-01-25T00:00:00"/>
    <d v="2023-01-26T00:00:00"/>
    <x v="0"/>
    <n v="39"/>
    <s v="month"/>
    <n v="1"/>
    <x v="6"/>
    <s v="No"/>
    <n v="1"/>
    <n v="0"/>
    <n v="1"/>
  </r>
  <r>
    <n v="194719566"/>
    <d v="2023-01-25T00:00:00"/>
    <d v="2023-01-25T00:00:00"/>
    <x v="1"/>
    <n v="39"/>
    <s v="month"/>
    <n v="0"/>
    <x v="6"/>
    <s v="Yes"/>
    <n v="1"/>
    <n v="0"/>
    <n v="0"/>
  </r>
  <r>
    <n v="176559401"/>
    <d v="2023-01-25T00:00:00"/>
    <d v="2023-01-25T00:00:00"/>
    <x v="1"/>
    <n v="39"/>
    <s v="month"/>
    <n v="0"/>
    <x v="6"/>
    <s v="Yes"/>
    <n v="1"/>
    <n v="0"/>
    <n v="0"/>
  </r>
  <r>
    <n v="150178354"/>
    <d v="2023-01-25T00:00:00"/>
    <d v="2023-05-25T00:00:00"/>
    <x v="0"/>
    <n v="39"/>
    <s v="month"/>
    <n v="120"/>
    <x v="6"/>
    <s v="No"/>
    <n v="0"/>
    <n v="1"/>
    <n v="120"/>
  </r>
  <r>
    <n v="192395073"/>
    <d v="2023-01-25T00:00:00"/>
    <d v="2023-04-06T00:00:00"/>
    <x v="0"/>
    <n v="39"/>
    <s v="month"/>
    <n v="71"/>
    <x v="6"/>
    <s v="No"/>
    <n v="0"/>
    <n v="1"/>
    <n v="71"/>
  </r>
  <r>
    <n v="152690237"/>
    <d v="2023-01-25T00:00:00"/>
    <d v="2023-03-22T00:00:00"/>
    <x v="0"/>
    <n v="39"/>
    <s v="month"/>
    <n v="56"/>
    <x v="6"/>
    <s v="No"/>
    <n v="0"/>
    <n v="1"/>
    <n v="56"/>
  </r>
  <r>
    <n v="151572886"/>
    <d v="2023-01-25T00:00:00"/>
    <d v="2023-03-12T00:00:00"/>
    <x v="0"/>
    <n v="39"/>
    <s v="month"/>
    <n v="46"/>
    <x v="6"/>
    <s v="No"/>
    <n v="0"/>
    <n v="1"/>
    <n v="46"/>
  </r>
  <r>
    <n v="193869975"/>
    <d v="2023-01-25T00:00:00"/>
    <d v="2023-03-15T00:00:00"/>
    <x v="0"/>
    <n v="39"/>
    <s v="month"/>
    <n v="49"/>
    <x v="6"/>
    <s v="No"/>
    <n v="0"/>
    <n v="1"/>
    <n v="49"/>
  </r>
  <r>
    <n v="175077871"/>
    <d v="2023-01-25T00:00:00"/>
    <d v="2023-03-15T00:00:00"/>
    <x v="0"/>
    <n v="39"/>
    <s v="month"/>
    <n v="49"/>
    <x v="6"/>
    <s v="No"/>
    <n v="0"/>
    <n v="1"/>
    <n v="49"/>
  </r>
  <r>
    <n v="193229869"/>
    <d v="2023-01-25T00:00:00"/>
    <d v="2023-03-01T00:00:00"/>
    <x v="0"/>
    <n v="39"/>
    <s v="month"/>
    <n v="35"/>
    <x v="6"/>
    <s v="No"/>
    <n v="0"/>
    <n v="1"/>
    <n v="35"/>
  </r>
  <r>
    <n v="189257579"/>
    <d v="2023-01-26T00:00:00"/>
    <m/>
    <x v="0"/>
    <n v="39"/>
    <s v="month"/>
    <s v=""/>
    <x v="0"/>
    <s v="No"/>
    <n v="0"/>
    <n v="0"/>
    <s v=""/>
  </r>
  <r>
    <n v="184333409"/>
    <d v="2023-01-26T00:00:00"/>
    <m/>
    <x v="0"/>
    <n v="39"/>
    <s v="month"/>
    <s v=""/>
    <x v="0"/>
    <s v="No"/>
    <n v="0"/>
    <n v="0"/>
    <s v=""/>
  </r>
  <r>
    <n v="144719454"/>
    <d v="2023-01-26T00:00:00"/>
    <m/>
    <x v="0"/>
    <n v="39"/>
    <s v="month"/>
    <s v=""/>
    <x v="0"/>
    <s v="No"/>
    <n v="0"/>
    <n v="0"/>
    <s v=""/>
  </r>
  <r>
    <n v="195759475"/>
    <d v="2023-01-26T00:00:00"/>
    <m/>
    <x v="0"/>
    <n v="39"/>
    <s v="month"/>
    <s v=""/>
    <x v="0"/>
    <s v="No"/>
    <n v="0"/>
    <n v="0"/>
    <s v=""/>
  </r>
  <r>
    <n v="167602454"/>
    <d v="2023-01-26T00:00:00"/>
    <m/>
    <x v="0"/>
    <n v="39"/>
    <s v="month"/>
    <s v=""/>
    <x v="0"/>
    <s v="No"/>
    <n v="0"/>
    <n v="0"/>
    <s v=""/>
  </r>
  <r>
    <n v="148838269"/>
    <d v="2023-01-26T00:00:00"/>
    <m/>
    <x v="0"/>
    <n v="39"/>
    <s v="month"/>
    <s v=""/>
    <x v="0"/>
    <s v="No"/>
    <n v="0"/>
    <n v="0"/>
    <s v=""/>
  </r>
  <r>
    <n v="195938394"/>
    <d v="2023-01-26T00:00:00"/>
    <d v="2023-06-23T00:00:00"/>
    <x v="0"/>
    <n v="39"/>
    <s v="month"/>
    <n v="148"/>
    <x v="0"/>
    <s v="No"/>
    <n v="0"/>
    <n v="1"/>
    <n v="148"/>
  </r>
  <r>
    <n v="194091086"/>
    <d v="2023-01-26T00:00:00"/>
    <d v="2023-04-04T00:00:00"/>
    <x v="0"/>
    <n v="39"/>
    <s v="month"/>
    <n v="68"/>
    <x v="0"/>
    <s v="No"/>
    <n v="0"/>
    <n v="1"/>
    <n v="68"/>
  </r>
  <r>
    <n v="181456580"/>
    <d v="2023-01-26T00:00:00"/>
    <d v="2023-04-23T00:00:00"/>
    <x v="0"/>
    <n v="39"/>
    <s v="month"/>
    <n v="87"/>
    <x v="0"/>
    <s v="No"/>
    <n v="0"/>
    <n v="1"/>
    <n v="87"/>
  </r>
  <r>
    <n v="169302100"/>
    <d v="2023-01-26T00:00:00"/>
    <d v="2023-03-30T00:00:00"/>
    <x v="0"/>
    <n v="39"/>
    <s v="month"/>
    <n v="63"/>
    <x v="0"/>
    <s v="No"/>
    <n v="0"/>
    <n v="1"/>
    <n v="63"/>
  </r>
  <r>
    <n v="180997025"/>
    <d v="2023-01-26T00:00:00"/>
    <d v="2023-03-05T00:00:00"/>
    <x v="0"/>
    <n v="39"/>
    <s v="month"/>
    <n v="38"/>
    <x v="0"/>
    <s v="No"/>
    <n v="0"/>
    <n v="1"/>
    <n v="38"/>
  </r>
  <r>
    <n v="196091620"/>
    <d v="2023-01-26T00:00:00"/>
    <d v="2023-02-02T00:00:00"/>
    <x v="0"/>
    <n v="39"/>
    <s v="month"/>
    <n v="7"/>
    <x v="0"/>
    <s v="No"/>
    <n v="0"/>
    <n v="0"/>
    <n v="7"/>
  </r>
  <r>
    <n v="189277140"/>
    <d v="2023-01-26T00:00:00"/>
    <d v="2023-02-23T00:00:00"/>
    <x v="0"/>
    <n v="39"/>
    <s v="month"/>
    <n v="28"/>
    <x v="0"/>
    <s v="No"/>
    <n v="0"/>
    <n v="0"/>
    <n v="28"/>
  </r>
  <r>
    <n v="195279352"/>
    <d v="2023-01-26T00:00:00"/>
    <d v="2023-02-23T00:00:00"/>
    <x v="0"/>
    <n v="39"/>
    <s v="month"/>
    <n v="28"/>
    <x v="0"/>
    <s v="No"/>
    <n v="0"/>
    <n v="0"/>
    <n v="28"/>
  </r>
  <r>
    <n v="191113428"/>
    <d v="2023-01-26T00:00:00"/>
    <d v="2023-01-26T00:00:00"/>
    <x v="0"/>
    <n v="39"/>
    <s v="month"/>
    <n v="0"/>
    <x v="0"/>
    <s v="Yes"/>
    <n v="1"/>
    <n v="0"/>
    <n v="0"/>
  </r>
  <r>
    <n v="193802414"/>
    <d v="2023-01-26T00:00:00"/>
    <d v="2023-06-27T00:00:00"/>
    <x v="0"/>
    <n v="39"/>
    <s v="month"/>
    <n v="152"/>
    <x v="0"/>
    <s v="No"/>
    <n v="0"/>
    <n v="1"/>
    <n v="152"/>
  </r>
  <r>
    <n v="115735280"/>
    <d v="2023-01-27T00:00:00"/>
    <m/>
    <x v="0"/>
    <n v="39"/>
    <s v="month"/>
    <s v=""/>
    <x v="1"/>
    <s v="No"/>
    <n v="0"/>
    <n v="0"/>
    <s v=""/>
  </r>
  <r>
    <n v="153026024"/>
    <d v="2023-01-27T00:00:00"/>
    <m/>
    <x v="0"/>
    <n v="39"/>
    <s v="month"/>
    <s v=""/>
    <x v="1"/>
    <s v="No"/>
    <n v="0"/>
    <n v="0"/>
    <s v=""/>
  </r>
  <r>
    <n v="196069557"/>
    <d v="2023-01-27T00:00:00"/>
    <m/>
    <x v="0"/>
    <n v="39"/>
    <s v="month"/>
    <s v=""/>
    <x v="1"/>
    <s v="No"/>
    <n v="0"/>
    <n v="0"/>
    <s v=""/>
  </r>
  <r>
    <n v="193666586"/>
    <d v="2023-01-27T00:00:00"/>
    <m/>
    <x v="0"/>
    <n v="39"/>
    <s v="month"/>
    <s v=""/>
    <x v="1"/>
    <s v="No"/>
    <n v="0"/>
    <n v="0"/>
    <s v=""/>
  </r>
  <r>
    <n v="192550222"/>
    <d v="2023-01-27T00:00:00"/>
    <m/>
    <x v="0"/>
    <n v="39"/>
    <s v="month"/>
    <s v=""/>
    <x v="1"/>
    <s v="No"/>
    <n v="0"/>
    <n v="0"/>
    <s v=""/>
  </r>
  <r>
    <n v="196022560"/>
    <d v="2023-01-27T00:00:00"/>
    <d v="2023-09-05T00:00:00"/>
    <x v="0"/>
    <n v="39"/>
    <s v="month"/>
    <n v="221"/>
    <x v="1"/>
    <s v="No"/>
    <n v="0"/>
    <n v="1"/>
    <n v="221"/>
  </r>
  <r>
    <n v="196715854"/>
    <d v="2023-01-27T00:00:00"/>
    <d v="2023-01-28T00:00:00"/>
    <x v="1"/>
    <n v="39"/>
    <s v="month"/>
    <n v="1"/>
    <x v="1"/>
    <s v="No"/>
    <n v="1"/>
    <n v="0"/>
    <n v="1"/>
  </r>
  <r>
    <n v="196969212"/>
    <d v="2023-01-27T00:00:00"/>
    <d v="2023-04-24T00:00:00"/>
    <x v="0"/>
    <n v="39"/>
    <s v="month"/>
    <n v="87"/>
    <x v="1"/>
    <s v="No"/>
    <n v="0"/>
    <n v="1"/>
    <n v="87"/>
  </r>
  <r>
    <n v="196308725"/>
    <d v="2023-01-27T00:00:00"/>
    <d v="2023-03-31T00:00:00"/>
    <x v="0"/>
    <n v="39"/>
    <s v="month"/>
    <n v="63"/>
    <x v="1"/>
    <s v="No"/>
    <n v="0"/>
    <n v="1"/>
    <n v="63"/>
  </r>
  <r>
    <n v="196245690"/>
    <d v="2023-01-27T00:00:00"/>
    <d v="2023-03-27T00:00:00"/>
    <x v="0"/>
    <n v="39"/>
    <s v="month"/>
    <n v="59"/>
    <x v="1"/>
    <s v="No"/>
    <n v="0"/>
    <n v="1"/>
    <n v="59"/>
  </r>
  <r>
    <n v="195988242"/>
    <d v="2023-01-27T00:00:00"/>
    <d v="2023-03-06T00:00:00"/>
    <x v="0"/>
    <n v="39"/>
    <s v="month"/>
    <n v="38"/>
    <x v="1"/>
    <s v="No"/>
    <n v="0"/>
    <n v="1"/>
    <n v="38"/>
  </r>
  <r>
    <n v="192068317"/>
    <d v="2023-01-27T00:00:00"/>
    <d v="2023-03-28T00:00:00"/>
    <x v="0"/>
    <n v="39"/>
    <s v="month"/>
    <n v="60"/>
    <x v="1"/>
    <s v="No"/>
    <n v="0"/>
    <n v="1"/>
    <n v="60"/>
  </r>
  <r>
    <n v="195039185"/>
    <d v="2023-01-27T00:00:00"/>
    <d v="2023-02-23T00:00:00"/>
    <x v="0"/>
    <n v="39"/>
    <s v="month"/>
    <n v="27"/>
    <x v="1"/>
    <s v="No"/>
    <n v="0"/>
    <n v="0"/>
    <n v="27"/>
  </r>
  <r>
    <n v="188563149"/>
    <d v="2023-01-27T00:00:00"/>
    <d v="2023-08-16T00:00:00"/>
    <x v="0"/>
    <n v="39"/>
    <s v="month"/>
    <n v="201"/>
    <x v="1"/>
    <s v="No"/>
    <n v="0"/>
    <n v="1"/>
    <n v="201"/>
  </r>
  <r>
    <n v="188748439"/>
    <d v="2023-01-27T00:00:00"/>
    <d v="2023-08-19T00:00:00"/>
    <x v="0"/>
    <n v="39"/>
    <s v="month"/>
    <n v="204"/>
    <x v="1"/>
    <s v="No"/>
    <n v="0"/>
    <n v="1"/>
    <n v="204"/>
  </r>
  <r>
    <n v="160873880"/>
    <d v="2023-01-28T00:00:00"/>
    <m/>
    <x v="0"/>
    <n v="39"/>
    <s v="month"/>
    <s v=""/>
    <x v="2"/>
    <s v="No"/>
    <n v="0"/>
    <n v="0"/>
    <s v=""/>
  </r>
  <r>
    <n v="160379194"/>
    <d v="2023-01-28T00:00:00"/>
    <d v="2023-01-28T00:00:00"/>
    <x v="0"/>
    <n v="39"/>
    <s v="month"/>
    <n v="0"/>
    <x v="2"/>
    <s v="Yes"/>
    <n v="1"/>
    <n v="0"/>
    <n v="0"/>
  </r>
  <r>
    <n v="194169961"/>
    <d v="2023-01-28T00:00:00"/>
    <d v="2023-03-24T00:00:00"/>
    <x v="0"/>
    <n v="39"/>
    <s v="month"/>
    <n v="55"/>
    <x v="2"/>
    <s v="No"/>
    <n v="0"/>
    <n v="1"/>
    <n v="55"/>
  </r>
  <r>
    <n v="184209232"/>
    <d v="2023-01-28T00:00:00"/>
    <d v="2023-03-07T00:00:00"/>
    <x v="0"/>
    <n v="39"/>
    <s v="month"/>
    <n v="38"/>
    <x v="2"/>
    <s v="No"/>
    <n v="0"/>
    <n v="1"/>
    <n v="38"/>
  </r>
  <r>
    <n v="195198228"/>
    <d v="2023-01-28T00:00:00"/>
    <d v="2023-02-17T00:00:00"/>
    <x v="0"/>
    <n v="39"/>
    <s v="month"/>
    <n v="20"/>
    <x v="2"/>
    <s v="No"/>
    <n v="0"/>
    <n v="0"/>
    <n v="20"/>
  </r>
  <r>
    <n v="153657568"/>
    <d v="2023-01-29T00:00:00"/>
    <m/>
    <x v="0"/>
    <n v="39"/>
    <s v="month"/>
    <s v=""/>
    <x v="3"/>
    <s v="No"/>
    <n v="0"/>
    <n v="0"/>
    <s v=""/>
  </r>
  <r>
    <n v="127697219"/>
    <d v="2023-01-29T00:00:00"/>
    <d v="2023-05-25T00:00:00"/>
    <x v="0"/>
    <n v="39"/>
    <s v="month"/>
    <n v="116"/>
    <x v="3"/>
    <s v="No"/>
    <n v="0"/>
    <n v="1"/>
    <n v="116"/>
  </r>
  <r>
    <n v="198448283"/>
    <d v="2023-01-29T00:00:00"/>
    <d v="2023-07-06T00:00:00"/>
    <x v="0"/>
    <n v="39"/>
    <s v="month"/>
    <n v="158"/>
    <x v="3"/>
    <s v="No"/>
    <n v="0"/>
    <n v="1"/>
    <n v="158"/>
  </r>
  <r>
    <n v="159483118"/>
    <d v="2023-01-29T00:00:00"/>
    <d v="2023-03-01T00:00:00"/>
    <x v="0"/>
    <n v="39"/>
    <s v="month"/>
    <n v="31"/>
    <x v="3"/>
    <s v="No"/>
    <n v="0"/>
    <n v="1"/>
    <n v="31"/>
  </r>
  <r>
    <n v="152433647"/>
    <d v="2023-01-29T00:00:00"/>
    <d v="2023-03-13T00:00:00"/>
    <x v="0"/>
    <n v="39"/>
    <s v="month"/>
    <n v="43"/>
    <x v="3"/>
    <s v="No"/>
    <n v="0"/>
    <n v="1"/>
    <n v="43"/>
  </r>
  <r>
    <n v="154790198"/>
    <d v="2023-01-29T00:00:00"/>
    <d v="2023-02-15T00:00:00"/>
    <x v="0"/>
    <n v="39"/>
    <s v="month"/>
    <n v="17"/>
    <x v="3"/>
    <s v="No"/>
    <n v="0"/>
    <n v="0"/>
    <n v="17"/>
  </r>
  <r>
    <n v="191896242"/>
    <d v="2023-01-30T00:00:00"/>
    <m/>
    <x v="0"/>
    <n v="39"/>
    <s v="month"/>
    <s v=""/>
    <x v="4"/>
    <s v="No"/>
    <n v="0"/>
    <n v="0"/>
    <s v=""/>
  </r>
  <r>
    <n v="136407072"/>
    <d v="2023-01-30T00:00:00"/>
    <d v="2023-07-31T00:00:00"/>
    <x v="0"/>
    <n v="39"/>
    <s v="month"/>
    <n v="182"/>
    <x v="4"/>
    <s v="No"/>
    <n v="0"/>
    <n v="1"/>
    <n v="182"/>
  </r>
  <r>
    <n v="199439964"/>
    <d v="2023-01-30T00:00:00"/>
    <d v="2023-06-06T00:00:00"/>
    <x v="0"/>
    <n v="39"/>
    <s v="month"/>
    <n v="127"/>
    <x v="4"/>
    <s v="No"/>
    <n v="0"/>
    <n v="1"/>
    <n v="127"/>
  </r>
  <r>
    <n v="199255574"/>
    <d v="2023-01-30T00:00:00"/>
    <d v="2023-06-21T00:00:00"/>
    <x v="0"/>
    <n v="39"/>
    <s v="month"/>
    <n v="142"/>
    <x v="4"/>
    <s v="No"/>
    <n v="0"/>
    <n v="1"/>
    <n v="142"/>
  </r>
  <r>
    <n v="167938302"/>
    <d v="2023-01-30T00:00:00"/>
    <d v="2023-04-06T00:00:00"/>
    <x v="0"/>
    <n v="39"/>
    <s v="month"/>
    <n v="66"/>
    <x v="4"/>
    <s v="No"/>
    <n v="0"/>
    <n v="1"/>
    <n v="66"/>
  </r>
  <r>
    <n v="154173057"/>
    <d v="2023-01-30T00:00:00"/>
    <d v="2023-02-04T00:00:00"/>
    <x v="0"/>
    <n v="39"/>
    <s v="month"/>
    <n v="5"/>
    <x v="4"/>
    <s v="No"/>
    <n v="0"/>
    <n v="0"/>
    <n v="5"/>
  </r>
  <r>
    <n v="153199550"/>
    <d v="2023-01-30T00:00:00"/>
    <d v="2023-02-02T00:00:00"/>
    <x v="0"/>
    <n v="39"/>
    <s v="month"/>
    <n v="3"/>
    <x v="4"/>
    <s v="No"/>
    <n v="0"/>
    <n v="0"/>
    <n v="3"/>
  </r>
  <r>
    <n v="199302158"/>
    <d v="2023-01-30T00:00:00"/>
    <d v="2023-02-02T00:00:00"/>
    <x v="0"/>
    <n v="39"/>
    <s v="month"/>
    <n v="3"/>
    <x v="4"/>
    <s v="No"/>
    <n v="0"/>
    <n v="0"/>
    <n v="3"/>
  </r>
  <r>
    <n v="187482966"/>
    <d v="2023-01-30T00:00:00"/>
    <d v="2023-08-09T00:00:00"/>
    <x v="0"/>
    <n v="39"/>
    <s v="month"/>
    <n v="191"/>
    <x v="4"/>
    <s v="No"/>
    <n v="0"/>
    <n v="1"/>
    <n v="191"/>
  </r>
  <r>
    <n v="168436547"/>
    <d v="2023-01-30T00:00:00"/>
    <d v="2023-07-20T00:00:00"/>
    <x v="0"/>
    <n v="39"/>
    <s v="month"/>
    <n v="171"/>
    <x v="4"/>
    <s v="No"/>
    <n v="0"/>
    <n v="1"/>
    <n v="171"/>
  </r>
  <r>
    <n v="195007481"/>
    <d v="2023-01-31T00:00:00"/>
    <m/>
    <x v="0"/>
    <n v="39"/>
    <s v="month"/>
    <s v=""/>
    <x v="5"/>
    <s v="No"/>
    <n v="0"/>
    <n v="0"/>
    <s v=""/>
  </r>
  <r>
    <n v="181830574"/>
    <d v="2023-01-31T00:00:00"/>
    <m/>
    <x v="0"/>
    <n v="39"/>
    <s v="month"/>
    <s v=""/>
    <x v="5"/>
    <s v="No"/>
    <n v="0"/>
    <n v="0"/>
    <s v=""/>
  </r>
  <r>
    <n v="198691553"/>
    <d v="2023-01-31T00:00:00"/>
    <m/>
    <x v="0"/>
    <n v="39"/>
    <s v="month"/>
    <s v=""/>
    <x v="5"/>
    <s v="No"/>
    <n v="0"/>
    <n v="0"/>
    <s v=""/>
  </r>
  <r>
    <n v="200001674"/>
    <d v="2023-01-31T00:00:00"/>
    <d v="2023-05-28T00:00:00"/>
    <x v="0"/>
    <n v="39"/>
    <s v="month"/>
    <n v="117"/>
    <x v="5"/>
    <s v="No"/>
    <n v="0"/>
    <n v="1"/>
    <n v="117"/>
  </r>
  <r>
    <n v="200252155"/>
    <d v="2023-01-31T00:00:00"/>
    <d v="2023-06-07T00:00:00"/>
    <x v="0"/>
    <n v="39"/>
    <s v="month"/>
    <n v="127"/>
    <x v="5"/>
    <s v="No"/>
    <n v="0"/>
    <n v="1"/>
    <n v="127"/>
  </r>
  <r>
    <n v="188206991"/>
    <d v="2023-01-31T00:00:00"/>
    <d v="2023-04-17T00:00:00"/>
    <x v="0"/>
    <n v="39"/>
    <s v="month"/>
    <n v="76"/>
    <x v="5"/>
    <s v="No"/>
    <n v="0"/>
    <n v="1"/>
    <n v="76"/>
  </r>
  <r>
    <n v="184330352"/>
    <d v="2023-01-31T00:00:00"/>
    <d v="2023-04-30T00:00:00"/>
    <x v="0"/>
    <n v="39"/>
    <s v="month"/>
    <n v="89"/>
    <x v="5"/>
    <s v="No"/>
    <n v="0"/>
    <n v="1"/>
    <n v="89"/>
  </r>
  <r>
    <n v="198701510"/>
    <d v="2023-01-31T00:00:00"/>
    <d v="2023-04-15T00:00:00"/>
    <x v="0"/>
    <n v="39"/>
    <s v="month"/>
    <n v="74"/>
    <x v="5"/>
    <s v="No"/>
    <n v="0"/>
    <n v="1"/>
    <n v="74"/>
  </r>
  <r>
    <n v="164909402"/>
    <d v="2023-01-31T00:00:00"/>
    <d v="2023-02-27T00:00:00"/>
    <x v="0"/>
    <n v="39"/>
    <s v="month"/>
    <n v="27"/>
    <x v="5"/>
    <s v="No"/>
    <n v="0"/>
    <n v="0"/>
    <n v="27"/>
  </r>
  <r>
    <n v="126737063"/>
    <d v="2023-01-31T00:00:00"/>
    <d v="2023-08-18T00:00:00"/>
    <x v="0"/>
    <n v="39"/>
    <s v="month"/>
    <n v="199"/>
    <x v="5"/>
    <s v="No"/>
    <n v="0"/>
    <n v="1"/>
    <n v="199"/>
  </r>
  <r>
    <n v="194472898"/>
    <d v="2023-02-01T00:00:00"/>
    <m/>
    <x v="0"/>
    <n v="39"/>
    <s v="month"/>
    <s v=""/>
    <x v="6"/>
    <s v="No"/>
    <n v="0"/>
    <n v="0"/>
    <s v=""/>
  </r>
  <r>
    <n v="200962065"/>
    <d v="2023-02-01T00:00:00"/>
    <m/>
    <x v="0"/>
    <n v="39"/>
    <s v="month"/>
    <s v=""/>
    <x v="6"/>
    <s v="No"/>
    <n v="0"/>
    <n v="0"/>
    <s v=""/>
  </r>
  <r>
    <n v="196821289"/>
    <d v="2023-02-01T00:00:00"/>
    <m/>
    <x v="0"/>
    <n v="39"/>
    <s v="month"/>
    <s v=""/>
    <x v="6"/>
    <s v="No"/>
    <n v="0"/>
    <n v="0"/>
    <s v=""/>
  </r>
  <r>
    <n v="200867442"/>
    <d v="2023-02-01T00:00:00"/>
    <m/>
    <x v="0"/>
    <n v="39"/>
    <s v="month"/>
    <s v=""/>
    <x v="6"/>
    <s v="No"/>
    <n v="0"/>
    <n v="0"/>
    <s v=""/>
  </r>
  <r>
    <n v="187855576"/>
    <d v="2023-02-01T00:00:00"/>
    <m/>
    <x v="0"/>
    <n v="39"/>
    <s v="month"/>
    <s v=""/>
    <x v="6"/>
    <s v="No"/>
    <n v="0"/>
    <n v="0"/>
    <s v=""/>
  </r>
  <r>
    <n v="198475060"/>
    <d v="2023-02-01T00:00:00"/>
    <d v="2023-02-02T00:00:00"/>
    <x v="1"/>
    <n v="39"/>
    <s v="month"/>
    <n v="1"/>
    <x v="6"/>
    <s v="No"/>
    <n v="1"/>
    <n v="0"/>
    <n v="1"/>
  </r>
  <r>
    <n v="137201021"/>
    <d v="2023-02-01T00:00:00"/>
    <d v="2023-06-29T00:00:00"/>
    <x v="0"/>
    <n v="39"/>
    <s v="month"/>
    <n v="148"/>
    <x v="6"/>
    <s v="No"/>
    <n v="0"/>
    <n v="1"/>
    <n v="148"/>
  </r>
  <r>
    <n v="192942271"/>
    <d v="2023-02-01T00:00:00"/>
    <d v="2023-06-27T00:00:00"/>
    <x v="0"/>
    <n v="39"/>
    <s v="month"/>
    <n v="146"/>
    <x v="6"/>
    <s v="No"/>
    <n v="0"/>
    <n v="1"/>
    <n v="146"/>
  </r>
  <r>
    <n v="155088727"/>
    <d v="2023-02-01T00:00:00"/>
    <d v="2023-05-25T00:00:00"/>
    <x v="0"/>
    <n v="39"/>
    <s v="month"/>
    <n v="113"/>
    <x v="6"/>
    <s v="No"/>
    <n v="0"/>
    <n v="1"/>
    <n v="113"/>
  </r>
  <r>
    <n v="145416349"/>
    <d v="2023-02-01T00:00:00"/>
    <d v="2023-05-01T00:00:00"/>
    <x v="0"/>
    <n v="39"/>
    <s v="month"/>
    <n v="89"/>
    <x v="6"/>
    <s v="No"/>
    <n v="0"/>
    <n v="1"/>
    <n v="89"/>
  </r>
  <r>
    <n v="154064672"/>
    <d v="2023-02-01T00:00:00"/>
    <d v="2023-04-25T00:00:00"/>
    <x v="0"/>
    <n v="39"/>
    <s v="month"/>
    <n v="83"/>
    <x v="6"/>
    <s v="No"/>
    <n v="0"/>
    <n v="1"/>
    <n v="83"/>
  </r>
  <r>
    <n v="174670793"/>
    <d v="2023-02-01T00:00:00"/>
    <d v="2023-04-23T00:00:00"/>
    <x v="0"/>
    <n v="39"/>
    <s v="month"/>
    <n v="81"/>
    <x v="6"/>
    <s v="No"/>
    <n v="0"/>
    <n v="1"/>
    <n v="81"/>
  </r>
  <r>
    <n v="200600365"/>
    <d v="2023-02-01T00:00:00"/>
    <d v="2023-04-13T00:00:00"/>
    <x v="0"/>
    <n v="39"/>
    <s v="month"/>
    <n v="71"/>
    <x v="6"/>
    <s v="No"/>
    <n v="0"/>
    <n v="1"/>
    <n v="71"/>
  </r>
  <r>
    <n v="196253752"/>
    <d v="2023-02-01T00:00:00"/>
    <d v="2023-02-19T00:00:00"/>
    <x v="0"/>
    <n v="39"/>
    <s v="month"/>
    <n v="18"/>
    <x v="6"/>
    <s v="No"/>
    <n v="0"/>
    <n v="0"/>
    <n v="18"/>
  </r>
  <r>
    <n v="148710722"/>
    <d v="2023-02-01T00:00:00"/>
    <d v="2023-02-03T00:00:00"/>
    <x v="0"/>
    <n v="39"/>
    <s v="month"/>
    <n v="2"/>
    <x v="6"/>
    <s v="No"/>
    <n v="1"/>
    <n v="0"/>
    <n v="2"/>
  </r>
  <r>
    <n v="201015936"/>
    <d v="2023-02-01T00:00:00"/>
    <d v="2023-02-14T00:00:00"/>
    <x v="0"/>
    <n v="39"/>
    <s v="month"/>
    <n v="13"/>
    <x v="6"/>
    <s v="No"/>
    <n v="0"/>
    <n v="0"/>
    <n v="13"/>
  </r>
  <r>
    <n v="200766423"/>
    <d v="2023-02-01T00:00:00"/>
    <d v="2023-02-06T00:00:00"/>
    <x v="0"/>
    <n v="39"/>
    <s v="month"/>
    <n v="5"/>
    <x v="6"/>
    <s v="No"/>
    <n v="0"/>
    <n v="0"/>
    <n v="5"/>
  </r>
  <r>
    <n v="188152753"/>
    <d v="2023-02-01T00:00:00"/>
    <d v="2023-03-10T00:00:00"/>
    <x v="0"/>
    <n v="39"/>
    <s v="month"/>
    <n v="37"/>
    <x v="6"/>
    <s v="No"/>
    <n v="0"/>
    <n v="1"/>
    <n v="37"/>
  </r>
  <r>
    <n v="194406214"/>
    <d v="2023-02-01T00:00:00"/>
    <d v="2023-08-11T00:00:00"/>
    <x v="0"/>
    <n v="39"/>
    <s v="month"/>
    <n v="191"/>
    <x v="6"/>
    <s v="No"/>
    <n v="0"/>
    <n v="1"/>
    <n v="191"/>
  </r>
  <r>
    <n v="199388324"/>
    <d v="2023-02-02T00:00:00"/>
    <m/>
    <x v="0"/>
    <n v="39"/>
    <s v="month"/>
    <s v=""/>
    <x v="0"/>
    <s v="No"/>
    <n v="0"/>
    <n v="0"/>
    <s v=""/>
  </r>
  <r>
    <n v="202030516"/>
    <d v="2023-02-02T00:00:00"/>
    <m/>
    <x v="0"/>
    <n v="39"/>
    <s v="month"/>
    <s v=""/>
    <x v="0"/>
    <s v="No"/>
    <n v="0"/>
    <n v="0"/>
    <s v=""/>
  </r>
  <r>
    <n v="196926212"/>
    <d v="2023-02-02T00:00:00"/>
    <m/>
    <x v="0"/>
    <n v="39"/>
    <s v="month"/>
    <s v=""/>
    <x v="0"/>
    <s v="No"/>
    <n v="0"/>
    <n v="0"/>
    <s v=""/>
  </r>
  <r>
    <n v="199374328"/>
    <d v="2023-02-02T00:00:00"/>
    <d v="2023-07-06T00:00:00"/>
    <x v="0"/>
    <n v="39"/>
    <s v="month"/>
    <n v="154"/>
    <x v="0"/>
    <s v="No"/>
    <n v="0"/>
    <n v="1"/>
    <n v="154"/>
  </r>
  <r>
    <n v="201313318"/>
    <d v="2023-02-02T00:00:00"/>
    <d v="2023-05-30T00:00:00"/>
    <x v="0"/>
    <n v="39"/>
    <s v="month"/>
    <n v="117"/>
    <x v="0"/>
    <s v="No"/>
    <n v="0"/>
    <n v="1"/>
    <n v="117"/>
  </r>
  <r>
    <n v="200960179"/>
    <d v="2023-02-02T00:00:00"/>
    <d v="2023-05-31T00:00:00"/>
    <x v="0"/>
    <n v="39"/>
    <s v="month"/>
    <n v="118"/>
    <x v="0"/>
    <s v="No"/>
    <n v="0"/>
    <n v="1"/>
    <n v="118"/>
  </r>
  <r>
    <n v="180890046"/>
    <d v="2023-02-02T00:00:00"/>
    <d v="2023-05-27T00:00:00"/>
    <x v="0"/>
    <n v="39"/>
    <s v="month"/>
    <n v="114"/>
    <x v="0"/>
    <s v="No"/>
    <n v="0"/>
    <n v="1"/>
    <n v="114"/>
  </r>
  <r>
    <n v="159227956"/>
    <d v="2023-02-02T00:00:00"/>
    <d v="2023-05-09T00:00:00"/>
    <x v="0"/>
    <n v="39"/>
    <s v="month"/>
    <n v="96"/>
    <x v="0"/>
    <s v="No"/>
    <n v="0"/>
    <n v="1"/>
    <n v="96"/>
  </r>
  <r>
    <n v="182325407"/>
    <d v="2023-02-02T00:00:00"/>
    <d v="2023-04-03T00:00:00"/>
    <x v="0"/>
    <n v="39"/>
    <s v="month"/>
    <n v="60"/>
    <x v="0"/>
    <s v="No"/>
    <n v="0"/>
    <n v="1"/>
    <n v="60"/>
  </r>
  <r>
    <n v="194828965"/>
    <d v="2023-02-02T00:00:00"/>
    <d v="2023-04-02T00:00:00"/>
    <x v="0"/>
    <n v="39"/>
    <s v="month"/>
    <n v="59"/>
    <x v="0"/>
    <s v="No"/>
    <n v="0"/>
    <n v="1"/>
    <n v="59"/>
  </r>
  <r>
    <n v="202139613"/>
    <d v="2023-02-02T00:00:00"/>
    <d v="2023-03-06T00:00:00"/>
    <x v="0"/>
    <n v="39"/>
    <s v="month"/>
    <n v="32"/>
    <x v="0"/>
    <s v="No"/>
    <n v="0"/>
    <n v="1"/>
    <n v="32"/>
  </r>
  <r>
    <n v="202137510"/>
    <d v="2023-02-02T00:00:00"/>
    <d v="2023-03-10T00:00:00"/>
    <x v="0"/>
    <n v="39"/>
    <s v="month"/>
    <n v="36"/>
    <x v="0"/>
    <s v="No"/>
    <n v="0"/>
    <n v="1"/>
    <n v="36"/>
  </r>
  <r>
    <n v="201182176"/>
    <d v="2023-02-02T00:00:00"/>
    <d v="2023-03-02T00:00:00"/>
    <x v="0"/>
    <n v="39"/>
    <s v="month"/>
    <n v="28"/>
    <x v="0"/>
    <s v="No"/>
    <n v="0"/>
    <n v="0"/>
    <n v="28"/>
  </r>
  <r>
    <n v="202010803"/>
    <d v="2023-02-02T00:00:00"/>
    <d v="2023-03-01T00:00:00"/>
    <x v="0"/>
    <n v="39"/>
    <s v="month"/>
    <n v="27"/>
    <x v="0"/>
    <s v="No"/>
    <n v="0"/>
    <n v="0"/>
    <n v="27"/>
  </r>
  <r>
    <n v="131734107"/>
    <d v="2023-02-03T00:00:00"/>
    <d v="2023-09-03T00:00:00"/>
    <x v="0"/>
    <n v="39"/>
    <s v="month"/>
    <n v="212"/>
    <x v="1"/>
    <s v="No"/>
    <n v="0"/>
    <n v="1"/>
    <n v="212"/>
  </r>
  <r>
    <n v="202277130"/>
    <d v="2023-02-03T00:00:00"/>
    <d v="2023-04-01T00:00:00"/>
    <x v="0"/>
    <n v="39"/>
    <s v="month"/>
    <n v="57"/>
    <x v="1"/>
    <s v="No"/>
    <n v="0"/>
    <n v="1"/>
    <n v="57"/>
  </r>
  <r>
    <n v="137196428"/>
    <d v="2023-02-03T00:00:00"/>
    <d v="2023-03-09T00:00:00"/>
    <x v="0"/>
    <n v="39"/>
    <s v="month"/>
    <n v="34"/>
    <x v="1"/>
    <s v="No"/>
    <n v="0"/>
    <n v="1"/>
    <n v="34"/>
  </r>
  <r>
    <n v="153568282"/>
    <d v="2023-02-03T00:00:00"/>
    <d v="2023-02-16T00:00:00"/>
    <x v="0"/>
    <n v="39"/>
    <s v="month"/>
    <n v="13"/>
    <x v="1"/>
    <s v="No"/>
    <n v="0"/>
    <n v="0"/>
    <n v="13"/>
  </r>
  <r>
    <n v="199895190"/>
    <d v="2023-02-03T00:00:00"/>
    <d v="2023-03-13T00:00:00"/>
    <x v="0"/>
    <n v="39"/>
    <s v="month"/>
    <n v="38"/>
    <x v="1"/>
    <s v="No"/>
    <n v="0"/>
    <n v="1"/>
    <n v="38"/>
  </r>
  <r>
    <n v="200894076"/>
    <d v="2023-02-03T00:00:00"/>
    <d v="2023-03-30T00:00:00"/>
    <x v="0"/>
    <n v="39"/>
    <s v="month"/>
    <n v="55"/>
    <x v="1"/>
    <s v="No"/>
    <n v="0"/>
    <n v="1"/>
    <n v="55"/>
  </r>
  <r>
    <n v="201162862"/>
    <d v="2023-02-03T00:00:00"/>
    <d v="2023-03-10T00:00:00"/>
    <x v="0"/>
    <n v="39"/>
    <s v="month"/>
    <n v="35"/>
    <x v="1"/>
    <s v="No"/>
    <n v="0"/>
    <n v="1"/>
    <n v="35"/>
  </r>
  <r>
    <n v="198748705"/>
    <d v="2023-02-03T00:00:00"/>
    <d v="2023-03-26T00:00:00"/>
    <x v="0"/>
    <n v="39"/>
    <s v="month"/>
    <n v="51"/>
    <x v="1"/>
    <s v="No"/>
    <n v="0"/>
    <n v="1"/>
    <n v="51"/>
  </r>
  <r>
    <n v="202308735"/>
    <d v="2023-02-03T00:00:00"/>
    <d v="2023-08-21T00:00:00"/>
    <x v="0"/>
    <n v="39"/>
    <s v="month"/>
    <n v="199"/>
    <x v="1"/>
    <s v="No"/>
    <n v="0"/>
    <n v="1"/>
    <n v="199"/>
  </r>
  <r>
    <n v="202276540"/>
    <d v="2023-02-03T00:00:00"/>
    <d v="2023-07-03T00:00:00"/>
    <x v="0"/>
    <n v="39"/>
    <s v="month"/>
    <n v="150"/>
    <x v="1"/>
    <s v="No"/>
    <n v="0"/>
    <n v="1"/>
    <n v="150"/>
  </r>
  <r>
    <n v="202401357"/>
    <d v="2023-02-04T00:00:00"/>
    <m/>
    <x v="0"/>
    <n v="39"/>
    <s v="month"/>
    <s v=""/>
    <x v="2"/>
    <s v="No"/>
    <n v="0"/>
    <n v="0"/>
    <s v=""/>
  </r>
  <r>
    <n v="184539258"/>
    <d v="2023-02-04T00:00:00"/>
    <d v="2023-05-02T00:00:00"/>
    <x v="0"/>
    <n v="39"/>
    <s v="month"/>
    <n v="87"/>
    <x v="2"/>
    <s v="No"/>
    <n v="0"/>
    <n v="1"/>
    <n v="87"/>
  </r>
  <r>
    <n v="202349754"/>
    <d v="2023-02-04T00:00:00"/>
    <d v="2023-05-08T00:00:00"/>
    <x v="0"/>
    <n v="39"/>
    <s v="month"/>
    <n v="93"/>
    <x v="2"/>
    <s v="No"/>
    <n v="0"/>
    <n v="1"/>
    <n v="93"/>
  </r>
  <r>
    <n v="202410436"/>
    <d v="2023-02-04T00:00:00"/>
    <d v="2023-02-25T00:00:00"/>
    <x v="0"/>
    <n v="39"/>
    <s v="month"/>
    <n v="21"/>
    <x v="2"/>
    <s v="No"/>
    <n v="0"/>
    <n v="0"/>
    <n v="21"/>
  </r>
  <r>
    <n v="197151544"/>
    <d v="2023-02-04T00:00:00"/>
    <d v="2023-03-21T00:00:00"/>
    <x v="0"/>
    <n v="39"/>
    <s v="month"/>
    <n v="45"/>
    <x v="2"/>
    <s v="No"/>
    <n v="0"/>
    <n v="1"/>
    <n v="45"/>
  </r>
  <r>
    <n v="202305934"/>
    <d v="2023-02-04T00:00:00"/>
    <d v="2023-03-19T00:00:00"/>
    <x v="0"/>
    <n v="39"/>
    <s v="month"/>
    <n v="43"/>
    <x v="2"/>
    <s v="No"/>
    <n v="0"/>
    <n v="1"/>
    <n v="43"/>
  </r>
  <r>
    <n v="202304812"/>
    <d v="2023-02-05T00:00:00"/>
    <m/>
    <x v="0"/>
    <n v="39"/>
    <s v="month"/>
    <s v=""/>
    <x v="3"/>
    <s v="No"/>
    <n v="0"/>
    <n v="0"/>
    <s v=""/>
  </r>
  <r>
    <n v="160030890"/>
    <d v="2023-02-05T00:00:00"/>
    <m/>
    <x v="0"/>
    <n v="39"/>
    <s v="month"/>
    <s v=""/>
    <x v="3"/>
    <s v="No"/>
    <n v="0"/>
    <n v="0"/>
    <s v=""/>
  </r>
  <r>
    <n v="202524608"/>
    <d v="2023-02-05T00:00:00"/>
    <m/>
    <x v="0"/>
    <n v="39"/>
    <s v="month"/>
    <s v=""/>
    <x v="3"/>
    <s v="No"/>
    <n v="0"/>
    <n v="0"/>
    <s v=""/>
  </r>
  <r>
    <n v="198447368"/>
    <d v="2023-02-05T00:00:00"/>
    <m/>
    <x v="0"/>
    <n v="39"/>
    <s v="month"/>
    <s v=""/>
    <x v="3"/>
    <s v="No"/>
    <n v="0"/>
    <n v="0"/>
    <s v=""/>
  </r>
  <r>
    <n v="202458624"/>
    <d v="2023-02-05T00:00:00"/>
    <m/>
    <x v="0"/>
    <n v="39"/>
    <s v="month"/>
    <s v=""/>
    <x v="3"/>
    <s v="No"/>
    <n v="0"/>
    <n v="0"/>
    <s v=""/>
  </r>
  <r>
    <n v="132256211"/>
    <d v="2023-02-05T00:00:00"/>
    <d v="2023-03-12T00:00:00"/>
    <x v="0"/>
    <n v="39"/>
    <s v="month"/>
    <n v="35"/>
    <x v="3"/>
    <s v="No"/>
    <n v="0"/>
    <n v="1"/>
    <n v="35"/>
  </r>
  <r>
    <n v="202504135"/>
    <d v="2023-02-05T00:00:00"/>
    <d v="2023-06-12T00:00:00"/>
    <x v="0"/>
    <n v="39"/>
    <s v="month"/>
    <n v="127"/>
    <x v="3"/>
    <s v="No"/>
    <n v="0"/>
    <n v="1"/>
    <n v="127"/>
  </r>
  <r>
    <n v="192182455"/>
    <d v="2023-02-05T00:00:00"/>
    <d v="2023-05-06T00:00:00"/>
    <x v="0"/>
    <n v="39"/>
    <s v="month"/>
    <n v="90"/>
    <x v="3"/>
    <s v="No"/>
    <n v="0"/>
    <n v="1"/>
    <n v="90"/>
  </r>
  <r>
    <n v="202505276"/>
    <d v="2023-02-05T00:00:00"/>
    <d v="2023-03-14T00:00:00"/>
    <x v="0"/>
    <n v="39"/>
    <s v="month"/>
    <n v="37"/>
    <x v="3"/>
    <s v="No"/>
    <n v="0"/>
    <n v="1"/>
    <n v="37"/>
  </r>
  <r>
    <n v="152050632"/>
    <d v="2023-02-06T00:00:00"/>
    <m/>
    <x v="0"/>
    <n v="39"/>
    <s v="month"/>
    <s v=""/>
    <x v="4"/>
    <s v="No"/>
    <n v="0"/>
    <n v="0"/>
    <s v=""/>
  </r>
  <r>
    <n v="201313284"/>
    <d v="2023-02-06T00:00:00"/>
    <m/>
    <x v="0"/>
    <n v="39"/>
    <s v="month"/>
    <s v=""/>
    <x v="4"/>
    <s v="No"/>
    <n v="0"/>
    <n v="0"/>
    <s v=""/>
  </r>
  <r>
    <n v="202118292"/>
    <d v="2023-02-06T00:00:00"/>
    <m/>
    <x v="0"/>
    <n v="39"/>
    <s v="month"/>
    <s v=""/>
    <x v="4"/>
    <s v="No"/>
    <n v="0"/>
    <n v="0"/>
    <s v=""/>
  </r>
  <r>
    <n v="202298964"/>
    <d v="2023-02-06T00:00:00"/>
    <m/>
    <x v="0"/>
    <n v="39"/>
    <s v="month"/>
    <s v=""/>
    <x v="4"/>
    <s v="No"/>
    <n v="0"/>
    <n v="0"/>
    <s v=""/>
  </r>
  <r>
    <n v="202496216"/>
    <d v="2023-02-06T00:00:00"/>
    <m/>
    <x v="0"/>
    <n v="39"/>
    <s v="month"/>
    <s v=""/>
    <x v="4"/>
    <s v="No"/>
    <n v="0"/>
    <n v="0"/>
    <s v=""/>
  </r>
  <r>
    <n v="152354478"/>
    <d v="2023-02-06T00:00:00"/>
    <m/>
    <x v="0"/>
    <n v="39"/>
    <s v="month"/>
    <s v=""/>
    <x v="4"/>
    <s v="No"/>
    <n v="0"/>
    <n v="0"/>
    <s v=""/>
  </r>
  <r>
    <n v="200490112"/>
    <d v="2023-02-06T00:00:00"/>
    <d v="2023-02-07T00:00:00"/>
    <x v="1"/>
    <n v="39"/>
    <s v="month"/>
    <n v="1"/>
    <x v="4"/>
    <s v="No"/>
    <n v="1"/>
    <n v="0"/>
    <n v="1"/>
  </r>
  <r>
    <n v="131310280"/>
    <d v="2023-02-06T00:00:00"/>
    <d v="2023-02-17T00:00:00"/>
    <x v="0"/>
    <n v="39"/>
    <s v="month"/>
    <n v="11"/>
    <x v="4"/>
    <s v="No"/>
    <n v="0"/>
    <n v="0"/>
    <n v="11"/>
  </r>
  <r>
    <n v="154161250"/>
    <d v="2023-02-06T00:00:00"/>
    <d v="2023-03-21T00:00:00"/>
    <x v="0"/>
    <n v="39"/>
    <s v="month"/>
    <n v="43"/>
    <x v="4"/>
    <s v="No"/>
    <n v="0"/>
    <n v="1"/>
    <n v="43"/>
  </r>
  <r>
    <n v="150521180"/>
    <d v="2023-02-06T00:00:00"/>
    <d v="2023-06-05T00:00:00"/>
    <x v="0"/>
    <n v="39"/>
    <s v="month"/>
    <n v="119"/>
    <x v="4"/>
    <s v="No"/>
    <n v="0"/>
    <n v="1"/>
    <n v="119"/>
  </r>
  <r>
    <n v="195280988"/>
    <d v="2023-02-06T00:00:00"/>
    <d v="2023-06-21T00:00:00"/>
    <x v="0"/>
    <n v="39"/>
    <s v="month"/>
    <n v="135"/>
    <x v="4"/>
    <s v="No"/>
    <n v="0"/>
    <n v="1"/>
    <n v="135"/>
  </r>
  <r>
    <n v="201231494"/>
    <d v="2023-02-06T00:00:00"/>
    <d v="2023-05-09T00:00:00"/>
    <x v="0"/>
    <n v="39"/>
    <s v="month"/>
    <n v="92"/>
    <x v="4"/>
    <s v="No"/>
    <n v="0"/>
    <n v="1"/>
    <n v="92"/>
  </r>
  <r>
    <n v="199554496"/>
    <d v="2023-02-06T00:00:00"/>
    <d v="2023-02-08T00:00:00"/>
    <x v="0"/>
    <n v="39"/>
    <s v="month"/>
    <n v="2"/>
    <x v="4"/>
    <s v="No"/>
    <n v="1"/>
    <n v="0"/>
    <n v="2"/>
  </r>
  <r>
    <n v="125747106"/>
    <d v="2023-02-06T00:00:00"/>
    <d v="2023-03-04T00:00:00"/>
    <x v="0"/>
    <n v="39"/>
    <s v="month"/>
    <n v="26"/>
    <x v="4"/>
    <s v="No"/>
    <n v="0"/>
    <n v="0"/>
    <n v="26"/>
  </r>
  <r>
    <n v="195345030"/>
    <d v="2023-02-06T00:00:00"/>
    <d v="2023-03-04T00:00:00"/>
    <x v="0"/>
    <n v="39"/>
    <s v="month"/>
    <n v="26"/>
    <x v="4"/>
    <s v="No"/>
    <n v="0"/>
    <n v="0"/>
    <n v="26"/>
  </r>
  <r>
    <n v="202269874"/>
    <d v="2023-02-06T00:00:00"/>
    <d v="2023-03-25T00:00:00"/>
    <x v="0"/>
    <n v="39"/>
    <s v="month"/>
    <n v="47"/>
    <x v="4"/>
    <s v="No"/>
    <n v="0"/>
    <n v="1"/>
    <n v="47"/>
  </r>
  <r>
    <n v="191036527"/>
    <d v="2023-02-06T00:00:00"/>
    <d v="2023-03-07T00:00:00"/>
    <x v="0"/>
    <n v="39"/>
    <s v="month"/>
    <n v="29"/>
    <x v="4"/>
    <s v="No"/>
    <n v="0"/>
    <n v="0"/>
    <n v="29"/>
  </r>
  <r>
    <n v="202633556"/>
    <d v="2023-02-06T00:00:00"/>
    <d v="2023-02-22T00:00:00"/>
    <x v="0"/>
    <n v="39"/>
    <s v="month"/>
    <n v="16"/>
    <x v="4"/>
    <s v="No"/>
    <n v="0"/>
    <n v="0"/>
    <n v="16"/>
  </r>
  <r>
    <n v="202750328"/>
    <d v="2023-02-06T00:00:00"/>
    <d v="2023-08-02T00:00:00"/>
    <x v="0"/>
    <n v="39"/>
    <s v="month"/>
    <n v="177"/>
    <x v="4"/>
    <s v="No"/>
    <n v="0"/>
    <n v="1"/>
    <n v="177"/>
  </r>
  <r>
    <n v="192781688"/>
    <d v="2023-02-07T00:00:00"/>
    <m/>
    <x v="0"/>
    <n v="39"/>
    <s v="month"/>
    <s v=""/>
    <x v="5"/>
    <s v="No"/>
    <n v="0"/>
    <n v="0"/>
    <s v=""/>
  </r>
  <r>
    <n v="196859472"/>
    <d v="2023-02-07T00:00:00"/>
    <m/>
    <x v="0"/>
    <n v="39"/>
    <s v="month"/>
    <s v=""/>
    <x v="5"/>
    <s v="No"/>
    <n v="0"/>
    <n v="0"/>
    <s v=""/>
  </r>
  <r>
    <n v="200333728"/>
    <d v="2023-02-07T00:00:00"/>
    <m/>
    <x v="0"/>
    <n v="39"/>
    <s v="month"/>
    <s v=""/>
    <x v="5"/>
    <s v="No"/>
    <n v="0"/>
    <n v="0"/>
    <s v=""/>
  </r>
  <r>
    <n v="129896329"/>
    <d v="2023-02-07T00:00:00"/>
    <m/>
    <x v="0"/>
    <n v="39"/>
    <s v="month"/>
    <s v=""/>
    <x v="5"/>
    <s v="No"/>
    <n v="0"/>
    <n v="0"/>
    <s v=""/>
  </r>
  <r>
    <n v="168202891"/>
    <d v="2023-02-07T00:00:00"/>
    <d v="2023-02-07T00:00:00"/>
    <x v="1"/>
    <n v="39"/>
    <s v="month"/>
    <n v="0"/>
    <x v="5"/>
    <s v="Yes"/>
    <n v="1"/>
    <n v="0"/>
    <n v="0"/>
  </r>
  <r>
    <n v="202924219"/>
    <d v="2023-02-07T00:00:00"/>
    <d v="2023-06-20T00:00:00"/>
    <x v="0"/>
    <n v="39"/>
    <s v="month"/>
    <n v="133"/>
    <x v="5"/>
    <s v="No"/>
    <n v="0"/>
    <n v="1"/>
    <n v="133"/>
  </r>
  <r>
    <n v="202863670"/>
    <d v="2023-02-07T00:00:00"/>
    <d v="2023-04-14T00:00:00"/>
    <x v="0"/>
    <n v="39"/>
    <s v="month"/>
    <n v="66"/>
    <x v="5"/>
    <s v="No"/>
    <n v="0"/>
    <n v="1"/>
    <n v="66"/>
  </r>
  <r>
    <n v="202398629"/>
    <d v="2023-02-07T00:00:00"/>
    <d v="2023-03-06T00:00:00"/>
    <x v="0"/>
    <n v="39"/>
    <s v="month"/>
    <n v="27"/>
    <x v="5"/>
    <s v="No"/>
    <n v="0"/>
    <n v="0"/>
    <n v="27"/>
  </r>
  <r>
    <n v="188448878"/>
    <d v="2023-02-07T00:00:00"/>
    <d v="2023-02-07T00:00:00"/>
    <x v="0"/>
    <n v="39"/>
    <s v="month"/>
    <n v="0"/>
    <x v="5"/>
    <s v="Yes"/>
    <n v="1"/>
    <n v="0"/>
    <n v="0"/>
  </r>
  <r>
    <n v="203254948"/>
    <d v="2023-02-08T00:00:00"/>
    <m/>
    <x v="0"/>
    <n v="39"/>
    <s v="month"/>
    <s v=""/>
    <x v="6"/>
    <s v="No"/>
    <n v="0"/>
    <n v="0"/>
    <s v=""/>
  </r>
  <r>
    <n v="203120229"/>
    <d v="2023-02-08T00:00:00"/>
    <d v="2023-06-17T00:00:00"/>
    <x v="0"/>
    <n v="39"/>
    <s v="month"/>
    <n v="129"/>
    <x v="6"/>
    <s v="No"/>
    <n v="0"/>
    <n v="1"/>
    <n v="129"/>
  </r>
  <r>
    <n v="203225874"/>
    <d v="2023-02-08T00:00:00"/>
    <d v="2023-05-04T00:00:00"/>
    <x v="0"/>
    <n v="39"/>
    <s v="month"/>
    <n v="85"/>
    <x v="6"/>
    <s v="No"/>
    <n v="0"/>
    <n v="1"/>
    <n v="85"/>
  </r>
  <r>
    <n v="203107308"/>
    <d v="2023-02-08T00:00:00"/>
    <d v="2023-05-16T00:00:00"/>
    <x v="0"/>
    <n v="39"/>
    <s v="month"/>
    <n v="97"/>
    <x v="6"/>
    <s v="No"/>
    <n v="0"/>
    <n v="1"/>
    <n v="97"/>
  </r>
  <r>
    <n v="156558244"/>
    <d v="2023-02-08T00:00:00"/>
    <d v="2023-07-31T00:00:00"/>
    <x v="0"/>
    <n v="39"/>
    <s v="month"/>
    <n v="173"/>
    <x v="6"/>
    <s v="No"/>
    <n v="0"/>
    <n v="1"/>
    <n v="173"/>
  </r>
  <r>
    <n v="194306726"/>
    <d v="2023-02-08T00:00:00"/>
    <d v="2023-03-01T00:00:00"/>
    <x v="0"/>
    <n v="39"/>
    <s v="month"/>
    <n v="21"/>
    <x v="6"/>
    <s v="No"/>
    <n v="0"/>
    <n v="0"/>
    <n v="21"/>
  </r>
  <r>
    <n v="202410948"/>
    <d v="2023-02-08T00:00:00"/>
    <d v="2023-03-15T00:00:00"/>
    <x v="0"/>
    <n v="39"/>
    <s v="month"/>
    <n v="35"/>
    <x v="6"/>
    <s v="No"/>
    <n v="0"/>
    <n v="1"/>
    <n v="35"/>
  </r>
  <r>
    <n v="203166018"/>
    <d v="2023-02-08T00:00:00"/>
    <d v="2023-03-08T00:00:00"/>
    <x v="0"/>
    <n v="39"/>
    <s v="month"/>
    <n v="28"/>
    <x v="6"/>
    <s v="No"/>
    <n v="0"/>
    <n v="0"/>
    <n v="28"/>
  </r>
  <r>
    <n v="203116697"/>
    <d v="2023-02-08T00:00:00"/>
    <d v="2023-03-23T00:00:00"/>
    <x v="0"/>
    <n v="39"/>
    <s v="month"/>
    <n v="43"/>
    <x v="6"/>
    <s v="No"/>
    <n v="0"/>
    <n v="1"/>
    <n v="43"/>
  </r>
  <r>
    <n v="202982608"/>
    <d v="2023-02-08T00:00:00"/>
    <d v="2023-03-02T00:00:00"/>
    <x v="0"/>
    <n v="39"/>
    <s v="month"/>
    <n v="22"/>
    <x v="6"/>
    <s v="No"/>
    <n v="0"/>
    <n v="0"/>
    <n v="22"/>
  </r>
  <r>
    <n v="198167700"/>
    <d v="2023-02-08T00:00:00"/>
    <d v="2023-02-11T00:00:00"/>
    <x v="0"/>
    <n v="39"/>
    <s v="month"/>
    <n v="3"/>
    <x v="6"/>
    <s v="No"/>
    <n v="0"/>
    <n v="0"/>
    <n v="3"/>
  </r>
  <r>
    <n v="190567582"/>
    <d v="2023-02-08T00:00:00"/>
    <d v="2023-02-22T00:00:00"/>
    <x v="0"/>
    <n v="39"/>
    <s v="month"/>
    <n v="14"/>
    <x v="6"/>
    <s v="No"/>
    <n v="0"/>
    <n v="0"/>
    <n v="14"/>
  </r>
  <r>
    <n v="202699972"/>
    <d v="2023-02-08T00:00:00"/>
    <d v="2023-08-07T00:00:00"/>
    <x v="0"/>
    <n v="39"/>
    <s v="month"/>
    <n v="180"/>
    <x v="6"/>
    <s v="No"/>
    <n v="0"/>
    <n v="1"/>
    <n v="180"/>
  </r>
  <r>
    <n v="203242766"/>
    <d v="2023-02-09T00:00:00"/>
    <m/>
    <x v="0"/>
    <n v="39"/>
    <s v="month"/>
    <s v=""/>
    <x v="0"/>
    <s v="No"/>
    <n v="0"/>
    <n v="0"/>
    <s v=""/>
  </r>
  <r>
    <n v="203398103"/>
    <d v="2023-02-09T00:00:00"/>
    <m/>
    <x v="0"/>
    <n v="39"/>
    <s v="month"/>
    <s v=""/>
    <x v="0"/>
    <s v="No"/>
    <n v="0"/>
    <n v="0"/>
    <s v=""/>
  </r>
  <r>
    <n v="203243685"/>
    <d v="2023-02-09T00:00:00"/>
    <m/>
    <x v="0"/>
    <n v="39"/>
    <s v="month"/>
    <s v=""/>
    <x v="0"/>
    <s v="No"/>
    <n v="0"/>
    <n v="0"/>
    <s v=""/>
  </r>
  <r>
    <n v="203370322"/>
    <d v="2023-02-09T00:00:00"/>
    <m/>
    <x v="0"/>
    <n v="39"/>
    <s v="month"/>
    <s v=""/>
    <x v="0"/>
    <s v="No"/>
    <n v="0"/>
    <n v="0"/>
    <s v=""/>
  </r>
  <r>
    <n v="138689458"/>
    <d v="2023-02-09T00:00:00"/>
    <m/>
    <x v="0"/>
    <n v="39"/>
    <s v="month"/>
    <s v=""/>
    <x v="0"/>
    <s v="No"/>
    <n v="0"/>
    <n v="0"/>
    <s v=""/>
  </r>
  <r>
    <n v="203315186"/>
    <d v="2023-02-09T00:00:00"/>
    <m/>
    <x v="0"/>
    <n v="39"/>
    <s v="month"/>
    <s v=""/>
    <x v="0"/>
    <s v="No"/>
    <n v="0"/>
    <n v="0"/>
    <s v=""/>
  </r>
  <r>
    <n v="203292575"/>
    <d v="2023-02-09T00:00:00"/>
    <m/>
    <x v="0"/>
    <n v="39"/>
    <s v="month"/>
    <s v=""/>
    <x v="0"/>
    <s v="No"/>
    <n v="0"/>
    <n v="0"/>
    <s v=""/>
  </r>
  <r>
    <n v="144830936"/>
    <d v="2023-02-09T00:00:00"/>
    <d v="2023-02-10T00:00:00"/>
    <x v="0"/>
    <n v="39"/>
    <s v="month"/>
    <n v="1"/>
    <x v="0"/>
    <s v="No"/>
    <n v="1"/>
    <n v="0"/>
    <n v="1"/>
  </r>
  <r>
    <n v="168980588"/>
    <d v="2023-02-09T00:00:00"/>
    <d v="2023-02-09T00:00:00"/>
    <x v="1"/>
    <n v="39"/>
    <s v="month"/>
    <n v="0"/>
    <x v="0"/>
    <s v="Yes"/>
    <n v="1"/>
    <n v="0"/>
    <n v="0"/>
  </r>
  <r>
    <n v="136832520"/>
    <d v="2023-02-09T00:00:00"/>
    <d v="2023-03-10T00:00:00"/>
    <x v="0"/>
    <n v="39"/>
    <s v="month"/>
    <n v="29"/>
    <x v="0"/>
    <s v="No"/>
    <n v="0"/>
    <n v="0"/>
    <n v="29"/>
  </r>
  <r>
    <n v="202103959"/>
    <d v="2023-02-09T00:00:00"/>
    <d v="2023-05-27T00:00:00"/>
    <x v="0"/>
    <n v="39"/>
    <s v="month"/>
    <n v="107"/>
    <x v="0"/>
    <s v="No"/>
    <n v="0"/>
    <n v="1"/>
    <n v="107"/>
  </r>
  <r>
    <n v="148764147"/>
    <d v="2023-02-09T00:00:00"/>
    <d v="2023-04-08T00:00:00"/>
    <x v="0"/>
    <n v="39"/>
    <s v="month"/>
    <n v="58"/>
    <x v="0"/>
    <s v="No"/>
    <n v="0"/>
    <n v="1"/>
    <n v="58"/>
  </r>
  <r>
    <n v="182748610"/>
    <d v="2023-02-09T00:00:00"/>
    <d v="2023-04-11T00:00:00"/>
    <x v="0"/>
    <n v="39"/>
    <s v="month"/>
    <n v="61"/>
    <x v="0"/>
    <s v="No"/>
    <n v="0"/>
    <n v="1"/>
    <n v="61"/>
  </r>
  <r>
    <n v="197883626"/>
    <d v="2023-02-09T00:00:00"/>
    <d v="2023-03-16T00:00:00"/>
    <x v="0"/>
    <n v="39"/>
    <s v="month"/>
    <n v="35"/>
    <x v="0"/>
    <s v="No"/>
    <n v="0"/>
    <n v="1"/>
    <n v="35"/>
  </r>
  <r>
    <n v="195893842"/>
    <d v="2023-02-09T00:00:00"/>
    <d v="2023-02-28T00:00:00"/>
    <x v="0"/>
    <n v="39"/>
    <s v="month"/>
    <n v="19"/>
    <x v="0"/>
    <s v="No"/>
    <n v="0"/>
    <n v="0"/>
    <n v="19"/>
  </r>
  <r>
    <n v="169081778"/>
    <d v="2023-02-09T00:00:00"/>
    <d v="2023-08-16T00:00:00"/>
    <x v="0"/>
    <n v="39"/>
    <s v="month"/>
    <n v="188"/>
    <x v="0"/>
    <s v="No"/>
    <n v="0"/>
    <n v="1"/>
    <n v="188"/>
  </r>
  <r>
    <n v="150422738"/>
    <d v="2023-02-10T00:00:00"/>
    <d v="2023-02-11T00:00:00"/>
    <x v="0"/>
    <n v="39"/>
    <s v="month"/>
    <n v="1"/>
    <x v="1"/>
    <s v="No"/>
    <n v="1"/>
    <n v="0"/>
    <n v="1"/>
  </r>
  <r>
    <n v="190839721"/>
    <d v="2023-02-10T00:00:00"/>
    <d v="2023-03-17T00:00:00"/>
    <x v="0"/>
    <n v="39"/>
    <s v="month"/>
    <n v="35"/>
    <x v="1"/>
    <s v="No"/>
    <n v="0"/>
    <n v="1"/>
    <n v="35"/>
  </r>
  <r>
    <n v="152193617"/>
    <d v="2023-02-11T00:00:00"/>
    <m/>
    <x v="0"/>
    <n v="39"/>
    <s v="month"/>
    <s v=""/>
    <x v="2"/>
    <s v="No"/>
    <n v="0"/>
    <n v="0"/>
    <s v=""/>
  </r>
  <r>
    <n v="133869989"/>
    <d v="2023-02-11T00:00:00"/>
    <d v="2023-02-12T00:00:00"/>
    <x v="0"/>
    <n v="39"/>
    <s v="month"/>
    <n v="1"/>
    <x v="2"/>
    <s v="No"/>
    <n v="1"/>
    <n v="0"/>
    <n v="1"/>
  </r>
  <r>
    <n v="186843516"/>
    <d v="2023-02-11T00:00:00"/>
    <d v="2023-04-19T00:00:00"/>
    <x v="0"/>
    <n v="39"/>
    <s v="month"/>
    <n v="67"/>
    <x v="2"/>
    <s v="No"/>
    <n v="0"/>
    <n v="1"/>
    <n v="67"/>
  </r>
  <r>
    <n v="138913080"/>
    <d v="2023-02-11T00:00:00"/>
    <d v="2023-04-22T00:00:00"/>
    <x v="0"/>
    <n v="39"/>
    <s v="month"/>
    <n v="70"/>
    <x v="2"/>
    <s v="No"/>
    <n v="0"/>
    <n v="1"/>
    <n v="70"/>
  </r>
  <r>
    <n v="134879280"/>
    <d v="2023-02-11T00:00:00"/>
    <d v="2023-03-07T00:00:00"/>
    <x v="0"/>
    <n v="39"/>
    <s v="month"/>
    <n v="24"/>
    <x v="2"/>
    <s v="No"/>
    <n v="0"/>
    <n v="0"/>
    <n v="24"/>
  </r>
  <r>
    <n v="160878134"/>
    <d v="2023-02-13T00:00:00"/>
    <m/>
    <x v="0"/>
    <n v="39"/>
    <s v="month"/>
    <s v=""/>
    <x v="4"/>
    <s v="No"/>
    <n v="0"/>
    <n v="0"/>
    <s v=""/>
  </r>
  <r>
    <n v="144423338"/>
    <d v="2023-02-13T00:00:00"/>
    <d v="2023-08-21T00:00:00"/>
    <x v="0"/>
    <n v="39"/>
    <s v="month"/>
    <n v="189"/>
    <x v="4"/>
    <s v="No"/>
    <n v="0"/>
    <n v="1"/>
    <n v="189"/>
  </r>
  <r>
    <n v="136218542"/>
    <d v="2023-02-13T00:00:00"/>
    <d v="2023-05-13T00:00:00"/>
    <x v="0"/>
    <n v="39"/>
    <s v="month"/>
    <n v="89"/>
    <x v="4"/>
    <s v="No"/>
    <n v="0"/>
    <n v="1"/>
    <n v="89"/>
  </r>
  <r>
    <n v="204121686"/>
    <d v="2023-02-13T00:00:00"/>
    <d v="2023-06-12T00:00:00"/>
    <x v="0"/>
    <n v="39"/>
    <s v="month"/>
    <n v="119"/>
    <x v="4"/>
    <s v="No"/>
    <n v="0"/>
    <n v="1"/>
    <n v="119"/>
  </r>
  <r>
    <n v="204114138"/>
    <d v="2023-02-13T00:00:00"/>
    <d v="2023-05-10T00:00:00"/>
    <x v="0"/>
    <n v="39"/>
    <s v="month"/>
    <n v="86"/>
    <x v="4"/>
    <s v="No"/>
    <n v="0"/>
    <n v="1"/>
    <n v="86"/>
  </r>
  <r>
    <n v="152197442"/>
    <d v="2023-02-13T00:00:00"/>
    <d v="2023-03-13T00:00:00"/>
    <x v="0"/>
    <n v="39"/>
    <s v="month"/>
    <n v="28"/>
    <x v="4"/>
    <s v="No"/>
    <n v="0"/>
    <n v="0"/>
    <n v="28"/>
  </r>
  <r>
    <n v="151695881"/>
    <d v="2023-02-13T00:00:00"/>
    <d v="2023-03-27T00:00:00"/>
    <x v="0"/>
    <n v="39"/>
    <s v="month"/>
    <n v="42"/>
    <x v="4"/>
    <s v="No"/>
    <n v="0"/>
    <n v="1"/>
    <n v="42"/>
  </r>
  <r>
    <n v="204378294"/>
    <d v="2023-02-14T00:00:00"/>
    <m/>
    <x v="0"/>
    <n v="39"/>
    <s v="month"/>
    <s v=""/>
    <x v="5"/>
    <s v="No"/>
    <n v="0"/>
    <n v="0"/>
    <s v=""/>
  </r>
  <r>
    <n v="204376665"/>
    <d v="2023-02-14T00:00:00"/>
    <m/>
    <x v="0"/>
    <n v="39"/>
    <s v="month"/>
    <s v=""/>
    <x v="5"/>
    <s v="No"/>
    <n v="0"/>
    <n v="0"/>
    <s v=""/>
  </r>
  <r>
    <n v="204270637"/>
    <d v="2023-02-14T00:00:00"/>
    <m/>
    <x v="0"/>
    <n v="39"/>
    <s v="month"/>
    <s v=""/>
    <x v="5"/>
    <s v="No"/>
    <n v="0"/>
    <n v="0"/>
    <s v=""/>
  </r>
  <r>
    <n v="204380751"/>
    <d v="2023-02-14T00:00:00"/>
    <d v="2023-02-14T00:00:00"/>
    <x v="0"/>
    <n v="39"/>
    <s v="month"/>
    <n v="0"/>
    <x v="5"/>
    <s v="Yes"/>
    <n v="1"/>
    <n v="0"/>
    <n v="0"/>
  </r>
  <r>
    <n v="204402989"/>
    <d v="2023-02-14T00:00:00"/>
    <d v="2023-06-08T00:00:00"/>
    <x v="0"/>
    <n v="39"/>
    <s v="month"/>
    <n v="114"/>
    <x v="5"/>
    <s v="No"/>
    <n v="0"/>
    <n v="1"/>
    <n v="114"/>
  </r>
  <r>
    <n v="203403136"/>
    <d v="2023-02-14T00:00:00"/>
    <d v="2023-06-12T00:00:00"/>
    <x v="0"/>
    <n v="39"/>
    <s v="month"/>
    <n v="118"/>
    <x v="5"/>
    <s v="No"/>
    <n v="0"/>
    <n v="1"/>
    <n v="118"/>
  </r>
  <r>
    <n v="198453918"/>
    <d v="2023-02-14T00:00:00"/>
    <d v="2023-05-15T00:00:00"/>
    <x v="0"/>
    <n v="39"/>
    <s v="month"/>
    <n v="90"/>
    <x v="5"/>
    <s v="No"/>
    <n v="0"/>
    <n v="1"/>
    <n v="90"/>
  </r>
  <r>
    <n v="133514912"/>
    <d v="2023-02-14T00:00:00"/>
    <d v="2023-03-07T00:00:00"/>
    <x v="0"/>
    <n v="39"/>
    <s v="month"/>
    <n v="21"/>
    <x v="5"/>
    <s v="No"/>
    <n v="0"/>
    <n v="0"/>
    <n v="21"/>
  </r>
  <r>
    <n v="203414698"/>
    <d v="2023-02-14T00:00:00"/>
    <d v="2023-03-26T00:00:00"/>
    <x v="0"/>
    <n v="39"/>
    <s v="month"/>
    <n v="40"/>
    <x v="5"/>
    <s v="No"/>
    <n v="0"/>
    <n v="1"/>
    <n v="40"/>
  </r>
  <r>
    <n v="190400854"/>
    <d v="2023-02-14T00:00:00"/>
    <d v="2023-07-20T00:00:00"/>
    <x v="0"/>
    <n v="39"/>
    <s v="month"/>
    <n v="156"/>
    <x v="5"/>
    <s v="No"/>
    <n v="0"/>
    <n v="1"/>
    <n v="156"/>
  </r>
  <r>
    <n v="204114797"/>
    <d v="2023-02-14T00:00:00"/>
    <d v="2023-06-18T00:00:00"/>
    <x v="0"/>
    <n v="39"/>
    <s v="month"/>
    <n v="124"/>
    <x v="5"/>
    <s v="No"/>
    <n v="0"/>
    <n v="1"/>
    <n v="124"/>
  </r>
  <r>
    <n v="202377942"/>
    <d v="2023-02-15T00:00:00"/>
    <m/>
    <x v="0"/>
    <n v="39"/>
    <s v="month"/>
    <s v=""/>
    <x v="6"/>
    <s v="No"/>
    <n v="0"/>
    <n v="0"/>
    <s v=""/>
  </r>
  <r>
    <n v="204555612"/>
    <d v="2023-02-15T00:00:00"/>
    <d v="2023-02-15T00:00:00"/>
    <x v="1"/>
    <n v="39"/>
    <s v="month"/>
    <n v="0"/>
    <x v="6"/>
    <s v="Yes"/>
    <n v="1"/>
    <n v="0"/>
    <n v="0"/>
  </r>
  <r>
    <n v="204556376"/>
    <d v="2023-02-15T00:00:00"/>
    <d v="2023-02-15T00:00:00"/>
    <x v="1"/>
    <n v="39"/>
    <s v="month"/>
    <n v="0"/>
    <x v="6"/>
    <s v="Yes"/>
    <n v="1"/>
    <n v="0"/>
    <n v="0"/>
  </r>
  <r>
    <n v="204515997"/>
    <d v="2023-02-15T00:00:00"/>
    <d v="2023-06-14T00:00:00"/>
    <x v="0"/>
    <n v="39"/>
    <s v="month"/>
    <n v="119"/>
    <x v="6"/>
    <s v="No"/>
    <n v="0"/>
    <n v="1"/>
    <n v="119"/>
  </r>
  <r>
    <n v="153342734"/>
    <d v="2023-02-15T00:00:00"/>
    <d v="2023-03-22T00:00:00"/>
    <x v="0"/>
    <n v="39"/>
    <s v="month"/>
    <n v="35"/>
    <x v="6"/>
    <s v="No"/>
    <n v="0"/>
    <n v="1"/>
    <n v="35"/>
  </r>
  <r>
    <n v="204650391"/>
    <d v="2023-02-16T00:00:00"/>
    <m/>
    <x v="0"/>
    <n v="39"/>
    <s v="month"/>
    <s v=""/>
    <x v="0"/>
    <s v="No"/>
    <n v="0"/>
    <n v="0"/>
    <s v=""/>
  </r>
  <r>
    <n v="150906486"/>
    <d v="2023-02-16T00:00:00"/>
    <d v="2023-03-17T00:00:00"/>
    <x v="0"/>
    <n v="39"/>
    <s v="month"/>
    <n v="29"/>
    <x v="0"/>
    <s v="No"/>
    <n v="0"/>
    <n v="0"/>
    <n v="29"/>
  </r>
  <r>
    <n v="153961940"/>
    <d v="2023-02-16T00:00:00"/>
    <d v="2023-02-16T00:00:00"/>
    <x v="0"/>
    <n v="39"/>
    <s v="month"/>
    <n v="0"/>
    <x v="0"/>
    <s v="Yes"/>
    <n v="1"/>
    <n v="0"/>
    <n v="0"/>
  </r>
  <r>
    <n v="154175766"/>
    <d v="2023-02-16T00:00:00"/>
    <d v="2023-03-15T00:00:00"/>
    <x v="0"/>
    <n v="39"/>
    <s v="month"/>
    <n v="27"/>
    <x v="0"/>
    <s v="No"/>
    <n v="0"/>
    <n v="0"/>
    <n v="27"/>
  </r>
  <r>
    <n v="204631298"/>
    <d v="2023-02-16T00:00:00"/>
    <d v="2023-04-17T00:00:00"/>
    <x v="0"/>
    <n v="39"/>
    <s v="month"/>
    <n v="60"/>
    <x v="0"/>
    <s v="No"/>
    <n v="0"/>
    <n v="1"/>
    <n v="60"/>
  </r>
  <r>
    <n v="195534585"/>
    <d v="2023-02-16T00:00:00"/>
    <d v="2023-04-14T00:00:00"/>
    <x v="0"/>
    <n v="39"/>
    <s v="month"/>
    <n v="57"/>
    <x v="0"/>
    <s v="No"/>
    <n v="0"/>
    <n v="1"/>
    <n v="57"/>
  </r>
  <r>
    <n v="176421166"/>
    <d v="2023-02-16T00:00:00"/>
    <d v="2023-04-14T00:00:00"/>
    <x v="0"/>
    <n v="39"/>
    <s v="month"/>
    <n v="57"/>
    <x v="0"/>
    <s v="No"/>
    <n v="0"/>
    <n v="1"/>
    <n v="57"/>
  </r>
  <r>
    <n v="204679416"/>
    <d v="2023-02-16T00:00:00"/>
    <d v="2023-03-17T00:00:00"/>
    <x v="0"/>
    <n v="39"/>
    <s v="month"/>
    <n v="29"/>
    <x v="0"/>
    <s v="No"/>
    <n v="0"/>
    <n v="0"/>
    <n v="29"/>
  </r>
  <r>
    <n v="204448721"/>
    <d v="2023-02-16T00:00:00"/>
    <d v="2023-02-18T00:00:00"/>
    <x v="0"/>
    <n v="39"/>
    <s v="month"/>
    <n v="2"/>
    <x v="0"/>
    <s v="No"/>
    <n v="1"/>
    <n v="0"/>
    <n v="2"/>
  </r>
  <r>
    <n v="151908347"/>
    <d v="2023-02-16T00:00:00"/>
    <d v="2023-06-18T00:00:00"/>
    <x v="0"/>
    <n v="39"/>
    <s v="month"/>
    <n v="122"/>
    <x v="0"/>
    <s v="No"/>
    <n v="0"/>
    <n v="1"/>
    <n v="122"/>
  </r>
  <r>
    <n v="150652956"/>
    <d v="2023-02-17T00:00:00"/>
    <d v="2023-02-18T00:00:00"/>
    <x v="0"/>
    <n v="39"/>
    <s v="month"/>
    <n v="1"/>
    <x v="1"/>
    <s v="No"/>
    <n v="1"/>
    <n v="0"/>
    <n v="1"/>
  </r>
  <r>
    <n v="183321644"/>
    <d v="2023-02-17T00:00:00"/>
    <d v="2023-02-17T00:00:00"/>
    <x v="1"/>
    <n v="39"/>
    <s v="month"/>
    <n v="0"/>
    <x v="1"/>
    <s v="Yes"/>
    <n v="1"/>
    <n v="0"/>
    <n v="0"/>
  </r>
  <r>
    <n v="204740476"/>
    <d v="2023-02-17T00:00:00"/>
    <d v="2023-03-14T00:00:00"/>
    <x v="1"/>
    <n v="39"/>
    <s v="month"/>
    <n v="25"/>
    <x v="1"/>
    <s v="No"/>
    <n v="0"/>
    <n v="0"/>
    <n v="25"/>
  </r>
  <r>
    <n v="204439086"/>
    <d v="2023-02-17T00:00:00"/>
    <d v="2023-06-16T00:00:00"/>
    <x v="0"/>
    <n v="39"/>
    <s v="month"/>
    <n v="119"/>
    <x v="1"/>
    <s v="No"/>
    <n v="0"/>
    <n v="1"/>
    <n v="119"/>
  </r>
  <r>
    <n v="204685109"/>
    <d v="2023-02-17T00:00:00"/>
    <d v="2023-05-23T00:00:00"/>
    <x v="0"/>
    <n v="39"/>
    <s v="month"/>
    <n v="95"/>
    <x v="1"/>
    <s v="No"/>
    <n v="0"/>
    <n v="1"/>
    <n v="95"/>
  </r>
  <r>
    <n v="175211528"/>
    <d v="2023-02-17T00:00:00"/>
    <d v="2023-02-23T00:00:00"/>
    <x v="0"/>
    <n v="39"/>
    <s v="month"/>
    <n v="6"/>
    <x v="1"/>
    <s v="No"/>
    <n v="0"/>
    <n v="0"/>
    <n v="6"/>
  </r>
  <r>
    <n v="204646698"/>
    <d v="2023-02-17T00:00:00"/>
    <d v="2023-02-17T00:00:00"/>
    <x v="0"/>
    <n v="39"/>
    <s v="month"/>
    <n v="0"/>
    <x v="1"/>
    <s v="Yes"/>
    <n v="1"/>
    <n v="0"/>
    <n v="0"/>
  </r>
  <r>
    <n v="204728203"/>
    <d v="2023-02-17T00:00:00"/>
    <d v="2023-08-06T00:00:00"/>
    <x v="0"/>
    <n v="39"/>
    <s v="month"/>
    <n v="170"/>
    <x v="1"/>
    <s v="No"/>
    <n v="0"/>
    <n v="1"/>
    <n v="170"/>
  </r>
  <r>
    <n v="166674547"/>
    <d v="2023-02-17T00:00:00"/>
    <d v="2023-06-22T00:00:00"/>
    <x v="0"/>
    <n v="39"/>
    <s v="month"/>
    <n v="125"/>
    <x v="1"/>
    <s v="No"/>
    <n v="0"/>
    <n v="1"/>
    <n v="125"/>
  </r>
  <r>
    <n v="202459470"/>
    <d v="2023-02-18T00:00:00"/>
    <m/>
    <x v="0"/>
    <n v="39"/>
    <s v="month"/>
    <s v=""/>
    <x v="2"/>
    <s v="No"/>
    <n v="0"/>
    <n v="0"/>
    <s v=""/>
  </r>
  <r>
    <n v="155508761"/>
    <d v="2023-02-18T00:00:00"/>
    <m/>
    <x v="0"/>
    <n v="39"/>
    <s v="month"/>
    <s v=""/>
    <x v="2"/>
    <s v="No"/>
    <n v="0"/>
    <n v="0"/>
    <s v=""/>
  </r>
  <r>
    <n v="168484421"/>
    <d v="2023-02-18T00:00:00"/>
    <d v="2023-02-18T00:00:00"/>
    <x v="1"/>
    <n v="39"/>
    <s v="month"/>
    <n v="0"/>
    <x v="2"/>
    <s v="Yes"/>
    <n v="1"/>
    <n v="0"/>
    <n v="0"/>
  </r>
  <r>
    <n v="130864124"/>
    <d v="2023-02-18T00:00:00"/>
    <d v="2023-02-19T00:00:00"/>
    <x v="0"/>
    <n v="39"/>
    <s v="month"/>
    <n v="1"/>
    <x v="2"/>
    <s v="No"/>
    <n v="1"/>
    <n v="0"/>
    <n v="1"/>
  </r>
  <r>
    <n v="204752959"/>
    <d v="2023-02-18T00:00:00"/>
    <d v="2023-06-25T00:00:00"/>
    <x v="0"/>
    <n v="39"/>
    <s v="month"/>
    <n v="127"/>
    <x v="2"/>
    <s v="No"/>
    <n v="0"/>
    <n v="1"/>
    <n v="127"/>
  </r>
  <r>
    <n v="204761235"/>
    <d v="2023-02-18T00:00:00"/>
    <d v="2023-05-17T00:00:00"/>
    <x v="0"/>
    <n v="39"/>
    <s v="month"/>
    <n v="88"/>
    <x v="2"/>
    <s v="No"/>
    <n v="0"/>
    <n v="1"/>
    <n v="88"/>
  </r>
  <r>
    <n v="159142615"/>
    <d v="2023-02-18T00:00:00"/>
    <d v="2023-05-28T00:00:00"/>
    <x v="0"/>
    <n v="39"/>
    <s v="month"/>
    <n v="99"/>
    <x v="2"/>
    <s v="No"/>
    <n v="0"/>
    <n v="1"/>
    <n v="99"/>
  </r>
  <r>
    <n v="204753316"/>
    <d v="2023-02-18T00:00:00"/>
    <d v="2023-03-25T00:00:00"/>
    <x v="0"/>
    <n v="39"/>
    <s v="month"/>
    <n v="35"/>
    <x v="2"/>
    <s v="No"/>
    <n v="0"/>
    <n v="1"/>
    <n v="35"/>
  </r>
  <r>
    <n v="195188483"/>
    <d v="2023-02-19T00:00:00"/>
    <m/>
    <x v="0"/>
    <n v="39"/>
    <s v="month"/>
    <s v=""/>
    <x v="3"/>
    <s v="No"/>
    <n v="0"/>
    <n v="0"/>
    <s v=""/>
  </r>
  <r>
    <n v="204773056"/>
    <d v="2023-02-19T00:00:00"/>
    <m/>
    <x v="0"/>
    <n v="39"/>
    <s v="month"/>
    <s v=""/>
    <x v="3"/>
    <s v="No"/>
    <n v="0"/>
    <n v="0"/>
    <s v=""/>
  </r>
  <r>
    <n v="204814698"/>
    <d v="2023-02-19T00:00:00"/>
    <d v="2023-08-22T00:00:00"/>
    <x v="0"/>
    <n v="39"/>
    <s v="month"/>
    <n v="184"/>
    <x v="3"/>
    <s v="No"/>
    <n v="0"/>
    <n v="1"/>
    <n v="184"/>
  </r>
  <r>
    <n v="204732463"/>
    <d v="2023-02-19T00:00:00"/>
    <d v="2023-06-12T00:00:00"/>
    <x v="0"/>
    <n v="39"/>
    <s v="month"/>
    <n v="113"/>
    <x v="3"/>
    <s v="No"/>
    <n v="0"/>
    <n v="1"/>
    <n v="113"/>
  </r>
  <r>
    <n v="204772360"/>
    <d v="2023-02-19T00:00:00"/>
    <d v="2023-04-18T00:00:00"/>
    <x v="0"/>
    <n v="39"/>
    <s v="month"/>
    <n v="58"/>
    <x v="3"/>
    <s v="No"/>
    <n v="0"/>
    <n v="1"/>
    <n v="58"/>
  </r>
  <r>
    <n v="204812582"/>
    <d v="2023-02-19T00:00:00"/>
    <d v="2023-04-07T00:00:00"/>
    <x v="0"/>
    <n v="39"/>
    <s v="month"/>
    <n v="47"/>
    <x v="3"/>
    <s v="No"/>
    <n v="0"/>
    <n v="1"/>
    <n v="47"/>
  </r>
  <r>
    <n v="204662556"/>
    <d v="2023-02-19T00:00:00"/>
    <d v="2023-04-02T00:00:00"/>
    <x v="0"/>
    <n v="39"/>
    <s v="month"/>
    <n v="42"/>
    <x v="3"/>
    <s v="No"/>
    <n v="0"/>
    <n v="1"/>
    <n v="42"/>
  </r>
  <r>
    <n v="163781430"/>
    <d v="2023-02-19T00:00:00"/>
    <d v="2023-04-26T00:00:00"/>
    <x v="0"/>
    <n v="39"/>
    <s v="month"/>
    <n v="66"/>
    <x v="3"/>
    <s v="No"/>
    <n v="0"/>
    <n v="1"/>
    <n v="66"/>
  </r>
  <r>
    <n v="143963064"/>
    <d v="2023-02-19T00:00:00"/>
    <d v="2023-07-18T00:00:00"/>
    <x v="0"/>
    <n v="39"/>
    <s v="month"/>
    <n v="149"/>
    <x v="3"/>
    <s v="No"/>
    <n v="0"/>
    <n v="1"/>
    <n v="149"/>
  </r>
  <r>
    <n v="204797166"/>
    <d v="2023-02-19T00:00:00"/>
    <d v="2023-03-06T00:00:00"/>
    <x v="0"/>
    <n v="39"/>
    <s v="month"/>
    <n v="15"/>
    <x v="3"/>
    <s v="No"/>
    <n v="0"/>
    <n v="0"/>
    <n v="15"/>
  </r>
  <r>
    <n v="204774421"/>
    <d v="2023-02-19T00:00:00"/>
    <d v="2023-03-14T00:00:00"/>
    <x v="0"/>
    <n v="39"/>
    <s v="month"/>
    <n v="23"/>
    <x v="3"/>
    <s v="No"/>
    <n v="0"/>
    <n v="0"/>
    <n v="23"/>
  </r>
  <r>
    <n v="204801675"/>
    <d v="2023-02-19T00:00:00"/>
    <d v="2023-03-22T00:00:00"/>
    <x v="0"/>
    <n v="39"/>
    <s v="month"/>
    <n v="31"/>
    <x v="3"/>
    <s v="No"/>
    <n v="0"/>
    <n v="1"/>
    <n v="31"/>
  </r>
  <r>
    <n v="204518099"/>
    <d v="2023-02-19T00:00:00"/>
    <d v="2023-02-24T00:00:00"/>
    <x v="0"/>
    <n v="39"/>
    <s v="month"/>
    <n v="5"/>
    <x v="3"/>
    <s v="No"/>
    <n v="0"/>
    <n v="0"/>
    <n v="5"/>
  </r>
  <r>
    <n v="204814320"/>
    <d v="2023-02-20T00:00:00"/>
    <m/>
    <x v="0"/>
    <n v="39"/>
    <s v="month"/>
    <s v=""/>
    <x v="4"/>
    <s v="No"/>
    <n v="0"/>
    <n v="0"/>
    <s v=""/>
  </r>
  <r>
    <n v="126851221"/>
    <d v="2023-02-20T00:00:00"/>
    <m/>
    <x v="0"/>
    <n v="39"/>
    <s v="month"/>
    <s v=""/>
    <x v="4"/>
    <s v="No"/>
    <n v="0"/>
    <n v="0"/>
    <s v=""/>
  </r>
  <r>
    <n v="204845935"/>
    <d v="2023-02-20T00:00:00"/>
    <m/>
    <x v="0"/>
    <n v="39"/>
    <s v="month"/>
    <s v=""/>
    <x v="4"/>
    <s v="No"/>
    <n v="0"/>
    <n v="0"/>
    <s v=""/>
  </r>
  <r>
    <n v="122215146"/>
    <d v="2023-02-20T00:00:00"/>
    <d v="2023-02-21T00:00:00"/>
    <x v="0"/>
    <n v="39"/>
    <s v="month"/>
    <n v="1"/>
    <x v="4"/>
    <s v="No"/>
    <n v="1"/>
    <n v="0"/>
    <n v="1"/>
  </r>
  <r>
    <n v="147300748"/>
    <d v="2023-02-20T00:00:00"/>
    <d v="2023-07-12T00:00:00"/>
    <x v="0"/>
    <n v="39"/>
    <s v="month"/>
    <n v="142"/>
    <x v="4"/>
    <s v="No"/>
    <n v="0"/>
    <n v="1"/>
    <n v="142"/>
  </r>
  <r>
    <n v="162596645"/>
    <d v="2023-02-20T00:00:00"/>
    <d v="2023-06-28T00:00:00"/>
    <x v="0"/>
    <n v="39"/>
    <s v="month"/>
    <n v="128"/>
    <x v="4"/>
    <s v="No"/>
    <n v="0"/>
    <n v="1"/>
    <n v="128"/>
  </r>
  <r>
    <n v="177666771"/>
    <d v="2023-02-20T00:00:00"/>
    <d v="2023-06-12T00:00:00"/>
    <x v="0"/>
    <n v="39"/>
    <s v="month"/>
    <n v="112"/>
    <x v="4"/>
    <s v="No"/>
    <n v="0"/>
    <n v="1"/>
    <n v="112"/>
  </r>
  <r>
    <n v="204884248"/>
    <d v="2023-02-20T00:00:00"/>
    <d v="2023-05-02T00:00:00"/>
    <x v="0"/>
    <n v="39"/>
    <s v="month"/>
    <n v="71"/>
    <x v="4"/>
    <s v="No"/>
    <n v="0"/>
    <n v="1"/>
    <n v="71"/>
  </r>
  <r>
    <n v="204826054"/>
    <d v="2023-02-20T00:00:00"/>
    <d v="2023-05-31T00:00:00"/>
    <x v="0"/>
    <n v="39"/>
    <s v="month"/>
    <n v="100"/>
    <x v="4"/>
    <s v="No"/>
    <n v="0"/>
    <n v="1"/>
    <n v="100"/>
  </r>
  <r>
    <n v="145096572"/>
    <d v="2023-02-20T00:00:00"/>
    <d v="2023-03-14T00:00:00"/>
    <x v="0"/>
    <n v="39"/>
    <s v="month"/>
    <n v="22"/>
    <x v="4"/>
    <s v="No"/>
    <n v="0"/>
    <n v="0"/>
    <n v="22"/>
  </r>
  <r>
    <n v="158472404"/>
    <d v="2023-02-20T00:00:00"/>
    <d v="2023-03-10T00:00:00"/>
    <x v="0"/>
    <n v="39"/>
    <s v="month"/>
    <n v="18"/>
    <x v="4"/>
    <s v="No"/>
    <n v="0"/>
    <n v="0"/>
    <n v="18"/>
  </r>
  <r>
    <n v="204907118"/>
    <d v="2023-02-20T00:00:00"/>
    <d v="2023-04-10T00:00:00"/>
    <x v="0"/>
    <n v="39"/>
    <s v="month"/>
    <n v="49"/>
    <x v="4"/>
    <s v="No"/>
    <n v="0"/>
    <n v="1"/>
    <n v="49"/>
  </r>
  <r>
    <n v="204602410"/>
    <d v="2023-02-20T00:00:00"/>
    <d v="2023-03-20T00:00:00"/>
    <x v="0"/>
    <n v="39"/>
    <s v="month"/>
    <n v="28"/>
    <x v="4"/>
    <s v="No"/>
    <n v="0"/>
    <n v="0"/>
    <n v="28"/>
  </r>
  <r>
    <n v="204853460"/>
    <d v="2023-02-20T00:00:00"/>
    <d v="2023-07-19T00:00:00"/>
    <x v="0"/>
    <n v="39"/>
    <s v="month"/>
    <n v="149"/>
    <x v="4"/>
    <s v="No"/>
    <n v="0"/>
    <n v="1"/>
    <n v="149"/>
  </r>
  <r>
    <n v="194310997"/>
    <d v="2023-02-20T00:00:00"/>
    <d v="2023-07-17T00:00:00"/>
    <x v="0"/>
    <n v="39"/>
    <s v="month"/>
    <n v="147"/>
    <x v="4"/>
    <s v="No"/>
    <n v="0"/>
    <n v="1"/>
    <n v="147"/>
  </r>
  <r>
    <n v="204902258"/>
    <d v="2023-02-21T00:00:00"/>
    <m/>
    <x v="0"/>
    <n v="39"/>
    <s v="month"/>
    <s v=""/>
    <x v="5"/>
    <s v="No"/>
    <n v="0"/>
    <n v="0"/>
    <s v=""/>
  </r>
  <r>
    <n v="162865034"/>
    <d v="2023-02-21T00:00:00"/>
    <d v="2023-03-28T00:00:00"/>
    <x v="0"/>
    <n v="39"/>
    <s v="month"/>
    <n v="35"/>
    <x v="5"/>
    <s v="No"/>
    <n v="0"/>
    <n v="1"/>
    <n v="35"/>
  </r>
  <r>
    <n v="204467695"/>
    <d v="2023-02-21T00:00:00"/>
    <d v="2023-05-09T00:00:00"/>
    <x v="0"/>
    <n v="39"/>
    <s v="month"/>
    <n v="77"/>
    <x v="5"/>
    <s v="No"/>
    <n v="0"/>
    <n v="1"/>
    <n v="77"/>
  </r>
  <r>
    <n v="204774193"/>
    <d v="2023-02-21T00:00:00"/>
    <d v="2023-05-30T00:00:00"/>
    <x v="0"/>
    <n v="39"/>
    <s v="month"/>
    <n v="98"/>
    <x v="5"/>
    <s v="No"/>
    <n v="0"/>
    <n v="1"/>
    <n v="98"/>
  </r>
  <r>
    <n v="189046085"/>
    <d v="2023-02-21T00:00:00"/>
    <d v="2023-05-18T00:00:00"/>
    <x v="0"/>
    <n v="39"/>
    <s v="month"/>
    <n v="86"/>
    <x v="5"/>
    <s v="No"/>
    <n v="0"/>
    <n v="1"/>
    <n v="86"/>
  </r>
  <r>
    <n v="188082436"/>
    <d v="2023-02-21T00:00:00"/>
    <d v="2023-04-04T00:00:00"/>
    <x v="0"/>
    <n v="39"/>
    <s v="month"/>
    <n v="42"/>
    <x v="5"/>
    <s v="No"/>
    <n v="0"/>
    <n v="1"/>
    <n v="42"/>
  </r>
  <r>
    <n v="204947361"/>
    <d v="2023-02-21T00:00:00"/>
    <d v="2023-04-05T00:00:00"/>
    <x v="0"/>
    <n v="39"/>
    <s v="month"/>
    <n v="43"/>
    <x v="5"/>
    <s v="No"/>
    <n v="0"/>
    <n v="1"/>
    <n v="43"/>
  </r>
  <r>
    <n v="158852962"/>
    <d v="2023-02-21T00:00:00"/>
    <d v="2023-04-14T00:00:00"/>
    <x v="0"/>
    <n v="39"/>
    <s v="month"/>
    <n v="52"/>
    <x v="5"/>
    <s v="No"/>
    <n v="0"/>
    <n v="1"/>
    <n v="52"/>
  </r>
  <r>
    <n v="204742960"/>
    <d v="2023-02-21T00:00:00"/>
    <d v="2023-03-06T00:00:00"/>
    <x v="0"/>
    <n v="39"/>
    <s v="month"/>
    <n v="13"/>
    <x v="5"/>
    <s v="No"/>
    <n v="0"/>
    <n v="0"/>
    <n v="13"/>
  </r>
  <r>
    <n v="204726042"/>
    <d v="2023-02-21T00:00:00"/>
    <d v="2023-03-17T00:00:00"/>
    <x v="0"/>
    <n v="39"/>
    <s v="month"/>
    <n v="24"/>
    <x v="5"/>
    <s v="No"/>
    <n v="0"/>
    <n v="0"/>
    <n v="24"/>
  </r>
  <r>
    <n v="204997225"/>
    <d v="2023-02-22T00:00:00"/>
    <m/>
    <x v="0"/>
    <n v="39"/>
    <s v="month"/>
    <s v=""/>
    <x v="6"/>
    <s v="No"/>
    <n v="0"/>
    <n v="0"/>
    <s v=""/>
  </r>
  <r>
    <n v="126103612"/>
    <d v="2023-02-22T00:00:00"/>
    <m/>
    <x v="0"/>
    <n v="39"/>
    <s v="month"/>
    <s v=""/>
    <x v="6"/>
    <s v="No"/>
    <n v="0"/>
    <n v="0"/>
    <s v=""/>
  </r>
  <r>
    <n v="204934860"/>
    <d v="2023-02-22T00:00:00"/>
    <d v="2023-02-23T00:00:00"/>
    <x v="1"/>
    <n v="39"/>
    <s v="month"/>
    <n v="1"/>
    <x v="6"/>
    <s v="No"/>
    <n v="1"/>
    <n v="0"/>
    <n v="1"/>
  </r>
  <r>
    <n v="197086298"/>
    <d v="2023-02-22T00:00:00"/>
    <d v="2023-05-02T00:00:00"/>
    <x v="0"/>
    <n v="39"/>
    <s v="month"/>
    <n v="69"/>
    <x v="6"/>
    <s v="No"/>
    <n v="0"/>
    <n v="1"/>
    <n v="69"/>
  </r>
  <r>
    <n v="204732760"/>
    <d v="2023-02-22T00:00:00"/>
    <d v="2023-04-21T00:00:00"/>
    <x v="0"/>
    <n v="39"/>
    <s v="month"/>
    <n v="58"/>
    <x v="6"/>
    <s v="No"/>
    <n v="0"/>
    <n v="1"/>
    <n v="58"/>
  </r>
  <r>
    <n v="204985175"/>
    <d v="2023-02-22T00:00:00"/>
    <d v="2023-04-13T00:00:00"/>
    <x v="0"/>
    <n v="39"/>
    <s v="month"/>
    <n v="50"/>
    <x v="6"/>
    <s v="No"/>
    <n v="0"/>
    <n v="1"/>
    <n v="50"/>
  </r>
  <r>
    <n v="189387698"/>
    <d v="2023-02-22T00:00:00"/>
    <d v="2023-04-07T00:00:00"/>
    <x v="0"/>
    <n v="39"/>
    <s v="month"/>
    <n v="44"/>
    <x v="6"/>
    <s v="No"/>
    <n v="0"/>
    <n v="1"/>
    <n v="44"/>
  </r>
  <r>
    <n v="144160302"/>
    <d v="2023-02-22T00:00:00"/>
    <d v="2023-04-06T00:00:00"/>
    <x v="0"/>
    <n v="39"/>
    <s v="month"/>
    <n v="43"/>
    <x v="6"/>
    <s v="No"/>
    <n v="0"/>
    <n v="1"/>
    <n v="43"/>
  </r>
  <r>
    <n v="195774465"/>
    <d v="2023-02-22T00:00:00"/>
    <d v="2023-04-29T00:00:00"/>
    <x v="0"/>
    <n v="39"/>
    <s v="month"/>
    <n v="66"/>
    <x v="6"/>
    <s v="No"/>
    <n v="0"/>
    <n v="1"/>
    <n v="66"/>
  </r>
  <r>
    <n v="204890622"/>
    <d v="2023-02-22T00:00:00"/>
    <d v="2023-03-18T00:00:00"/>
    <x v="0"/>
    <n v="39"/>
    <s v="month"/>
    <n v="24"/>
    <x v="6"/>
    <s v="No"/>
    <n v="0"/>
    <n v="0"/>
    <n v="24"/>
  </r>
  <r>
    <n v="204206841"/>
    <d v="2023-02-22T00:00:00"/>
    <d v="2023-03-08T00:00:00"/>
    <x v="0"/>
    <n v="39"/>
    <s v="month"/>
    <n v="14"/>
    <x v="6"/>
    <s v="No"/>
    <n v="0"/>
    <n v="0"/>
    <n v="14"/>
  </r>
  <r>
    <n v="204955216"/>
    <d v="2023-02-22T00:00:00"/>
    <d v="2023-03-20T00:00:00"/>
    <x v="0"/>
    <n v="39"/>
    <s v="month"/>
    <n v="26"/>
    <x v="6"/>
    <s v="No"/>
    <n v="0"/>
    <n v="0"/>
    <n v="26"/>
  </r>
  <r>
    <n v="204992891"/>
    <d v="2023-02-22T00:00:00"/>
    <d v="2023-08-03T00:00:00"/>
    <x v="0"/>
    <n v="39"/>
    <s v="month"/>
    <n v="162"/>
    <x v="6"/>
    <s v="No"/>
    <n v="0"/>
    <n v="1"/>
    <n v="162"/>
  </r>
  <r>
    <n v="139152786"/>
    <d v="2023-02-23T00:00:00"/>
    <m/>
    <x v="0"/>
    <n v="39"/>
    <s v="month"/>
    <s v=""/>
    <x v="0"/>
    <s v="No"/>
    <n v="0"/>
    <n v="0"/>
    <s v=""/>
  </r>
  <r>
    <n v="204753108"/>
    <d v="2023-02-23T00:00:00"/>
    <m/>
    <x v="0"/>
    <n v="39"/>
    <s v="month"/>
    <s v=""/>
    <x v="0"/>
    <s v="No"/>
    <n v="0"/>
    <n v="0"/>
    <s v=""/>
  </r>
  <r>
    <n v="136703646"/>
    <d v="2023-02-23T00:00:00"/>
    <d v="2023-04-07T00:00:00"/>
    <x v="0"/>
    <n v="39"/>
    <s v="month"/>
    <n v="43"/>
    <x v="0"/>
    <s v="No"/>
    <n v="0"/>
    <n v="1"/>
    <n v="43"/>
  </r>
  <r>
    <n v="204294672"/>
    <d v="2023-02-23T00:00:00"/>
    <d v="2023-05-31T00:00:00"/>
    <x v="0"/>
    <n v="39"/>
    <s v="month"/>
    <n v="97"/>
    <x v="0"/>
    <s v="No"/>
    <n v="0"/>
    <n v="1"/>
    <n v="97"/>
  </r>
  <r>
    <n v="189505981"/>
    <d v="2023-02-23T00:00:00"/>
    <d v="2023-04-30T00:00:00"/>
    <x v="0"/>
    <n v="39"/>
    <s v="month"/>
    <n v="66"/>
    <x v="0"/>
    <s v="No"/>
    <n v="0"/>
    <n v="1"/>
    <n v="66"/>
  </r>
  <r>
    <n v="115899168"/>
    <d v="2023-02-23T00:00:00"/>
    <d v="2023-04-03T00:00:00"/>
    <x v="0"/>
    <n v="39"/>
    <s v="month"/>
    <n v="39"/>
    <x v="0"/>
    <s v="No"/>
    <n v="0"/>
    <n v="1"/>
    <n v="39"/>
  </r>
  <r>
    <n v="200117920"/>
    <d v="2023-02-23T00:00:00"/>
    <d v="2023-03-22T00:00:00"/>
    <x v="0"/>
    <n v="39"/>
    <s v="month"/>
    <n v="27"/>
    <x v="0"/>
    <s v="No"/>
    <n v="0"/>
    <n v="0"/>
    <n v="27"/>
  </r>
  <r>
    <n v="205057455"/>
    <d v="2023-02-23T00:00:00"/>
    <d v="2023-03-26T00:00:00"/>
    <x v="0"/>
    <n v="39"/>
    <s v="month"/>
    <n v="31"/>
    <x v="0"/>
    <s v="No"/>
    <n v="0"/>
    <n v="1"/>
    <n v="31"/>
  </r>
  <r>
    <n v="205028691"/>
    <d v="2023-02-23T00:00:00"/>
    <d v="2023-03-10T00:00:00"/>
    <x v="0"/>
    <n v="39"/>
    <s v="month"/>
    <n v="15"/>
    <x v="0"/>
    <s v="No"/>
    <n v="0"/>
    <n v="0"/>
    <n v="15"/>
  </r>
  <r>
    <n v="204857146"/>
    <d v="2023-02-23T00:00:00"/>
    <d v="2023-03-10T00:00:00"/>
    <x v="0"/>
    <n v="39"/>
    <s v="month"/>
    <n v="15"/>
    <x v="0"/>
    <s v="No"/>
    <n v="0"/>
    <n v="0"/>
    <n v="15"/>
  </r>
  <r>
    <n v="134131772"/>
    <d v="2023-02-24T00:00:00"/>
    <d v="2023-06-16T00:00:00"/>
    <x v="0"/>
    <n v="39"/>
    <s v="month"/>
    <n v="112"/>
    <x v="1"/>
    <s v="No"/>
    <n v="0"/>
    <n v="1"/>
    <n v="112"/>
  </r>
  <r>
    <n v="148942254"/>
    <d v="2023-02-24T00:00:00"/>
    <d v="2023-06-11T00:00:00"/>
    <x v="0"/>
    <n v="39"/>
    <s v="month"/>
    <n v="107"/>
    <x v="1"/>
    <s v="No"/>
    <n v="0"/>
    <n v="1"/>
    <n v="107"/>
  </r>
  <r>
    <n v="204512235"/>
    <d v="2023-02-24T00:00:00"/>
    <d v="2023-06-16T00:00:00"/>
    <x v="0"/>
    <n v="39"/>
    <s v="month"/>
    <n v="112"/>
    <x v="1"/>
    <s v="No"/>
    <n v="0"/>
    <n v="1"/>
    <n v="112"/>
  </r>
  <r>
    <n v="204977028"/>
    <d v="2023-02-24T00:00:00"/>
    <d v="2023-05-01T00:00:00"/>
    <x v="0"/>
    <n v="39"/>
    <s v="month"/>
    <n v="66"/>
    <x v="1"/>
    <s v="No"/>
    <n v="0"/>
    <n v="1"/>
    <n v="66"/>
  </r>
  <r>
    <n v="205122220"/>
    <d v="2023-02-24T00:00:00"/>
    <d v="2023-04-13T00:00:00"/>
    <x v="0"/>
    <n v="39"/>
    <s v="month"/>
    <n v="48"/>
    <x v="1"/>
    <s v="No"/>
    <n v="0"/>
    <n v="1"/>
    <n v="48"/>
  </r>
  <r>
    <n v="179578904"/>
    <d v="2023-02-24T00:00:00"/>
    <d v="2023-04-18T00:00:00"/>
    <x v="0"/>
    <n v="39"/>
    <s v="month"/>
    <n v="53"/>
    <x v="1"/>
    <s v="No"/>
    <n v="0"/>
    <n v="1"/>
    <n v="53"/>
  </r>
  <r>
    <n v="205120086"/>
    <d v="2023-02-24T00:00:00"/>
    <d v="2023-04-04T00:00:00"/>
    <x v="0"/>
    <n v="39"/>
    <s v="month"/>
    <n v="39"/>
    <x v="1"/>
    <s v="No"/>
    <n v="0"/>
    <n v="1"/>
    <n v="39"/>
  </r>
  <r>
    <n v="158097854"/>
    <d v="2023-02-24T00:00:00"/>
    <d v="2023-03-30T00:00:00"/>
    <x v="0"/>
    <n v="39"/>
    <s v="month"/>
    <n v="34"/>
    <x v="1"/>
    <s v="No"/>
    <n v="0"/>
    <n v="1"/>
    <n v="34"/>
  </r>
  <r>
    <n v="204760569"/>
    <d v="2023-02-24T00:00:00"/>
    <d v="2023-03-15T00:00:00"/>
    <x v="0"/>
    <n v="39"/>
    <s v="month"/>
    <n v="19"/>
    <x v="1"/>
    <s v="No"/>
    <n v="0"/>
    <n v="0"/>
    <n v="19"/>
  </r>
  <r>
    <n v="204982432"/>
    <d v="2023-02-24T00:00:00"/>
    <d v="2023-03-31T00:00:00"/>
    <x v="0"/>
    <n v="39"/>
    <s v="month"/>
    <n v="35"/>
    <x v="1"/>
    <s v="No"/>
    <n v="0"/>
    <n v="1"/>
    <n v="35"/>
  </r>
  <r>
    <n v="158351648"/>
    <d v="2023-02-24T00:00:00"/>
    <d v="2023-09-01T00:00:00"/>
    <x v="0"/>
    <n v="39"/>
    <s v="month"/>
    <n v="189"/>
    <x v="1"/>
    <s v="No"/>
    <n v="0"/>
    <n v="1"/>
    <n v="189"/>
  </r>
  <r>
    <n v="195325206"/>
    <d v="2023-02-25T00:00:00"/>
    <m/>
    <x v="0"/>
    <n v="39"/>
    <s v="month"/>
    <s v=""/>
    <x v="2"/>
    <s v="No"/>
    <n v="0"/>
    <n v="0"/>
    <s v=""/>
  </r>
  <r>
    <n v="205102955"/>
    <d v="2023-02-25T00:00:00"/>
    <m/>
    <x v="0"/>
    <n v="39"/>
    <s v="month"/>
    <s v=""/>
    <x v="2"/>
    <s v="No"/>
    <n v="0"/>
    <n v="0"/>
    <s v=""/>
  </r>
  <r>
    <n v="188092110"/>
    <d v="2023-02-25T00:00:00"/>
    <d v="2023-04-09T00:00:00"/>
    <x v="0"/>
    <n v="39"/>
    <s v="month"/>
    <n v="43"/>
    <x v="2"/>
    <s v="No"/>
    <n v="0"/>
    <n v="1"/>
    <n v="43"/>
  </r>
  <r>
    <n v="147615998"/>
    <d v="2023-02-25T00:00:00"/>
    <d v="2023-04-16T00:00:00"/>
    <x v="0"/>
    <n v="39"/>
    <s v="month"/>
    <n v="50"/>
    <x v="2"/>
    <s v="No"/>
    <n v="0"/>
    <n v="1"/>
    <n v="50"/>
  </r>
  <r>
    <n v="164751472"/>
    <d v="2023-02-25T00:00:00"/>
    <d v="2023-04-16T00:00:00"/>
    <x v="0"/>
    <n v="39"/>
    <s v="month"/>
    <n v="50"/>
    <x v="2"/>
    <s v="No"/>
    <n v="0"/>
    <n v="1"/>
    <n v="50"/>
  </r>
  <r>
    <n v="205215538"/>
    <d v="2023-02-25T00:00:00"/>
    <d v="2023-03-02T00:00:00"/>
    <x v="0"/>
    <n v="39"/>
    <s v="month"/>
    <n v="5"/>
    <x v="2"/>
    <s v="No"/>
    <n v="0"/>
    <n v="0"/>
    <n v="5"/>
  </r>
  <r>
    <n v="162962849"/>
    <d v="2023-02-26T00:00:00"/>
    <d v="2023-05-05T00:00:00"/>
    <x v="0"/>
    <n v="39"/>
    <s v="month"/>
    <n v="68"/>
    <x v="3"/>
    <s v="No"/>
    <n v="0"/>
    <n v="1"/>
    <n v="68"/>
  </r>
  <r>
    <n v="154229833"/>
    <d v="2023-02-26T00:00:00"/>
    <d v="2023-03-14T00:00:00"/>
    <x v="0"/>
    <n v="39"/>
    <s v="month"/>
    <n v="16"/>
    <x v="3"/>
    <s v="No"/>
    <n v="0"/>
    <n v="0"/>
    <n v="16"/>
  </r>
  <r>
    <n v="205338718"/>
    <d v="2023-02-26T00:00:00"/>
    <d v="2023-03-27T00:00:00"/>
    <x v="0"/>
    <n v="39"/>
    <s v="month"/>
    <n v="29"/>
    <x v="3"/>
    <s v="No"/>
    <n v="0"/>
    <n v="0"/>
    <n v="29"/>
  </r>
  <r>
    <n v="180798046"/>
    <d v="2023-02-27T00:00:00"/>
    <m/>
    <x v="0"/>
    <n v="39"/>
    <s v="month"/>
    <s v=""/>
    <x v="4"/>
    <s v="No"/>
    <n v="0"/>
    <n v="0"/>
    <s v=""/>
  </r>
  <r>
    <n v="135298992"/>
    <d v="2023-02-27T00:00:00"/>
    <d v="2023-03-19T00:00:00"/>
    <x v="0"/>
    <n v="39"/>
    <s v="month"/>
    <n v="20"/>
    <x v="4"/>
    <s v="No"/>
    <n v="0"/>
    <n v="0"/>
    <n v="20"/>
  </r>
  <r>
    <n v="153141802"/>
    <d v="2023-02-27T00:00:00"/>
    <d v="2023-06-03T00:00:00"/>
    <x v="0"/>
    <n v="39"/>
    <s v="month"/>
    <n v="96"/>
    <x v="4"/>
    <s v="No"/>
    <n v="0"/>
    <n v="1"/>
    <n v="96"/>
  </r>
  <r>
    <n v="189149014"/>
    <d v="2023-02-27T00:00:00"/>
    <d v="2023-06-20T00:00:00"/>
    <x v="0"/>
    <n v="39"/>
    <s v="month"/>
    <n v="113"/>
    <x v="4"/>
    <s v="No"/>
    <n v="0"/>
    <n v="1"/>
    <n v="113"/>
  </r>
  <r>
    <n v="180438277"/>
    <d v="2023-02-27T00:00:00"/>
    <d v="2023-05-19T00:00:00"/>
    <x v="0"/>
    <n v="39"/>
    <s v="month"/>
    <n v="81"/>
    <x v="4"/>
    <s v="No"/>
    <n v="0"/>
    <n v="1"/>
    <n v="81"/>
  </r>
  <r>
    <n v="205471532"/>
    <d v="2023-02-27T00:00:00"/>
    <d v="2023-04-27T00:00:00"/>
    <x v="0"/>
    <n v="39"/>
    <s v="month"/>
    <n v="59"/>
    <x v="4"/>
    <s v="No"/>
    <n v="0"/>
    <n v="1"/>
    <n v="59"/>
  </r>
  <r>
    <n v="188065488"/>
    <d v="2023-02-27T00:00:00"/>
    <d v="2023-04-25T00:00:00"/>
    <x v="0"/>
    <n v="39"/>
    <s v="month"/>
    <n v="57"/>
    <x v="4"/>
    <s v="No"/>
    <n v="0"/>
    <n v="1"/>
    <n v="57"/>
  </r>
  <r>
    <n v="205387672"/>
    <d v="2023-02-27T00:00:00"/>
    <d v="2023-04-09T00:00:00"/>
    <x v="0"/>
    <n v="39"/>
    <s v="month"/>
    <n v="41"/>
    <x v="4"/>
    <s v="No"/>
    <n v="0"/>
    <n v="1"/>
    <n v="41"/>
  </r>
  <r>
    <n v="196251908"/>
    <d v="2023-02-27T00:00:00"/>
    <d v="2023-02-27T00:00:00"/>
    <x v="0"/>
    <n v="39"/>
    <s v="month"/>
    <n v="0"/>
    <x v="4"/>
    <s v="Yes"/>
    <n v="1"/>
    <n v="0"/>
    <n v="0"/>
  </r>
  <r>
    <n v="157884031"/>
    <d v="2023-02-27T00:00:00"/>
    <d v="2023-03-30T00:00:00"/>
    <x v="0"/>
    <n v="39"/>
    <s v="month"/>
    <n v="31"/>
    <x v="4"/>
    <s v="No"/>
    <n v="0"/>
    <n v="1"/>
    <n v="31"/>
  </r>
  <r>
    <n v="204571386"/>
    <d v="2023-02-27T00:00:00"/>
    <d v="2023-03-23T00:00:00"/>
    <x v="0"/>
    <n v="39"/>
    <s v="month"/>
    <n v="24"/>
    <x v="4"/>
    <s v="No"/>
    <n v="0"/>
    <n v="0"/>
    <n v="24"/>
  </r>
  <r>
    <n v="162909529"/>
    <d v="2023-02-27T00:00:00"/>
    <d v="2023-08-01T00:00:00"/>
    <x v="0"/>
    <n v="39"/>
    <s v="month"/>
    <n v="155"/>
    <x v="4"/>
    <s v="No"/>
    <n v="0"/>
    <n v="1"/>
    <n v="155"/>
  </r>
  <r>
    <n v="152043244"/>
    <d v="2023-02-28T00:00:00"/>
    <m/>
    <x v="0"/>
    <n v="39"/>
    <s v="month"/>
    <s v=""/>
    <x v="5"/>
    <s v="No"/>
    <n v="0"/>
    <n v="0"/>
    <s v=""/>
  </r>
  <r>
    <n v="204567111"/>
    <d v="2023-02-28T00:00:00"/>
    <m/>
    <x v="0"/>
    <n v="39"/>
    <s v="month"/>
    <s v=""/>
    <x v="5"/>
    <s v="No"/>
    <n v="0"/>
    <n v="0"/>
    <s v=""/>
  </r>
  <r>
    <n v="205487880"/>
    <d v="2023-02-28T00:00:00"/>
    <m/>
    <x v="0"/>
    <n v="39"/>
    <s v="month"/>
    <s v=""/>
    <x v="5"/>
    <s v="No"/>
    <n v="0"/>
    <n v="0"/>
    <s v=""/>
  </r>
  <r>
    <n v="205489808"/>
    <d v="2023-02-28T00:00:00"/>
    <m/>
    <x v="0"/>
    <n v="39"/>
    <s v="month"/>
    <s v=""/>
    <x v="5"/>
    <s v="No"/>
    <n v="0"/>
    <n v="0"/>
    <s v=""/>
  </r>
  <r>
    <n v="125828506"/>
    <d v="2023-02-28T00:00:00"/>
    <d v="2023-03-01T00:00:00"/>
    <x v="0"/>
    <n v="39"/>
    <s v="month"/>
    <n v="1"/>
    <x v="5"/>
    <s v="No"/>
    <n v="1"/>
    <n v="0"/>
    <n v="1"/>
  </r>
  <r>
    <n v="154701159"/>
    <d v="2023-02-28T00:00:00"/>
    <d v="2023-03-27T00:00:00"/>
    <x v="0"/>
    <n v="39"/>
    <s v="month"/>
    <n v="27"/>
    <x v="5"/>
    <s v="No"/>
    <n v="0"/>
    <n v="0"/>
    <n v="27"/>
  </r>
  <r>
    <n v="204865394"/>
    <d v="2023-02-28T00:00:00"/>
    <d v="2023-04-04T00:00:00"/>
    <x v="0"/>
    <n v="39"/>
    <s v="month"/>
    <n v="35"/>
    <x v="5"/>
    <s v="No"/>
    <n v="0"/>
    <n v="1"/>
    <n v="35"/>
  </r>
  <r>
    <n v="205044276"/>
    <d v="2023-02-28T00:00:00"/>
    <d v="2023-04-27T00:00:00"/>
    <x v="0"/>
    <n v="39"/>
    <s v="month"/>
    <n v="58"/>
    <x v="5"/>
    <s v="No"/>
    <n v="0"/>
    <n v="1"/>
    <n v="58"/>
  </r>
  <r>
    <n v="194873337"/>
    <d v="2023-02-28T00:00:00"/>
    <d v="2023-04-18T00:00:00"/>
    <x v="0"/>
    <n v="39"/>
    <s v="month"/>
    <n v="49"/>
    <x v="5"/>
    <s v="No"/>
    <n v="0"/>
    <n v="1"/>
    <n v="49"/>
  </r>
  <r>
    <n v="205492734"/>
    <d v="2023-02-28T00:00:00"/>
    <d v="2023-03-22T00:00:00"/>
    <x v="0"/>
    <n v="39"/>
    <s v="month"/>
    <n v="22"/>
    <x v="5"/>
    <s v="No"/>
    <n v="0"/>
    <n v="0"/>
    <n v="22"/>
  </r>
  <r>
    <n v="205548739"/>
    <d v="2023-03-01T00:00:00"/>
    <m/>
    <x v="0"/>
    <n v="39"/>
    <s v="month"/>
    <s v=""/>
    <x v="6"/>
    <s v="No"/>
    <n v="0"/>
    <n v="0"/>
    <s v=""/>
  </r>
  <r>
    <n v="202228372"/>
    <d v="2023-03-01T00:00:00"/>
    <m/>
    <x v="0"/>
    <n v="39"/>
    <s v="month"/>
    <s v=""/>
    <x v="6"/>
    <s v="No"/>
    <n v="0"/>
    <n v="0"/>
    <s v=""/>
  </r>
  <r>
    <n v="205034931"/>
    <d v="2023-03-01T00:00:00"/>
    <d v="2023-03-02T00:00:00"/>
    <x v="1"/>
    <n v="39"/>
    <s v="month"/>
    <n v="1"/>
    <x v="6"/>
    <s v="No"/>
    <n v="1"/>
    <n v="0"/>
    <n v="1"/>
  </r>
  <r>
    <n v="205129178"/>
    <d v="2023-03-01T00:00:00"/>
    <d v="2023-06-21T00:00:00"/>
    <x v="0"/>
    <n v="39"/>
    <s v="month"/>
    <n v="112"/>
    <x v="6"/>
    <s v="No"/>
    <n v="0"/>
    <n v="1"/>
    <n v="112"/>
  </r>
  <r>
    <n v="160114911"/>
    <d v="2023-03-01T00:00:00"/>
    <d v="2023-04-08T00:00:00"/>
    <x v="0"/>
    <n v="39"/>
    <s v="month"/>
    <n v="38"/>
    <x v="6"/>
    <s v="No"/>
    <n v="0"/>
    <n v="1"/>
    <n v="38"/>
  </r>
  <r>
    <n v="168200039"/>
    <d v="2023-03-01T00:00:00"/>
    <d v="2023-04-08T00:00:00"/>
    <x v="0"/>
    <n v="39"/>
    <s v="month"/>
    <n v="38"/>
    <x v="6"/>
    <s v="No"/>
    <n v="0"/>
    <n v="1"/>
    <n v="38"/>
  </r>
  <r>
    <n v="190622411"/>
    <d v="2023-03-01T00:00:00"/>
    <d v="2023-04-04T00:00:00"/>
    <x v="0"/>
    <n v="39"/>
    <s v="month"/>
    <n v="34"/>
    <x v="6"/>
    <s v="No"/>
    <n v="0"/>
    <n v="1"/>
    <n v="34"/>
  </r>
  <r>
    <n v="204528713"/>
    <d v="2023-03-01T00:00:00"/>
    <d v="2023-04-18T00:00:00"/>
    <x v="0"/>
    <n v="39"/>
    <s v="month"/>
    <n v="48"/>
    <x v="6"/>
    <s v="No"/>
    <n v="0"/>
    <n v="1"/>
    <n v="48"/>
  </r>
  <r>
    <n v="205573796"/>
    <d v="2023-03-01T00:00:00"/>
    <d v="2023-04-13T00:00:00"/>
    <x v="0"/>
    <n v="39"/>
    <s v="month"/>
    <n v="43"/>
    <x v="6"/>
    <s v="No"/>
    <n v="0"/>
    <n v="1"/>
    <n v="43"/>
  </r>
  <r>
    <n v="182009986"/>
    <d v="2023-03-01T00:00:00"/>
    <d v="2023-03-29T00:00:00"/>
    <x v="0"/>
    <n v="39"/>
    <s v="month"/>
    <n v="28"/>
    <x v="6"/>
    <s v="No"/>
    <n v="0"/>
    <n v="0"/>
    <n v="28"/>
  </r>
  <r>
    <n v="205606022"/>
    <d v="2023-03-01T00:00:00"/>
    <d v="2023-03-21T00:00:00"/>
    <x v="0"/>
    <n v="39"/>
    <s v="month"/>
    <n v="20"/>
    <x v="6"/>
    <s v="No"/>
    <n v="0"/>
    <n v="0"/>
    <n v="20"/>
  </r>
  <r>
    <n v="205580089"/>
    <d v="2023-03-01T00:00:00"/>
    <d v="2023-03-30T00:00:00"/>
    <x v="0"/>
    <n v="39"/>
    <s v="month"/>
    <n v="29"/>
    <x v="6"/>
    <s v="No"/>
    <n v="0"/>
    <n v="0"/>
    <n v="29"/>
  </r>
  <r>
    <n v="192949504"/>
    <d v="2023-03-01T00:00:00"/>
    <d v="2023-03-28T00:00:00"/>
    <x v="0"/>
    <n v="39"/>
    <s v="month"/>
    <n v="27"/>
    <x v="6"/>
    <s v="No"/>
    <n v="0"/>
    <n v="0"/>
    <n v="27"/>
  </r>
  <r>
    <n v="205658636"/>
    <d v="2023-03-02T00:00:00"/>
    <m/>
    <x v="0"/>
    <n v="39"/>
    <s v="month"/>
    <s v=""/>
    <x v="0"/>
    <s v="No"/>
    <n v="0"/>
    <n v="0"/>
    <s v=""/>
  </r>
  <r>
    <n v="205615727"/>
    <d v="2023-03-02T00:00:00"/>
    <d v="2023-06-26T00:00:00"/>
    <x v="0"/>
    <n v="39"/>
    <s v="month"/>
    <n v="116"/>
    <x v="0"/>
    <s v="No"/>
    <n v="0"/>
    <n v="1"/>
    <n v="116"/>
  </r>
  <r>
    <n v="205448424"/>
    <d v="2023-03-02T00:00:00"/>
    <d v="2023-05-30T00:00:00"/>
    <x v="0"/>
    <n v="39"/>
    <s v="month"/>
    <n v="89"/>
    <x v="0"/>
    <s v="No"/>
    <n v="0"/>
    <n v="1"/>
    <n v="89"/>
  </r>
  <r>
    <n v="196009696"/>
    <d v="2023-03-02T00:00:00"/>
    <d v="2023-05-02T00:00:00"/>
    <x v="0"/>
    <n v="39"/>
    <s v="month"/>
    <n v="61"/>
    <x v="0"/>
    <s v="No"/>
    <n v="0"/>
    <n v="1"/>
    <n v="61"/>
  </r>
  <r>
    <n v="205026372"/>
    <d v="2023-03-02T00:00:00"/>
    <d v="2023-05-02T00:00:00"/>
    <x v="0"/>
    <n v="39"/>
    <s v="month"/>
    <n v="61"/>
    <x v="0"/>
    <s v="No"/>
    <n v="0"/>
    <n v="1"/>
    <n v="61"/>
  </r>
  <r>
    <n v="167165752"/>
    <d v="2023-03-02T00:00:00"/>
    <d v="2023-05-30T00:00:00"/>
    <x v="0"/>
    <n v="39"/>
    <s v="month"/>
    <n v="89"/>
    <x v="0"/>
    <s v="No"/>
    <n v="0"/>
    <n v="1"/>
    <n v="89"/>
  </r>
  <r>
    <n v="205664425"/>
    <d v="2023-03-02T00:00:00"/>
    <d v="2023-04-25T00:00:00"/>
    <x v="0"/>
    <n v="39"/>
    <s v="month"/>
    <n v="54"/>
    <x v="0"/>
    <s v="No"/>
    <n v="0"/>
    <n v="1"/>
    <n v="54"/>
  </r>
  <r>
    <n v="199179611"/>
    <d v="2023-03-02T00:00:00"/>
    <d v="2023-04-23T00:00:00"/>
    <x v="0"/>
    <n v="39"/>
    <s v="month"/>
    <n v="52"/>
    <x v="0"/>
    <s v="No"/>
    <n v="0"/>
    <n v="1"/>
    <n v="52"/>
  </r>
  <r>
    <n v="205660933"/>
    <d v="2023-03-02T00:00:00"/>
    <d v="2023-04-02T00:00:00"/>
    <x v="0"/>
    <n v="39"/>
    <s v="month"/>
    <n v="31"/>
    <x v="0"/>
    <s v="No"/>
    <n v="0"/>
    <n v="1"/>
    <n v="31"/>
  </r>
  <r>
    <n v="205660195"/>
    <d v="2023-03-02T00:00:00"/>
    <d v="2023-04-03T00:00:00"/>
    <x v="0"/>
    <n v="39"/>
    <s v="month"/>
    <n v="32"/>
    <x v="0"/>
    <s v="No"/>
    <n v="0"/>
    <n v="1"/>
    <n v="32"/>
  </r>
  <r>
    <n v="168598418"/>
    <d v="2023-03-02T00:00:00"/>
    <d v="2023-04-22T00:00:00"/>
    <x v="0"/>
    <n v="39"/>
    <s v="month"/>
    <n v="51"/>
    <x v="0"/>
    <s v="No"/>
    <n v="0"/>
    <n v="1"/>
    <n v="51"/>
  </r>
  <r>
    <n v="161182367"/>
    <d v="2023-03-02T00:00:00"/>
    <d v="2023-04-09T00:00:00"/>
    <x v="0"/>
    <n v="39"/>
    <s v="month"/>
    <n v="38"/>
    <x v="0"/>
    <s v="No"/>
    <n v="0"/>
    <n v="1"/>
    <n v="38"/>
  </r>
  <r>
    <n v="156943008"/>
    <d v="2023-03-02T00:00:00"/>
    <d v="2023-03-02T00:00:00"/>
    <x v="0"/>
    <n v="39"/>
    <s v="month"/>
    <n v="0"/>
    <x v="0"/>
    <s v="Yes"/>
    <n v="1"/>
    <n v="0"/>
    <n v="0"/>
  </r>
  <r>
    <n v="190657026"/>
    <d v="2023-03-02T00:00:00"/>
    <d v="2023-03-29T00:00:00"/>
    <x v="0"/>
    <n v="39"/>
    <s v="month"/>
    <n v="27"/>
    <x v="0"/>
    <s v="No"/>
    <n v="0"/>
    <n v="0"/>
    <n v="27"/>
  </r>
  <r>
    <n v="205700946"/>
    <d v="2023-03-03T00:00:00"/>
    <m/>
    <x v="0"/>
    <n v="39"/>
    <s v="month"/>
    <s v=""/>
    <x v="1"/>
    <s v="No"/>
    <n v="0"/>
    <n v="0"/>
    <s v=""/>
  </r>
  <r>
    <n v="165807144"/>
    <d v="2023-03-03T00:00:00"/>
    <m/>
    <x v="0"/>
    <n v="39"/>
    <s v="month"/>
    <s v=""/>
    <x v="1"/>
    <s v="No"/>
    <n v="0"/>
    <n v="0"/>
    <s v=""/>
  </r>
  <r>
    <n v="125635419"/>
    <d v="2023-03-03T00:00:00"/>
    <d v="2023-03-04T00:00:00"/>
    <x v="0"/>
    <n v="39"/>
    <s v="month"/>
    <n v="1"/>
    <x v="1"/>
    <s v="No"/>
    <n v="1"/>
    <n v="0"/>
    <n v="1"/>
  </r>
  <r>
    <n v="205707486"/>
    <d v="2023-03-03T00:00:00"/>
    <d v="2023-03-04T00:00:00"/>
    <x v="1"/>
    <n v="39"/>
    <s v="month"/>
    <n v="1"/>
    <x v="1"/>
    <s v="No"/>
    <n v="1"/>
    <n v="0"/>
    <n v="1"/>
  </r>
  <r>
    <n v="150663700"/>
    <d v="2023-03-03T00:00:00"/>
    <d v="2023-03-04T00:00:00"/>
    <x v="1"/>
    <n v="39"/>
    <s v="month"/>
    <n v="1"/>
    <x v="1"/>
    <s v="No"/>
    <n v="1"/>
    <n v="0"/>
    <n v="1"/>
  </r>
  <r>
    <n v="149157588"/>
    <d v="2023-03-03T00:00:00"/>
    <d v="2023-05-10T00:00:00"/>
    <x v="0"/>
    <n v="39"/>
    <s v="month"/>
    <n v="68"/>
    <x v="1"/>
    <s v="No"/>
    <n v="0"/>
    <n v="1"/>
    <n v="68"/>
  </r>
  <r>
    <n v="205686881"/>
    <d v="2023-03-03T00:00:00"/>
    <d v="2023-06-10T00:00:00"/>
    <x v="0"/>
    <n v="39"/>
    <s v="month"/>
    <n v="99"/>
    <x v="1"/>
    <s v="No"/>
    <n v="0"/>
    <n v="1"/>
    <n v="99"/>
  </r>
  <r>
    <n v="138347540"/>
    <d v="2023-03-03T00:00:00"/>
    <d v="2023-05-08T00:00:00"/>
    <x v="0"/>
    <n v="39"/>
    <s v="month"/>
    <n v="66"/>
    <x v="1"/>
    <s v="No"/>
    <n v="0"/>
    <n v="1"/>
    <n v="66"/>
  </r>
  <r>
    <n v="154344817"/>
    <d v="2023-03-03T00:00:00"/>
    <d v="2023-04-20T00:00:00"/>
    <x v="0"/>
    <n v="39"/>
    <s v="month"/>
    <n v="48"/>
    <x v="1"/>
    <s v="No"/>
    <n v="0"/>
    <n v="1"/>
    <n v="48"/>
  </r>
  <r>
    <n v="205530810"/>
    <d v="2023-03-03T00:00:00"/>
    <d v="2023-04-10T00:00:00"/>
    <x v="0"/>
    <n v="39"/>
    <s v="month"/>
    <n v="38"/>
    <x v="1"/>
    <s v="No"/>
    <n v="0"/>
    <n v="1"/>
    <n v="38"/>
  </r>
  <r>
    <n v="205731473"/>
    <d v="2023-03-03T00:00:00"/>
    <d v="2023-03-19T00:00:00"/>
    <x v="0"/>
    <n v="39"/>
    <s v="month"/>
    <n v="16"/>
    <x v="1"/>
    <s v="No"/>
    <n v="0"/>
    <n v="0"/>
    <n v="16"/>
  </r>
  <r>
    <n v="205692510"/>
    <d v="2023-03-04T00:00:00"/>
    <m/>
    <x v="0"/>
    <n v="39"/>
    <s v="month"/>
    <s v=""/>
    <x v="2"/>
    <s v="No"/>
    <n v="0"/>
    <n v="0"/>
    <s v=""/>
  </r>
  <r>
    <n v="191670525"/>
    <d v="2023-03-04T00:00:00"/>
    <d v="2023-05-12T00:00:00"/>
    <x v="0"/>
    <n v="39"/>
    <s v="month"/>
    <n v="69"/>
    <x v="2"/>
    <s v="No"/>
    <n v="0"/>
    <n v="1"/>
    <n v="69"/>
  </r>
  <r>
    <n v="205492489"/>
    <d v="2023-03-04T00:00:00"/>
    <d v="2023-05-11T00:00:00"/>
    <x v="0"/>
    <n v="39"/>
    <s v="month"/>
    <n v="68"/>
    <x v="2"/>
    <s v="No"/>
    <n v="0"/>
    <n v="1"/>
    <n v="68"/>
  </r>
  <r>
    <n v="205026942"/>
    <d v="2023-03-04T00:00:00"/>
    <d v="2023-05-04T00:00:00"/>
    <x v="0"/>
    <n v="39"/>
    <s v="month"/>
    <n v="61"/>
    <x v="2"/>
    <s v="No"/>
    <n v="0"/>
    <n v="1"/>
    <n v="61"/>
  </r>
  <r>
    <n v="205768824"/>
    <d v="2023-03-04T00:00:00"/>
    <d v="2023-04-01T00:00:00"/>
    <x v="0"/>
    <n v="39"/>
    <s v="month"/>
    <n v="28"/>
    <x v="2"/>
    <s v="No"/>
    <n v="0"/>
    <n v="0"/>
    <n v="28"/>
  </r>
  <r>
    <n v="160824884"/>
    <d v="2023-03-04T00:00:00"/>
    <d v="2023-04-02T00:00:00"/>
    <x v="0"/>
    <n v="39"/>
    <s v="month"/>
    <n v="29"/>
    <x v="2"/>
    <s v="No"/>
    <n v="0"/>
    <n v="0"/>
    <n v="29"/>
  </r>
  <r>
    <n v="205742224"/>
    <d v="2023-03-04T00:00:00"/>
    <d v="2023-03-04T00:00:00"/>
    <x v="0"/>
    <n v="39"/>
    <s v="month"/>
    <n v="0"/>
    <x v="2"/>
    <s v="Yes"/>
    <n v="1"/>
    <n v="0"/>
    <n v="0"/>
  </r>
  <r>
    <n v="205804144"/>
    <d v="2023-03-05T00:00:00"/>
    <d v="2023-06-26T00:00:00"/>
    <x v="0"/>
    <n v="39"/>
    <s v="month"/>
    <n v="113"/>
    <x v="3"/>
    <s v="No"/>
    <n v="0"/>
    <n v="1"/>
    <n v="113"/>
  </r>
  <r>
    <n v="205703512"/>
    <d v="2023-03-05T00:00:00"/>
    <d v="2023-05-29T00:00:00"/>
    <x v="0"/>
    <n v="39"/>
    <s v="month"/>
    <n v="85"/>
    <x v="3"/>
    <s v="No"/>
    <n v="0"/>
    <n v="1"/>
    <n v="85"/>
  </r>
  <r>
    <n v="131181843"/>
    <d v="2023-03-05T00:00:00"/>
    <d v="2023-03-05T00:00:00"/>
    <x v="0"/>
    <n v="39"/>
    <s v="month"/>
    <n v="0"/>
    <x v="3"/>
    <s v="Yes"/>
    <n v="1"/>
    <n v="0"/>
    <n v="0"/>
  </r>
  <r>
    <n v="205713052"/>
    <d v="2023-03-06T00:00:00"/>
    <m/>
    <x v="0"/>
    <n v="39"/>
    <s v="month"/>
    <s v=""/>
    <x v="4"/>
    <s v="No"/>
    <n v="0"/>
    <n v="0"/>
    <s v=""/>
  </r>
  <r>
    <n v="138121122"/>
    <d v="2023-03-06T00:00:00"/>
    <m/>
    <x v="0"/>
    <n v="39"/>
    <s v="month"/>
    <s v=""/>
    <x v="4"/>
    <s v="No"/>
    <n v="0"/>
    <n v="0"/>
    <s v=""/>
  </r>
  <r>
    <n v="191326286"/>
    <d v="2023-03-06T00:00:00"/>
    <m/>
    <x v="0"/>
    <n v="39"/>
    <s v="month"/>
    <s v=""/>
    <x v="4"/>
    <s v="No"/>
    <n v="0"/>
    <n v="0"/>
    <s v=""/>
  </r>
  <r>
    <n v="178838732"/>
    <d v="2023-03-06T00:00:00"/>
    <m/>
    <x v="0"/>
    <n v="39"/>
    <s v="month"/>
    <s v=""/>
    <x v="4"/>
    <s v="No"/>
    <n v="0"/>
    <n v="0"/>
    <s v=""/>
  </r>
  <r>
    <n v="205871342"/>
    <d v="2023-03-06T00:00:00"/>
    <m/>
    <x v="0"/>
    <n v="39"/>
    <s v="month"/>
    <s v=""/>
    <x v="4"/>
    <s v="No"/>
    <n v="0"/>
    <n v="0"/>
    <s v=""/>
  </r>
  <r>
    <n v="202160641"/>
    <d v="2023-03-06T00:00:00"/>
    <d v="2023-06-05T00:00:00"/>
    <x v="0"/>
    <n v="39"/>
    <s v="month"/>
    <n v="91"/>
    <x v="4"/>
    <s v="No"/>
    <n v="0"/>
    <n v="1"/>
    <n v="91"/>
  </r>
  <r>
    <n v="205786362"/>
    <d v="2023-03-06T00:00:00"/>
    <d v="2023-05-26T00:00:00"/>
    <x v="0"/>
    <n v="39"/>
    <s v="month"/>
    <n v="81"/>
    <x v="4"/>
    <s v="No"/>
    <n v="0"/>
    <n v="1"/>
    <n v="81"/>
  </r>
  <r>
    <n v="159798906"/>
    <d v="2023-03-06T00:00:00"/>
    <d v="2023-04-07T00:00:00"/>
    <x v="0"/>
    <n v="39"/>
    <s v="month"/>
    <n v="32"/>
    <x v="4"/>
    <s v="No"/>
    <n v="0"/>
    <n v="1"/>
    <n v="32"/>
  </r>
  <r>
    <n v="166276152"/>
    <d v="2023-03-06T00:00:00"/>
    <d v="2023-04-03T00:00:00"/>
    <x v="0"/>
    <n v="39"/>
    <s v="month"/>
    <n v="28"/>
    <x v="4"/>
    <s v="No"/>
    <n v="0"/>
    <n v="0"/>
    <n v="28"/>
  </r>
  <r>
    <n v="156353738"/>
    <d v="2023-03-06T00:00:00"/>
    <d v="2023-03-13T00:00:00"/>
    <x v="0"/>
    <n v="39"/>
    <s v="month"/>
    <n v="7"/>
    <x v="4"/>
    <s v="No"/>
    <n v="0"/>
    <n v="0"/>
    <n v="7"/>
  </r>
  <r>
    <n v="205864612"/>
    <d v="2023-03-06T00:00:00"/>
    <d v="2023-03-18T00:00:00"/>
    <x v="0"/>
    <n v="39"/>
    <s v="month"/>
    <n v="12"/>
    <x v="4"/>
    <s v="No"/>
    <n v="0"/>
    <n v="0"/>
    <n v="12"/>
  </r>
  <r>
    <n v="142757196"/>
    <d v="2023-03-07T00:00:00"/>
    <d v="2023-07-09T00:00:00"/>
    <x v="0"/>
    <n v="39"/>
    <s v="month"/>
    <n v="124"/>
    <x v="5"/>
    <s v="No"/>
    <n v="0"/>
    <n v="1"/>
    <n v="124"/>
  </r>
  <r>
    <n v="205971108"/>
    <d v="2023-03-07T00:00:00"/>
    <d v="2023-06-22T00:00:00"/>
    <x v="0"/>
    <n v="39"/>
    <s v="month"/>
    <n v="107"/>
    <x v="5"/>
    <s v="No"/>
    <n v="0"/>
    <n v="1"/>
    <n v="107"/>
  </r>
  <r>
    <n v="206001231"/>
    <d v="2023-03-07T00:00:00"/>
    <d v="2023-05-31T00:00:00"/>
    <x v="0"/>
    <n v="39"/>
    <s v="month"/>
    <n v="85"/>
    <x v="5"/>
    <s v="No"/>
    <n v="0"/>
    <n v="1"/>
    <n v="85"/>
  </r>
  <r>
    <n v="205878686"/>
    <d v="2023-03-07T00:00:00"/>
    <d v="2023-03-07T00:00:00"/>
    <x v="0"/>
    <n v="39"/>
    <s v="month"/>
    <n v="0"/>
    <x v="5"/>
    <s v="Yes"/>
    <n v="1"/>
    <n v="0"/>
    <n v="0"/>
  </r>
  <r>
    <n v="206052140"/>
    <d v="2023-03-08T00:00:00"/>
    <m/>
    <x v="0"/>
    <n v="39"/>
    <s v="month"/>
    <s v=""/>
    <x v="6"/>
    <s v="No"/>
    <n v="0"/>
    <n v="0"/>
    <s v=""/>
  </r>
  <r>
    <n v="154082747"/>
    <d v="2023-03-08T00:00:00"/>
    <d v="2023-03-09T00:00:00"/>
    <x v="0"/>
    <n v="39"/>
    <s v="month"/>
    <n v="1"/>
    <x v="6"/>
    <s v="No"/>
    <n v="1"/>
    <n v="0"/>
    <n v="1"/>
  </r>
  <r>
    <n v="206017161"/>
    <d v="2023-03-08T00:00:00"/>
    <d v="2023-03-09T00:00:00"/>
    <x v="1"/>
    <n v="39"/>
    <s v="month"/>
    <n v="1"/>
    <x v="6"/>
    <s v="No"/>
    <n v="1"/>
    <n v="0"/>
    <n v="1"/>
  </r>
  <r>
    <n v="203152686"/>
    <d v="2023-03-08T00:00:00"/>
    <d v="2023-05-21T00:00:00"/>
    <x v="0"/>
    <n v="39"/>
    <s v="month"/>
    <n v="74"/>
    <x v="6"/>
    <s v="No"/>
    <n v="0"/>
    <n v="1"/>
    <n v="74"/>
  </r>
  <r>
    <n v="203320717"/>
    <d v="2023-03-08T00:00:00"/>
    <d v="2023-04-07T00:00:00"/>
    <x v="0"/>
    <n v="39"/>
    <s v="month"/>
    <n v="30"/>
    <x v="6"/>
    <s v="No"/>
    <n v="0"/>
    <n v="0"/>
    <n v="30"/>
  </r>
  <r>
    <n v="206076518"/>
    <d v="2023-03-09T00:00:00"/>
    <m/>
    <x v="0"/>
    <n v="39"/>
    <s v="month"/>
    <s v=""/>
    <x v="0"/>
    <s v="No"/>
    <n v="0"/>
    <n v="0"/>
    <s v=""/>
  </r>
  <r>
    <n v="205881578"/>
    <d v="2023-03-09T00:00:00"/>
    <d v="2023-08-27T00:00:00"/>
    <x v="0"/>
    <n v="39"/>
    <s v="month"/>
    <n v="171"/>
    <x v="0"/>
    <s v="No"/>
    <n v="0"/>
    <n v="1"/>
    <n v="171"/>
  </r>
  <r>
    <n v="152513944"/>
    <d v="2023-03-09T00:00:00"/>
    <d v="2023-03-10T00:00:00"/>
    <x v="0"/>
    <n v="39"/>
    <s v="month"/>
    <n v="1"/>
    <x v="0"/>
    <s v="No"/>
    <n v="1"/>
    <n v="0"/>
    <n v="1"/>
  </r>
  <r>
    <n v="132371176"/>
    <d v="2023-03-09T00:00:00"/>
    <d v="2023-03-10T00:00:00"/>
    <x v="1"/>
    <n v="39"/>
    <s v="month"/>
    <n v="1"/>
    <x v="0"/>
    <s v="No"/>
    <n v="1"/>
    <n v="0"/>
    <n v="1"/>
  </r>
  <r>
    <n v="135092264"/>
    <d v="2023-03-09T00:00:00"/>
    <d v="2023-07-11T00:00:00"/>
    <x v="0"/>
    <n v="39"/>
    <s v="month"/>
    <n v="124"/>
    <x v="0"/>
    <s v="No"/>
    <n v="0"/>
    <n v="1"/>
    <n v="124"/>
  </r>
  <r>
    <n v="151297084"/>
    <d v="2023-03-09T00:00:00"/>
    <d v="2023-05-25T00:00:00"/>
    <x v="0"/>
    <n v="39"/>
    <s v="month"/>
    <n v="77"/>
    <x v="0"/>
    <s v="No"/>
    <n v="0"/>
    <n v="1"/>
    <n v="77"/>
  </r>
  <r>
    <n v="167010855"/>
    <d v="2023-03-09T00:00:00"/>
    <d v="2023-06-08T00:00:00"/>
    <x v="0"/>
    <n v="39"/>
    <s v="month"/>
    <n v="91"/>
    <x v="0"/>
    <s v="No"/>
    <n v="0"/>
    <n v="1"/>
    <n v="91"/>
  </r>
  <r>
    <n v="206122788"/>
    <d v="2023-03-09T00:00:00"/>
    <d v="2023-06-16T00:00:00"/>
    <x v="0"/>
    <n v="39"/>
    <s v="month"/>
    <n v="99"/>
    <x v="0"/>
    <s v="No"/>
    <n v="0"/>
    <n v="1"/>
    <n v="99"/>
  </r>
  <r>
    <n v="158439764"/>
    <d v="2023-03-09T00:00:00"/>
    <d v="2023-05-01T00:00:00"/>
    <x v="0"/>
    <n v="39"/>
    <s v="month"/>
    <n v="53"/>
    <x v="0"/>
    <s v="No"/>
    <n v="0"/>
    <n v="1"/>
    <n v="53"/>
  </r>
  <r>
    <n v="136723151"/>
    <d v="2023-03-09T00:00:00"/>
    <d v="2023-04-07T00:00:00"/>
    <x v="0"/>
    <n v="39"/>
    <s v="month"/>
    <n v="29"/>
    <x v="0"/>
    <s v="No"/>
    <n v="0"/>
    <n v="0"/>
    <n v="29"/>
  </r>
  <r>
    <n v="205875358"/>
    <d v="2023-03-09T00:00:00"/>
    <d v="2023-04-22T00:00:00"/>
    <x v="0"/>
    <n v="39"/>
    <s v="month"/>
    <n v="44"/>
    <x v="0"/>
    <s v="No"/>
    <n v="0"/>
    <n v="1"/>
    <n v="44"/>
  </r>
  <r>
    <n v="206082900"/>
    <d v="2023-03-09T00:00:00"/>
    <d v="2023-08-01T00:00:00"/>
    <x v="0"/>
    <n v="39"/>
    <s v="month"/>
    <n v="145"/>
    <x v="0"/>
    <s v="No"/>
    <n v="0"/>
    <n v="1"/>
    <n v="145"/>
  </r>
  <r>
    <n v="206139451"/>
    <d v="2023-03-10T00:00:00"/>
    <m/>
    <x v="0"/>
    <n v="39"/>
    <s v="month"/>
    <s v=""/>
    <x v="1"/>
    <s v="No"/>
    <n v="0"/>
    <n v="0"/>
    <s v=""/>
  </r>
  <r>
    <n v="206196328"/>
    <d v="2023-03-10T00:00:00"/>
    <m/>
    <x v="0"/>
    <n v="39"/>
    <s v="month"/>
    <s v=""/>
    <x v="1"/>
    <s v="No"/>
    <n v="0"/>
    <n v="0"/>
    <s v=""/>
  </r>
  <r>
    <n v="201122030"/>
    <d v="2023-03-10T00:00:00"/>
    <d v="2023-06-05T00:00:00"/>
    <x v="0"/>
    <n v="39"/>
    <s v="month"/>
    <n v="87"/>
    <x v="1"/>
    <s v="No"/>
    <n v="0"/>
    <n v="1"/>
    <n v="87"/>
  </r>
  <r>
    <n v="156218152"/>
    <d v="2023-03-10T00:00:00"/>
    <d v="2023-06-09T00:00:00"/>
    <x v="0"/>
    <n v="39"/>
    <s v="month"/>
    <n v="91"/>
    <x v="1"/>
    <s v="No"/>
    <n v="0"/>
    <n v="1"/>
    <n v="91"/>
  </r>
  <r>
    <n v="162718092"/>
    <d v="2023-03-10T00:00:00"/>
    <d v="2023-05-10T00:00:00"/>
    <x v="0"/>
    <n v="39"/>
    <s v="month"/>
    <n v="61"/>
    <x v="1"/>
    <s v="No"/>
    <n v="0"/>
    <n v="1"/>
    <n v="61"/>
  </r>
  <r>
    <n v="174606946"/>
    <d v="2023-03-10T00:00:00"/>
    <d v="2023-05-09T00:00:00"/>
    <x v="0"/>
    <n v="39"/>
    <s v="month"/>
    <n v="60"/>
    <x v="1"/>
    <s v="No"/>
    <n v="0"/>
    <n v="1"/>
    <n v="60"/>
  </r>
  <r>
    <n v="206159331"/>
    <d v="2023-03-10T00:00:00"/>
    <d v="2023-03-25T00:00:00"/>
    <x v="0"/>
    <n v="39"/>
    <s v="month"/>
    <n v="15"/>
    <x v="1"/>
    <s v="No"/>
    <n v="0"/>
    <n v="0"/>
    <n v="15"/>
  </r>
  <r>
    <n v="206272716"/>
    <d v="2023-03-11T00:00:00"/>
    <m/>
    <x v="0"/>
    <n v="39"/>
    <s v="month"/>
    <s v=""/>
    <x v="2"/>
    <s v="No"/>
    <n v="0"/>
    <n v="0"/>
    <s v=""/>
  </r>
  <r>
    <n v="138104184"/>
    <d v="2023-03-11T00:00:00"/>
    <d v="2023-09-07T00:00:00"/>
    <x v="0"/>
    <n v="39"/>
    <s v="month"/>
    <n v="180"/>
    <x v="2"/>
    <s v="No"/>
    <n v="0"/>
    <n v="1"/>
    <n v="180"/>
  </r>
  <r>
    <n v="168264884"/>
    <d v="2023-03-11T00:00:00"/>
    <d v="2023-05-10T00:00:00"/>
    <x v="0"/>
    <n v="39"/>
    <s v="month"/>
    <n v="60"/>
    <x v="2"/>
    <s v="No"/>
    <n v="0"/>
    <n v="1"/>
    <n v="60"/>
  </r>
  <r>
    <n v="153200640"/>
    <d v="2023-03-11T00:00:00"/>
    <d v="2023-04-12T00:00:00"/>
    <x v="0"/>
    <n v="39"/>
    <s v="month"/>
    <n v="32"/>
    <x v="2"/>
    <s v="No"/>
    <n v="0"/>
    <n v="1"/>
    <n v="32"/>
  </r>
  <r>
    <n v="206251362"/>
    <d v="2023-03-11T00:00:00"/>
    <d v="2023-04-18T00:00:00"/>
    <x v="0"/>
    <n v="39"/>
    <s v="month"/>
    <n v="38"/>
    <x v="2"/>
    <s v="No"/>
    <n v="0"/>
    <n v="1"/>
    <n v="38"/>
  </r>
  <r>
    <n v="192386902"/>
    <d v="2023-03-11T00:00:00"/>
    <d v="2023-04-18T00:00:00"/>
    <x v="0"/>
    <n v="39"/>
    <s v="month"/>
    <n v="38"/>
    <x v="2"/>
    <s v="No"/>
    <n v="0"/>
    <n v="1"/>
    <n v="38"/>
  </r>
  <r>
    <n v="205851263"/>
    <d v="2023-03-11T00:00:00"/>
    <d v="2023-03-14T00:00:00"/>
    <x v="0"/>
    <n v="39"/>
    <s v="month"/>
    <n v="3"/>
    <x v="2"/>
    <s v="No"/>
    <n v="0"/>
    <n v="0"/>
    <n v="3"/>
  </r>
  <r>
    <n v="197873706"/>
    <d v="2023-03-12T00:00:00"/>
    <d v="2023-08-12T00:00:00"/>
    <x v="0"/>
    <n v="39"/>
    <s v="month"/>
    <n v="153"/>
    <x v="3"/>
    <s v="No"/>
    <n v="0"/>
    <n v="1"/>
    <n v="153"/>
  </r>
  <r>
    <n v="206284048"/>
    <d v="2023-03-12T00:00:00"/>
    <d v="2023-03-18T00:00:00"/>
    <x v="0"/>
    <n v="39"/>
    <s v="month"/>
    <n v="6"/>
    <x v="3"/>
    <s v="No"/>
    <n v="0"/>
    <n v="0"/>
    <n v="6"/>
  </r>
  <r>
    <n v="149761545"/>
    <d v="2023-03-12T00:00:00"/>
    <d v="2023-07-24T00:00:00"/>
    <x v="0"/>
    <n v="39"/>
    <s v="month"/>
    <n v="134"/>
    <x v="3"/>
    <s v="No"/>
    <n v="0"/>
    <n v="1"/>
    <n v="134"/>
  </r>
  <r>
    <n v="155010717"/>
    <d v="2023-03-13T00:00:00"/>
    <d v="2023-05-31T00:00:00"/>
    <x v="0"/>
    <n v="39"/>
    <s v="month"/>
    <n v="79"/>
    <x v="4"/>
    <s v="No"/>
    <n v="0"/>
    <n v="1"/>
    <n v="79"/>
  </r>
  <r>
    <n v="151407531"/>
    <d v="2023-03-13T00:00:00"/>
    <d v="2023-04-12T00:00:00"/>
    <x v="0"/>
    <n v="39"/>
    <s v="month"/>
    <n v="30"/>
    <x v="4"/>
    <s v="No"/>
    <n v="0"/>
    <n v="0"/>
    <n v="30"/>
  </r>
  <r>
    <n v="206407796"/>
    <d v="2023-03-13T00:00:00"/>
    <d v="2023-05-12T00:00:00"/>
    <x v="0"/>
    <n v="39"/>
    <s v="month"/>
    <n v="60"/>
    <x v="4"/>
    <s v="No"/>
    <n v="0"/>
    <n v="1"/>
    <n v="60"/>
  </r>
  <r>
    <n v="206247835"/>
    <d v="2023-03-13T00:00:00"/>
    <d v="2023-05-25T00:00:00"/>
    <x v="0"/>
    <n v="39"/>
    <s v="month"/>
    <n v="73"/>
    <x v="4"/>
    <s v="No"/>
    <n v="0"/>
    <n v="1"/>
    <n v="73"/>
  </r>
  <r>
    <n v="206382927"/>
    <d v="2023-03-13T00:00:00"/>
    <d v="2023-05-24T00:00:00"/>
    <x v="0"/>
    <n v="39"/>
    <s v="month"/>
    <n v="72"/>
    <x v="4"/>
    <s v="No"/>
    <n v="0"/>
    <n v="1"/>
    <n v="72"/>
  </r>
  <r>
    <n v="206147500"/>
    <d v="2023-03-13T00:00:00"/>
    <d v="2023-05-18T00:00:00"/>
    <x v="0"/>
    <n v="39"/>
    <s v="month"/>
    <n v="66"/>
    <x v="4"/>
    <s v="No"/>
    <n v="0"/>
    <n v="1"/>
    <n v="66"/>
  </r>
  <r>
    <n v="206330714"/>
    <d v="2023-03-13T00:00:00"/>
    <d v="2023-04-07T00:00:00"/>
    <x v="0"/>
    <n v="39"/>
    <s v="month"/>
    <n v="25"/>
    <x v="4"/>
    <s v="No"/>
    <n v="0"/>
    <n v="0"/>
    <n v="25"/>
  </r>
  <r>
    <n v="206121650"/>
    <d v="2023-03-13T00:00:00"/>
    <d v="2023-04-09T00:00:00"/>
    <x v="0"/>
    <n v="39"/>
    <s v="month"/>
    <n v="27"/>
    <x v="4"/>
    <s v="No"/>
    <n v="0"/>
    <n v="0"/>
    <n v="27"/>
  </r>
  <r>
    <n v="182504578"/>
    <d v="2023-03-13T00:00:00"/>
    <d v="2023-04-20T00:00:00"/>
    <x v="0"/>
    <n v="39"/>
    <s v="month"/>
    <n v="38"/>
    <x v="4"/>
    <s v="No"/>
    <n v="0"/>
    <n v="1"/>
    <n v="38"/>
  </r>
  <r>
    <n v="204362311"/>
    <d v="2023-03-13T00:00:00"/>
    <d v="2023-06-14T00:00:00"/>
    <x v="0"/>
    <n v="39"/>
    <s v="month"/>
    <n v="93"/>
    <x v="4"/>
    <s v="No"/>
    <n v="0"/>
    <n v="1"/>
    <n v="93"/>
  </r>
  <r>
    <n v="206504573"/>
    <d v="2023-03-14T00:00:00"/>
    <m/>
    <x v="0"/>
    <n v="39"/>
    <s v="month"/>
    <s v=""/>
    <x v="5"/>
    <s v="No"/>
    <n v="0"/>
    <n v="0"/>
    <s v=""/>
  </r>
  <r>
    <n v="206490851"/>
    <d v="2023-03-14T00:00:00"/>
    <m/>
    <x v="0"/>
    <n v="39"/>
    <s v="month"/>
    <s v=""/>
    <x v="5"/>
    <s v="No"/>
    <n v="0"/>
    <n v="0"/>
    <s v=""/>
  </r>
  <r>
    <n v="206468868"/>
    <d v="2023-03-14T00:00:00"/>
    <m/>
    <x v="0"/>
    <n v="39"/>
    <s v="month"/>
    <s v=""/>
    <x v="5"/>
    <s v="No"/>
    <n v="0"/>
    <n v="0"/>
    <s v=""/>
  </r>
  <r>
    <n v="206316124"/>
    <d v="2023-03-14T00:00:00"/>
    <m/>
    <x v="0"/>
    <n v="39"/>
    <s v="month"/>
    <s v=""/>
    <x v="5"/>
    <s v="No"/>
    <n v="0"/>
    <n v="0"/>
    <s v=""/>
  </r>
  <r>
    <n v="203404034"/>
    <d v="2023-03-14T00:00:00"/>
    <d v="2023-06-22T00:00:00"/>
    <x v="0"/>
    <n v="39"/>
    <s v="month"/>
    <n v="100"/>
    <x v="5"/>
    <s v="No"/>
    <n v="0"/>
    <n v="1"/>
    <n v="100"/>
  </r>
  <r>
    <n v="206284545"/>
    <d v="2023-03-14T00:00:00"/>
    <d v="2023-06-03T00:00:00"/>
    <x v="0"/>
    <n v="39"/>
    <s v="month"/>
    <n v="81"/>
    <x v="5"/>
    <s v="No"/>
    <n v="0"/>
    <n v="1"/>
    <n v="81"/>
  </r>
  <r>
    <n v="206470657"/>
    <d v="2023-03-14T00:00:00"/>
    <d v="2023-05-03T00:00:00"/>
    <x v="0"/>
    <n v="39"/>
    <s v="month"/>
    <n v="50"/>
    <x v="5"/>
    <s v="No"/>
    <n v="0"/>
    <n v="1"/>
    <n v="50"/>
  </r>
  <r>
    <n v="206458744"/>
    <d v="2023-03-14T00:00:00"/>
    <d v="2023-04-24T00:00:00"/>
    <x v="0"/>
    <n v="39"/>
    <s v="month"/>
    <n v="41"/>
    <x v="5"/>
    <s v="No"/>
    <n v="0"/>
    <n v="1"/>
    <n v="41"/>
  </r>
  <r>
    <n v="206122814"/>
    <d v="2023-03-14T00:00:00"/>
    <d v="2023-04-13T00:00:00"/>
    <x v="0"/>
    <n v="39"/>
    <s v="month"/>
    <n v="30"/>
    <x v="5"/>
    <s v="No"/>
    <n v="0"/>
    <n v="0"/>
    <n v="30"/>
  </r>
  <r>
    <n v="206549666"/>
    <d v="2023-03-15T00:00:00"/>
    <m/>
    <x v="0"/>
    <n v="39"/>
    <s v="month"/>
    <s v=""/>
    <x v="6"/>
    <s v="No"/>
    <n v="0"/>
    <n v="0"/>
    <s v=""/>
  </r>
  <r>
    <n v="133623621"/>
    <d v="2023-03-15T00:00:00"/>
    <m/>
    <x v="0"/>
    <n v="39"/>
    <s v="month"/>
    <s v=""/>
    <x v="6"/>
    <s v="No"/>
    <n v="0"/>
    <n v="0"/>
    <s v=""/>
  </r>
  <r>
    <n v="130982816"/>
    <d v="2023-03-15T00:00:00"/>
    <m/>
    <x v="0"/>
    <n v="39"/>
    <s v="month"/>
    <s v=""/>
    <x v="6"/>
    <s v="No"/>
    <n v="0"/>
    <n v="0"/>
    <s v=""/>
  </r>
  <r>
    <n v="143776119"/>
    <d v="2023-03-15T00:00:00"/>
    <d v="2023-08-28T00:00:00"/>
    <x v="0"/>
    <n v="39"/>
    <s v="month"/>
    <n v="166"/>
    <x v="6"/>
    <s v="No"/>
    <n v="0"/>
    <n v="1"/>
    <n v="166"/>
  </r>
  <r>
    <n v="206542743"/>
    <d v="2023-03-15T00:00:00"/>
    <d v="2023-03-16T00:00:00"/>
    <x v="1"/>
    <n v="39"/>
    <s v="month"/>
    <n v="1"/>
    <x v="6"/>
    <s v="No"/>
    <n v="1"/>
    <n v="0"/>
    <n v="1"/>
  </r>
  <r>
    <n v="206158603"/>
    <d v="2023-03-15T00:00:00"/>
    <d v="2023-03-16T00:00:00"/>
    <x v="1"/>
    <n v="39"/>
    <s v="month"/>
    <n v="1"/>
    <x v="6"/>
    <s v="No"/>
    <n v="1"/>
    <n v="0"/>
    <n v="1"/>
  </r>
  <r>
    <n v="206548046"/>
    <d v="2023-03-15T00:00:00"/>
    <d v="2023-06-08T00:00:00"/>
    <x v="0"/>
    <n v="39"/>
    <s v="month"/>
    <n v="85"/>
    <x v="6"/>
    <s v="No"/>
    <n v="0"/>
    <n v="1"/>
    <n v="85"/>
  </r>
  <r>
    <n v="168464004"/>
    <d v="2023-03-15T00:00:00"/>
    <d v="2023-06-01T00:00:00"/>
    <x v="0"/>
    <n v="39"/>
    <s v="month"/>
    <n v="78"/>
    <x v="6"/>
    <s v="No"/>
    <n v="0"/>
    <n v="1"/>
    <n v="78"/>
  </r>
  <r>
    <n v="146330379"/>
    <d v="2023-03-15T00:00:00"/>
    <d v="2023-04-19T00:00:00"/>
    <x v="0"/>
    <n v="39"/>
    <s v="month"/>
    <n v="35"/>
    <x v="6"/>
    <s v="No"/>
    <n v="0"/>
    <n v="1"/>
    <n v="35"/>
  </r>
  <r>
    <n v="206006946"/>
    <d v="2023-03-15T00:00:00"/>
    <d v="2023-05-22T00:00:00"/>
    <x v="0"/>
    <n v="39"/>
    <s v="month"/>
    <n v="68"/>
    <x v="6"/>
    <s v="No"/>
    <n v="0"/>
    <n v="1"/>
    <n v="68"/>
  </r>
  <r>
    <n v="206531388"/>
    <d v="2023-03-15T00:00:00"/>
    <d v="2023-04-05T00:00:00"/>
    <x v="0"/>
    <n v="39"/>
    <s v="month"/>
    <n v="21"/>
    <x v="6"/>
    <s v="No"/>
    <n v="0"/>
    <n v="0"/>
    <n v="21"/>
  </r>
  <r>
    <n v="206512820"/>
    <d v="2023-03-15T00:00:00"/>
    <d v="2023-07-12T00:00:00"/>
    <x v="0"/>
    <n v="39"/>
    <s v="month"/>
    <n v="119"/>
    <x v="6"/>
    <s v="No"/>
    <n v="0"/>
    <n v="1"/>
    <n v="119"/>
  </r>
  <r>
    <n v="206501414"/>
    <d v="2023-03-16T00:00:00"/>
    <m/>
    <x v="0"/>
    <n v="39"/>
    <s v="month"/>
    <s v=""/>
    <x v="0"/>
    <s v="No"/>
    <n v="0"/>
    <n v="0"/>
    <s v=""/>
  </r>
  <r>
    <n v="181175226"/>
    <d v="2023-03-16T00:00:00"/>
    <d v="2023-03-31T00:00:00"/>
    <x v="0"/>
    <n v="39"/>
    <s v="month"/>
    <n v="15"/>
    <x v="0"/>
    <s v="No"/>
    <n v="0"/>
    <n v="0"/>
    <n v="15"/>
  </r>
  <r>
    <n v="148758550"/>
    <d v="2023-03-17T00:00:00"/>
    <m/>
    <x v="0"/>
    <n v="39"/>
    <s v="month"/>
    <s v=""/>
    <x v="1"/>
    <s v="No"/>
    <n v="0"/>
    <n v="0"/>
    <s v=""/>
  </r>
  <r>
    <n v="206682036"/>
    <d v="2023-03-17T00:00:00"/>
    <m/>
    <x v="0"/>
    <n v="39"/>
    <s v="month"/>
    <s v=""/>
    <x v="1"/>
    <s v="No"/>
    <n v="0"/>
    <n v="0"/>
    <s v=""/>
  </r>
  <r>
    <n v="206149654"/>
    <d v="2023-03-17T00:00:00"/>
    <m/>
    <x v="0"/>
    <n v="39"/>
    <s v="month"/>
    <s v=""/>
    <x v="1"/>
    <s v="No"/>
    <n v="0"/>
    <n v="0"/>
    <s v=""/>
  </r>
  <r>
    <n v="206653056"/>
    <d v="2023-03-17T00:00:00"/>
    <m/>
    <x v="0"/>
    <n v="39"/>
    <s v="month"/>
    <s v=""/>
    <x v="1"/>
    <s v="No"/>
    <n v="0"/>
    <n v="0"/>
    <s v=""/>
  </r>
  <r>
    <n v="198466025"/>
    <d v="2023-03-17T00:00:00"/>
    <m/>
    <x v="0"/>
    <n v="39"/>
    <s v="month"/>
    <s v=""/>
    <x v="1"/>
    <s v="No"/>
    <n v="0"/>
    <n v="0"/>
    <s v=""/>
  </r>
  <r>
    <n v="206685935"/>
    <d v="2023-03-17T00:00:00"/>
    <d v="2023-03-18T00:00:00"/>
    <x v="1"/>
    <n v="39"/>
    <s v="month"/>
    <n v="1"/>
    <x v="1"/>
    <s v="No"/>
    <n v="1"/>
    <n v="0"/>
    <n v="1"/>
  </r>
  <r>
    <n v="206659390"/>
    <d v="2023-03-17T00:00:00"/>
    <d v="2023-03-18T00:00:00"/>
    <x v="1"/>
    <n v="39"/>
    <s v="month"/>
    <n v="1"/>
    <x v="1"/>
    <s v="No"/>
    <n v="1"/>
    <n v="0"/>
    <n v="1"/>
  </r>
  <r>
    <n v="206550926"/>
    <d v="2023-03-17T00:00:00"/>
    <d v="2023-04-17T00:00:00"/>
    <x v="0"/>
    <n v="39"/>
    <s v="month"/>
    <n v="31"/>
    <x v="1"/>
    <s v="No"/>
    <n v="0"/>
    <n v="1"/>
    <n v="31"/>
  </r>
  <r>
    <n v="206673590"/>
    <d v="2023-03-17T00:00:00"/>
    <d v="2023-03-30T00:00:00"/>
    <x v="0"/>
    <n v="39"/>
    <s v="month"/>
    <n v="13"/>
    <x v="1"/>
    <s v="No"/>
    <n v="0"/>
    <n v="0"/>
    <n v="13"/>
  </r>
  <r>
    <n v="205593462"/>
    <d v="2023-03-17T00:00:00"/>
    <d v="2023-08-10T00:00:00"/>
    <x v="0"/>
    <n v="39"/>
    <s v="month"/>
    <n v="146"/>
    <x v="1"/>
    <s v="No"/>
    <n v="0"/>
    <n v="1"/>
    <n v="146"/>
  </r>
  <r>
    <n v="205889926"/>
    <d v="2023-03-18T00:00:00"/>
    <m/>
    <x v="0"/>
    <n v="39"/>
    <s v="month"/>
    <s v=""/>
    <x v="2"/>
    <s v="No"/>
    <n v="0"/>
    <n v="0"/>
    <s v=""/>
  </r>
  <r>
    <n v="151713121"/>
    <d v="2023-03-18T00:00:00"/>
    <m/>
    <x v="0"/>
    <n v="39"/>
    <s v="month"/>
    <s v=""/>
    <x v="2"/>
    <s v="No"/>
    <n v="0"/>
    <n v="0"/>
    <s v=""/>
  </r>
  <r>
    <n v="206759898"/>
    <d v="2023-03-18T00:00:00"/>
    <d v="2023-03-19T00:00:00"/>
    <x v="1"/>
    <n v="39"/>
    <s v="month"/>
    <n v="1"/>
    <x v="2"/>
    <s v="No"/>
    <n v="1"/>
    <n v="0"/>
    <n v="1"/>
  </r>
  <r>
    <n v="206750792"/>
    <d v="2023-03-18T00:00:00"/>
    <d v="2023-03-19T00:00:00"/>
    <x v="1"/>
    <n v="39"/>
    <s v="month"/>
    <n v="1"/>
    <x v="2"/>
    <s v="No"/>
    <n v="1"/>
    <n v="0"/>
    <n v="1"/>
  </r>
  <r>
    <n v="206742592"/>
    <d v="2023-03-18T00:00:00"/>
    <d v="2023-03-19T00:00:00"/>
    <x v="1"/>
    <n v="39"/>
    <s v="month"/>
    <n v="1"/>
    <x v="2"/>
    <s v="No"/>
    <n v="1"/>
    <n v="0"/>
    <n v="1"/>
  </r>
  <r>
    <n v="206700008"/>
    <d v="2023-03-18T00:00:00"/>
    <d v="2023-03-19T00:00:00"/>
    <x v="1"/>
    <n v="39"/>
    <s v="month"/>
    <n v="1"/>
    <x v="2"/>
    <s v="No"/>
    <n v="1"/>
    <n v="0"/>
    <n v="1"/>
  </r>
  <r>
    <n v="156170916"/>
    <d v="2023-03-18T00:00:00"/>
    <d v="2023-08-14T00:00:00"/>
    <x v="0"/>
    <n v="39"/>
    <s v="month"/>
    <n v="149"/>
    <x v="2"/>
    <s v="No"/>
    <n v="0"/>
    <n v="1"/>
    <n v="149"/>
  </r>
  <r>
    <n v="206607664"/>
    <d v="2023-03-18T00:00:00"/>
    <d v="2023-04-25T00:00:00"/>
    <x v="0"/>
    <n v="39"/>
    <s v="month"/>
    <n v="38"/>
    <x v="2"/>
    <s v="No"/>
    <n v="0"/>
    <n v="1"/>
    <n v="38"/>
  </r>
  <r>
    <n v="183332399"/>
    <d v="2023-03-19T00:00:00"/>
    <m/>
    <x v="0"/>
    <n v="39"/>
    <s v="month"/>
    <s v=""/>
    <x v="3"/>
    <s v="No"/>
    <n v="0"/>
    <n v="0"/>
    <s v=""/>
  </r>
  <r>
    <n v="176705210"/>
    <d v="2023-03-19T00:00:00"/>
    <d v="2023-03-20T00:00:00"/>
    <x v="0"/>
    <n v="39"/>
    <s v="month"/>
    <n v="1"/>
    <x v="3"/>
    <s v="No"/>
    <n v="1"/>
    <n v="0"/>
    <n v="1"/>
  </r>
  <r>
    <n v="154901722"/>
    <d v="2023-03-19T00:00:00"/>
    <d v="2023-03-19T00:00:00"/>
    <x v="0"/>
    <n v="39"/>
    <s v="month"/>
    <n v="0"/>
    <x v="3"/>
    <s v="Yes"/>
    <n v="1"/>
    <n v="0"/>
    <n v="0"/>
  </r>
  <r>
    <n v="153438676"/>
    <d v="2023-03-19T00:00:00"/>
    <d v="2023-05-26T00:00:00"/>
    <x v="0"/>
    <n v="39"/>
    <s v="month"/>
    <n v="68"/>
    <x v="3"/>
    <s v="No"/>
    <n v="0"/>
    <n v="1"/>
    <n v="68"/>
  </r>
  <r>
    <n v="154901722"/>
    <d v="2023-03-19T00:00:00"/>
    <d v="2023-05-04T00:00:00"/>
    <x v="0"/>
    <n v="39"/>
    <s v="month"/>
    <n v="46"/>
    <x v="3"/>
    <s v="No"/>
    <n v="0"/>
    <n v="1"/>
    <n v="46"/>
  </r>
  <r>
    <n v="123768696"/>
    <d v="2023-03-19T00:00:00"/>
    <d v="2023-04-11T00:00:00"/>
    <x v="0"/>
    <n v="39"/>
    <s v="month"/>
    <n v="23"/>
    <x v="3"/>
    <s v="No"/>
    <n v="0"/>
    <n v="0"/>
    <n v="23"/>
  </r>
  <r>
    <n v="142976081"/>
    <d v="2023-03-19T00:00:00"/>
    <d v="2023-04-19T00:00:00"/>
    <x v="0"/>
    <n v="39"/>
    <s v="month"/>
    <n v="31"/>
    <x v="3"/>
    <s v="No"/>
    <n v="0"/>
    <n v="1"/>
    <n v="31"/>
  </r>
  <r>
    <n v="152223051"/>
    <d v="2023-03-20T00:00:00"/>
    <m/>
    <x v="0"/>
    <n v="39"/>
    <s v="month"/>
    <s v=""/>
    <x v="4"/>
    <s v="No"/>
    <n v="0"/>
    <n v="0"/>
    <s v=""/>
  </r>
  <r>
    <n v="206865174"/>
    <d v="2023-03-20T00:00:00"/>
    <m/>
    <x v="0"/>
    <n v="39"/>
    <s v="month"/>
    <s v=""/>
    <x v="4"/>
    <s v="No"/>
    <n v="0"/>
    <n v="0"/>
    <s v=""/>
  </r>
  <r>
    <n v="143327052"/>
    <d v="2023-03-20T00:00:00"/>
    <m/>
    <x v="0"/>
    <n v="39"/>
    <s v="month"/>
    <s v=""/>
    <x v="4"/>
    <s v="No"/>
    <n v="0"/>
    <n v="0"/>
    <s v=""/>
  </r>
  <r>
    <n v="202270426"/>
    <d v="2023-03-20T00:00:00"/>
    <d v="2023-03-21T00:00:00"/>
    <x v="0"/>
    <n v="39"/>
    <s v="month"/>
    <n v="1"/>
    <x v="4"/>
    <s v="No"/>
    <n v="1"/>
    <n v="0"/>
    <n v="1"/>
  </r>
  <r>
    <n v="185602413"/>
    <d v="2023-03-20T00:00:00"/>
    <d v="2023-06-27T00:00:00"/>
    <x v="0"/>
    <n v="39"/>
    <s v="month"/>
    <n v="99"/>
    <x v="4"/>
    <s v="No"/>
    <n v="0"/>
    <n v="1"/>
    <n v="99"/>
  </r>
  <r>
    <n v="206679618"/>
    <d v="2023-03-20T00:00:00"/>
    <d v="2023-05-01T00:00:00"/>
    <x v="0"/>
    <n v="39"/>
    <s v="month"/>
    <n v="42"/>
    <x v="4"/>
    <s v="No"/>
    <n v="0"/>
    <n v="1"/>
    <n v="42"/>
  </r>
  <r>
    <n v="127561439"/>
    <d v="2023-03-20T00:00:00"/>
    <d v="2023-04-19T00:00:00"/>
    <x v="0"/>
    <n v="39"/>
    <s v="month"/>
    <n v="30"/>
    <x v="4"/>
    <s v="No"/>
    <n v="0"/>
    <n v="0"/>
    <n v="30"/>
  </r>
  <r>
    <n v="176705210"/>
    <d v="2023-03-20T00:00:00"/>
    <d v="2023-03-20T00:00:00"/>
    <x v="0"/>
    <n v="39"/>
    <s v="month"/>
    <n v="0"/>
    <x v="4"/>
    <s v="Yes"/>
    <n v="1"/>
    <n v="0"/>
    <n v="0"/>
  </r>
  <r>
    <n v="206693452"/>
    <d v="2023-03-21T00:00:00"/>
    <m/>
    <x v="0"/>
    <n v="39"/>
    <s v="month"/>
    <s v=""/>
    <x v="5"/>
    <s v="No"/>
    <n v="0"/>
    <n v="0"/>
    <s v=""/>
  </r>
  <r>
    <n v="193499084"/>
    <d v="2023-03-21T00:00:00"/>
    <m/>
    <x v="0"/>
    <n v="39"/>
    <s v="month"/>
    <s v=""/>
    <x v="5"/>
    <s v="No"/>
    <n v="0"/>
    <n v="0"/>
    <s v=""/>
  </r>
  <r>
    <n v="206995576"/>
    <d v="2023-03-21T00:00:00"/>
    <d v="2023-08-25T00:00:00"/>
    <x v="0"/>
    <n v="39"/>
    <s v="month"/>
    <n v="157"/>
    <x v="5"/>
    <s v="No"/>
    <n v="0"/>
    <n v="1"/>
    <n v="157"/>
  </r>
  <r>
    <n v="154783053"/>
    <d v="2023-03-21T00:00:00"/>
    <d v="2023-05-04T00:00:00"/>
    <x v="0"/>
    <n v="39"/>
    <s v="month"/>
    <n v="44"/>
    <x v="5"/>
    <s v="No"/>
    <n v="0"/>
    <n v="1"/>
    <n v="44"/>
  </r>
  <r>
    <n v="158349405"/>
    <d v="2023-03-21T00:00:00"/>
    <d v="2023-08-16T00:00:00"/>
    <x v="0"/>
    <n v="39"/>
    <s v="month"/>
    <n v="148"/>
    <x v="5"/>
    <s v="No"/>
    <n v="0"/>
    <n v="1"/>
    <n v="148"/>
  </r>
  <r>
    <n v="205554002"/>
    <d v="2023-03-21T00:00:00"/>
    <d v="2023-08-15T00:00:00"/>
    <x v="0"/>
    <n v="39"/>
    <s v="month"/>
    <n v="147"/>
    <x v="5"/>
    <s v="No"/>
    <n v="0"/>
    <n v="1"/>
    <n v="147"/>
  </r>
  <r>
    <n v="207045565"/>
    <d v="2023-03-22T00:00:00"/>
    <m/>
    <x v="0"/>
    <n v="39"/>
    <s v="month"/>
    <s v=""/>
    <x v="6"/>
    <s v="No"/>
    <n v="0"/>
    <n v="0"/>
    <s v=""/>
  </r>
  <r>
    <n v="205483607"/>
    <d v="2023-03-22T00:00:00"/>
    <m/>
    <x v="0"/>
    <n v="39"/>
    <s v="month"/>
    <s v=""/>
    <x v="6"/>
    <s v="No"/>
    <n v="0"/>
    <n v="0"/>
    <s v=""/>
  </r>
  <r>
    <n v="147662374"/>
    <d v="2023-03-22T00:00:00"/>
    <m/>
    <x v="0"/>
    <n v="39"/>
    <s v="month"/>
    <s v=""/>
    <x v="6"/>
    <s v="No"/>
    <n v="0"/>
    <n v="0"/>
    <s v=""/>
  </r>
  <r>
    <n v="150652956"/>
    <d v="2023-03-22T00:00:00"/>
    <d v="2023-04-11T00:00:00"/>
    <x v="0"/>
    <n v="39"/>
    <s v="month"/>
    <n v="20"/>
    <x v="6"/>
    <s v="No"/>
    <n v="0"/>
    <n v="0"/>
    <n v="20"/>
  </r>
  <r>
    <n v="206527656"/>
    <d v="2023-03-22T00:00:00"/>
    <d v="2023-06-08T00:00:00"/>
    <x v="0"/>
    <n v="39"/>
    <s v="month"/>
    <n v="78"/>
    <x v="6"/>
    <s v="No"/>
    <n v="0"/>
    <n v="1"/>
    <n v="78"/>
  </r>
  <r>
    <n v="207041353"/>
    <d v="2023-03-22T00:00:00"/>
    <d v="2023-05-19T00:00:00"/>
    <x v="0"/>
    <n v="39"/>
    <s v="month"/>
    <n v="58"/>
    <x v="6"/>
    <s v="No"/>
    <n v="0"/>
    <n v="1"/>
    <n v="58"/>
  </r>
  <r>
    <n v="204448911"/>
    <d v="2023-03-22T00:00:00"/>
    <d v="2023-04-21T00:00:00"/>
    <x v="0"/>
    <n v="39"/>
    <s v="month"/>
    <n v="30"/>
    <x v="6"/>
    <s v="No"/>
    <n v="0"/>
    <n v="0"/>
    <n v="30"/>
  </r>
  <r>
    <n v="206951785"/>
    <d v="2023-03-22T00:00:00"/>
    <d v="2023-04-20T00:00:00"/>
    <x v="0"/>
    <n v="39"/>
    <s v="month"/>
    <n v="29"/>
    <x v="6"/>
    <s v="No"/>
    <n v="0"/>
    <n v="0"/>
    <n v="29"/>
  </r>
  <r>
    <n v="206892555"/>
    <d v="2023-03-22T00:00:00"/>
    <d v="2023-03-24T00:00:00"/>
    <x v="0"/>
    <n v="39"/>
    <s v="month"/>
    <n v="2"/>
    <x v="6"/>
    <s v="No"/>
    <n v="1"/>
    <n v="0"/>
    <n v="2"/>
  </r>
  <r>
    <n v="207051401"/>
    <d v="2023-03-23T00:00:00"/>
    <m/>
    <x v="0"/>
    <n v="39"/>
    <s v="month"/>
    <s v=""/>
    <x v="0"/>
    <s v="No"/>
    <n v="0"/>
    <n v="0"/>
    <s v=""/>
  </r>
  <r>
    <n v="206904848"/>
    <d v="2023-03-23T00:00:00"/>
    <m/>
    <x v="0"/>
    <n v="39"/>
    <s v="month"/>
    <s v=""/>
    <x v="0"/>
    <s v="No"/>
    <n v="0"/>
    <n v="0"/>
    <s v=""/>
  </r>
  <r>
    <n v="204598188"/>
    <d v="2023-03-23T00:00:00"/>
    <d v="2023-08-31T00:00:00"/>
    <x v="0"/>
    <n v="39"/>
    <s v="month"/>
    <n v="161"/>
    <x v="0"/>
    <s v="No"/>
    <n v="0"/>
    <n v="1"/>
    <n v="161"/>
  </r>
  <r>
    <n v="206447228"/>
    <d v="2023-03-23T00:00:00"/>
    <d v="2023-05-26T00:00:00"/>
    <x v="0"/>
    <n v="39"/>
    <s v="month"/>
    <n v="64"/>
    <x v="0"/>
    <s v="No"/>
    <n v="0"/>
    <n v="1"/>
    <n v="64"/>
  </r>
  <r>
    <n v="206190599"/>
    <d v="2023-03-23T00:00:00"/>
    <d v="2023-05-11T00:00:00"/>
    <x v="0"/>
    <n v="39"/>
    <s v="month"/>
    <n v="49"/>
    <x v="0"/>
    <s v="No"/>
    <n v="0"/>
    <n v="1"/>
    <n v="49"/>
  </r>
  <r>
    <n v="207014740"/>
    <d v="2023-03-23T00:00:00"/>
    <d v="2023-04-07T00:00:00"/>
    <x v="0"/>
    <n v="39"/>
    <s v="month"/>
    <n v="15"/>
    <x v="0"/>
    <s v="No"/>
    <n v="0"/>
    <n v="0"/>
    <n v="15"/>
  </r>
  <r>
    <n v="156762690"/>
    <d v="2023-03-23T00:00:00"/>
    <d v="2023-04-21T00:00:00"/>
    <x v="0"/>
    <n v="39"/>
    <s v="month"/>
    <n v="29"/>
    <x v="0"/>
    <s v="No"/>
    <n v="0"/>
    <n v="0"/>
    <n v="29"/>
  </r>
  <r>
    <n v="207116463"/>
    <d v="2023-03-23T00:00:00"/>
    <d v="2023-04-21T00:00:00"/>
    <x v="0"/>
    <n v="39"/>
    <s v="month"/>
    <n v="29"/>
    <x v="0"/>
    <s v="No"/>
    <n v="0"/>
    <n v="0"/>
    <n v="29"/>
  </r>
  <r>
    <n v="206555111"/>
    <d v="2023-03-23T00:00:00"/>
    <d v="2023-04-17T00:00:00"/>
    <x v="0"/>
    <n v="39"/>
    <s v="month"/>
    <n v="25"/>
    <x v="0"/>
    <s v="No"/>
    <n v="0"/>
    <n v="0"/>
    <n v="25"/>
  </r>
  <r>
    <n v="169543155"/>
    <d v="2023-03-23T00:00:00"/>
    <d v="2023-04-30T00:00:00"/>
    <x v="0"/>
    <n v="39"/>
    <s v="month"/>
    <n v="38"/>
    <x v="0"/>
    <s v="No"/>
    <n v="0"/>
    <n v="1"/>
    <n v="38"/>
  </r>
  <r>
    <n v="202270426"/>
    <d v="2023-03-23T00:00:00"/>
    <d v="2023-04-30T00:00:00"/>
    <x v="0"/>
    <n v="39"/>
    <s v="month"/>
    <n v="38"/>
    <x v="0"/>
    <s v="No"/>
    <n v="0"/>
    <n v="1"/>
    <n v="38"/>
  </r>
  <r>
    <n v="207005361"/>
    <d v="2023-03-23T00:00:00"/>
    <d v="2023-07-11T00:00:00"/>
    <x v="0"/>
    <n v="39"/>
    <s v="month"/>
    <n v="110"/>
    <x v="0"/>
    <s v="No"/>
    <n v="0"/>
    <n v="1"/>
    <n v="110"/>
  </r>
  <r>
    <n v="206105763"/>
    <d v="2023-03-24T00:00:00"/>
    <m/>
    <x v="0"/>
    <n v="39"/>
    <s v="month"/>
    <s v=""/>
    <x v="1"/>
    <s v="No"/>
    <n v="0"/>
    <n v="0"/>
    <s v=""/>
  </r>
  <r>
    <n v="198968224"/>
    <d v="2023-03-24T00:00:00"/>
    <m/>
    <x v="0"/>
    <n v="39"/>
    <s v="month"/>
    <s v=""/>
    <x v="1"/>
    <s v="No"/>
    <n v="0"/>
    <n v="0"/>
    <s v=""/>
  </r>
  <r>
    <n v="205342230"/>
    <d v="2023-03-24T00:00:00"/>
    <m/>
    <x v="0"/>
    <n v="39"/>
    <s v="month"/>
    <s v=""/>
    <x v="1"/>
    <s v="No"/>
    <n v="0"/>
    <n v="0"/>
    <s v=""/>
  </r>
  <r>
    <n v="207224044"/>
    <d v="2023-03-24T00:00:00"/>
    <m/>
    <x v="0"/>
    <n v="39"/>
    <s v="month"/>
    <s v=""/>
    <x v="1"/>
    <s v="No"/>
    <n v="0"/>
    <n v="0"/>
    <s v=""/>
  </r>
  <r>
    <n v="174232231"/>
    <d v="2023-03-24T00:00:00"/>
    <m/>
    <x v="0"/>
    <n v="39"/>
    <s v="month"/>
    <s v=""/>
    <x v="1"/>
    <s v="No"/>
    <n v="0"/>
    <n v="0"/>
    <s v=""/>
  </r>
  <r>
    <n v="207017124"/>
    <d v="2023-03-24T00:00:00"/>
    <d v="2023-03-24T00:00:00"/>
    <x v="1"/>
    <n v="39"/>
    <s v="month"/>
    <n v="0"/>
    <x v="1"/>
    <s v="Yes"/>
    <n v="1"/>
    <n v="0"/>
    <n v="0"/>
  </r>
  <r>
    <n v="194006146"/>
    <d v="2023-03-24T00:00:00"/>
    <d v="2023-06-16T00:00:00"/>
    <x v="0"/>
    <n v="39"/>
    <s v="month"/>
    <n v="84"/>
    <x v="1"/>
    <s v="No"/>
    <n v="0"/>
    <n v="1"/>
    <n v="84"/>
  </r>
  <r>
    <n v="150509580"/>
    <d v="2023-03-24T00:00:00"/>
    <d v="2023-06-09T00:00:00"/>
    <x v="0"/>
    <n v="39"/>
    <s v="month"/>
    <n v="77"/>
    <x v="1"/>
    <s v="No"/>
    <n v="0"/>
    <n v="1"/>
    <n v="77"/>
  </r>
  <r>
    <n v="207120479"/>
    <d v="2023-03-24T00:00:00"/>
    <d v="2023-05-30T00:00:00"/>
    <x v="0"/>
    <n v="39"/>
    <s v="month"/>
    <n v="67"/>
    <x v="1"/>
    <s v="No"/>
    <n v="0"/>
    <n v="1"/>
    <n v="67"/>
  </r>
  <r>
    <n v="162069198"/>
    <d v="2023-03-24T00:00:00"/>
    <d v="2023-04-23T00:00:00"/>
    <x v="0"/>
    <n v="39"/>
    <s v="month"/>
    <n v="30"/>
    <x v="1"/>
    <s v="No"/>
    <n v="0"/>
    <n v="0"/>
    <n v="30"/>
  </r>
  <r>
    <n v="206742272"/>
    <d v="2023-03-24T00:00:00"/>
    <d v="2023-04-28T00:00:00"/>
    <x v="0"/>
    <n v="39"/>
    <s v="month"/>
    <n v="35"/>
    <x v="1"/>
    <s v="No"/>
    <n v="0"/>
    <n v="1"/>
    <n v="35"/>
  </r>
  <r>
    <n v="207433836"/>
    <d v="2023-03-25T00:00:00"/>
    <m/>
    <x v="0"/>
    <n v="39"/>
    <s v="month"/>
    <s v=""/>
    <x v="2"/>
    <s v="No"/>
    <n v="0"/>
    <n v="0"/>
    <s v=""/>
  </r>
  <r>
    <n v="207382183"/>
    <d v="2023-03-25T00:00:00"/>
    <m/>
    <x v="0"/>
    <n v="39"/>
    <s v="month"/>
    <s v=""/>
    <x v="2"/>
    <s v="No"/>
    <n v="0"/>
    <n v="0"/>
    <s v=""/>
  </r>
  <r>
    <n v="205051942"/>
    <d v="2023-03-25T00:00:00"/>
    <m/>
    <x v="0"/>
    <n v="39"/>
    <s v="month"/>
    <s v=""/>
    <x v="2"/>
    <s v="No"/>
    <n v="0"/>
    <n v="0"/>
    <s v=""/>
  </r>
  <r>
    <n v="132631414"/>
    <d v="2023-03-25T00:00:00"/>
    <d v="2023-07-02T00:00:00"/>
    <x v="0"/>
    <n v="39"/>
    <s v="month"/>
    <n v="99"/>
    <x v="2"/>
    <s v="No"/>
    <n v="0"/>
    <n v="1"/>
    <n v="99"/>
  </r>
  <r>
    <n v="207529664"/>
    <d v="2023-03-25T00:00:00"/>
    <d v="2023-03-31T00:00:00"/>
    <x v="0"/>
    <n v="39"/>
    <s v="month"/>
    <n v="6"/>
    <x v="2"/>
    <s v="No"/>
    <n v="0"/>
    <n v="0"/>
    <n v="6"/>
  </r>
  <r>
    <n v="207022940"/>
    <d v="2023-03-25T00:00:00"/>
    <d v="2023-07-10T00:00:00"/>
    <x v="0"/>
    <n v="39"/>
    <s v="month"/>
    <n v="107"/>
    <x v="2"/>
    <s v="No"/>
    <n v="0"/>
    <n v="1"/>
    <n v="107"/>
  </r>
  <r>
    <n v="207388337"/>
    <d v="2023-03-25T00:00:00"/>
    <d v="2023-08-03T00:00:00"/>
    <x v="0"/>
    <n v="39"/>
    <s v="month"/>
    <n v="131"/>
    <x v="2"/>
    <s v="No"/>
    <n v="0"/>
    <n v="1"/>
    <n v="131"/>
  </r>
  <r>
    <n v="205883858"/>
    <d v="2023-03-26T00:00:00"/>
    <m/>
    <x v="0"/>
    <n v="39"/>
    <s v="month"/>
    <s v=""/>
    <x v="3"/>
    <s v="No"/>
    <n v="0"/>
    <n v="0"/>
    <s v=""/>
  </r>
  <r>
    <n v="173711359"/>
    <d v="2023-03-26T00:00:00"/>
    <d v="2023-06-10T00:00:00"/>
    <x v="0"/>
    <n v="39"/>
    <s v="month"/>
    <n v="76"/>
    <x v="3"/>
    <s v="No"/>
    <n v="0"/>
    <n v="1"/>
    <n v="76"/>
  </r>
  <r>
    <n v="207078726"/>
    <d v="2023-03-26T00:00:00"/>
    <d v="2023-06-13T00:00:00"/>
    <x v="0"/>
    <n v="39"/>
    <s v="month"/>
    <n v="79"/>
    <x v="3"/>
    <s v="No"/>
    <n v="0"/>
    <n v="1"/>
    <n v="79"/>
  </r>
  <r>
    <n v="207415911"/>
    <d v="2023-03-26T00:00:00"/>
    <d v="2023-05-31T00:00:00"/>
    <x v="0"/>
    <n v="39"/>
    <s v="month"/>
    <n v="66"/>
    <x v="3"/>
    <s v="No"/>
    <n v="0"/>
    <n v="1"/>
    <n v="66"/>
  </r>
  <r>
    <n v="207391012"/>
    <d v="2023-03-26T00:00:00"/>
    <d v="2023-04-06T00:00:00"/>
    <x v="0"/>
    <n v="39"/>
    <s v="month"/>
    <n v="11"/>
    <x v="3"/>
    <s v="No"/>
    <n v="0"/>
    <n v="0"/>
    <n v="11"/>
  </r>
  <r>
    <n v="207699946"/>
    <d v="2023-03-26T00:00:00"/>
    <d v="2023-04-24T00:00:00"/>
    <x v="0"/>
    <n v="39"/>
    <s v="month"/>
    <n v="29"/>
    <x v="3"/>
    <s v="No"/>
    <n v="0"/>
    <n v="0"/>
    <n v="29"/>
  </r>
  <r>
    <n v="207665488"/>
    <d v="2023-03-26T00:00:00"/>
    <d v="2023-03-26T00:00:00"/>
    <x v="0"/>
    <n v="39"/>
    <s v="month"/>
    <n v="0"/>
    <x v="3"/>
    <s v="Yes"/>
    <n v="1"/>
    <n v="0"/>
    <n v="0"/>
  </r>
  <r>
    <n v="207742153"/>
    <d v="2023-03-26T00:00:00"/>
    <d v="2023-07-07T00:00:00"/>
    <x v="0"/>
    <n v="39"/>
    <s v="month"/>
    <n v="103"/>
    <x v="3"/>
    <s v="No"/>
    <n v="0"/>
    <n v="1"/>
    <n v="103"/>
  </r>
  <r>
    <n v="207288677"/>
    <d v="2023-03-27T00:00:00"/>
    <m/>
    <x v="0"/>
    <n v="39"/>
    <s v="month"/>
    <s v=""/>
    <x v="4"/>
    <s v="No"/>
    <n v="0"/>
    <n v="0"/>
    <s v=""/>
  </r>
  <r>
    <n v="208151007"/>
    <d v="2023-03-27T00:00:00"/>
    <m/>
    <x v="0"/>
    <n v="39"/>
    <s v="month"/>
    <s v=""/>
    <x v="4"/>
    <s v="No"/>
    <n v="0"/>
    <n v="0"/>
    <s v=""/>
  </r>
  <r>
    <n v="207218336"/>
    <d v="2023-03-27T00:00:00"/>
    <m/>
    <x v="0"/>
    <n v="39"/>
    <s v="month"/>
    <s v=""/>
    <x v="4"/>
    <s v="No"/>
    <n v="0"/>
    <n v="0"/>
    <s v=""/>
  </r>
  <r>
    <n v="208105889"/>
    <d v="2023-03-27T00:00:00"/>
    <m/>
    <x v="0"/>
    <n v="39"/>
    <s v="month"/>
    <s v=""/>
    <x v="4"/>
    <s v="No"/>
    <n v="0"/>
    <n v="0"/>
    <s v=""/>
  </r>
  <r>
    <n v="152221925"/>
    <d v="2023-03-27T00:00:00"/>
    <d v="2023-06-19T00:00:00"/>
    <x v="0"/>
    <n v="39"/>
    <s v="month"/>
    <n v="84"/>
    <x v="4"/>
    <s v="No"/>
    <n v="0"/>
    <n v="1"/>
    <n v="84"/>
  </r>
  <r>
    <n v="207090754"/>
    <d v="2023-03-27T00:00:00"/>
    <d v="2023-06-01T00:00:00"/>
    <x v="0"/>
    <n v="39"/>
    <s v="month"/>
    <n v="66"/>
    <x v="4"/>
    <s v="No"/>
    <n v="0"/>
    <n v="1"/>
    <n v="66"/>
  </r>
  <r>
    <n v="128283235"/>
    <d v="2023-03-27T00:00:00"/>
    <d v="2023-07-27T00:00:00"/>
    <x v="0"/>
    <n v="39"/>
    <s v="month"/>
    <n v="122"/>
    <x v="4"/>
    <s v="No"/>
    <n v="0"/>
    <n v="1"/>
    <n v="122"/>
  </r>
  <r>
    <n v="206686106"/>
    <d v="2023-03-27T00:00:00"/>
    <d v="2023-05-04T00:00:00"/>
    <x v="0"/>
    <n v="39"/>
    <s v="month"/>
    <n v="38"/>
    <x v="4"/>
    <s v="No"/>
    <n v="0"/>
    <n v="1"/>
    <n v="38"/>
  </r>
  <r>
    <n v="208090380"/>
    <d v="2023-03-27T00:00:00"/>
    <d v="2023-04-10T00:00:00"/>
    <x v="0"/>
    <n v="39"/>
    <s v="month"/>
    <n v="14"/>
    <x v="4"/>
    <s v="No"/>
    <n v="0"/>
    <n v="0"/>
    <n v="14"/>
  </r>
  <r>
    <n v="153281230"/>
    <d v="2023-03-27T00:00:00"/>
    <d v="2023-04-17T00:00:00"/>
    <x v="0"/>
    <n v="39"/>
    <s v="month"/>
    <n v="21"/>
    <x v="4"/>
    <s v="No"/>
    <n v="0"/>
    <n v="0"/>
    <n v="21"/>
  </r>
  <r>
    <n v="205049710"/>
    <d v="2023-03-27T00:00:00"/>
    <d v="2023-03-28T00:00:00"/>
    <x v="0"/>
    <n v="39"/>
    <s v="month"/>
    <n v="1"/>
    <x v="4"/>
    <s v="No"/>
    <n v="1"/>
    <n v="0"/>
    <n v="1"/>
  </r>
  <r>
    <n v="208618235"/>
    <d v="2023-03-28T00:00:00"/>
    <m/>
    <x v="0"/>
    <n v="39"/>
    <s v="month"/>
    <s v=""/>
    <x v="5"/>
    <s v="No"/>
    <n v="0"/>
    <n v="0"/>
    <s v=""/>
  </r>
  <r>
    <n v="167713351"/>
    <d v="2023-03-28T00:00:00"/>
    <m/>
    <x v="0"/>
    <n v="39"/>
    <s v="month"/>
    <s v=""/>
    <x v="5"/>
    <s v="No"/>
    <n v="0"/>
    <n v="0"/>
    <s v=""/>
  </r>
  <r>
    <n v="149975492"/>
    <d v="2023-03-28T00:00:00"/>
    <m/>
    <x v="0"/>
    <n v="39"/>
    <s v="month"/>
    <s v=""/>
    <x v="5"/>
    <s v="No"/>
    <n v="0"/>
    <n v="0"/>
    <s v=""/>
  </r>
  <r>
    <n v="208286745"/>
    <d v="2023-03-28T00:00:00"/>
    <m/>
    <x v="0"/>
    <n v="39"/>
    <s v="month"/>
    <s v=""/>
    <x v="5"/>
    <s v="No"/>
    <n v="0"/>
    <n v="0"/>
    <s v=""/>
  </r>
  <r>
    <n v="208473540"/>
    <d v="2023-03-28T00:00:00"/>
    <d v="2023-03-28T00:00:00"/>
    <x v="0"/>
    <n v="39"/>
    <s v="month"/>
    <n v="0"/>
    <x v="5"/>
    <s v="Yes"/>
    <n v="1"/>
    <n v="0"/>
    <n v="0"/>
  </r>
  <r>
    <n v="137721176"/>
    <d v="2023-03-28T00:00:00"/>
    <d v="2023-07-31T00:00:00"/>
    <x v="0"/>
    <n v="39"/>
    <s v="month"/>
    <n v="125"/>
    <x v="5"/>
    <s v="No"/>
    <n v="0"/>
    <n v="1"/>
    <n v="125"/>
  </r>
  <r>
    <n v="140062581"/>
    <d v="2023-03-28T00:00:00"/>
    <d v="2023-05-13T00:00:00"/>
    <x v="0"/>
    <n v="39"/>
    <s v="month"/>
    <n v="46"/>
    <x v="5"/>
    <s v="No"/>
    <n v="0"/>
    <n v="1"/>
    <n v="46"/>
  </r>
  <r>
    <n v="208488674"/>
    <d v="2023-03-28T00:00:00"/>
    <d v="2023-06-01T00:00:00"/>
    <x v="0"/>
    <n v="39"/>
    <s v="month"/>
    <n v="65"/>
    <x v="5"/>
    <s v="No"/>
    <n v="0"/>
    <n v="1"/>
    <n v="65"/>
  </r>
  <r>
    <n v="162752410"/>
    <d v="2023-03-28T00:00:00"/>
    <d v="2023-08-20T00:00:00"/>
    <x v="0"/>
    <n v="39"/>
    <s v="month"/>
    <n v="145"/>
    <x v="5"/>
    <s v="No"/>
    <n v="0"/>
    <n v="1"/>
    <n v="145"/>
  </r>
  <r>
    <n v="208598415"/>
    <d v="2023-03-28T00:00:00"/>
    <d v="2023-05-03T00:00:00"/>
    <x v="0"/>
    <n v="39"/>
    <s v="month"/>
    <n v="36"/>
    <x v="5"/>
    <s v="No"/>
    <n v="0"/>
    <n v="1"/>
    <n v="36"/>
  </r>
  <r>
    <n v="143427096"/>
    <d v="2023-03-28T00:00:00"/>
    <d v="2023-05-01T00:00:00"/>
    <x v="0"/>
    <n v="39"/>
    <s v="month"/>
    <n v="34"/>
    <x v="5"/>
    <s v="No"/>
    <n v="0"/>
    <n v="1"/>
    <n v="34"/>
  </r>
  <r>
    <n v="208480650"/>
    <d v="2023-03-28T00:00:00"/>
    <d v="2023-04-14T00:00:00"/>
    <x v="0"/>
    <n v="39"/>
    <s v="month"/>
    <n v="17"/>
    <x v="5"/>
    <s v="No"/>
    <n v="0"/>
    <n v="0"/>
    <n v="17"/>
  </r>
  <r>
    <n v="147000442"/>
    <d v="2023-03-29T00:00:00"/>
    <m/>
    <x v="0"/>
    <n v="39"/>
    <s v="month"/>
    <s v=""/>
    <x v="6"/>
    <s v="No"/>
    <n v="0"/>
    <n v="0"/>
    <s v=""/>
  </r>
  <r>
    <n v="207062508"/>
    <d v="2023-03-29T00:00:00"/>
    <m/>
    <x v="0"/>
    <n v="39"/>
    <s v="month"/>
    <s v=""/>
    <x v="6"/>
    <s v="No"/>
    <n v="0"/>
    <n v="0"/>
    <s v=""/>
  </r>
  <r>
    <n v="206862916"/>
    <d v="2023-03-29T00:00:00"/>
    <m/>
    <x v="0"/>
    <n v="39"/>
    <s v="month"/>
    <s v=""/>
    <x v="6"/>
    <s v="No"/>
    <n v="0"/>
    <n v="0"/>
    <s v=""/>
  </r>
  <r>
    <n v="208706866"/>
    <d v="2023-03-29T00:00:00"/>
    <m/>
    <x v="0"/>
    <n v="39"/>
    <s v="month"/>
    <s v=""/>
    <x v="6"/>
    <s v="No"/>
    <n v="0"/>
    <n v="0"/>
    <s v=""/>
  </r>
  <r>
    <n v="134719816"/>
    <d v="2023-03-29T00:00:00"/>
    <d v="2023-06-18T00:00:00"/>
    <x v="0"/>
    <n v="39"/>
    <s v="month"/>
    <n v="81"/>
    <x v="6"/>
    <s v="No"/>
    <n v="0"/>
    <n v="1"/>
    <n v="81"/>
  </r>
  <r>
    <n v="138548670"/>
    <d v="2023-03-29T00:00:00"/>
    <d v="2023-05-30T00:00:00"/>
    <x v="0"/>
    <n v="39"/>
    <s v="month"/>
    <n v="62"/>
    <x v="6"/>
    <s v="No"/>
    <n v="0"/>
    <n v="1"/>
    <n v="62"/>
  </r>
  <r>
    <n v="208745476"/>
    <d v="2023-03-29T00:00:00"/>
    <d v="2023-06-21T00:00:00"/>
    <x v="0"/>
    <n v="39"/>
    <s v="month"/>
    <n v="84"/>
    <x v="6"/>
    <s v="No"/>
    <n v="0"/>
    <n v="1"/>
    <n v="84"/>
  </r>
  <r>
    <n v="182584521"/>
    <d v="2023-03-29T00:00:00"/>
    <d v="2023-05-06T00:00:00"/>
    <x v="0"/>
    <n v="39"/>
    <s v="month"/>
    <n v="38"/>
    <x v="6"/>
    <s v="No"/>
    <n v="0"/>
    <n v="1"/>
    <n v="38"/>
  </r>
  <r>
    <n v="206463427"/>
    <d v="2023-03-29T00:00:00"/>
    <d v="2023-05-04T00:00:00"/>
    <x v="0"/>
    <n v="39"/>
    <s v="month"/>
    <n v="36"/>
    <x v="6"/>
    <s v="No"/>
    <n v="0"/>
    <n v="1"/>
    <n v="36"/>
  </r>
  <r>
    <n v="158947936"/>
    <d v="2023-03-29T00:00:00"/>
    <d v="2023-04-28T00:00:00"/>
    <x v="0"/>
    <n v="39"/>
    <s v="month"/>
    <n v="30"/>
    <x v="6"/>
    <s v="No"/>
    <n v="0"/>
    <n v="0"/>
    <n v="30"/>
  </r>
  <r>
    <n v="182737296"/>
    <d v="2023-03-29T00:00:00"/>
    <d v="2023-04-29T00:00:00"/>
    <x v="0"/>
    <n v="39"/>
    <s v="month"/>
    <n v="31"/>
    <x v="6"/>
    <s v="No"/>
    <n v="0"/>
    <n v="1"/>
    <n v="31"/>
  </r>
  <r>
    <n v="156550538"/>
    <d v="2023-03-30T00:00:00"/>
    <m/>
    <x v="0"/>
    <n v="39"/>
    <s v="month"/>
    <s v=""/>
    <x v="0"/>
    <s v="No"/>
    <n v="0"/>
    <n v="0"/>
    <s v=""/>
  </r>
  <r>
    <n v="208897557"/>
    <d v="2023-03-30T00:00:00"/>
    <m/>
    <x v="0"/>
    <n v="39"/>
    <s v="month"/>
    <s v=""/>
    <x v="0"/>
    <s v="No"/>
    <n v="0"/>
    <n v="0"/>
    <s v=""/>
  </r>
  <r>
    <n v="157484010"/>
    <d v="2023-03-30T00:00:00"/>
    <m/>
    <x v="0"/>
    <n v="39"/>
    <s v="month"/>
    <s v=""/>
    <x v="0"/>
    <s v="No"/>
    <n v="0"/>
    <n v="0"/>
    <s v=""/>
  </r>
  <r>
    <n v="146450388"/>
    <d v="2023-03-30T00:00:00"/>
    <d v="2023-06-06T00:00:00"/>
    <x v="0"/>
    <n v="39"/>
    <s v="month"/>
    <n v="68"/>
    <x v="0"/>
    <s v="No"/>
    <n v="0"/>
    <n v="1"/>
    <n v="68"/>
  </r>
  <r>
    <n v="208610366"/>
    <d v="2023-03-30T00:00:00"/>
    <d v="2023-07-07T00:00:00"/>
    <x v="0"/>
    <n v="39"/>
    <s v="month"/>
    <n v="99"/>
    <x v="0"/>
    <s v="No"/>
    <n v="0"/>
    <n v="1"/>
    <n v="99"/>
  </r>
  <r>
    <n v="208913022"/>
    <d v="2023-03-30T00:00:00"/>
    <d v="2023-05-19T00:00:00"/>
    <x v="0"/>
    <n v="39"/>
    <s v="month"/>
    <n v="50"/>
    <x v="0"/>
    <s v="No"/>
    <n v="0"/>
    <n v="1"/>
    <n v="50"/>
  </r>
  <r>
    <n v="205813846"/>
    <d v="2023-03-30T00:00:00"/>
    <d v="2023-05-19T00:00:00"/>
    <x v="0"/>
    <n v="39"/>
    <s v="month"/>
    <n v="50"/>
    <x v="0"/>
    <s v="No"/>
    <n v="0"/>
    <n v="1"/>
    <n v="50"/>
  </r>
  <r>
    <n v="208762353"/>
    <d v="2023-03-30T00:00:00"/>
    <d v="2023-04-21T00:00:00"/>
    <x v="0"/>
    <n v="39"/>
    <s v="month"/>
    <n v="22"/>
    <x v="0"/>
    <s v="No"/>
    <n v="0"/>
    <n v="0"/>
    <n v="22"/>
  </r>
  <r>
    <n v="153099249"/>
    <d v="2023-03-30T00:00:00"/>
    <d v="2023-04-13T00:00:00"/>
    <x v="0"/>
    <n v="39"/>
    <s v="month"/>
    <n v="14"/>
    <x v="0"/>
    <s v="No"/>
    <n v="0"/>
    <n v="0"/>
    <n v="14"/>
  </r>
  <r>
    <n v="208734252"/>
    <d v="2023-03-30T00:00:00"/>
    <d v="2023-04-30T00:00:00"/>
    <x v="0"/>
    <n v="39"/>
    <s v="month"/>
    <n v="31"/>
    <x v="0"/>
    <s v="No"/>
    <n v="0"/>
    <n v="1"/>
    <n v="31"/>
  </r>
  <r>
    <n v="208320510"/>
    <d v="2023-03-31T00:00:00"/>
    <m/>
    <x v="0"/>
    <n v="39"/>
    <s v="month"/>
    <s v=""/>
    <x v="1"/>
    <s v="No"/>
    <n v="0"/>
    <n v="0"/>
    <s v=""/>
  </r>
  <r>
    <n v="207229509"/>
    <d v="2023-03-31T00:00:00"/>
    <d v="2023-03-31T00:00:00"/>
    <x v="1"/>
    <n v="39"/>
    <s v="month"/>
    <n v="0"/>
    <x v="1"/>
    <s v="Yes"/>
    <n v="1"/>
    <n v="0"/>
    <n v="0"/>
  </r>
  <r>
    <n v="208492287"/>
    <d v="2023-03-31T00:00:00"/>
    <d v="2023-06-07T00:00:00"/>
    <x v="0"/>
    <n v="39"/>
    <s v="month"/>
    <n v="68"/>
    <x v="1"/>
    <s v="No"/>
    <n v="0"/>
    <n v="1"/>
    <n v="68"/>
  </r>
  <r>
    <n v="195047202"/>
    <d v="2023-03-31T00:00:00"/>
    <d v="2023-05-23T00:00:00"/>
    <x v="0"/>
    <n v="39"/>
    <s v="month"/>
    <n v="53"/>
    <x v="1"/>
    <s v="No"/>
    <n v="0"/>
    <n v="1"/>
    <n v="53"/>
  </r>
  <r>
    <n v="208890352"/>
    <d v="2023-03-31T00:00:00"/>
    <d v="2023-05-26T00:00:00"/>
    <x v="0"/>
    <n v="39"/>
    <s v="month"/>
    <n v="56"/>
    <x v="1"/>
    <s v="No"/>
    <n v="0"/>
    <n v="1"/>
    <n v="56"/>
  </r>
  <r>
    <n v="151282537"/>
    <d v="2023-03-31T00:00:00"/>
    <d v="2023-07-01T00:00:00"/>
    <x v="0"/>
    <n v="39"/>
    <s v="month"/>
    <n v="92"/>
    <x v="1"/>
    <s v="No"/>
    <n v="0"/>
    <n v="1"/>
    <n v="92"/>
  </r>
  <r>
    <n v="206625246"/>
    <d v="2023-04-01T00:00:00"/>
    <m/>
    <x v="0"/>
    <n v="39"/>
    <s v="month"/>
    <s v=""/>
    <x v="2"/>
    <s v="No"/>
    <n v="0"/>
    <n v="0"/>
    <s v=""/>
  </r>
  <r>
    <n v="208748964"/>
    <d v="2023-04-01T00:00:00"/>
    <m/>
    <x v="0"/>
    <n v="39"/>
    <s v="month"/>
    <s v=""/>
    <x v="2"/>
    <s v="No"/>
    <n v="0"/>
    <n v="0"/>
    <s v=""/>
  </r>
  <r>
    <n v="151904783"/>
    <d v="2023-04-01T00:00:00"/>
    <m/>
    <x v="0"/>
    <n v="39"/>
    <s v="month"/>
    <s v=""/>
    <x v="2"/>
    <s v="No"/>
    <n v="0"/>
    <n v="0"/>
    <s v=""/>
  </r>
  <r>
    <n v="160351988"/>
    <d v="2023-04-01T00:00:00"/>
    <d v="2023-07-08T00:00:00"/>
    <x v="0"/>
    <n v="39"/>
    <s v="month"/>
    <n v="98"/>
    <x v="2"/>
    <s v="No"/>
    <n v="0"/>
    <n v="1"/>
    <n v="98"/>
  </r>
  <r>
    <n v="145622106"/>
    <d v="2023-04-01T00:00:00"/>
    <d v="2023-04-01T00:00:00"/>
    <x v="0"/>
    <n v="39"/>
    <s v="month"/>
    <n v="0"/>
    <x v="2"/>
    <s v="Yes"/>
    <n v="1"/>
    <n v="0"/>
    <n v="0"/>
  </r>
  <r>
    <n v="192475408"/>
    <d v="2023-04-01T00:00:00"/>
    <d v="2023-04-26T00:00:00"/>
    <x v="0"/>
    <n v="39"/>
    <s v="month"/>
    <n v="25"/>
    <x v="2"/>
    <s v="No"/>
    <n v="0"/>
    <n v="0"/>
    <n v="25"/>
  </r>
  <r>
    <n v="208597905"/>
    <d v="2023-04-02T00:00:00"/>
    <m/>
    <x v="0"/>
    <n v="39"/>
    <s v="month"/>
    <s v=""/>
    <x v="3"/>
    <s v="No"/>
    <n v="0"/>
    <n v="0"/>
    <s v=""/>
  </r>
  <r>
    <n v="209469556"/>
    <d v="2023-04-02T00:00:00"/>
    <d v="2023-04-03T00:00:00"/>
    <x v="1"/>
    <n v="39"/>
    <s v="month"/>
    <n v="1"/>
    <x v="3"/>
    <s v="No"/>
    <n v="1"/>
    <n v="0"/>
    <n v="1"/>
  </r>
  <r>
    <n v="207183892"/>
    <d v="2023-04-02T00:00:00"/>
    <d v="2023-04-03T00:00:00"/>
    <x v="1"/>
    <n v="39"/>
    <s v="month"/>
    <n v="1"/>
    <x v="3"/>
    <s v="No"/>
    <n v="1"/>
    <n v="0"/>
    <n v="1"/>
  </r>
  <r>
    <n v="125980506"/>
    <d v="2023-04-02T00:00:00"/>
    <d v="2023-07-02T00:00:00"/>
    <x v="0"/>
    <n v="39"/>
    <s v="month"/>
    <n v="91"/>
    <x v="3"/>
    <s v="No"/>
    <n v="0"/>
    <n v="1"/>
    <n v="91"/>
  </r>
  <r>
    <n v="162635107"/>
    <d v="2023-04-02T00:00:00"/>
    <d v="2023-07-05T00:00:00"/>
    <x v="0"/>
    <n v="39"/>
    <s v="month"/>
    <n v="94"/>
    <x v="3"/>
    <s v="No"/>
    <n v="0"/>
    <n v="1"/>
    <n v="94"/>
  </r>
  <r>
    <n v="154655775"/>
    <d v="2023-04-02T00:00:00"/>
    <d v="2023-07-24T00:00:00"/>
    <x v="0"/>
    <n v="39"/>
    <s v="month"/>
    <n v="113"/>
    <x v="3"/>
    <s v="No"/>
    <n v="0"/>
    <n v="1"/>
    <n v="113"/>
  </r>
  <r>
    <n v="154911229"/>
    <d v="2023-04-03T00:00:00"/>
    <m/>
    <x v="0"/>
    <n v="39"/>
    <s v="month"/>
    <s v=""/>
    <x v="4"/>
    <s v="No"/>
    <n v="0"/>
    <n v="0"/>
    <s v=""/>
  </r>
  <r>
    <n v="206812076"/>
    <d v="2023-04-03T00:00:00"/>
    <m/>
    <x v="0"/>
    <n v="39"/>
    <s v="month"/>
    <s v=""/>
    <x v="4"/>
    <s v="No"/>
    <n v="0"/>
    <n v="0"/>
    <s v=""/>
  </r>
  <r>
    <n v="208490747"/>
    <d v="2023-04-03T00:00:00"/>
    <m/>
    <x v="0"/>
    <n v="39"/>
    <s v="month"/>
    <s v=""/>
    <x v="4"/>
    <s v="No"/>
    <n v="0"/>
    <n v="0"/>
    <s v=""/>
  </r>
  <r>
    <n v="131761056"/>
    <d v="2023-04-03T00:00:00"/>
    <m/>
    <x v="0"/>
    <n v="39"/>
    <s v="month"/>
    <s v=""/>
    <x v="4"/>
    <s v="No"/>
    <n v="0"/>
    <n v="0"/>
    <s v=""/>
  </r>
  <r>
    <n v="208115534"/>
    <d v="2023-04-03T00:00:00"/>
    <d v="2023-05-10T00:00:00"/>
    <x v="1"/>
    <n v="39"/>
    <s v="month"/>
    <n v="37"/>
    <x v="4"/>
    <s v="No"/>
    <n v="0"/>
    <n v="1"/>
    <n v="37"/>
  </r>
  <r>
    <n v="202126471"/>
    <d v="2023-04-03T00:00:00"/>
    <d v="2023-06-27T00:00:00"/>
    <x v="0"/>
    <n v="39"/>
    <s v="month"/>
    <n v="85"/>
    <x v="4"/>
    <s v="No"/>
    <n v="0"/>
    <n v="1"/>
    <n v="85"/>
  </r>
  <r>
    <n v="209738836"/>
    <d v="2023-04-03T00:00:00"/>
    <d v="2023-05-14T00:00:00"/>
    <x v="0"/>
    <n v="39"/>
    <s v="month"/>
    <n v="41"/>
    <x v="4"/>
    <s v="No"/>
    <n v="0"/>
    <n v="1"/>
    <n v="41"/>
  </r>
  <r>
    <n v="209470128"/>
    <d v="2023-04-03T00:00:00"/>
    <d v="2023-05-30T00:00:00"/>
    <x v="0"/>
    <n v="39"/>
    <s v="month"/>
    <n v="57"/>
    <x v="4"/>
    <s v="No"/>
    <n v="0"/>
    <n v="1"/>
    <n v="57"/>
  </r>
  <r>
    <n v="209745334"/>
    <d v="2023-04-03T00:00:00"/>
    <d v="2023-09-01T00:00:00"/>
    <x v="0"/>
    <n v="39"/>
    <s v="month"/>
    <n v="151"/>
    <x v="4"/>
    <s v="No"/>
    <n v="0"/>
    <n v="1"/>
    <n v="151"/>
  </r>
  <r>
    <n v="209751690"/>
    <d v="2023-04-04T00:00:00"/>
    <m/>
    <x v="0"/>
    <n v="39"/>
    <s v="month"/>
    <s v=""/>
    <x v="5"/>
    <s v="No"/>
    <n v="0"/>
    <n v="0"/>
    <s v=""/>
  </r>
  <r>
    <n v="209730490"/>
    <d v="2023-04-04T00:00:00"/>
    <d v="2023-04-05T00:00:00"/>
    <x v="1"/>
    <n v="39"/>
    <s v="month"/>
    <n v="1"/>
    <x v="5"/>
    <s v="No"/>
    <n v="1"/>
    <n v="0"/>
    <n v="1"/>
  </r>
  <r>
    <n v="208115648"/>
    <d v="2023-04-04T00:00:00"/>
    <d v="2023-06-05T00:00:00"/>
    <x v="0"/>
    <n v="39"/>
    <s v="month"/>
    <n v="62"/>
    <x v="5"/>
    <s v="No"/>
    <n v="0"/>
    <n v="1"/>
    <n v="62"/>
  </r>
  <r>
    <n v="210087900"/>
    <d v="2023-04-04T00:00:00"/>
    <d v="2023-05-08T00:00:00"/>
    <x v="0"/>
    <n v="39"/>
    <s v="month"/>
    <n v="34"/>
    <x v="5"/>
    <s v="No"/>
    <n v="0"/>
    <n v="1"/>
    <n v="34"/>
  </r>
  <r>
    <n v="208890316"/>
    <d v="2023-04-04T00:00:00"/>
    <d v="2023-05-24T00:00:00"/>
    <x v="0"/>
    <n v="39"/>
    <s v="month"/>
    <n v="50"/>
    <x v="5"/>
    <s v="No"/>
    <n v="0"/>
    <n v="1"/>
    <n v="50"/>
  </r>
  <r>
    <n v="143706140"/>
    <d v="2023-04-04T00:00:00"/>
    <d v="2023-04-07T00:00:00"/>
    <x v="0"/>
    <n v="39"/>
    <s v="month"/>
    <n v="3"/>
    <x v="5"/>
    <s v="No"/>
    <n v="0"/>
    <n v="0"/>
    <n v="3"/>
  </r>
  <r>
    <n v="209950443"/>
    <d v="2023-04-04T00:00:00"/>
    <d v="2023-04-14T00:00:00"/>
    <x v="0"/>
    <n v="39"/>
    <s v="month"/>
    <n v="10"/>
    <x v="5"/>
    <s v="No"/>
    <n v="0"/>
    <n v="0"/>
    <n v="10"/>
  </r>
  <r>
    <n v="208892072"/>
    <d v="2023-04-04T00:00:00"/>
    <d v="2023-04-25T00:00:00"/>
    <x v="0"/>
    <n v="39"/>
    <s v="month"/>
    <n v="21"/>
    <x v="5"/>
    <s v="No"/>
    <n v="0"/>
    <n v="0"/>
    <n v="21"/>
  </r>
  <r>
    <n v="205767174"/>
    <d v="2023-04-04T00:00:00"/>
    <d v="2023-08-12T00:00:00"/>
    <x v="0"/>
    <n v="39"/>
    <s v="month"/>
    <n v="130"/>
    <x v="5"/>
    <s v="No"/>
    <n v="0"/>
    <n v="1"/>
    <n v="130"/>
  </r>
  <r>
    <n v="206676416"/>
    <d v="2023-04-04T00:00:00"/>
    <d v="2023-07-17T00:00:00"/>
    <x v="0"/>
    <n v="39"/>
    <s v="month"/>
    <n v="104"/>
    <x v="5"/>
    <s v="No"/>
    <n v="0"/>
    <n v="1"/>
    <n v="104"/>
  </r>
  <r>
    <n v="160676837"/>
    <d v="2023-04-05T00:00:00"/>
    <m/>
    <x v="0"/>
    <n v="39"/>
    <s v="month"/>
    <s v=""/>
    <x v="6"/>
    <s v="No"/>
    <n v="0"/>
    <n v="0"/>
    <s v=""/>
  </r>
  <r>
    <n v="204274153"/>
    <d v="2023-04-05T00:00:00"/>
    <m/>
    <x v="0"/>
    <n v="39"/>
    <s v="month"/>
    <s v=""/>
    <x v="6"/>
    <s v="No"/>
    <n v="0"/>
    <n v="0"/>
    <s v=""/>
  </r>
  <r>
    <n v="210327236"/>
    <d v="2023-04-05T00:00:00"/>
    <d v="2023-04-06T00:00:00"/>
    <x v="1"/>
    <n v="39"/>
    <s v="month"/>
    <n v="1"/>
    <x v="6"/>
    <s v="No"/>
    <n v="1"/>
    <n v="0"/>
    <n v="1"/>
  </r>
  <r>
    <n v="210326352"/>
    <d v="2023-04-05T00:00:00"/>
    <d v="2023-04-05T00:00:00"/>
    <x v="1"/>
    <n v="39"/>
    <s v="month"/>
    <n v="0"/>
    <x v="6"/>
    <s v="Yes"/>
    <n v="1"/>
    <n v="0"/>
    <n v="0"/>
  </r>
  <r>
    <n v="124155104"/>
    <d v="2023-04-05T00:00:00"/>
    <d v="2023-05-12T00:00:00"/>
    <x v="0"/>
    <n v="39"/>
    <s v="month"/>
    <n v="37"/>
    <x v="6"/>
    <s v="No"/>
    <n v="0"/>
    <n v="1"/>
    <n v="37"/>
  </r>
  <r>
    <n v="209517408"/>
    <d v="2023-04-05T00:00:00"/>
    <d v="2023-05-04T00:00:00"/>
    <x v="0"/>
    <n v="39"/>
    <s v="month"/>
    <n v="29"/>
    <x v="6"/>
    <s v="No"/>
    <n v="0"/>
    <n v="0"/>
    <n v="29"/>
  </r>
  <r>
    <n v="210432450"/>
    <d v="2023-04-05T00:00:00"/>
    <d v="2023-04-12T00:00:00"/>
    <x v="0"/>
    <n v="39"/>
    <s v="month"/>
    <n v="7"/>
    <x v="6"/>
    <s v="No"/>
    <n v="0"/>
    <n v="0"/>
    <n v="7"/>
  </r>
  <r>
    <n v="210138564"/>
    <d v="2023-04-06T00:00:00"/>
    <m/>
    <x v="0"/>
    <n v="39"/>
    <s v="month"/>
    <s v=""/>
    <x v="0"/>
    <s v="No"/>
    <n v="0"/>
    <n v="0"/>
    <s v=""/>
  </r>
  <r>
    <n v="210617010"/>
    <d v="2023-04-06T00:00:00"/>
    <d v="2023-04-06T00:00:00"/>
    <x v="0"/>
    <n v="39"/>
    <s v="month"/>
    <n v="0"/>
    <x v="0"/>
    <s v="Yes"/>
    <n v="1"/>
    <n v="0"/>
    <n v="0"/>
  </r>
  <r>
    <n v="134894187"/>
    <d v="2023-04-06T00:00:00"/>
    <d v="2023-05-18T00:00:00"/>
    <x v="0"/>
    <n v="39"/>
    <s v="month"/>
    <n v="42"/>
    <x v="0"/>
    <s v="No"/>
    <n v="0"/>
    <n v="1"/>
    <n v="42"/>
  </r>
  <r>
    <n v="150643785"/>
    <d v="2023-04-06T00:00:00"/>
    <d v="2023-06-06T00:00:00"/>
    <x v="0"/>
    <n v="39"/>
    <s v="month"/>
    <n v="61"/>
    <x v="0"/>
    <s v="No"/>
    <n v="0"/>
    <n v="1"/>
    <n v="61"/>
  </r>
  <r>
    <n v="149986782"/>
    <d v="2023-04-06T00:00:00"/>
    <d v="2023-06-04T00:00:00"/>
    <x v="0"/>
    <n v="39"/>
    <s v="month"/>
    <n v="59"/>
    <x v="0"/>
    <s v="No"/>
    <n v="0"/>
    <n v="1"/>
    <n v="59"/>
  </r>
  <r>
    <n v="205463099"/>
    <d v="2023-04-06T00:00:00"/>
    <d v="2023-06-16T00:00:00"/>
    <x v="0"/>
    <n v="39"/>
    <s v="month"/>
    <n v="71"/>
    <x v="0"/>
    <s v="No"/>
    <n v="0"/>
    <n v="1"/>
    <n v="71"/>
  </r>
  <r>
    <n v="210565466"/>
    <d v="2023-04-06T00:00:00"/>
    <d v="2023-05-13T00:00:00"/>
    <x v="0"/>
    <n v="39"/>
    <s v="month"/>
    <n v="37"/>
    <x v="0"/>
    <s v="No"/>
    <n v="0"/>
    <n v="1"/>
    <n v="37"/>
  </r>
  <r>
    <n v="209072132"/>
    <d v="2023-04-07T00:00:00"/>
    <m/>
    <x v="0"/>
    <n v="39"/>
    <s v="month"/>
    <s v=""/>
    <x v="1"/>
    <s v="No"/>
    <n v="0"/>
    <n v="0"/>
    <s v=""/>
  </r>
  <r>
    <n v="210388772"/>
    <d v="2023-04-07T00:00:00"/>
    <m/>
    <x v="0"/>
    <n v="39"/>
    <s v="month"/>
    <s v=""/>
    <x v="1"/>
    <s v="No"/>
    <n v="0"/>
    <n v="0"/>
    <s v=""/>
  </r>
  <r>
    <n v="210617010"/>
    <d v="2023-04-07T00:00:00"/>
    <d v="2023-06-09T00:00:00"/>
    <x v="0"/>
    <n v="39"/>
    <s v="month"/>
    <n v="63"/>
    <x v="1"/>
    <s v="No"/>
    <n v="0"/>
    <n v="1"/>
    <n v="63"/>
  </r>
  <r>
    <n v="210694562"/>
    <d v="2023-04-07T00:00:00"/>
    <d v="2023-05-14T00:00:00"/>
    <x v="0"/>
    <n v="39"/>
    <s v="month"/>
    <n v="37"/>
    <x v="1"/>
    <s v="No"/>
    <n v="0"/>
    <n v="1"/>
    <n v="37"/>
  </r>
  <r>
    <n v="134833306"/>
    <d v="2023-04-07T00:00:00"/>
    <d v="2023-05-08T00:00:00"/>
    <x v="0"/>
    <n v="39"/>
    <s v="month"/>
    <n v="31"/>
    <x v="1"/>
    <s v="No"/>
    <n v="0"/>
    <n v="1"/>
    <n v="31"/>
  </r>
  <r>
    <n v="211220014"/>
    <d v="2023-04-08T00:00:00"/>
    <m/>
    <x v="0"/>
    <n v="39"/>
    <s v="month"/>
    <s v=""/>
    <x v="2"/>
    <s v="No"/>
    <n v="0"/>
    <n v="0"/>
    <s v=""/>
  </r>
  <r>
    <n v="121571816"/>
    <d v="2023-04-08T00:00:00"/>
    <m/>
    <x v="0"/>
    <n v="39"/>
    <s v="month"/>
    <s v=""/>
    <x v="2"/>
    <s v="No"/>
    <n v="0"/>
    <n v="0"/>
    <s v=""/>
  </r>
  <r>
    <n v="211216060"/>
    <d v="2023-04-08T00:00:00"/>
    <m/>
    <x v="0"/>
    <n v="39"/>
    <s v="month"/>
    <s v=""/>
    <x v="2"/>
    <s v="No"/>
    <n v="0"/>
    <n v="0"/>
    <s v=""/>
  </r>
  <r>
    <n v="211114276"/>
    <d v="2023-04-08T00:00:00"/>
    <m/>
    <x v="0"/>
    <n v="39"/>
    <s v="month"/>
    <s v=""/>
    <x v="2"/>
    <s v="No"/>
    <n v="0"/>
    <n v="0"/>
    <s v=""/>
  </r>
  <r>
    <n v="211224883"/>
    <d v="2023-04-08T00:00:00"/>
    <d v="2023-04-09T00:00:00"/>
    <x v="1"/>
    <n v="39"/>
    <s v="month"/>
    <n v="1"/>
    <x v="2"/>
    <s v="No"/>
    <n v="1"/>
    <n v="0"/>
    <n v="1"/>
  </r>
  <r>
    <n v="211212313"/>
    <d v="2023-04-08T00:00:00"/>
    <d v="2023-06-06T00:00:00"/>
    <x v="0"/>
    <n v="39"/>
    <s v="month"/>
    <n v="59"/>
    <x v="2"/>
    <s v="No"/>
    <n v="0"/>
    <n v="1"/>
    <n v="59"/>
  </r>
  <r>
    <n v="210135815"/>
    <d v="2023-04-08T00:00:00"/>
    <d v="2023-04-18T00:00:00"/>
    <x v="0"/>
    <n v="39"/>
    <s v="month"/>
    <n v="10"/>
    <x v="2"/>
    <s v="No"/>
    <n v="0"/>
    <n v="0"/>
    <n v="10"/>
  </r>
  <r>
    <n v="211381659"/>
    <d v="2023-04-09T00:00:00"/>
    <m/>
    <x v="0"/>
    <n v="39"/>
    <s v="month"/>
    <s v=""/>
    <x v="3"/>
    <s v="No"/>
    <n v="0"/>
    <n v="0"/>
    <s v=""/>
  </r>
  <r>
    <n v="183363812"/>
    <d v="2023-04-09T00:00:00"/>
    <m/>
    <x v="0"/>
    <n v="39"/>
    <s v="month"/>
    <s v=""/>
    <x v="3"/>
    <s v="No"/>
    <n v="0"/>
    <n v="0"/>
    <s v=""/>
  </r>
  <r>
    <n v="211289909"/>
    <d v="2023-04-09T00:00:00"/>
    <m/>
    <x v="0"/>
    <n v="39"/>
    <s v="month"/>
    <s v=""/>
    <x v="3"/>
    <s v="No"/>
    <n v="0"/>
    <n v="0"/>
    <s v=""/>
  </r>
  <r>
    <n v="211266858"/>
    <d v="2023-04-09T00:00:00"/>
    <d v="2023-05-02T00:00:00"/>
    <x v="0"/>
    <n v="39"/>
    <s v="month"/>
    <n v="23"/>
    <x v="3"/>
    <s v="No"/>
    <n v="0"/>
    <n v="0"/>
    <n v="23"/>
  </r>
  <r>
    <n v="153163612"/>
    <d v="2023-04-09T00:00:00"/>
    <d v="2023-04-24T00:00:00"/>
    <x v="0"/>
    <n v="39"/>
    <s v="month"/>
    <n v="15"/>
    <x v="3"/>
    <s v="No"/>
    <n v="0"/>
    <n v="0"/>
    <n v="15"/>
  </r>
  <r>
    <n v="209505551"/>
    <d v="2023-04-09T00:00:00"/>
    <d v="2023-04-25T00:00:00"/>
    <x v="0"/>
    <n v="39"/>
    <s v="month"/>
    <n v="16"/>
    <x v="3"/>
    <s v="No"/>
    <n v="0"/>
    <n v="0"/>
    <n v="16"/>
  </r>
  <r>
    <n v="211389716"/>
    <d v="2023-04-10T00:00:00"/>
    <m/>
    <x v="0"/>
    <n v="39"/>
    <s v="month"/>
    <s v=""/>
    <x v="4"/>
    <s v="No"/>
    <n v="0"/>
    <n v="0"/>
    <s v=""/>
  </r>
  <r>
    <n v="211636708"/>
    <d v="2023-04-10T00:00:00"/>
    <m/>
    <x v="0"/>
    <n v="39"/>
    <s v="month"/>
    <s v=""/>
    <x v="4"/>
    <s v="No"/>
    <n v="0"/>
    <n v="0"/>
    <s v=""/>
  </r>
  <r>
    <n v="176884824"/>
    <d v="2023-04-10T00:00:00"/>
    <m/>
    <x v="0"/>
    <n v="39"/>
    <s v="month"/>
    <s v=""/>
    <x v="4"/>
    <s v="No"/>
    <n v="0"/>
    <n v="0"/>
    <s v=""/>
  </r>
  <r>
    <n v="211352758"/>
    <d v="2023-04-10T00:00:00"/>
    <m/>
    <x v="0"/>
    <n v="39"/>
    <s v="month"/>
    <s v=""/>
    <x v="4"/>
    <s v="No"/>
    <n v="0"/>
    <n v="0"/>
    <s v=""/>
  </r>
  <r>
    <n v="210814163"/>
    <d v="2023-04-10T00:00:00"/>
    <m/>
    <x v="0"/>
    <n v="39"/>
    <s v="month"/>
    <s v=""/>
    <x v="4"/>
    <s v="No"/>
    <n v="0"/>
    <n v="0"/>
    <s v=""/>
  </r>
  <r>
    <n v="210893245"/>
    <d v="2023-04-10T00:00:00"/>
    <m/>
    <x v="0"/>
    <n v="39"/>
    <s v="month"/>
    <s v=""/>
    <x v="4"/>
    <s v="No"/>
    <n v="0"/>
    <n v="0"/>
    <s v=""/>
  </r>
  <r>
    <n v="130967112"/>
    <d v="2023-04-10T00:00:00"/>
    <m/>
    <x v="0"/>
    <n v="39"/>
    <s v="month"/>
    <s v=""/>
    <x v="4"/>
    <s v="No"/>
    <n v="0"/>
    <n v="0"/>
    <s v=""/>
  </r>
  <r>
    <n v="199116000"/>
    <d v="2023-04-10T00:00:00"/>
    <m/>
    <x v="0"/>
    <n v="39"/>
    <s v="month"/>
    <s v=""/>
    <x v="4"/>
    <s v="No"/>
    <n v="0"/>
    <n v="0"/>
    <s v=""/>
  </r>
  <r>
    <n v="161182706"/>
    <d v="2023-04-10T00:00:00"/>
    <d v="2023-05-17T00:00:00"/>
    <x v="0"/>
    <n v="39"/>
    <s v="month"/>
    <n v="37"/>
    <x v="4"/>
    <s v="No"/>
    <n v="0"/>
    <n v="1"/>
    <n v="37"/>
  </r>
  <r>
    <n v="211576047"/>
    <d v="2023-04-11T00:00:00"/>
    <m/>
    <x v="0"/>
    <n v="39"/>
    <s v="month"/>
    <s v=""/>
    <x v="5"/>
    <s v="No"/>
    <n v="0"/>
    <n v="0"/>
    <s v=""/>
  </r>
  <r>
    <n v="211897884"/>
    <d v="2023-04-11T00:00:00"/>
    <m/>
    <x v="0"/>
    <n v="39"/>
    <s v="month"/>
    <s v=""/>
    <x v="5"/>
    <s v="No"/>
    <n v="0"/>
    <n v="0"/>
    <s v=""/>
  </r>
  <r>
    <n v="211661733"/>
    <d v="2023-04-11T00:00:00"/>
    <m/>
    <x v="0"/>
    <n v="39"/>
    <s v="month"/>
    <s v=""/>
    <x v="5"/>
    <s v="No"/>
    <n v="0"/>
    <n v="0"/>
    <s v=""/>
  </r>
  <r>
    <n v="211561665"/>
    <d v="2023-04-11T00:00:00"/>
    <m/>
    <x v="1"/>
    <n v="39"/>
    <s v="month"/>
    <s v=""/>
    <x v="5"/>
    <s v="No"/>
    <n v="0"/>
    <n v="0"/>
    <s v=""/>
  </r>
  <r>
    <n v="211911280"/>
    <d v="2023-04-11T00:00:00"/>
    <d v="2023-08-23T00:00:00"/>
    <x v="0"/>
    <n v="39"/>
    <s v="month"/>
    <n v="134"/>
    <x v="5"/>
    <s v="No"/>
    <n v="0"/>
    <n v="1"/>
    <n v="134"/>
  </r>
  <r>
    <n v="123946316"/>
    <d v="2023-04-11T00:00:00"/>
    <d v="2023-06-17T00:00:00"/>
    <x v="0"/>
    <n v="39"/>
    <s v="month"/>
    <n v="67"/>
    <x v="5"/>
    <s v="No"/>
    <n v="0"/>
    <n v="1"/>
    <n v="67"/>
  </r>
  <r>
    <n v="144469362"/>
    <d v="2023-04-11T00:00:00"/>
    <d v="2023-05-01T00:00:00"/>
    <x v="0"/>
    <n v="39"/>
    <s v="month"/>
    <n v="20"/>
    <x v="5"/>
    <s v="No"/>
    <n v="0"/>
    <n v="0"/>
    <n v="20"/>
  </r>
  <r>
    <n v="187268085"/>
    <d v="2023-04-11T00:00:00"/>
    <d v="2023-05-08T00:00:00"/>
    <x v="0"/>
    <n v="39"/>
    <s v="month"/>
    <n v="27"/>
    <x v="5"/>
    <s v="No"/>
    <n v="0"/>
    <n v="0"/>
    <n v="27"/>
  </r>
  <r>
    <n v="210088359"/>
    <d v="2023-04-11T00:00:00"/>
    <d v="2023-06-26T00:00:00"/>
    <x v="0"/>
    <n v="39"/>
    <s v="month"/>
    <n v="76"/>
    <x v="5"/>
    <s v="No"/>
    <n v="0"/>
    <n v="1"/>
    <n v="76"/>
  </r>
  <r>
    <n v="211906202"/>
    <d v="2023-04-11T00:00:00"/>
    <d v="2023-05-22T00:00:00"/>
    <x v="0"/>
    <n v="39"/>
    <s v="month"/>
    <n v="41"/>
    <x v="5"/>
    <s v="No"/>
    <n v="0"/>
    <n v="1"/>
    <n v="41"/>
  </r>
  <r>
    <n v="126391978"/>
    <d v="2023-04-11T00:00:00"/>
    <d v="2023-07-20T00:00:00"/>
    <x v="0"/>
    <n v="39"/>
    <s v="month"/>
    <n v="100"/>
    <x v="5"/>
    <s v="No"/>
    <n v="0"/>
    <n v="1"/>
    <n v="100"/>
  </r>
  <r>
    <n v="154753462"/>
    <d v="2023-04-12T00:00:00"/>
    <m/>
    <x v="0"/>
    <n v="39"/>
    <s v="month"/>
    <s v=""/>
    <x v="6"/>
    <s v="No"/>
    <n v="0"/>
    <n v="0"/>
    <s v=""/>
  </r>
  <r>
    <n v="212049757"/>
    <d v="2023-04-12T00:00:00"/>
    <m/>
    <x v="0"/>
    <n v="39"/>
    <s v="month"/>
    <s v=""/>
    <x v="6"/>
    <s v="No"/>
    <n v="0"/>
    <n v="0"/>
    <s v=""/>
  </r>
  <r>
    <n v="147015210"/>
    <d v="2023-04-12T00:00:00"/>
    <m/>
    <x v="0"/>
    <n v="39"/>
    <s v="month"/>
    <s v=""/>
    <x v="6"/>
    <s v="No"/>
    <n v="0"/>
    <n v="0"/>
    <s v=""/>
  </r>
  <r>
    <n v="212057431"/>
    <d v="2023-04-12T00:00:00"/>
    <d v="2023-04-13T00:00:00"/>
    <x v="1"/>
    <n v="39"/>
    <s v="month"/>
    <n v="1"/>
    <x v="6"/>
    <s v="No"/>
    <n v="1"/>
    <n v="0"/>
    <n v="1"/>
  </r>
  <r>
    <n v="205734465"/>
    <d v="2023-04-12T00:00:00"/>
    <d v="2023-06-08T00:00:00"/>
    <x v="0"/>
    <n v="39"/>
    <s v="month"/>
    <n v="57"/>
    <x v="6"/>
    <s v="No"/>
    <n v="0"/>
    <n v="1"/>
    <n v="57"/>
  </r>
  <r>
    <n v="208772540"/>
    <d v="2023-04-12T00:00:00"/>
    <d v="2023-04-30T00:00:00"/>
    <x v="0"/>
    <n v="39"/>
    <s v="month"/>
    <n v="18"/>
    <x v="6"/>
    <s v="No"/>
    <n v="0"/>
    <n v="0"/>
    <n v="18"/>
  </r>
  <r>
    <n v="182357706"/>
    <d v="2023-04-12T00:00:00"/>
    <d v="2023-07-04T00:00:00"/>
    <x v="0"/>
    <n v="39"/>
    <s v="month"/>
    <n v="83"/>
    <x v="6"/>
    <s v="No"/>
    <n v="0"/>
    <n v="1"/>
    <n v="83"/>
  </r>
  <r>
    <n v="211333348"/>
    <d v="2023-04-12T00:00:00"/>
    <d v="2023-07-08T00:00:00"/>
    <x v="0"/>
    <n v="39"/>
    <s v="month"/>
    <n v="87"/>
    <x v="6"/>
    <s v="No"/>
    <n v="0"/>
    <n v="1"/>
    <n v="87"/>
  </r>
  <r>
    <n v="211334702"/>
    <d v="2023-04-12T00:00:00"/>
    <d v="2023-07-25T00:00:00"/>
    <x v="0"/>
    <n v="39"/>
    <s v="month"/>
    <n v="104"/>
    <x v="6"/>
    <s v="No"/>
    <n v="0"/>
    <n v="1"/>
    <n v="104"/>
  </r>
  <r>
    <n v="212129575"/>
    <d v="2023-04-13T00:00:00"/>
    <m/>
    <x v="0"/>
    <n v="39"/>
    <s v="month"/>
    <s v=""/>
    <x v="0"/>
    <s v="No"/>
    <n v="0"/>
    <n v="0"/>
    <s v=""/>
  </r>
  <r>
    <n v="209733088"/>
    <d v="2023-04-13T00:00:00"/>
    <m/>
    <x v="0"/>
    <n v="39"/>
    <s v="month"/>
    <s v=""/>
    <x v="0"/>
    <s v="No"/>
    <n v="0"/>
    <n v="0"/>
    <s v=""/>
  </r>
  <r>
    <n v="152792045"/>
    <d v="2023-04-13T00:00:00"/>
    <d v="2023-06-20T00:00:00"/>
    <x v="0"/>
    <n v="39"/>
    <s v="month"/>
    <n v="68"/>
    <x v="0"/>
    <s v="No"/>
    <n v="0"/>
    <n v="1"/>
    <n v="68"/>
  </r>
  <r>
    <n v="212163568"/>
    <d v="2023-04-13T00:00:00"/>
    <d v="2023-05-29T00:00:00"/>
    <x v="0"/>
    <n v="39"/>
    <s v="month"/>
    <n v="46"/>
    <x v="0"/>
    <s v="No"/>
    <n v="0"/>
    <n v="1"/>
    <n v="46"/>
  </r>
  <r>
    <n v="212260363"/>
    <d v="2023-04-13T00:00:00"/>
    <d v="2023-05-10T00:00:00"/>
    <x v="0"/>
    <n v="39"/>
    <s v="month"/>
    <n v="27"/>
    <x v="0"/>
    <s v="No"/>
    <n v="0"/>
    <n v="0"/>
    <n v="27"/>
  </r>
  <r>
    <n v="212164158"/>
    <d v="2023-04-13T00:00:00"/>
    <d v="2023-06-27T00:00:00"/>
    <x v="0"/>
    <n v="39"/>
    <s v="month"/>
    <n v="75"/>
    <x v="0"/>
    <s v="No"/>
    <n v="0"/>
    <n v="1"/>
    <n v="75"/>
  </r>
  <r>
    <n v="155604779"/>
    <d v="2023-04-13T00:00:00"/>
    <d v="2023-07-04T00:00:00"/>
    <x v="0"/>
    <n v="39"/>
    <s v="month"/>
    <n v="82"/>
    <x v="0"/>
    <s v="No"/>
    <n v="0"/>
    <n v="1"/>
    <n v="82"/>
  </r>
  <r>
    <n v="150421022"/>
    <d v="2023-04-13T00:00:00"/>
    <d v="2023-06-15T00:00:00"/>
    <x v="0"/>
    <n v="39"/>
    <s v="month"/>
    <n v="63"/>
    <x v="0"/>
    <s v="No"/>
    <n v="0"/>
    <n v="1"/>
    <n v="63"/>
  </r>
  <r>
    <n v="122616012"/>
    <d v="2023-04-13T00:00:00"/>
    <d v="2023-06-29T00:00:00"/>
    <x v="0"/>
    <n v="39"/>
    <s v="month"/>
    <n v="77"/>
    <x v="0"/>
    <s v="No"/>
    <n v="0"/>
    <n v="1"/>
    <n v="77"/>
  </r>
  <r>
    <n v="209356278"/>
    <d v="2023-04-14T00:00:00"/>
    <m/>
    <x v="0"/>
    <n v="39"/>
    <s v="month"/>
    <s v=""/>
    <x v="1"/>
    <s v="No"/>
    <n v="0"/>
    <n v="0"/>
    <s v=""/>
  </r>
  <r>
    <n v="212604642"/>
    <d v="2023-04-14T00:00:00"/>
    <m/>
    <x v="0"/>
    <n v="39"/>
    <s v="month"/>
    <s v=""/>
    <x v="1"/>
    <s v="No"/>
    <n v="0"/>
    <n v="0"/>
    <s v=""/>
  </r>
  <r>
    <n v="210730447"/>
    <d v="2023-04-14T00:00:00"/>
    <m/>
    <x v="0"/>
    <n v="39"/>
    <s v="month"/>
    <s v=""/>
    <x v="1"/>
    <s v="No"/>
    <n v="0"/>
    <n v="0"/>
    <s v=""/>
  </r>
  <r>
    <n v="212388726"/>
    <d v="2023-04-14T00:00:00"/>
    <m/>
    <x v="1"/>
    <n v="39"/>
    <s v="month"/>
    <s v=""/>
    <x v="1"/>
    <s v="No"/>
    <n v="0"/>
    <n v="0"/>
    <s v=""/>
  </r>
  <r>
    <n v="127793951"/>
    <d v="2023-04-14T00:00:00"/>
    <d v="2023-08-31T00:00:00"/>
    <x v="0"/>
    <n v="39"/>
    <s v="month"/>
    <n v="139"/>
    <x v="1"/>
    <s v="No"/>
    <n v="0"/>
    <n v="1"/>
    <n v="139"/>
  </r>
  <r>
    <n v="189715793"/>
    <d v="2023-04-14T00:00:00"/>
    <d v="2023-05-21T00:00:00"/>
    <x v="0"/>
    <n v="39"/>
    <s v="month"/>
    <n v="37"/>
    <x v="1"/>
    <s v="No"/>
    <n v="0"/>
    <n v="1"/>
    <n v="37"/>
  </r>
  <r>
    <n v="148369126"/>
    <d v="2023-04-15T00:00:00"/>
    <m/>
    <x v="0"/>
    <n v="39"/>
    <s v="month"/>
    <s v=""/>
    <x v="2"/>
    <s v="No"/>
    <n v="0"/>
    <n v="0"/>
    <s v=""/>
  </r>
  <r>
    <n v="157503290"/>
    <d v="2023-04-15T00:00:00"/>
    <d v="2023-05-22T00:00:00"/>
    <x v="0"/>
    <n v="39"/>
    <s v="month"/>
    <n v="37"/>
    <x v="2"/>
    <s v="No"/>
    <n v="0"/>
    <n v="1"/>
    <n v="37"/>
  </r>
  <r>
    <n v="212712986"/>
    <d v="2023-04-15T00:00:00"/>
    <d v="2023-05-31T00:00:00"/>
    <x v="0"/>
    <n v="39"/>
    <s v="month"/>
    <n v="46"/>
    <x v="2"/>
    <s v="No"/>
    <n v="0"/>
    <n v="1"/>
    <n v="46"/>
  </r>
  <r>
    <n v="204512028"/>
    <d v="2023-04-15T00:00:00"/>
    <d v="2023-05-15T00:00:00"/>
    <x v="0"/>
    <n v="39"/>
    <s v="month"/>
    <n v="30"/>
    <x v="2"/>
    <s v="No"/>
    <n v="0"/>
    <n v="0"/>
    <n v="30"/>
  </r>
  <r>
    <n v="147066240"/>
    <d v="2023-04-15T00:00:00"/>
    <d v="2023-04-30T00:00:00"/>
    <x v="0"/>
    <n v="39"/>
    <s v="month"/>
    <n v="15"/>
    <x v="2"/>
    <s v="No"/>
    <n v="0"/>
    <n v="0"/>
    <n v="15"/>
  </r>
  <r>
    <n v="212759443"/>
    <d v="2023-04-16T00:00:00"/>
    <d v="2023-04-16T00:00:00"/>
    <x v="0"/>
    <n v="39"/>
    <s v="month"/>
    <n v="0"/>
    <x v="3"/>
    <s v="Yes"/>
    <n v="1"/>
    <n v="0"/>
    <n v="0"/>
  </r>
  <r>
    <n v="212042832"/>
    <d v="2023-04-17T00:00:00"/>
    <m/>
    <x v="0"/>
    <n v="39"/>
    <s v="month"/>
    <s v=""/>
    <x v="4"/>
    <s v="No"/>
    <n v="0"/>
    <n v="0"/>
    <s v=""/>
  </r>
  <r>
    <n v="212113682"/>
    <d v="2023-04-17T00:00:00"/>
    <m/>
    <x v="0"/>
    <n v="39"/>
    <s v="month"/>
    <s v=""/>
    <x v="4"/>
    <s v="No"/>
    <n v="0"/>
    <n v="0"/>
    <s v=""/>
  </r>
  <r>
    <n v="181175226"/>
    <d v="2023-04-17T00:00:00"/>
    <m/>
    <x v="0"/>
    <n v="39"/>
    <s v="month"/>
    <s v=""/>
    <x v="4"/>
    <s v="No"/>
    <n v="0"/>
    <n v="0"/>
    <s v=""/>
  </r>
  <r>
    <n v="201817514"/>
    <d v="2023-04-17T00:00:00"/>
    <d v="2023-04-18T00:00:00"/>
    <x v="0"/>
    <n v="39"/>
    <s v="month"/>
    <n v="1"/>
    <x v="4"/>
    <s v="No"/>
    <n v="1"/>
    <n v="0"/>
    <n v="1"/>
  </r>
  <r>
    <n v="168698174"/>
    <d v="2023-04-17T00:00:00"/>
    <d v="2023-04-17T00:00:00"/>
    <x v="0"/>
    <n v="39"/>
    <s v="month"/>
    <n v="0"/>
    <x v="4"/>
    <s v="Yes"/>
    <n v="1"/>
    <n v="0"/>
    <n v="0"/>
  </r>
  <r>
    <n v="170512298"/>
    <d v="2023-04-17T00:00:00"/>
    <d v="2023-05-15T00:00:00"/>
    <x v="0"/>
    <n v="39"/>
    <s v="month"/>
    <n v="28"/>
    <x v="4"/>
    <s v="No"/>
    <n v="0"/>
    <n v="0"/>
    <n v="28"/>
  </r>
  <r>
    <n v="213181546"/>
    <d v="2023-04-17T00:00:00"/>
    <d v="2023-06-01T00:00:00"/>
    <x v="0"/>
    <n v="39"/>
    <s v="month"/>
    <n v="45"/>
    <x v="4"/>
    <s v="No"/>
    <n v="0"/>
    <n v="1"/>
    <n v="45"/>
  </r>
  <r>
    <n v="154535908"/>
    <d v="2023-04-17T00:00:00"/>
    <d v="2023-06-24T00:00:00"/>
    <x v="0"/>
    <n v="39"/>
    <s v="month"/>
    <n v="68"/>
    <x v="4"/>
    <s v="No"/>
    <n v="0"/>
    <n v="1"/>
    <n v="68"/>
  </r>
  <r>
    <n v="151540809"/>
    <d v="2023-04-17T00:00:00"/>
    <d v="2023-05-23T00:00:00"/>
    <x v="0"/>
    <n v="39"/>
    <s v="month"/>
    <n v="36"/>
    <x v="4"/>
    <s v="No"/>
    <n v="0"/>
    <n v="1"/>
    <n v="36"/>
  </r>
  <r>
    <n v="212334937"/>
    <d v="2023-04-17T00:00:00"/>
    <d v="2023-05-18T00:00:00"/>
    <x v="0"/>
    <n v="39"/>
    <s v="month"/>
    <n v="31"/>
    <x v="4"/>
    <s v="No"/>
    <n v="0"/>
    <n v="1"/>
    <n v="31"/>
  </r>
  <r>
    <n v="204766175"/>
    <d v="2023-04-17T00:00:00"/>
    <d v="2023-07-14T00:00:00"/>
    <x v="0"/>
    <n v="39"/>
    <s v="month"/>
    <n v="88"/>
    <x v="4"/>
    <s v="No"/>
    <n v="0"/>
    <n v="1"/>
    <n v="88"/>
  </r>
  <r>
    <n v="212055738"/>
    <d v="2023-04-17T00:00:00"/>
    <d v="2023-08-24T00:00:00"/>
    <x v="0"/>
    <n v="39"/>
    <s v="month"/>
    <n v="129"/>
    <x v="4"/>
    <s v="No"/>
    <n v="0"/>
    <n v="1"/>
    <n v="129"/>
  </r>
  <r>
    <n v="211907956"/>
    <d v="2023-04-18T00:00:00"/>
    <m/>
    <x v="0"/>
    <n v="39"/>
    <s v="month"/>
    <s v=""/>
    <x v="5"/>
    <s v="No"/>
    <n v="0"/>
    <n v="0"/>
    <s v=""/>
  </r>
  <r>
    <n v="212759443"/>
    <d v="2023-04-18T00:00:00"/>
    <m/>
    <x v="0"/>
    <n v="39"/>
    <s v="month"/>
    <s v=""/>
    <x v="5"/>
    <s v="No"/>
    <n v="0"/>
    <n v="0"/>
    <s v=""/>
  </r>
  <r>
    <n v="213182327"/>
    <d v="2023-04-18T00:00:00"/>
    <m/>
    <x v="0"/>
    <n v="39"/>
    <s v="month"/>
    <s v=""/>
    <x v="5"/>
    <s v="No"/>
    <n v="0"/>
    <n v="0"/>
    <s v=""/>
  </r>
  <r>
    <n v="213442067"/>
    <d v="2023-04-18T00:00:00"/>
    <m/>
    <x v="0"/>
    <n v="39"/>
    <s v="month"/>
    <s v=""/>
    <x v="5"/>
    <s v="No"/>
    <n v="0"/>
    <n v="0"/>
    <s v=""/>
  </r>
  <r>
    <n v="213427247"/>
    <d v="2023-04-18T00:00:00"/>
    <m/>
    <x v="0"/>
    <n v="39"/>
    <s v="month"/>
    <s v=""/>
    <x v="5"/>
    <s v="No"/>
    <n v="0"/>
    <n v="0"/>
    <s v=""/>
  </r>
  <r>
    <n v="172476368"/>
    <d v="2023-04-18T00:00:00"/>
    <d v="2023-05-15T00:00:00"/>
    <x v="0"/>
    <n v="39"/>
    <s v="month"/>
    <n v="27"/>
    <x v="5"/>
    <s v="No"/>
    <n v="0"/>
    <n v="0"/>
    <n v="27"/>
  </r>
  <r>
    <n v="148900262"/>
    <d v="2023-04-18T00:00:00"/>
    <d v="2023-05-11T00:00:00"/>
    <x v="0"/>
    <n v="39"/>
    <s v="month"/>
    <n v="23"/>
    <x v="5"/>
    <s v="No"/>
    <n v="0"/>
    <n v="0"/>
    <n v="23"/>
  </r>
  <r>
    <n v="213450505"/>
    <d v="2023-04-18T00:00:00"/>
    <d v="2023-05-16T00:00:00"/>
    <x v="0"/>
    <n v="39"/>
    <s v="month"/>
    <n v="28"/>
    <x v="5"/>
    <s v="No"/>
    <n v="0"/>
    <n v="0"/>
    <n v="28"/>
  </r>
  <r>
    <n v="168261038"/>
    <d v="2023-04-18T00:00:00"/>
    <d v="2023-05-26T00:00:00"/>
    <x v="0"/>
    <n v="39"/>
    <s v="month"/>
    <n v="38"/>
    <x v="5"/>
    <s v="No"/>
    <n v="0"/>
    <n v="1"/>
    <n v="38"/>
  </r>
  <r>
    <n v="207018786"/>
    <d v="2023-04-18T00:00:00"/>
    <d v="2023-07-25T00:00:00"/>
    <x v="0"/>
    <n v="39"/>
    <s v="month"/>
    <n v="98"/>
    <x v="5"/>
    <s v="No"/>
    <n v="0"/>
    <n v="1"/>
    <n v="98"/>
  </r>
  <r>
    <n v="213781045"/>
    <d v="2023-04-19T00:00:00"/>
    <m/>
    <x v="0"/>
    <n v="39"/>
    <s v="month"/>
    <s v=""/>
    <x v="6"/>
    <s v="No"/>
    <n v="0"/>
    <n v="0"/>
    <s v=""/>
  </r>
  <r>
    <n v="213785402"/>
    <d v="2023-04-19T00:00:00"/>
    <d v="2023-08-23T00:00:00"/>
    <x v="0"/>
    <n v="39"/>
    <s v="month"/>
    <n v="126"/>
    <x v="6"/>
    <s v="No"/>
    <n v="0"/>
    <n v="1"/>
    <n v="126"/>
  </r>
  <r>
    <n v="213689187"/>
    <d v="2023-04-19T00:00:00"/>
    <d v="2023-04-20T00:00:00"/>
    <x v="1"/>
    <n v="39"/>
    <s v="month"/>
    <n v="1"/>
    <x v="6"/>
    <s v="No"/>
    <n v="1"/>
    <n v="0"/>
    <n v="1"/>
  </r>
  <r>
    <n v="213413298"/>
    <d v="2023-04-19T00:00:00"/>
    <d v="2023-04-19T00:00:00"/>
    <x v="1"/>
    <n v="39"/>
    <s v="month"/>
    <n v="0"/>
    <x v="6"/>
    <s v="Yes"/>
    <n v="1"/>
    <n v="0"/>
    <n v="0"/>
  </r>
  <r>
    <n v="184458429"/>
    <d v="2023-04-19T00:00:00"/>
    <d v="2023-06-08T00:00:00"/>
    <x v="0"/>
    <n v="39"/>
    <s v="month"/>
    <n v="50"/>
    <x v="6"/>
    <s v="No"/>
    <n v="0"/>
    <n v="1"/>
    <n v="50"/>
  </r>
  <r>
    <n v="212190070"/>
    <d v="2023-04-19T00:00:00"/>
    <d v="2023-06-19T00:00:00"/>
    <x v="0"/>
    <n v="39"/>
    <s v="month"/>
    <n v="61"/>
    <x v="6"/>
    <s v="No"/>
    <n v="0"/>
    <n v="1"/>
    <n v="61"/>
  </r>
  <r>
    <n v="212737739"/>
    <d v="2023-04-19T00:00:00"/>
    <d v="2023-05-31T00:00:00"/>
    <x v="0"/>
    <n v="39"/>
    <s v="month"/>
    <n v="42"/>
    <x v="6"/>
    <s v="No"/>
    <n v="0"/>
    <n v="1"/>
    <n v="42"/>
  </r>
  <r>
    <n v="211904660"/>
    <d v="2023-04-20T00:00:00"/>
    <m/>
    <x v="0"/>
    <n v="39"/>
    <s v="month"/>
    <s v=""/>
    <x v="0"/>
    <s v="No"/>
    <n v="0"/>
    <n v="0"/>
    <s v=""/>
  </r>
  <r>
    <n v="112792926"/>
    <d v="2023-04-20T00:00:00"/>
    <m/>
    <x v="0"/>
    <n v="39"/>
    <s v="month"/>
    <s v=""/>
    <x v="0"/>
    <s v="No"/>
    <n v="0"/>
    <n v="0"/>
    <s v=""/>
  </r>
  <r>
    <n v="213914942"/>
    <d v="2023-04-20T00:00:00"/>
    <m/>
    <x v="0"/>
    <n v="39"/>
    <s v="month"/>
    <s v=""/>
    <x v="0"/>
    <s v="No"/>
    <n v="0"/>
    <n v="0"/>
    <s v=""/>
  </r>
  <r>
    <n v="189220435"/>
    <d v="2023-04-20T00:00:00"/>
    <d v="2023-04-30T00:00:00"/>
    <x v="0"/>
    <n v="39"/>
    <s v="month"/>
    <n v="10"/>
    <x v="0"/>
    <s v="No"/>
    <n v="0"/>
    <n v="0"/>
    <n v="10"/>
  </r>
  <r>
    <n v="203237584"/>
    <d v="2023-04-20T00:00:00"/>
    <d v="2023-04-25T00:00:00"/>
    <x v="0"/>
    <n v="39"/>
    <s v="month"/>
    <n v="5"/>
    <x v="0"/>
    <s v="No"/>
    <n v="0"/>
    <n v="0"/>
    <n v="5"/>
  </r>
  <r>
    <n v="213179140"/>
    <d v="2023-04-20T00:00:00"/>
    <d v="2023-05-17T00:00:00"/>
    <x v="0"/>
    <n v="39"/>
    <s v="month"/>
    <n v="27"/>
    <x v="0"/>
    <s v="No"/>
    <n v="0"/>
    <n v="0"/>
    <n v="27"/>
  </r>
  <r>
    <n v="211629536"/>
    <d v="2023-04-20T00:00:00"/>
    <d v="2023-05-27T00:00:00"/>
    <x v="0"/>
    <n v="39"/>
    <s v="month"/>
    <n v="37"/>
    <x v="0"/>
    <s v="No"/>
    <n v="0"/>
    <n v="1"/>
    <n v="37"/>
  </r>
  <r>
    <n v="204953211"/>
    <d v="2023-04-20T00:00:00"/>
    <d v="2023-05-27T00:00:00"/>
    <x v="0"/>
    <n v="39"/>
    <s v="month"/>
    <n v="37"/>
    <x v="0"/>
    <s v="No"/>
    <n v="0"/>
    <n v="1"/>
    <n v="37"/>
  </r>
  <r>
    <n v="111394466"/>
    <d v="2023-04-20T00:00:00"/>
    <d v="2023-06-22T00:00:00"/>
    <x v="0"/>
    <n v="39"/>
    <s v="month"/>
    <n v="63"/>
    <x v="0"/>
    <s v="No"/>
    <n v="0"/>
    <n v="1"/>
    <n v="63"/>
  </r>
  <r>
    <n v="214107134"/>
    <d v="2023-04-21T00:00:00"/>
    <m/>
    <x v="0"/>
    <n v="39"/>
    <s v="month"/>
    <s v=""/>
    <x v="1"/>
    <s v="No"/>
    <n v="0"/>
    <n v="0"/>
    <s v=""/>
  </r>
  <r>
    <n v="214105034"/>
    <d v="2023-04-21T00:00:00"/>
    <m/>
    <x v="0"/>
    <n v="39"/>
    <s v="month"/>
    <s v=""/>
    <x v="1"/>
    <s v="No"/>
    <n v="0"/>
    <n v="0"/>
    <s v=""/>
  </r>
  <r>
    <n v="214124745"/>
    <d v="2023-04-21T00:00:00"/>
    <d v="2023-09-07T00:00:00"/>
    <x v="0"/>
    <n v="39"/>
    <s v="month"/>
    <n v="139"/>
    <x v="1"/>
    <s v="No"/>
    <n v="0"/>
    <n v="1"/>
    <n v="139"/>
  </r>
  <r>
    <n v="214107426"/>
    <d v="2023-04-21T00:00:00"/>
    <d v="2023-04-22T00:00:00"/>
    <x v="1"/>
    <n v="39"/>
    <s v="month"/>
    <n v="1"/>
    <x v="1"/>
    <s v="No"/>
    <n v="1"/>
    <n v="0"/>
    <n v="1"/>
  </r>
  <r>
    <n v="213980322"/>
    <d v="2023-04-21T00:00:00"/>
    <d v="2023-06-20T00:00:00"/>
    <x v="0"/>
    <n v="39"/>
    <s v="month"/>
    <n v="60"/>
    <x v="1"/>
    <s v="No"/>
    <n v="0"/>
    <n v="1"/>
    <n v="60"/>
  </r>
  <r>
    <n v="213434919"/>
    <d v="2023-04-21T00:00:00"/>
    <d v="2023-04-21T00:00:00"/>
    <x v="0"/>
    <n v="39"/>
    <s v="month"/>
    <n v="0"/>
    <x v="1"/>
    <s v="Yes"/>
    <n v="1"/>
    <n v="0"/>
    <n v="0"/>
  </r>
  <r>
    <n v="214129448"/>
    <d v="2023-04-21T00:00:00"/>
    <d v="2023-07-28T00:00:00"/>
    <x v="0"/>
    <n v="39"/>
    <s v="month"/>
    <n v="98"/>
    <x v="1"/>
    <s v="No"/>
    <n v="0"/>
    <n v="1"/>
    <n v="98"/>
  </r>
  <r>
    <n v="213944536"/>
    <d v="2023-04-21T00:00:00"/>
    <d v="2023-06-21T00:00:00"/>
    <x v="0"/>
    <n v="39"/>
    <s v="month"/>
    <n v="61"/>
    <x v="1"/>
    <s v="No"/>
    <n v="0"/>
    <n v="1"/>
    <n v="61"/>
  </r>
  <r>
    <n v="214052531"/>
    <d v="2023-04-21T00:00:00"/>
    <d v="2023-08-28T00:00:00"/>
    <x v="0"/>
    <n v="39"/>
    <s v="month"/>
    <n v="129"/>
    <x v="1"/>
    <s v="No"/>
    <n v="0"/>
    <n v="1"/>
    <n v="129"/>
  </r>
  <r>
    <n v="214196608"/>
    <d v="2023-04-22T00:00:00"/>
    <m/>
    <x v="0"/>
    <n v="39"/>
    <s v="month"/>
    <s v=""/>
    <x v="2"/>
    <s v="No"/>
    <n v="0"/>
    <n v="0"/>
    <s v=""/>
  </r>
  <r>
    <n v="125299295"/>
    <d v="2023-04-22T00:00:00"/>
    <d v="2023-06-19T00:00:00"/>
    <x v="0"/>
    <n v="39"/>
    <s v="month"/>
    <n v="58"/>
    <x v="2"/>
    <s v="No"/>
    <n v="0"/>
    <n v="1"/>
    <n v="58"/>
  </r>
  <r>
    <n v="214199386"/>
    <d v="2023-04-22T00:00:00"/>
    <d v="2023-05-07T00:00:00"/>
    <x v="0"/>
    <n v="39"/>
    <s v="month"/>
    <n v="15"/>
    <x v="2"/>
    <s v="No"/>
    <n v="0"/>
    <n v="0"/>
    <n v="15"/>
  </r>
  <r>
    <n v="214191851"/>
    <d v="2023-04-22T00:00:00"/>
    <d v="2023-05-12T00:00:00"/>
    <x v="0"/>
    <n v="39"/>
    <s v="month"/>
    <n v="20"/>
    <x v="2"/>
    <s v="No"/>
    <n v="0"/>
    <n v="0"/>
    <n v="20"/>
  </r>
  <r>
    <n v="214174478"/>
    <d v="2023-04-22T00:00:00"/>
    <d v="2023-05-22T00:00:00"/>
    <x v="0"/>
    <n v="39"/>
    <s v="month"/>
    <n v="30"/>
    <x v="2"/>
    <s v="No"/>
    <n v="0"/>
    <n v="0"/>
    <n v="30"/>
  </r>
  <r>
    <n v="214264465"/>
    <d v="2023-04-23T00:00:00"/>
    <m/>
    <x v="0"/>
    <n v="39"/>
    <s v="month"/>
    <s v=""/>
    <x v="3"/>
    <s v="No"/>
    <n v="0"/>
    <n v="0"/>
    <s v=""/>
  </r>
  <r>
    <n v="214261616"/>
    <d v="2023-04-23T00:00:00"/>
    <m/>
    <x v="0"/>
    <n v="39"/>
    <s v="month"/>
    <s v=""/>
    <x v="3"/>
    <s v="No"/>
    <n v="0"/>
    <n v="0"/>
    <s v=""/>
  </r>
  <r>
    <n v="214178644"/>
    <d v="2023-04-23T00:00:00"/>
    <m/>
    <x v="0"/>
    <n v="39"/>
    <s v="month"/>
    <s v=""/>
    <x v="3"/>
    <s v="No"/>
    <n v="0"/>
    <n v="0"/>
    <s v=""/>
  </r>
  <r>
    <n v="214202809"/>
    <d v="2023-04-23T00:00:00"/>
    <d v="2023-05-22T00:00:00"/>
    <x v="0"/>
    <n v="39"/>
    <s v="month"/>
    <n v="29"/>
    <x v="3"/>
    <s v="No"/>
    <n v="0"/>
    <n v="0"/>
    <n v="29"/>
  </r>
  <r>
    <n v="214220188"/>
    <d v="2023-04-24T00:00:00"/>
    <m/>
    <x v="0"/>
    <n v="39"/>
    <s v="month"/>
    <s v=""/>
    <x v="4"/>
    <s v="No"/>
    <n v="0"/>
    <n v="0"/>
    <s v=""/>
  </r>
  <r>
    <n v="212113435"/>
    <d v="2023-04-24T00:00:00"/>
    <m/>
    <x v="0"/>
    <n v="39"/>
    <s v="month"/>
    <s v=""/>
    <x v="4"/>
    <s v="No"/>
    <n v="0"/>
    <n v="0"/>
    <s v=""/>
  </r>
  <r>
    <n v="213431638"/>
    <d v="2023-04-24T00:00:00"/>
    <m/>
    <x v="0"/>
    <n v="39"/>
    <s v="month"/>
    <s v=""/>
    <x v="4"/>
    <s v="No"/>
    <n v="0"/>
    <n v="0"/>
    <s v=""/>
  </r>
  <r>
    <n v="214102994"/>
    <d v="2023-04-24T00:00:00"/>
    <m/>
    <x v="0"/>
    <n v="39"/>
    <s v="month"/>
    <s v=""/>
    <x v="4"/>
    <s v="No"/>
    <n v="0"/>
    <n v="0"/>
    <s v=""/>
  </r>
  <r>
    <n v="177266058"/>
    <d v="2023-04-24T00:00:00"/>
    <m/>
    <x v="0"/>
    <n v="39"/>
    <s v="month"/>
    <s v=""/>
    <x v="4"/>
    <s v="No"/>
    <n v="0"/>
    <n v="0"/>
    <s v=""/>
  </r>
  <r>
    <n v="116060198"/>
    <d v="2023-04-24T00:00:00"/>
    <m/>
    <x v="0"/>
    <n v="39"/>
    <s v="month"/>
    <s v=""/>
    <x v="4"/>
    <s v="No"/>
    <n v="0"/>
    <n v="0"/>
    <s v=""/>
  </r>
  <r>
    <n v="214312843"/>
    <d v="2023-04-24T00:00:00"/>
    <m/>
    <x v="0"/>
    <n v="39"/>
    <s v="month"/>
    <s v=""/>
    <x v="4"/>
    <s v="No"/>
    <n v="0"/>
    <n v="0"/>
    <s v=""/>
  </r>
  <r>
    <n v="156245288"/>
    <d v="2023-04-24T00:00:00"/>
    <d v="2023-05-11T00:00:00"/>
    <x v="0"/>
    <n v="39"/>
    <s v="month"/>
    <n v="17"/>
    <x v="4"/>
    <s v="No"/>
    <n v="0"/>
    <n v="0"/>
    <n v="17"/>
  </r>
  <r>
    <n v="148869972"/>
    <d v="2023-04-24T00:00:00"/>
    <d v="2023-05-10T00:00:00"/>
    <x v="0"/>
    <n v="39"/>
    <s v="month"/>
    <n v="16"/>
    <x v="4"/>
    <s v="No"/>
    <n v="0"/>
    <n v="0"/>
    <n v="16"/>
  </r>
  <r>
    <n v="156186115"/>
    <d v="2023-04-24T00:00:00"/>
    <d v="2023-05-17T00:00:00"/>
    <x v="0"/>
    <n v="39"/>
    <s v="month"/>
    <n v="23"/>
    <x v="4"/>
    <s v="No"/>
    <n v="0"/>
    <n v="0"/>
    <n v="23"/>
  </r>
  <r>
    <n v="207235755"/>
    <d v="2023-04-24T00:00:00"/>
    <d v="2023-05-22T00:00:00"/>
    <x v="0"/>
    <n v="39"/>
    <s v="month"/>
    <n v="28"/>
    <x v="4"/>
    <s v="No"/>
    <n v="0"/>
    <n v="0"/>
    <n v="28"/>
  </r>
  <r>
    <n v="169235213"/>
    <d v="2023-04-24T00:00:00"/>
    <d v="2023-05-31T00:00:00"/>
    <x v="0"/>
    <n v="39"/>
    <s v="month"/>
    <n v="37"/>
    <x v="4"/>
    <s v="No"/>
    <n v="0"/>
    <n v="1"/>
    <n v="37"/>
  </r>
  <r>
    <n v="213692152"/>
    <d v="2023-04-24T00:00:00"/>
    <d v="2023-05-25T00:00:00"/>
    <x v="0"/>
    <n v="39"/>
    <s v="month"/>
    <n v="31"/>
    <x v="4"/>
    <s v="No"/>
    <n v="0"/>
    <n v="1"/>
    <n v="31"/>
  </r>
  <r>
    <n v="214352003"/>
    <d v="2023-04-24T00:00:00"/>
    <d v="2023-08-23T00:00:00"/>
    <x v="0"/>
    <n v="39"/>
    <s v="month"/>
    <n v="121"/>
    <x v="4"/>
    <s v="No"/>
    <n v="0"/>
    <n v="1"/>
    <n v="121"/>
  </r>
  <r>
    <n v="139691790"/>
    <d v="2023-04-25T00:00:00"/>
    <d v="2023-06-25T00:00:00"/>
    <x v="0"/>
    <n v="39"/>
    <s v="month"/>
    <n v="61"/>
    <x v="5"/>
    <s v="No"/>
    <n v="0"/>
    <n v="1"/>
    <n v="61"/>
  </r>
  <r>
    <n v="210646453"/>
    <d v="2023-04-25T00:00:00"/>
    <d v="2023-06-24T00:00:00"/>
    <x v="0"/>
    <n v="39"/>
    <s v="month"/>
    <n v="60"/>
    <x v="5"/>
    <s v="No"/>
    <n v="0"/>
    <n v="1"/>
    <n v="60"/>
  </r>
  <r>
    <n v="206891005"/>
    <d v="2023-04-25T00:00:00"/>
    <d v="2023-05-17T00:00:00"/>
    <x v="0"/>
    <n v="39"/>
    <s v="month"/>
    <n v="22"/>
    <x v="5"/>
    <s v="No"/>
    <n v="0"/>
    <n v="0"/>
    <n v="22"/>
  </r>
  <r>
    <n v="212293354"/>
    <d v="2023-04-25T00:00:00"/>
    <d v="2023-04-25T00:00:00"/>
    <x v="0"/>
    <n v="39"/>
    <s v="month"/>
    <n v="0"/>
    <x v="5"/>
    <s v="Yes"/>
    <n v="1"/>
    <n v="0"/>
    <n v="0"/>
  </r>
  <r>
    <n v="214464069"/>
    <d v="2023-04-26T00:00:00"/>
    <m/>
    <x v="0"/>
    <n v="39"/>
    <s v="month"/>
    <s v=""/>
    <x v="6"/>
    <s v="No"/>
    <n v="0"/>
    <n v="0"/>
    <s v=""/>
  </r>
  <r>
    <n v="214446543"/>
    <d v="2023-04-26T00:00:00"/>
    <m/>
    <x v="0"/>
    <n v="39"/>
    <s v="month"/>
    <s v=""/>
    <x v="6"/>
    <s v="No"/>
    <n v="0"/>
    <n v="0"/>
    <s v=""/>
  </r>
  <r>
    <n v="212376935"/>
    <d v="2023-04-26T00:00:00"/>
    <d v="2023-06-12T00:00:00"/>
    <x v="0"/>
    <n v="39"/>
    <s v="month"/>
    <n v="47"/>
    <x v="6"/>
    <s v="No"/>
    <n v="0"/>
    <n v="1"/>
    <n v="47"/>
  </r>
  <r>
    <n v="173118928"/>
    <d v="2023-04-26T00:00:00"/>
    <d v="2023-06-02T00:00:00"/>
    <x v="0"/>
    <n v="39"/>
    <s v="month"/>
    <n v="37"/>
    <x v="6"/>
    <s v="No"/>
    <n v="0"/>
    <n v="1"/>
    <n v="37"/>
  </r>
  <r>
    <n v="214410106"/>
    <d v="2023-04-26T00:00:00"/>
    <d v="2023-05-17T00:00:00"/>
    <x v="0"/>
    <n v="39"/>
    <s v="month"/>
    <n v="21"/>
    <x v="6"/>
    <s v="No"/>
    <n v="0"/>
    <n v="0"/>
    <n v="21"/>
  </r>
  <r>
    <n v="214093520"/>
    <d v="2023-04-26T00:00:00"/>
    <d v="2023-05-24T00:00:00"/>
    <x v="0"/>
    <n v="39"/>
    <s v="month"/>
    <n v="28"/>
    <x v="6"/>
    <s v="No"/>
    <n v="0"/>
    <n v="0"/>
    <n v="28"/>
  </r>
  <r>
    <n v="214441521"/>
    <d v="2023-04-26T00:00:00"/>
    <d v="2023-05-24T00:00:00"/>
    <x v="0"/>
    <n v="39"/>
    <s v="month"/>
    <n v="28"/>
    <x v="6"/>
    <s v="No"/>
    <n v="0"/>
    <n v="0"/>
    <n v="28"/>
  </r>
  <r>
    <n v="214519787"/>
    <d v="2023-04-27T00:00:00"/>
    <m/>
    <x v="0"/>
    <n v="39"/>
    <s v="month"/>
    <s v=""/>
    <x v="0"/>
    <s v="No"/>
    <n v="0"/>
    <n v="0"/>
    <s v=""/>
  </r>
  <r>
    <n v="213177724"/>
    <d v="2023-04-27T00:00:00"/>
    <m/>
    <x v="0"/>
    <n v="39"/>
    <s v="month"/>
    <s v=""/>
    <x v="0"/>
    <s v="No"/>
    <n v="0"/>
    <n v="0"/>
    <s v=""/>
  </r>
  <r>
    <n v="213421956"/>
    <d v="2023-04-27T00:00:00"/>
    <d v="2023-04-28T00:00:00"/>
    <x v="1"/>
    <n v="39"/>
    <s v="month"/>
    <n v="1"/>
    <x v="0"/>
    <s v="No"/>
    <n v="1"/>
    <n v="0"/>
    <n v="1"/>
  </r>
  <r>
    <n v="151094649"/>
    <d v="2023-04-27T00:00:00"/>
    <d v="2023-05-27T00:00:00"/>
    <x v="0"/>
    <n v="39"/>
    <s v="month"/>
    <n v="30"/>
    <x v="0"/>
    <s v="No"/>
    <n v="0"/>
    <n v="0"/>
    <n v="30"/>
  </r>
  <r>
    <n v="160056180"/>
    <d v="2023-04-27T00:00:00"/>
    <d v="2023-05-28T00:00:00"/>
    <x v="0"/>
    <n v="39"/>
    <s v="month"/>
    <n v="31"/>
    <x v="0"/>
    <s v="No"/>
    <n v="0"/>
    <n v="1"/>
    <n v="31"/>
  </r>
  <r>
    <n v="166480898"/>
    <d v="2023-04-27T00:00:00"/>
    <d v="2023-05-25T00:00:00"/>
    <x v="0"/>
    <n v="39"/>
    <s v="month"/>
    <n v="28"/>
    <x v="0"/>
    <s v="No"/>
    <n v="0"/>
    <n v="0"/>
    <n v="28"/>
  </r>
  <r>
    <n v="182085396"/>
    <d v="2023-04-27T00:00:00"/>
    <d v="2023-06-03T00:00:00"/>
    <x v="0"/>
    <n v="39"/>
    <s v="month"/>
    <n v="37"/>
    <x v="0"/>
    <s v="No"/>
    <n v="0"/>
    <n v="1"/>
    <n v="37"/>
  </r>
  <r>
    <n v="214519010"/>
    <d v="2023-04-27T00:00:00"/>
    <d v="2023-05-28T00:00:00"/>
    <x v="0"/>
    <n v="39"/>
    <s v="month"/>
    <n v="31"/>
    <x v="0"/>
    <s v="No"/>
    <n v="0"/>
    <n v="1"/>
    <n v="31"/>
  </r>
  <r>
    <n v="148657735"/>
    <d v="2023-04-27T00:00:00"/>
    <d v="2023-05-26T00:00:00"/>
    <x v="0"/>
    <n v="39"/>
    <s v="month"/>
    <n v="29"/>
    <x v="0"/>
    <s v="No"/>
    <n v="0"/>
    <n v="0"/>
    <n v="29"/>
  </r>
  <r>
    <n v="214555461"/>
    <d v="2023-04-28T00:00:00"/>
    <m/>
    <x v="0"/>
    <n v="39"/>
    <s v="month"/>
    <s v=""/>
    <x v="1"/>
    <s v="No"/>
    <n v="0"/>
    <n v="0"/>
    <s v=""/>
  </r>
  <r>
    <n v="148042512"/>
    <d v="2023-04-28T00:00:00"/>
    <m/>
    <x v="0"/>
    <n v="39"/>
    <s v="month"/>
    <s v=""/>
    <x v="1"/>
    <s v="No"/>
    <n v="0"/>
    <n v="0"/>
    <s v=""/>
  </r>
  <r>
    <n v="214534717"/>
    <d v="2023-04-28T00:00:00"/>
    <m/>
    <x v="0"/>
    <n v="39"/>
    <s v="month"/>
    <s v=""/>
    <x v="1"/>
    <s v="No"/>
    <n v="0"/>
    <n v="0"/>
    <s v=""/>
  </r>
  <r>
    <n v="211223610"/>
    <d v="2023-04-28T00:00:00"/>
    <d v="2023-07-05T00:00:00"/>
    <x v="0"/>
    <n v="39"/>
    <s v="month"/>
    <n v="68"/>
    <x v="1"/>
    <s v="No"/>
    <n v="0"/>
    <n v="1"/>
    <n v="68"/>
  </r>
  <r>
    <n v="214444866"/>
    <d v="2023-04-28T00:00:00"/>
    <d v="2023-06-28T00:00:00"/>
    <x v="0"/>
    <n v="39"/>
    <s v="month"/>
    <n v="61"/>
    <x v="1"/>
    <s v="No"/>
    <n v="0"/>
    <n v="1"/>
    <n v="61"/>
  </r>
  <r>
    <n v="206477826"/>
    <d v="2023-04-28T00:00:00"/>
    <d v="2023-06-04T00:00:00"/>
    <x v="0"/>
    <n v="39"/>
    <s v="month"/>
    <n v="37"/>
    <x v="1"/>
    <s v="No"/>
    <n v="0"/>
    <n v="1"/>
    <n v="37"/>
  </r>
  <r>
    <n v="214589440"/>
    <d v="2023-04-28T00:00:00"/>
    <d v="2023-05-28T00:00:00"/>
    <x v="0"/>
    <n v="39"/>
    <s v="month"/>
    <n v="30"/>
    <x v="1"/>
    <s v="No"/>
    <n v="0"/>
    <n v="0"/>
    <n v="30"/>
  </r>
  <r>
    <n v="214516527"/>
    <d v="2023-04-28T00:00:00"/>
    <d v="2023-05-29T00:00:00"/>
    <x v="0"/>
    <n v="39"/>
    <s v="month"/>
    <n v="31"/>
    <x v="1"/>
    <s v="No"/>
    <n v="0"/>
    <n v="1"/>
    <n v="31"/>
  </r>
  <r>
    <n v="158980862"/>
    <d v="2023-04-28T00:00:00"/>
    <d v="2023-05-17T00:00:00"/>
    <x v="0"/>
    <n v="39"/>
    <s v="month"/>
    <n v="19"/>
    <x v="1"/>
    <s v="No"/>
    <n v="0"/>
    <n v="0"/>
    <n v="19"/>
  </r>
  <r>
    <n v="144769275"/>
    <d v="2023-04-28T00:00:00"/>
    <d v="2023-04-28T00:00:00"/>
    <x v="0"/>
    <n v="39"/>
    <s v="month"/>
    <n v="0"/>
    <x v="1"/>
    <s v="Yes"/>
    <n v="1"/>
    <n v="0"/>
    <n v="0"/>
  </r>
  <r>
    <n v="214508205"/>
    <d v="2023-04-28T00:00:00"/>
    <d v="2023-07-04T00:00:00"/>
    <x v="0"/>
    <n v="39"/>
    <s v="month"/>
    <n v="67"/>
    <x v="1"/>
    <s v="No"/>
    <n v="0"/>
    <n v="1"/>
    <n v="67"/>
  </r>
  <r>
    <n v="156178486"/>
    <d v="2023-04-29T00:00:00"/>
    <m/>
    <x v="0"/>
    <n v="39"/>
    <s v="month"/>
    <s v=""/>
    <x v="2"/>
    <s v="No"/>
    <n v="0"/>
    <n v="0"/>
    <s v=""/>
  </r>
  <r>
    <n v="214584458"/>
    <d v="2023-04-29T00:00:00"/>
    <d v="2023-07-20T00:00:00"/>
    <x v="0"/>
    <n v="39"/>
    <s v="month"/>
    <n v="82"/>
    <x v="2"/>
    <s v="No"/>
    <n v="0"/>
    <n v="1"/>
    <n v="82"/>
  </r>
  <r>
    <n v="181935574"/>
    <d v="2023-04-30T00:00:00"/>
    <m/>
    <x v="0"/>
    <n v="39"/>
    <s v="month"/>
    <s v=""/>
    <x v="3"/>
    <s v="No"/>
    <n v="0"/>
    <n v="0"/>
    <s v=""/>
  </r>
  <r>
    <n v="153006404"/>
    <d v="2023-04-30T00:00:00"/>
    <d v="2023-05-20T00:00:00"/>
    <x v="0"/>
    <n v="39"/>
    <s v="month"/>
    <n v="20"/>
    <x v="3"/>
    <s v="No"/>
    <n v="0"/>
    <n v="0"/>
    <n v="20"/>
  </r>
  <r>
    <n v="214423891"/>
    <d v="2023-04-30T00:00:00"/>
    <d v="2023-06-02T00:00:00"/>
    <x v="0"/>
    <n v="39"/>
    <s v="month"/>
    <n v="33"/>
    <x v="3"/>
    <s v="No"/>
    <n v="0"/>
    <n v="1"/>
    <n v="33"/>
  </r>
  <r>
    <n v="214510838"/>
    <d v="2023-04-30T00:00:00"/>
    <d v="2023-06-06T00:00:00"/>
    <x v="0"/>
    <n v="39"/>
    <s v="month"/>
    <n v="37"/>
    <x v="3"/>
    <s v="No"/>
    <n v="0"/>
    <n v="1"/>
    <n v="37"/>
  </r>
  <r>
    <n v="211383216"/>
    <d v="2023-04-30T00:00:00"/>
    <d v="2023-05-02T00:00:00"/>
    <x v="0"/>
    <n v="39"/>
    <s v="month"/>
    <n v="2"/>
    <x v="3"/>
    <s v="No"/>
    <n v="1"/>
    <n v="0"/>
    <n v="2"/>
  </r>
  <r>
    <n v="214641741"/>
    <d v="2023-04-30T00:00:00"/>
    <d v="2023-05-01T00:00:00"/>
    <x v="0"/>
    <n v="39"/>
    <s v="month"/>
    <n v="1"/>
    <x v="3"/>
    <s v="No"/>
    <n v="1"/>
    <n v="0"/>
    <n v="1"/>
  </r>
  <r>
    <n v="214643362"/>
    <d v="2023-04-30T00:00:00"/>
    <d v="2023-06-30T00:00:00"/>
    <x v="0"/>
    <n v="39"/>
    <s v="month"/>
    <n v="61"/>
    <x v="3"/>
    <s v="No"/>
    <n v="0"/>
    <n v="1"/>
    <n v="61"/>
  </r>
  <r>
    <n v="214419772"/>
    <d v="2023-05-01T00:00:00"/>
    <m/>
    <x v="0"/>
    <n v="39"/>
    <s v="month"/>
    <s v=""/>
    <x v="4"/>
    <s v="No"/>
    <n v="0"/>
    <n v="0"/>
    <s v=""/>
  </r>
  <r>
    <n v="213227787"/>
    <d v="2023-05-01T00:00:00"/>
    <m/>
    <x v="0"/>
    <n v="39"/>
    <s v="month"/>
    <s v=""/>
    <x v="4"/>
    <s v="No"/>
    <n v="0"/>
    <n v="0"/>
    <s v=""/>
  </r>
  <r>
    <n v="214666572"/>
    <d v="2023-05-01T00:00:00"/>
    <m/>
    <x v="0"/>
    <n v="39"/>
    <s v="month"/>
    <s v=""/>
    <x v="4"/>
    <s v="No"/>
    <n v="0"/>
    <n v="0"/>
    <s v=""/>
  </r>
  <r>
    <n v="126780716"/>
    <d v="2023-05-01T00:00:00"/>
    <d v="2023-06-01T00:00:00"/>
    <x v="0"/>
    <n v="39"/>
    <s v="month"/>
    <n v="31"/>
    <x v="4"/>
    <s v="No"/>
    <n v="0"/>
    <n v="1"/>
    <n v="31"/>
  </r>
  <r>
    <n v="214682826"/>
    <d v="2023-05-01T00:00:00"/>
    <d v="2023-06-01T00:00:00"/>
    <x v="0"/>
    <n v="39"/>
    <s v="month"/>
    <n v="31"/>
    <x v="4"/>
    <s v="No"/>
    <n v="0"/>
    <n v="1"/>
    <n v="31"/>
  </r>
  <r>
    <n v="212392663"/>
    <d v="2023-05-01T00:00:00"/>
    <d v="2023-05-24T00:00:00"/>
    <x v="0"/>
    <n v="39"/>
    <s v="month"/>
    <n v="23"/>
    <x v="4"/>
    <s v="No"/>
    <n v="0"/>
    <n v="0"/>
    <n v="23"/>
  </r>
  <r>
    <n v="147118133"/>
    <d v="2023-05-01T00:00:00"/>
    <d v="2023-08-08T00:00:00"/>
    <x v="0"/>
    <n v="39"/>
    <s v="month"/>
    <n v="99"/>
    <x v="4"/>
    <s v="No"/>
    <n v="0"/>
    <n v="1"/>
    <n v="99"/>
  </r>
  <r>
    <n v="157031617"/>
    <d v="2023-05-02T00:00:00"/>
    <m/>
    <x v="0"/>
    <n v="39"/>
    <s v="month"/>
    <s v=""/>
    <x v="5"/>
    <s v="No"/>
    <n v="0"/>
    <n v="0"/>
    <s v=""/>
  </r>
  <r>
    <n v="211958379"/>
    <d v="2023-05-02T00:00:00"/>
    <m/>
    <x v="0"/>
    <n v="39"/>
    <s v="month"/>
    <s v=""/>
    <x v="5"/>
    <s v="No"/>
    <n v="0"/>
    <n v="0"/>
    <s v=""/>
  </r>
  <r>
    <n v="152310842"/>
    <d v="2023-05-02T00:00:00"/>
    <m/>
    <x v="0"/>
    <n v="39"/>
    <s v="month"/>
    <s v=""/>
    <x v="5"/>
    <s v="No"/>
    <n v="0"/>
    <n v="0"/>
    <s v=""/>
  </r>
  <r>
    <n v="214711907"/>
    <d v="2023-05-02T00:00:00"/>
    <m/>
    <x v="0"/>
    <n v="39"/>
    <s v="month"/>
    <s v=""/>
    <x v="5"/>
    <s v="No"/>
    <n v="0"/>
    <n v="0"/>
    <s v=""/>
  </r>
  <r>
    <n v="150342446"/>
    <d v="2023-05-02T00:00:00"/>
    <d v="2023-05-03T00:00:00"/>
    <x v="0"/>
    <n v="39"/>
    <s v="month"/>
    <n v="1"/>
    <x v="5"/>
    <s v="No"/>
    <n v="1"/>
    <n v="0"/>
    <n v="1"/>
  </r>
  <r>
    <n v="214741130"/>
    <d v="2023-05-02T00:00:00"/>
    <d v="2023-07-09T00:00:00"/>
    <x v="0"/>
    <n v="39"/>
    <s v="month"/>
    <n v="68"/>
    <x v="5"/>
    <s v="No"/>
    <n v="0"/>
    <n v="1"/>
    <n v="68"/>
  </r>
  <r>
    <n v="214734037"/>
    <d v="2023-05-02T00:00:00"/>
    <d v="2023-06-19T00:00:00"/>
    <x v="0"/>
    <n v="39"/>
    <s v="month"/>
    <n v="48"/>
    <x v="5"/>
    <s v="No"/>
    <n v="0"/>
    <n v="1"/>
    <n v="48"/>
  </r>
  <r>
    <n v="214500293"/>
    <d v="2023-05-02T00:00:00"/>
    <d v="2023-06-06T00:00:00"/>
    <x v="0"/>
    <n v="39"/>
    <s v="month"/>
    <n v="35"/>
    <x v="5"/>
    <s v="No"/>
    <n v="0"/>
    <n v="1"/>
    <n v="35"/>
  </r>
  <r>
    <n v="214587827"/>
    <d v="2023-05-02T00:00:00"/>
    <d v="2023-08-01T00:00:00"/>
    <x v="0"/>
    <n v="39"/>
    <s v="month"/>
    <n v="91"/>
    <x v="5"/>
    <s v="No"/>
    <n v="0"/>
    <n v="1"/>
    <n v="91"/>
  </r>
  <r>
    <n v="214739055"/>
    <d v="2023-05-02T00:00:00"/>
    <d v="2023-08-09T00:00:00"/>
    <x v="0"/>
    <n v="39"/>
    <s v="month"/>
    <n v="99"/>
    <x v="5"/>
    <s v="No"/>
    <n v="0"/>
    <n v="1"/>
    <n v="99"/>
  </r>
  <r>
    <n v="163103693"/>
    <d v="2023-05-02T00:00:00"/>
    <d v="2023-08-22T00:00:00"/>
    <x v="0"/>
    <n v="39"/>
    <s v="month"/>
    <n v="112"/>
    <x v="5"/>
    <s v="No"/>
    <n v="0"/>
    <n v="1"/>
    <n v="112"/>
  </r>
  <r>
    <n v="214483378"/>
    <d v="2023-05-03T00:00:00"/>
    <m/>
    <x v="0"/>
    <n v="39"/>
    <s v="month"/>
    <s v=""/>
    <x v="6"/>
    <s v="No"/>
    <n v="0"/>
    <n v="0"/>
    <s v=""/>
  </r>
  <r>
    <n v="157883110"/>
    <d v="2023-05-03T00:00:00"/>
    <m/>
    <x v="0"/>
    <n v="39"/>
    <s v="month"/>
    <s v=""/>
    <x v="6"/>
    <s v="No"/>
    <n v="0"/>
    <n v="0"/>
    <s v=""/>
  </r>
  <r>
    <n v="132424181"/>
    <d v="2023-05-03T00:00:00"/>
    <d v="2023-07-15T00:00:00"/>
    <x v="0"/>
    <n v="39"/>
    <s v="month"/>
    <n v="73"/>
    <x v="6"/>
    <s v="No"/>
    <n v="0"/>
    <n v="1"/>
    <n v="73"/>
  </r>
  <r>
    <n v="214805206"/>
    <d v="2023-05-03T00:00:00"/>
    <d v="2023-06-20T00:00:00"/>
    <x v="0"/>
    <n v="39"/>
    <s v="month"/>
    <n v="48"/>
    <x v="6"/>
    <s v="No"/>
    <n v="0"/>
    <n v="1"/>
    <n v="48"/>
  </r>
  <r>
    <n v="214641940"/>
    <d v="2023-05-03T00:00:00"/>
    <d v="2023-06-10T00:00:00"/>
    <x v="0"/>
    <n v="39"/>
    <s v="month"/>
    <n v="38"/>
    <x v="6"/>
    <s v="No"/>
    <n v="0"/>
    <n v="1"/>
    <n v="38"/>
  </r>
  <r>
    <n v="206112289"/>
    <d v="2023-05-03T00:00:00"/>
    <d v="2023-06-12T00:00:00"/>
    <x v="0"/>
    <n v="39"/>
    <s v="month"/>
    <n v="40"/>
    <x v="6"/>
    <s v="No"/>
    <n v="0"/>
    <n v="1"/>
    <n v="40"/>
  </r>
  <r>
    <n v="214781323"/>
    <d v="2023-05-03T00:00:00"/>
    <d v="2023-05-24T00:00:00"/>
    <x v="0"/>
    <n v="39"/>
    <s v="month"/>
    <n v="21"/>
    <x v="6"/>
    <s v="No"/>
    <n v="0"/>
    <n v="0"/>
    <n v="21"/>
  </r>
  <r>
    <n v="214767936"/>
    <d v="2023-05-03T00:00:00"/>
    <d v="2023-05-03T00:00:00"/>
    <x v="0"/>
    <n v="39"/>
    <s v="month"/>
    <n v="0"/>
    <x v="6"/>
    <s v="Yes"/>
    <n v="1"/>
    <n v="0"/>
    <n v="0"/>
  </r>
  <r>
    <n v="182023209"/>
    <d v="2023-05-03T00:00:00"/>
    <d v="2023-05-14T00:00:00"/>
    <x v="0"/>
    <n v="39"/>
    <s v="month"/>
    <n v="11"/>
    <x v="6"/>
    <s v="No"/>
    <n v="0"/>
    <n v="0"/>
    <n v="11"/>
  </r>
  <r>
    <n v="148513036"/>
    <d v="2023-05-04T00:00:00"/>
    <m/>
    <x v="0"/>
    <n v="39"/>
    <s v="month"/>
    <s v=""/>
    <x v="0"/>
    <s v="No"/>
    <n v="0"/>
    <n v="0"/>
    <s v=""/>
  </r>
  <r>
    <n v="157910445"/>
    <d v="2023-05-04T00:00:00"/>
    <m/>
    <x v="0"/>
    <n v="39"/>
    <s v="month"/>
    <s v=""/>
    <x v="0"/>
    <s v="No"/>
    <n v="0"/>
    <n v="0"/>
    <s v=""/>
  </r>
  <r>
    <n v="213810773"/>
    <d v="2023-05-04T00:00:00"/>
    <d v="2023-09-05T00:00:00"/>
    <x v="0"/>
    <n v="39"/>
    <s v="month"/>
    <n v="124"/>
    <x v="0"/>
    <s v="No"/>
    <n v="0"/>
    <n v="1"/>
    <n v="124"/>
  </r>
  <r>
    <n v="154820233"/>
    <d v="2023-05-04T00:00:00"/>
    <d v="2023-07-05T00:00:00"/>
    <x v="0"/>
    <n v="39"/>
    <s v="month"/>
    <n v="62"/>
    <x v="0"/>
    <s v="No"/>
    <n v="0"/>
    <n v="1"/>
    <n v="62"/>
  </r>
  <r>
    <n v="214248197"/>
    <d v="2023-05-04T00:00:00"/>
    <d v="2023-06-02T00:00:00"/>
    <x v="0"/>
    <n v="39"/>
    <s v="month"/>
    <n v="29"/>
    <x v="0"/>
    <s v="No"/>
    <n v="0"/>
    <n v="0"/>
    <n v="29"/>
  </r>
  <r>
    <n v="214818730"/>
    <d v="2023-05-04T00:00:00"/>
    <d v="2023-06-01T00:00:00"/>
    <x v="0"/>
    <n v="39"/>
    <s v="month"/>
    <n v="28"/>
    <x v="0"/>
    <s v="No"/>
    <n v="0"/>
    <n v="0"/>
    <n v="28"/>
  </r>
  <r>
    <n v="186667733"/>
    <d v="2023-05-04T00:00:00"/>
    <d v="2023-06-01T00:00:00"/>
    <x v="0"/>
    <n v="39"/>
    <s v="month"/>
    <n v="28"/>
    <x v="0"/>
    <s v="No"/>
    <n v="0"/>
    <n v="0"/>
    <n v="28"/>
  </r>
  <r>
    <n v="214901781"/>
    <d v="2023-05-05T00:00:00"/>
    <m/>
    <x v="0"/>
    <n v="39"/>
    <s v="month"/>
    <s v=""/>
    <x v="1"/>
    <s v="No"/>
    <n v="0"/>
    <n v="0"/>
    <s v=""/>
  </r>
  <r>
    <n v="214884589"/>
    <d v="2023-05-05T00:00:00"/>
    <m/>
    <x v="0"/>
    <n v="39"/>
    <s v="month"/>
    <s v=""/>
    <x v="1"/>
    <s v="No"/>
    <n v="0"/>
    <n v="0"/>
    <s v=""/>
  </r>
  <r>
    <n v="210344586"/>
    <d v="2023-05-05T00:00:00"/>
    <m/>
    <x v="0"/>
    <n v="39"/>
    <s v="month"/>
    <s v=""/>
    <x v="1"/>
    <s v="No"/>
    <n v="0"/>
    <n v="0"/>
    <s v=""/>
  </r>
  <r>
    <n v="214813191"/>
    <d v="2023-05-05T00:00:00"/>
    <m/>
    <x v="0"/>
    <n v="39"/>
    <s v="month"/>
    <s v=""/>
    <x v="1"/>
    <s v="No"/>
    <n v="0"/>
    <n v="0"/>
    <s v=""/>
  </r>
  <r>
    <n v="214880602"/>
    <d v="2023-05-05T00:00:00"/>
    <m/>
    <x v="0"/>
    <n v="39"/>
    <s v="month"/>
    <s v=""/>
    <x v="1"/>
    <s v="No"/>
    <n v="0"/>
    <n v="0"/>
    <s v=""/>
  </r>
  <r>
    <n v="186140999"/>
    <d v="2023-05-05T00:00:00"/>
    <d v="2023-06-03T00:00:00"/>
    <x v="0"/>
    <n v="39"/>
    <s v="month"/>
    <n v="29"/>
    <x v="1"/>
    <s v="No"/>
    <n v="0"/>
    <n v="0"/>
    <n v="29"/>
  </r>
  <r>
    <n v="214860336"/>
    <d v="2023-05-05T00:00:00"/>
    <d v="2023-07-03T00:00:00"/>
    <x v="0"/>
    <n v="39"/>
    <s v="month"/>
    <n v="59"/>
    <x v="1"/>
    <s v="No"/>
    <n v="0"/>
    <n v="1"/>
    <n v="59"/>
  </r>
  <r>
    <n v="138725699"/>
    <d v="2023-05-05T00:00:00"/>
    <d v="2023-06-12T00:00:00"/>
    <x v="0"/>
    <n v="39"/>
    <s v="month"/>
    <n v="38"/>
    <x v="1"/>
    <s v="No"/>
    <n v="0"/>
    <n v="1"/>
    <n v="38"/>
  </r>
  <r>
    <n v="132315255"/>
    <d v="2023-05-05T00:00:00"/>
    <d v="2023-05-05T00:00:00"/>
    <x v="0"/>
    <n v="39"/>
    <s v="month"/>
    <n v="0"/>
    <x v="1"/>
    <s v="Yes"/>
    <n v="1"/>
    <n v="0"/>
    <n v="0"/>
  </r>
  <r>
    <n v="208202304"/>
    <d v="2023-05-05T00:00:00"/>
    <d v="2023-05-05T00:00:00"/>
    <x v="0"/>
    <n v="39"/>
    <s v="month"/>
    <n v="0"/>
    <x v="1"/>
    <s v="Yes"/>
    <n v="1"/>
    <n v="0"/>
    <n v="0"/>
  </r>
  <r>
    <n v="214869362"/>
    <d v="2023-05-05T00:00:00"/>
    <d v="2023-05-31T00:00:00"/>
    <x v="0"/>
    <n v="39"/>
    <s v="month"/>
    <n v="26"/>
    <x v="1"/>
    <s v="No"/>
    <n v="0"/>
    <n v="0"/>
    <n v="26"/>
  </r>
  <r>
    <n v="207118054"/>
    <d v="2023-05-06T00:00:00"/>
    <m/>
    <x v="0"/>
    <n v="39"/>
    <s v="month"/>
    <s v=""/>
    <x v="2"/>
    <s v="No"/>
    <n v="0"/>
    <n v="0"/>
    <s v=""/>
  </r>
  <r>
    <n v="214856586"/>
    <d v="2023-05-06T00:00:00"/>
    <m/>
    <x v="0"/>
    <n v="39"/>
    <s v="month"/>
    <s v=""/>
    <x v="2"/>
    <s v="No"/>
    <n v="0"/>
    <n v="0"/>
    <s v=""/>
  </r>
  <r>
    <n v="201945254"/>
    <d v="2023-05-06T00:00:00"/>
    <d v="2023-06-02T00:00:00"/>
    <x v="0"/>
    <n v="39"/>
    <s v="month"/>
    <n v="27"/>
    <x v="2"/>
    <s v="No"/>
    <n v="0"/>
    <n v="0"/>
    <n v="27"/>
  </r>
  <r>
    <n v="134531651"/>
    <d v="2023-05-07T00:00:00"/>
    <m/>
    <x v="0"/>
    <n v="39"/>
    <s v="month"/>
    <s v=""/>
    <x v="3"/>
    <s v="No"/>
    <n v="0"/>
    <n v="0"/>
    <s v=""/>
  </r>
  <r>
    <n v="204865394"/>
    <d v="2023-05-07T00:00:00"/>
    <m/>
    <x v="0"/>
    <n v="39"/>
    <s v="month"/>
    <s v=""/>
    <x v="3"/>
    <s v="No"/>
    <n v="0"/>
    <n v="0"/>
    <s v=""/>
  </r>
  <r>
    <n v="158906669"/>
    <d v="2023-05-07T00:00:00"/>
    <m/>
    <x v="0"/>
    <n v="39"/>
    <s v="month"/>
    <s v=""/>
    <x v="3"/>
    <s v="No"/>
    <n v="0"/>
    <n v="0"/>
    <s v=""/>
  </r>
  <r>
    <n v="125591366"/>
    <d v="2023-05-07T00:00:00"/>
    <d v="2023-08-06T00:00:00"/>
    <x v="0"/>
    <n v="39"/>
    <s v="month"/>
    <n v="91"/>
    <x v="3"/>
    <s v="No"/>
    <n v="0"/>
    <n v="1"/>
    <n v="91"/>
  </r>
  <r>
    <n v="214839844"/>
    <d v="2023-05-07T00:00:00"/>
    <d v="2023-07-07T00:00:00"/>
    <x v="0"/>
    <n v="39"/>
    <s v="month"/>
    <n v="61"/>
    <x v="3"/>
    <s v="No"/>
    <n v="0"/>
    <n v="1"/>
    <n v="61"/>
  </r>
  <r>
    <n v="214939612"/>
    <d v="2023-05-07T00:00:00"/>
    <d v="2023-07-03T00:00:00"/>
    <x v="0"/>
    <n v="39"/>
    <s v="month"/>
    <n v="57"/>
    <x v="3"/>
    <s v="No"/>
    <n v="0"/>
    <n v="1"/>
    <n v="57"/>
  </r>
  <r>
    <n v="204670100"/>
    <d v="2023-05-07T00:00:00"/>
    <d v="2023-07-14T00:00:00"/>
    <x v="0"/>
    <n v="39"/>
    <s v="month"/>
    <n v="68"/>
    <x v="3"/>
    <s v="No"/>
    <n v="0"/>
    <n v="1"/>
    <n v="68"/>
  </r>
  <r>
    <n v="214830539"/>
    <d v="2023-05-07T00:00:00"/>
    <d v="2023-06-14T00:00:00"/>
    <x v="0"/>
    <n v="39"/>
    <s v="month"/>
    <n v="38"/>
    <x v="3"/>
    <s v="No"/>
    <n v="0"/>
    <n v="1"/>
    <n v="38"/>
  </r>
  <r>
    <n v="185952990"/>
    <d v="2023-05-07T00:00:00"/>
    <d v="2023-06-10T00:00:00"/>
    <x v="0"/>
    <n v="39"/>
    <s v="month"/>
    <n v="34"/>
    <x v="3"/>
    <s v="No"/>
    <n v="0"/>
    <n v="1"/>
    <n v="34"/>
  </r>
  <r>
    <n v="214936311"/>
    <d v="2023-05-07T00:00:00"/>
    <d v="2023-05-07T00:00:00"/>
    <x v="0"/>
    <n v="39"/>
    <s v="month"/>
    <n v="0"/>
    <x v="3"/>
    <s v="Yes"/>
    <n v="1"/>
    <n v="0"/>
    <n v="0"/>
  </r>
  <r>
    <n v="214620392"/>
    <d v="2023-05-07T00:00:00"/>
    <d v="2023-07-07T00:00:00"/>
    <x v="0"/>
    <n v="39"/>
    <s v="month"/>
    <n v="61"/>
    <x v="3"/>
    <s v="No"/>
    <n v="0"/>
    <n v="1"/>
    <n v="61"/>
  </r>
  <r>
    <n v="157935884"/>
    <d v="2023-05-08T00:00:00"/>
    <m/>
    <x v="0"/>
    <n v="39"/>
    <s v="month"/>
    <s v=""/>
    <x v="4"/>
    <s v="No"/>
    <n v="0"/>
    <n v="0"/>
    <s v=""/>
  </r>
  <r>
    <n v="214945706"/>
    <d v="2023-05-08T00:00:00"/>
    <m/>
    <x v="0"/>
    <n v="39"/>
    <s v="month"/>
    <s v=""/>
    <x v="4"/>
    <s v="No"/>
    <n v="0"/>
    <n v="0"/>
    <s v=""/>
  </r>
  <r>
    <n v="214999374"/>
    <d v="2023-05-08T00:00:00"/>
    <m/>
    <x v="0"/>
    <n v="39"/>
    <s v="month"/>
    <s v=""/>
    <x v="4"/>
    <s v="No"/>
    <n v="0"/>
    <n v="0"/>
    <s v=""/>
  </r>
  <r>
    <n v="214986467"/>
    <d v="2023-05-08T00:00:00"/>
    <m/>
    <x v="0"/>
    <n v="39"/>
    <s v="month"/>
    <s v=""/>
    <x v="4"/>
    <s v="No"/>
    <n v="0"/>
    <n v="0"/>
    <s v=""/>
  </r>
  <r>
    <n v="214984741"/>
    <d v="2023-05-08T00:00:00"/>
    <m/>
    <x v="0"/>
    <n v="39"/>
    <s v="month"/>
    <s v=""/>
    <x v="4"/>
    <s v="No"/>
    <n v="0"/>
    <n v="0"/>
    <s v=""/>
  </r>
  <r>
    <n v="214993166"/>
    <d v="2023-05-08T00:00:00"/>
    <m/>
    <x v="0"/>
    <n v="39"/>
    <s v="month"/>
    <s v=""/>
    <x v="4"/>
    <s v="No"/>
    <n v="0"/>
    <n v="0"/>
    <s v=""/>
  </r>
  <r>
    <n v="203116697"/>
    <d v="2023-05-08T00:00:00"/>
    <m/>
    <x v="0"/>
    <n v="39"/>
    <s v="month"/>
    <s v=""/>
    <x v="4"/>
    <s v="No"/>
    <n v="0"/>
    <n v="0"/>
    <s v=""/>
  </r>
  <r>
    <n v="214906741"/>
    <d v="2023-05-08T00:00:00"/>
    <m/>
    <x v="0"/>
    <n v="39"/>
    <s v="month"/>
    <s v=""/>
    <x v="4"/>
    <s v="No"/>
    <n v="0"/>
    <n v="0"/>
    <s v=""/>
  </r>
  <r>
    <n v="128977818"/>
    <d v="2023-05-08T00:00:00"/>
    <d v="2023-09-06T00:00:00"/>
    <x v="0"/>
    <n v="39"/>
    <s v="month"/>
    <n v="121"/>
    <x v="4"/>
    <s v="No"/>
    <n v="0"/>
    <n v="1"/>
    <n v="121"/>
  </r>
  <r>
    <n v="209743418"/>
    <d v="2023-05-08T00:00:00"/>
    <d v="2023-05-09T00:00:00"/>
    <x v="0"/>
    <n v="39"/>
    <s v="month"/>
    <n v="1"/>
    <x v="4"/>
    <s v="No"/>
    <n v="1"/>
    <n v="0"/>
    <n v="1"/>
  </r>
  <r>
    <n v="209743418"/>
    <d v="2023-05-08T00:00:00"/>
    <d v="2023-07-08T00:00:00"/>
    <x v="0"/>
    <n v="39"/>
    <s v="month"/>
    <n v="61"/>
    <x v="4"/>
    <s v="No"/>
    <n v="0"/>
    <n v="1"/>
    <n v="61"/>
  </r>
  <r>
    <n v="130868671"/>
    <d v="2023-05-08T00:00:00"/>
    <d v="2023-06-14T00:00:00"/>
    <x v="0"/>
    <n v="39"/>
    <s v="month"/>
    <n v="37"/>
    <x v="4"/>
    <s v="No"/>
    <n v="0"/>
    <n v="1"/>
    <n v="37"/>
  </r>
  <r>
    <n v="146963394"/>
    <d v="2023-05-08T00:00:00"/>
    <d v="2023-07-04T00:00:00"/>
    <x v="0"/>
    <n v="39"/>
    <s v="month"/>
    <n v="57"/>
    <x v="4"/>
    <s v="No"/>
    <n v="0"/>
    <n v="1"/>
    <n v="57"/>
  </r>
  <r>
    <n v="214960770"/>
    <d v="2023-05-08T00:00:00"/>
    <d v="2023-07-03T00:00:00"/>
    <x v="0"/>
    <n v="39"/>
    <s v="month"/>
    <n v="56"/>
    <x v="4"/>
    <s v="No"/>
    <n v="0"/>
    <n v="1"/>
    <n v="56"/>
  </r>
  <r>
    <n v="207344872"/>
    <d v="2023-05-08T00:00:00"/>
    <d v="2023-06-07T00:00:00"/>
    <x v="0"/>
    <n v="39"/>
    <s v="month"/>
    <n v="30"/>
    <x v="4"/>
    <s v="No"/>
    <n v="0"/>
    <n v="0"/>
    <n v="30"/>
  </r>
  <r>
    <n v="202925989"/>
    <d v="2023-05-08T00:00:00"/>
    <d v="2023-06-15T00:00:00"/>
    <x v="0"/>
    <n v="39"/>
    <s v="month"/>
    <n v="38"/>
    <x v="4"/>
    <s v="No"/>
    <n v="0"/>
    <n v="1"/>
    <n v="38"/>
  </r>
  <r>
    <n v="214991976"/>
    <d v="2023-05-08T00:00:00"/>
    <d v="2023-06-22T00:00:00"/>
    <x v="0"/>
    <n v="39"/>
    <s v="month"/>
    <n v="45"/>
    <x v="4"/>
    <s v="No"/>
    <n v="0"/>
    <n v="1"/>
    <n v="45"/>
  </r>
  <r>
    <n v="211917633"/>
    <d v="2023-05-08T00:00:00"/>
    <d v="2023-05-25T00:00:00"/>
    <x v="0"/>
    <n v="39"/>
    <s v="month"/>
    <n v="17"/>
    <x v="4"/>
    <s v="No"/>
    <n v="0"/>
    <n v="0"/>
    <n v="17"/>
  </r>
  <r>
    <n v="214623264"/>
    <d v="2023-05-08T00:00:00"/>
    <d v="2023-07-15T00:00:00"/>
    <x v="0"/>
    <n v="39"/>
    <s v="month"/>
    <n v="68"/>
    <x v="4"/>
    <s v="No"/>
    <n v="0"/>
    <n v="1"/>
    <n v="68"/>
  </r>
  <r>
    <n v="205339362"/>
    <d v="2023-05-08T00:00:00"/>
    <d v="2023-07-08T00:00:00"/>
    <x v="0"/>
    <n v="39"/>
    <s v="month"/>
    <n v="61"/>
    <x v="4"/>
    <s v="No"/>
    <n v="0"/>
    <n v="1"/>
    <n v="61"/>
  </r>
  <r>
    <n v="214956352"/>
    <d v="2023-05-09T00:00:00"/>
    <m/>
    <x v="0"/>
    <n v="39"/>
    <s v="month"/>
    <s v=""/>
    <x v="5"/>
    <s v="No"/>
    <n v="0"/>
    <n v="0"/>
    <s v=""/>
  </r>
  <r>
    <n v="196061402"/>
    <d v="2023-05-09T00:00:00"/>
    <m/>
    <x v="0"/>
    <n v="39"/>
    <s v="month"/>
    <s v=""/>
    <x v="5"/>
    <s v="No"/>
    <n v="0"/>
    <n v="0"/>
    <s v=""/>
  </r>
  <r>
    <n v="215019022"/>
    <d v="2023-05-09T00:00:00"/>
    <m/>
    <x v="0"/>
    <n v="39"/>
    <s v="month"/>
    <s v=""/>
    <x v="5"/>
    <s v="No"/>
    <n v="0"/>
    <n v="0"/>
    <s v=""/>
  </r>
  <r>
    <n v="185517087"/>
    <d v="2023-05-09T00:00:00"/>
    <m/>
    <x v="0"/>
    <n v="39"/>
    <s v="month"/>
    <s v=""/>
    <x v="5"/>
    <s v="No"/>
    <n v="0"/>
    <n v="0"/>
    <s v=""/>
  </r>
  <r>
    <n v="151513254"/>
    <d v="2023-05-09T00:00:00"/>
    <d v="2023-05-09T00:00:00"/>
    <x v="0"/>
    <n v="39"/>
    <s v="month"/>
    <n v="0"/>
    <x v="5"/>
    <s v="Yes"/>
    <n v="1"/>
    <n v="0"/>
    <n v="0"/>
  </r>
  <r>
    <n v="214952558"/>
    <d v="2023-05-09T00:00:00"/>
    <d v="2023-05-10T00:00:00"/>
    <x v="1"/>
    <n v="39"/>
    <s v="month"/>
    <n v="1"/>
    <x v="5"/>
    <s v="No"/>
    <n v="1"/>
    <n v="0"/>
    <n v="1"/>
  </r>
  <r>
    <n v="139339380"/>
    <d v="2023-05-09T00:00:00"/>
    <d v="2023-06-18T00:00:00"/>
    <x v="0"/>
    <n v="39"/>
    <s v="month"/>
    <n v="40"/>
    <x v="5"/>
    <s v="No"/>
    <n v="0"/>
    <n v="1"/>
    <n v="40"/>
  </r>
  <r>
    <n v="208188866"/>
    <d v="2023-05-09T00:00:00"/>
    <d v="2023-06-09T00:00:00"/>
    <x v="0"/>
    <n v="39"/>
    <s v="month"/>
    <n v="31"/>
    <x v="5"/>
    <s v="No"/>
    <n v="0"/>
    <n v="1"/>
    <n v="31"/>
  </r>
  <r>
    <n v="150342446"/>
    <d v="2023-05-09T00:00:00"/>
    <d v="2023-06-16T00:00:00"/>
    <x v="0"/>
    <n v="39"/>
    <s v="month"/>
    <n v="38"/>
    <x v="5"/>
    <s v="No"/>
    <n v="0"/>
    <n v="1"/>
    <n v="38"/>
  </r>
  <r>
    <n v="188748372"/>
    <d v="2023-05-09T00:00:00"/>
    <d v="2023-06-16T00:00:00"/>
    <x v="0"/>
    <n v="39"/>
    <s v="month"/>
    <n v="38"/>
    <x v="5"/>
    <s v="No"/>
    <n v="0"/>
    <n v="1"/>
    <n v="38"/>
  </r>
  <r>
    <n v="215034356"/>
    <d v="2023-05-09T00:00:00"/>
    <d v="2023-05-09T00:00:00"/>
    <x v="0"/>
    <n v="39"/>
    <s v="month"/>
    <n v="0"/>
    <x v="5"/>
    <s v="Yes"/>
    <n v="1"/>
    <n v="0"/>
    <n v="0"/>
  </r>
  <r>
    <n v="145013444"/>
    <d v="2023-05-09T00:00:00"/>
    <d v="2023-05-29T00:00:00"/>
    <x v="0"/>
    <n v="39"/>
    <s v="month"/>
    <n v="20"/>
    <x v="5"/>
    <s v="No"/>
    <n v="0"/>
    <n v="0"/>
    <n v="20"/>
  </r>
  <r>
    <n v="164548755"/>
    <d v="2023-05-09T00:00:00"/>
    <d v="2023-07-16T00:00:00"/>
    <x v="0"/>
    <n v="39"/>
    <s v="month"/>
    <n v="68"/>
    <x v="5"/>
    <s v="No"/>
    <n v="0"/>
    <n v="1"/>
    <n v="68"/>
  </r>
  <r>
    <n v="193315330"/>
    <d v="2023-05-09T00:00:00"/>
    <d v="2023-08-16T00:00:00"/>
    <x v="0"/>
    <n v="39"/>
    <s v="month"/>
    <n v="99"/>
    <x v="5"/>
    <s v="No"/>
    <n v="0"/>
    <n v="1"/>
    <n v="99"/>
  </r>
  <r>
    <n v="147592201"/>
    <d v="2023-05-10T00:00:00"/>
    <m/>
    <x v="0"/>
    <n v="39"/>
    <s v="month"/>
    <s v=""/>
    <x v="6"/>
    <s v="No"/>
    <n v="0"/>
    <n v="0"/>
    <s v=""/>
  </r>
  <r>
    <n v="192068317"/>
    <d v="2023-05-10T00:00:00"/>
    <m/>
    <x v="0"/>
    <n v="39"/>
    <s v="month"/>
    <s v=""/>
    <x v="6"/>
    <s v="No"/>
    <n v="0"/>
    <n v="0"/>
    <s v=""/>
  </r>
  <r>
    <n v="214396083"/>
    <d v="2023-05-10T00:00:00"/>
    <m/>
    <x v="0"/>
    <n v="39"/>
    <s v="month"/>
    <s v=""/>
    <x v="6"/>
    <s v="No"/>
    <n v="0"/>
    <n v="0"/>
    <s v=""/>
  </r>
  <r>
    <n v="214698924"/>
    <d v="2023-05-10T00:00:00"/>
    <d v="2023-05-10T00:00:00"/>
    <x v="0"/>
    <n v="39"/>
    <s v="month"/>
    <n v="0"/>
    <x v="6"/>
    <s v="Yes"/>
    <n v="1"/>
    <n v="0"/>
    <n v="0"/>
  </r>
  <r>
    <n v="153402484"/>
    <d v="2023-05-10T00:00:00"/>
    <d v="2023-06-09T00:00:00"/>
    <x v="0"/>
    <n v="39"/>
    <s v="month"/>
    <n v="30"/>
    <x v="6"/>
    <s v="No"/>
    <n v="0"/>
    <n v="0"/>
    <n v="30"/>
  </r>
  <r>
    <n v="214809412"/>
    <d v="2023-05-10T00:00:00"/>
    <d v="2023-08-09T00:00:00"/>
    <x v="0"/>
    <n v="39"/>
    <s v="month"/>
    <n v="91"/>
    <x v="6"/>
    <s v="No"/>
    <n v="0"/>
    <n v="1"/>
    <n v="91"/>
  </r>
  <r>
    <n v="215062365"/>
    <d v="2023-05-10T00:00:00"/>
    <d v="2023-08-03T00:00:00"/>
    <x v="0"/>
    <n v="39"/>
    <s v="month"/>
    <n v="85"/>
    <x v="6"/>
    <s v="No"/>
    <n v="0"/>
    <n v="1"/>
    <n v="85"/>
  </r>
  <r>
    <n v="135185873"/>
    <d v="2023-05-11T00:00:00"/>
    <m/>
    <x v="0"/>
    <n v="39"/>
    <s v="month"/>
    <s v=""/>
    <x v="0"/>
    <s v="No"/>
    <n v="0"/>
    <n v="0"/>
    <s v=""/>
  </r>
  <r>
    <n v="144898968"/>
    <d v="2023-05-11T00:00:00"/>
    <m/>
    <x v="0"/>
    <n v="39"/>
    <s v="month"/>
    <s v=""/>
    <x v="0"/>
    <s v="No"/>
    <n v="0"/>
    <n v="0"/>
    <s v=""/>
  </r>
  <r>
    <n v="214973231"/>
    <d v="2023-05-11T00:00:00"/>
    <m/>
    <x v="0"/>
    <n v="39"/>
    <s v="month"/>
    <s v=""/>
    <x v="0"/>
    <s v="No"/>
    <n v="0"/>
    <n v="0"/>
    <s v=""/>
  </r>
  <r>
    <n v="214971897"/>
    <d v="2023-05-11T00:00:00"/>
    <m/>
    <x v="0"/>
    <n v="39"/>
    <s v="month"/>
    <s v=""/>
    <x v="0"/>
    <s v="No"/>
    <n v="0"/>
    <n v="0"/>
    <s v=""/>
  </r>
  <r>
    <n v="134919488"/>
    <d v="2023-05-11T00:00:00"/>
    <d v="2023-08-07T00:00:00"/>
    <x v="0"/>
    <n v="39"/>
    <s v="month"/>
    <n v="88"/>
    <x v="0"/>
    <s v="No"/>
    <n v="0"/>
    <n v="1"/>
    <n v="88"/>
  </r>
  <r>
    <n v="214912916"/>
    <d v="2023-05-11T00:00:00"/>
    <d v="2023-06-11T00:00:00"/>
    <x v="0"/>
    <n v="39"/>
    <s v="month"/>
    <n v="31"/>
    <x v="0"/>
    <s v="No"/>
    <n v="0"/>
    <n v="1"/>
    <n v="31"/>
  </r>
  <r>
    <n v="215138344"/>
    <d v="2023-05-11T00:00:00"/>
    <d v="2023-06-02T00:00:00"/>
    <x v="0"/>
    <n v="39"/>
    <s v="month"/>
    <n v="22"/>
    <x v="0"/>
    <s v="No"/>
    <n v="0"/>
    <n v="0"/>
    <n v="22"/>
  </r>
  <r>
    <n v="215132378"/>
    <d v="2023-05-11T00:00:00"/>
    <d v="2023-06-05T00:00:00"/>
    <x v="0"/>
    <n v="39"/>
    <s v="month"/>
    <n v="25"/>
    <x v="0"/>
    <s v="No"/>
    <n v="0"/>
    <n v="0"/>
    <n v="25"/>
  </r>
  <r>
    <n v="206145911"/>
    <d v="2023-05-11T00:00:00"/>
    <d v="2023-05-11T00:00:00"/>
    <x v="0"/>
    <n v="39"/>
    <s v="month"/>
    <n v="0"/>
    <x v="0"/>
    <s v="Yes"/>
    <n v="1"/>
    <n v="0"/>
    <n v="0"/>
  </r>
  <r>
    <n v="215146368"/>
    <d v="2023-05-11T00:00:00"/>
    <d v="2023-05-19T00:00:00"/>
    <x v="0"/>
    <n v="39"/>
    <s v="month"/>
    <n v="8"/>
    <x v="0"/>
    <s v="No"/>
    <n v="0"/>
    <n v="0"/>
    <n v="8"/>
  </r>
  <r>
    <n v="133199506"/>
    <d v="2023-05-12T00:00:00"/>
    <m/>
    <x v="0"/>
    <n v="39"/>
    <s v="month"/>
    <s v=""/>
    <x v="1"/>
    <s v="No"/>
    <n v="0"/>
    <n v="0"/>
    <s v=""/>
  </r>
  <r>
    <n v="202763494"/>
    <d v="2023-05-12T00:00:00"/>
    <m/>
    <x v="0"/>
    <n v="39"/>
    <s v="month"/>
    <s v=""/>
    <x v="1"/>
    <s v="No"/>
    <n v="0"/>
    <n v="0"/>
    <s v=""/>
  </r>
  <r>
    <n v="215113205"/>
    <d v="2023-05-12T00:00:00"/>
    <m/>
    <x v="0"/>
    <n v="39"/>
    <s v="month"/>
    <s v=""/>
    <x v="1"/>
    <s v="No"/>
    <n v="0"/>
    <n v="0"/>
    <s v=""/>
  </r>
  <r>
    <n v="147097108"/>
    <d v="2023-05-12T00:00:00"/>
    <m/>
    <x v="0"/>
    <n v="39"/>
    <s v="month"/>
    <s v=""/>
    <x v="1"/>
    <s v="No"/>
    <n v="0"/>
    <n v="0"/>
    <s v=""/>
  </r>
  <r>
    <n v="186692270"/>
    <d v="2023-05-12T00:00:00"/>
    <m/>
    <x v="0"/>
    <n v="39"/>
    <s v="month"/>
    <s v=""/>
    <x v="1"/>
    <s v="No"/>
    <n v="0"/>
    <n v="0"/>
    <s v=""/>
  </r>
  <r>
    <n v="215169444"/>
    <d v="2023-05-12T00:00:00"/>
    <m/>
    <x v="0"/>
    <n v="39"/>
    <s v="month"/>
    <s v=""/>
    <x v="1"/>
    <s v="No"/>
    <n v="0"/>
    <n v="0"/>
    <s v=""/>
  </r>
  <r>
    <n v="114992353"/>
    <d v="2023-05-12T00:00:00"/>
    <d v="2023-08-14T00:00:00"/>
    <x v="0"/>
    <n v="39"/>
    <s v="month"/>
    <n v="94"/>
    <x v="1"/>
    <s v="No"/>
    <n v="0"/>
    <n v="1"/>
    <n v="94"/>
  </r>
  <r>
    <n v="212339137"/>
    <d v="2023-05-12T00:00:00"/>
    <d v="2023-05-13T00:00:00"/>
    <x v="0"/>
    <n v="39"/>
    <s v="month"/>
    <n v="1"/>
    <x v="1"/>
    <s v="No"/>
    <n v="1"/>
    <n v="0"/>
    <n v="1"/>
  </r>
  <r>
    <n v="175564124"/>
    <d v="2023-05-12T00:00:00"/>
    <d v="2023-06-04T00:00:00"/>
    <x v="0"/>
    <n v="39"/>
    <s v="month"/>
    <n v="23"/>
    <x v="1"/>
    <s v="No"/>
    <n v="0"/>
    <n v="0"/>
    <n v="23"/>
  </r>
  <r>
    <n v="174646950"/>
    <d v="2023-05-12T00:00:00"/>
    <d v="2023-06-19T00:00:00"/>
    <x v="0"/>
    <n v="39"/>
    <s v="month"/>
    <n v="38"/>
    <x v="1"/>
    <s v="No"/>
    <n v="0"/>
    <n v="1"/>
    <n v="38"/>
  </r>
  <r>
    <n v="215075697"/>
    <d v="2023-05-12T00:00:00"/>
    <d v="2023-06-11T00:00:00"/>
    <x v="0"/>
    <n v="39"/>
    <s v="month"/>
    <n v="30"/>
    <x v="1"/>
    <s v="No"/>
    <n v="0"/>
    <n v="0"/>
    <n v="30"/>
  </r>
  <r>
    <n v="215149530"/>
    <d v="2023-05-12T00:00:00"/>
    <d v="2023-06-30T00:00:00"/>
    <x v="0"/>
    <n v="39"/>
    <s v="month"/>
    <n v="49"/>
    <x v="1"/>
    <s v="No"/>
    <n v="0"/>
    <n v="1"/>
    <n v="49"/>
  </r>
  <r>
    <n v="215226464"/>
    <d v="2023-05-13T00:00:00"/>
    <m/>
    <x v="0"/>
    <n v="39"/>
    <s v="month"/>
    <s v=""/>
    <x v="2"/>
    <s v="No"/>
    <n v="0"/>
    <n v="0"/>
    <s v=""/>
  </r>
  <r>
    <n v="215221354"/>
    <d v="2023-05-13T00:00:00"/>
    <m/>
    <x v="0"/>
    <n v="39"/>
    <s v="month"/>
    <s v=""/>
    <x v="2"/>
    <s v="No"/>
    <n v="0"/>
    <n v="0"/>
    <s v=""/>
  </r>
  <r>
    <n v="215031638"/>
    <d v="2023-05-13T00:00:00"/>
    <m/>
    <x v="0"/>
    <n v="39"/>
    <s v="month"/>
    <s v=""/>
    <x v="2"/>
    <s v="No"/>
    <n v="0"/>
    <n v="0"/>
    <s v=""/>
  </r>
  <r>
    <n v="182019861"/>
    <d v="2023-05-14T00:00:00"/>
    <m/>
    <x v="0"/>
    <n v="39"/>
    <s v="month"/>
    <s v=""/>
    <x v="3"/>
    <s v="No"/>
    <n v="0"/>
    <n v="0"/>
    <s v=""/>
  </r>
  <r>
    <n v="210072231"/>
    <d v="2023-05-14T00:00:00"/>
    <m/>
    <x v="0"/>
    <n v="39"/>
    <s v="month"/>
    <s v=""/>
    <x v="3"/>
    <s v="No"/>
    <n v="0"/>
    <n v="0"/>
    <s v=""/>
  </r>
  <r>
    <n v="127328847"/>
    <d v="2023-05-14T00:00:00"/>
    <d v="2023-05-15T00:00:00"/>
    <x v="0"/>
    <n v="39"/>
    <s v="month"/>
    <n v="1"/>
    <x v="3"/>
    <s v="No"/>
    <n v="1"/>
    <n v="0"/>
    <n v="1"/>
  </r>
  <r>
    <n v="155566052"/>
    <d v="2023-05-14T00:00:00"/>
    <d v="2023-06-12T00:00:00"/>
    <x v="0"/>
    <n v="39"/>
    <s v="month"/>
    <n v="29"/>
    <x v="3"/>
    <s v="No"/>
    <n v="0"/>
    <n v="0"/>
    <n v="29"/>
  </r>
  <r>
    <n v="151513254"/>
    <d v="2023-05-14T00:00:00"/>
    <d v="2023-06-20T00:00:00"/>
    <x v="0"/>
    <n v="39"/>
    <s v="month"/>
    <n v="37"/>
    <x v="3"/>
    <s v="No"/>
    <n v="0"/>
    <n v="1"/>
    <n v="37"/>
  </r>
  <r>
    <n v="152236400"/>
    <d v="2023-05-14T00:00:00"/>
    <d v="2023-07-06T00:00:00"/>
    <x v="0"/>
    <n v="39"/>
    <s v="month"/>
    <n v="53"/>
    <x v="3"/>
    <s v="No"/>
    <n v="0"/>
    <n v="1"/>
    <n v="53"/>
  </r>
  <r>
    <n v="215030324"/>
    <d v="2023-05-14T00:00:00"/>
    <d v="2023-08-14T00:00:00"/>
    <x v="0"/>
    <n v="39"/>
    <s v="month"/>
    <n v="92"/>
    <x v="3"/>
    <s v="No"/>
    <n v="0"/>
    <n v="1"/>
    <n v="92"/>
  </r>
  <r>
    <n v="206087650"/>
    <d v="2023-05-14T00:00:00"/>
    <d v="2023-07-21T00:00:00"/>
    <x v="0"/>
    <n v="39"/>
    <s v="month"/>
    <n v="68"/>
    <x v="3"/>
    <s v="No"/>
    <n v="0"/>
    <n v="1"/>
    <n v="68"/>
  </r>
  <r>
    <n v="136252657"/>
    <d v="2023-05-15T00:00:00"/>
    <d v="2023-07-05T00:00:00"/>
    <x v="0"/>
    <n v="39"/>
    <s v="month"/>
    <n v="51"/>
    <x v="4"/>
    <s v="No"/>
    <n v="0"/>
    <n v="1"/>
    <n v="51"/>
  </r>
  <r>
    <n v="134753801"/>
    <d v="2023-05-15T00:00:00"/>
    <d v="2023-07-12T00:00:00"/>
    <x v="0"/>
    <n v="39"/>
    <s v="month"/>
    <n v="58"/>
    <x v="4"/>
    <s v="No"/>
    <n v="0"/>
    <n v="1"/>
    <n v="58"/>
  </r>
  <r>
    <n v="155245092"/>
    <d v="2023-05-15T00:00:00"/>
    <d v="2023-06-16T00:00:00"/>
    <x v="0"/>
    <n v="39"/>
    <s v="month"/>
    <n v="32"/>
    <x v="4"/>
    <s v="No"/>
    <n v="0"/>
    <n v="1"/>
    <n v="32"/>
  </r>
  <r>
    <n v="214905500"/>
    <d v="2023-05-15T00:00:00"/>
    <d v="2023-08-22T00:00:00"/>
    <x v="0"/>
    <n v="39"/>
    <s v="month"/>
    <n v="99"/>
    <x v="4"/>
    <s v="No"/>
    <n v="0"/>
    <n v="1"/>
    <n v="99"/>
  </r>
  <r>
    <n v="215152504"/>
    <d v="2023-05-16T00:00:00"/>
    <m/>
    <x v="0"/>
    <n v="39"/>
    <s v="month"/>
    <s v=""/>
    <x v="5"/>
    <s v="No"/>
    <n v="0"/>
    <n v="0"/>
    <s v=""/>
  </r>
  <r>
    <n v="215336639"/>
    <d v="2023-05-16T00:00:00"/>
    <m/>
    <x v="0"/>
    <n v="39"/>
    <s v="month"/>
    <s v=""/>
    <x v="5"/>
    <s v="No"/>
    <n v="0"/>
    <n v="0"/>
    <s v=""/>
  </r>
  <r>
    <n v="215220026"/>
    <d v="2023-05-16T00:00:00"/>
    <m/>
    <x v="0"/>
    <n v="39"/>
    <s v="month"/>
    <s v=""/>
    <x v="5"/>
    <s v="No"/>
    <n v="0"/>
    <n v="0"/>
    <s v=""/>
  </r>
  <r>
    <n v="202395800"/>
    <d v="2023-05-16T00:00:00"/>
    <m/>
    <x v="0"/>
    <n v="39"/>
    <s v="month"/>
    <s v=""/>
    <x v="5"/>
    <s v="No"/>
    <n v="0"/>
    <n v="0"/>
    <s v=""/>
  </r>
  <r>
    <n v="215289431"/>
    <d v="2023-05-16T00:00:00"/>
    <d v="2023-08-22T00:00:00"/>
    <x v="0"/>
    <n v="39"/>
    <s v="month"/>
    <n v="98"/>
    <x v="5"/>
    <s v="No"/>
    <n v="0"/>
    <n v="1"/>
    <n v="98"/>
  </r>
  <r>
    <n v="182102820"/>
    <d v="2023-05-16T00:00:00"/>
    <d v="2023-05-17T00:00:00"/>
    <x v="0"/>
    <n v="39"/>
    <s v="month"/>
    <n v="1"/>
    <x v="5"/>
    <s v="No"/>
    <n v="1"/>
    <n v="0"/>
    <n v="1"/>
  </r>
  <r>
    <n v="215322558"/>
    <d v="2023-05-16T00:00:00"/>
    <d v="2023-06-23T00:00:00"/>
    <x v="0"/>
    <n v="39"/>
    <s v="month"/>
    <n v="38"/>
    <x v="5"/>
    <s v="No"/>
    <n v="0"/>
    <n v="1"/>
    <n v="38"/>
  </r>
  <r>
    <n v="215347417"/>
    <d v="2023-05-16T00:00:00"/>
    <d v="2023-05-25T00:00:00"/>
    <x v="0"/>
    <n v="39"/>
    <s v="month"/>
    <n v="9"/>
    <x v="5"/>
    <s v="No"/>
    <n v="0"/>
    <n v="0"/>
    <n v="9"/>
  </r>
  <r>
    <n v="215203944"/>
    <d v="2023-05-16T00:00:00"/>
    <d v="2023-07-11T00:00:00"/>
    <x v="0"/>
    <n v="39"/>
    <s v="month"/>
    <n v="56"/>
    <x v="5"/>
    <s v="No"/>
    <n v="0"/>
    <n v="1"/>
    <n v="56"/>
  </r>
  <r>
    <n v="215350747"/>
    <d v="2023-05-16T00:00:00"/>
    <d v="2023-08-03T00:00:00"/>
    <x v="0"/>
    <n v="39"/>
    <s v="month"/>
    <n v="79"/>
    <x v="5"/>
    <s v="No"/>
    <n v="0"/>
    <n v="1"/>
    <n v="79"/>
  </r>
  <r>
    <n v="215254830"/>
    <d v="2023-05-16T00:00:00"/>
    <d v="2023-08-02T00:00:00"/>
    <x v="0"/>
    <n v="39"/>
    <s v="month"/>
    <n v="78"/>
    <x v="5"/>
    <s v="No"/>
    <n v="0"/>
    <n v="1"/>
    <n v="78"/>
  </r>
  <r>
    <n v="192908537"/>
    <d v="2023-05-16T00:00:00"/>
    <d v="2023-06-16T00:00:00"/>
    <x v="0"/>
    <n v="39"/>
    <s v="month"/>
    <n v="31"/>
    <x v="5"/>
    <s v="No"/>
    <n v="0"/>
    <n v="1"/>
    <n v="31"/>
  </r>
  <r>
    <n v="123007965"/>
    <d v="2023-05-17T00:00:00"/>
    <m/>
    <x v="0"/>
    <n v="39"/>
    <s v="month"/>
    <s v=""/>
    <x v="6"/>
    <s v="No"/>
    <n v="0"/>
    <n v="0"/>
    <s v=""/>
  </r>
  <r>
    <n v="151711223"/>
    <d v="2023-05-17T00:00:00"/>
    <m/>
    <x v="0"/>
    <n v="39"/>
    <s v="month"/>
    <s v=""/>
    <x v="6"/>
    <s v="No"/>
    <n v="0"/>
    <n v="0"/>
    <s v=""/>
  </r>
  <r>
    <n v="130751382"/>
    <d v="2023-05-17T00:00:00"/>
    <m/>
    <x v="0"/>
    <n v="39"/>
    <s v="month"/>
    <s v=""/>
    <x v="6"/>
    <s v="No"/>
    <n v="0"/>
    <n v="0"/>
    <s v=""/>
  </r>
  <r>
    <n v="126037254"/>
    <d v="2023-05-17T00:00:00"/>
    <m/>
    <x v="0"/>
    <n v="39"/>
    <s v="month"/>
    <s v=""/>
    <x v="6"/>
    <s v="No"/>
    <n v="0"/>
    <n v="0"/>
    <s v=""/>
  </r>
  <r>
    <n v="133469770"/>
    <d v="2023-05-17T00:00:00"/>
    <m/>
    <x v="0"/>
    <n v="39"/>
    <s v="month"/>
    <s v=""/>
    <x v="6"/>
    <s v="No"/>
    <n v="0"/>
    <n v="0"/>
    <s v=""/>
  </r>
  <r>
    <n v="133565657"/>
    <d v="2023-05-17T00:00:00"/>
    <d v="2023-08-10T00:00:00"/>
    <x v="0"/>
    <n v="39"/>
    <s v="month"/>
    <n v="85"/>
    <x v="6"/>
    <s v="No"/>
    <n v="0"/>
    <n v="1"/>
    <n v="85"/>
  </r>
  <r>
    <n v="215307979"/>
    <d v="2023-05-17T00:00:00"/>
    <d v="2023-06-24T00:00:00"/>
    <x v="0"/>
    <n v="39"/>
    <s v="month"/>
    <n v="38"/>
    <x v="6"/>
    <s v="No"/>
    <n v="0"/>
    <n v="1"/>
    <n v="38"/>
  </r>
  <r>
    <n v="174289942"/>
    <d v="2023-05-17T00:00:00"/>
    <d v="2023-07-21T00:00:00"/>
    <x v="0"/>
    <n v="39"/>
    <s v="month"/>
    <n v="65"/>
    <x v="6"/>
    <s v="No"/>
    <n v="0"/>
    <n v="1"/>
    <n v="65"/>
  </r>
  <r>
    <n v="215366550"/>
    <d v="2023-05-17T00:00:00"/>
    <d v="2023-08-01T00:00:00"/>
    <x v="0"/>
    <n v="39"/>
    <s v="month"/>
    <n v="76"/>
    <x v="6"/>
    <s v="No"/>
    <n v="0"/>
    <n v="1"/>
    <n v="76"/>
  </r>
  <r>
    <n v="210361390"/>
    <d v="2023-05-18T00:00:00"/>
    <m/>
    <x v="0"/>
    <n v="39"/>
    <s v="month"/>
    <s v=""/>
    <x v="0"/>
    <s v="No"/>
    <n v="0"/>
    <n v="0"/>
    <s v=""/>
  </r>
  <r>
    <n v="120738319"/>
    <d v="2023-05-18T00:00:00"/>
    <m/>
    <x v="0"/>
    <n v="39"/>
    <s v="month"/>
    <s v=""/>
    <x v="0"/>
    <s v="No"/>
    <n v="0"/>
    <n v="0"/>
    <s v=""/>
  </r>
  <r>
    <n v="214122861"/>
    <d v="2023-05-18T00:00:00"/>
    <m/>
    <x v="0"/>
    <n v="39"/>
    <s v="month"/>
    <s v=""/>
    <x v="0"/>
    <s v="No"/>
    <n v="0"/>
    <n v="0"/>
    <s v=""/>
  </r>
  <r>
    <n v="214793162"/>
    <d v="2023-05-18T00:00:00"/>
    <m/>
    <x v="0"/>
    <n v="39"/>
    <s v="month"/>
    <s v=""/>
    <x v="0"/>
    <s v="No"/>
    <n v="0"/>
    <n v="0"/>
    <s v=""/>
  </r>
  <r>
    <n v="215420480"/>
    <d v="2023-05-18T00:00:00"/>
    <d v="2023-09-06T00:00:00"/>
    <x v="0"/>
    <n v="39"/>
    <s v="month"/>
    <n v="111"/>
    <x v="0"/>
    <s v="No"/>
    <n v="0"/>
    <n v="1"/>
    <n v="111"/>
  </r>
  <r>
    <n v="215415792"/>
    <d v="2023-05-18T00:00:00"/>
    <d v="2023-05-19T00:00:00"/>
    <x v="1"/>
    <n v="39"/>
    <s v="month"/>
    <n v="1"/>
    <x v="0"/>
    <s v="No"/>
    <n v="1"/>
    <n v="0"/>
    <n v="1"/>
  </r>
  <r>
    <n v="152705871"/>
    <d v="2023-05-18T00:00:00"/>
    <d v="2023-05-25T00:00:00"/>
    <x v="0"/>
    <n v="39"/>
    <s v="month"/>
    <n v="7"/>
    <x v="0"/>
    <s v="No"/>
    <n v="0"/>
    <n v="0"/>
    <n v="7"/>
  </r>
  <r>
    <n v="168265029"/>
    <d v="2023-05-18T00:00:00"/>
    <d v="2023-05-31T00:00:00"/>
    <x v="0"/>
    <n v="39"/>
    <s v="month"/>
    <n v="13"/>
    <x v="0"/>
    <s v="No"/>
    <n v="0"/>
    <n v="0"/>
    <n v="13"/>
  </r>
  <r>
    <n v="215428908"/>
    <d v="2023-05-18T00:00:00"/>
    <d v="2023-06-19T00:00:00"/>
    <x v="0"/>
    <n v="39"/>
    <s v="month"/>
    <n v="32"/>
    <x v="0"/>
    <s v="No"/>
    <n v="0"/>
    <n v="1"/>
    <n v="32"/>
  </r>
  <r>
    <n v="215189952"/>
    <d v="2023-05-18T00:00:00"/>
    <d v="2023-06-29T00:00:00"/>
    <x v="0"/>
    <n v="39"/>
    <s v="month"/>
    <n v="42"/>
    <x v="0"/>
    <s v="No"/>
    <n v="0"/>
    <n v="1"/>
    <n v="42"/>
  </r>
  <r>
    <n v="208168256"/>
    <d v="2023-05-18T00:00:00"/>
    <d v="2023-06-18T00:00:00"/>
    <x v="0"/>
    <n v="39"/>
    <s v="month"/>
    <n v="31"/>
    <x v="0"/>
    <s v="No"/>
    <n v="0"/>
    <n v="1"/>
    <n v="31"/>
  </r>
  <r>
    <n v="163193072"/>
    <d v="2023-05-19T00:00:00"/>
    <m/>
    <x v="0"/>
    <n v="39"/>
    <s v="month"/>
    <s v=""/>
    <x v="1"/>
    <s v="No"/>
    <n v="0"/>
    <n v="0"/>
    <s v=""/>
  </r>
  <r>
    <n v="153449481"/>
    <d v="2023-05-19T00:00:00"/>
    <d v="2023-05-20T00:00:00"/>
    <x v="0"/>
    <n v="39"/>
    <s v="month"/>
    <n v="1"/>
    <x v="1"/>
    <s v="No"/>
    <n v="1"/>
    <n v="0"/>
    <n v="1"/>
  </r>
  <r>
    <n v="215384745"/>
    <d v="2023-05-19T00:00:00"/>
    <d v="2023-06-18T00:00:00"/>
    <x v="0"/>
    <n v="39"/>
    <s v="month"/>
    <n v="30"/>
    <x v="1"/>
    <s v="No"/>
    <n v="0"/>
    <n v="0"/>
    <n v="30"/>
  </r>
  <r>
    <n v="160904253"/>
    <d v="2023-05-19T00:00:00"/>
    <d v="2023-06-26T00:00:00"/>
    <x v="0"/>
    <n v="39"/>
    <s v="month"/>
    <n v="38"/>
    <x v="1"/>
    <s v="No"/>
    <n v="0"/>
    <n v="1"/>
    <n v="38"/>
  </r>
  <r>
    <n v="215476119"/>
    <d v="2023-05-19T00:00:00"/>
    <d v="2023-06-26T00:00:00"/>
    <x v="0"/>
    <n v="39"/>
    <s v="month"/>
    <n v="38"/>
    <x v="1"/>
    <s v="No"/>
    <n v="0"/>
    <n v="1"/>
    <n v="38"/>
  </r>
  <r>
    <n v="214624328"/>
    <d v="2023-05-19T00:00:00"/>
    <d v="2023-06-14T00:00:00"/>
    <x v="0"/>
    <n v="39"/>
    <s v="month"/>
    <n v="26"/>
    <x v="1"/>
    <s v="No"/>
    <n v="0"/>
    <n v="0"/>
    <n v="26"/>
  </r>
  <r>
    <n v="215463105"/>
    <d v="2023-05-19T00:00:00"/>
    <d v="2023-05-27T00:00:00"/>
    <x v="0"/>
    <n v="39"/>
    <s v="month"/>
    <n v="8"/>
    <x v="1"/>
    <s v="No"/>
    <n v="0"/>
    <n v="0"/>
    <n v="8"/>
  </r>
  <r>
    <n v="187368519"/>
    <d v="2023-05-19T00:00:00"/>
    <d v="2023-08-26T00:00:00"/>
    <x v="0"/>
    <n v="39"/>
    <s v="month"/>
    <n v="99"/>
    <x v="1"/>
    <s v="No"/>
    <n v="0"/>
    <n v="1"/>
    <n v="99"/>
  </r>
  <r>
    <n v="206139986"/>
    <d v="2023-05-19T00:00:00"/>
    <d v="2023-07-18T00:00:00"/>
    <x v="0"/>
    <n v="39"/>
    <s v="month"/>
    <n v="60"/>
    <x v="1"/>
    <s v="No"/>
    <n v="0"/>
    <n v="1"/>
    <n v="60"/>
  </r>
  <r>
    <n v="215473481"/>
    <d v="2023-05-19T00:00:00"/>
    <d v="2023-07-14T00:00:00"/>
    <x v="0"/>
    <n v="39"/>
    <s v="month"/>
    <n v="56"/>
    <x v="1"/>
    <s v="No"/>
    <n v="0"/>
    <n v="1"/>
    <n v="56"/>
  </r>
  <r>
    <n v="214967111"/>
    <d v="2023-05-20T00:00:00"/>
    <m/>
    <x v="0"/>
    <n v="39"/>
    <s v="month"/>
    <s v=""/>
    <x v="2"/>
    <s v="No"/>
    <n v="0"/>
    <n v="0"/>
    <s v=""/>
  </r>
  <r>
    <n v="215472324"/>
    <d v="2023-05-20T00:00:00"/>
    <d v="2023-06-27T00:00:00"/>
    <x v="0"/>
    <n v="39"/>
    <s v="month"/>
    <n v="38"/>
    <x v="2"/>
    <s v="No"/>
    <n v="0"/>
    <n v="1"/>
    <n v="38"/>
  </r>
  <r>
    <n v="146557284"/>
    <d v="2023-05-20T00:00:00"/>
    <d v="2023-06-21T00:00:00"/>
    <x v="0"/>
    <n v="39"/>
    <s v="month"/>
    <n v="32"/>
    <x v="2"/>
    <s v="No"/>
    <n v="0"/>
    <n v="1"/>
    <n v="32"/>
  </r>
  <r>
    <n v="215486098"/>
    <d v="2023-05-21T00:00:00"/>
    <m/>
    <x v="0"/>
    <n v="39"/>
    <s v="month"/>
    <s v=""/>
    <x v="3"/>
    <s v="No"/>
    <n v="0"/>
    <n v="0"/>
    <s v=""/>
  </r>
  <r>
    <n v="119436804"/>
    <d v="2023-05-21T00:00:00"/>
    <m/>
    <x v="0"/>
    <n v="39"/>
    <s v="month"/>
    <s v=""/>
    <x v="3"/>
    <s v="No"/>
    <n v="0"/>
    <n v="0"/>
    <s v=""/>
  </r>
  <r>
    <n v="127100688"/>
    <d v="2023-05-21T00:00:00"/>
    <d v="2023-05-22T00:00:00"/>
    <x v="0"/>
    <n v="39"/>
    <s v="month"/>
    <n v="1"/>
    <x v="3"/>
    <s v="No"/>
    <n v="1"/>
    <n v="0"/>
    <n v="1"/>
  </r>
  <r>
    <n v="134524378"/>
    <d v="2023-05-21T00:00:00"/>
    <d v="2023-05-22T00:00:00"/>
    <x v="0"/>
    <n v="39"/>
    <s v="month"/>
    <n v="1"/>
    <x v="3"/>
    <s v="No"/>
    <n v="1"/>
    <n v="0"/>
    <n v="1"/>
  </r>
  <r>
    <n v="134652589"/>
    <d v="2023-05-21T00:00:00"/>
    <d v="2023-05-21T00:00:00"/>
    <x v="0"/>
    <n v="39"/>
    <s v="month"/>
    <n v="0"/>
    <x v="3"/>
    <s v="Yes"/>
    <n v="1"/>
    <n v="0"/>
    <n v="0"/>
  </r>
  <r>
    <n v="214134251"/>
    <d v="2023-05-21T00:00:00"/>
    <d v="2023-05-22T00:00:00"/>
    <x v="1"/>
    <n v="39"/>
    <s v="month"/>
    <n v="1"/>
    <x v="3"/>
    <s v="No"/>
    <n v="1"/>
    <n v="0"/>
    <n v="1"/>
  </r>
  <r>
    <n v="215565049"/>
    <d v="2023-05-21T00:00:00"/>
    <d v="2023-05-21T00:00:00"/>
    <x v="0"/>
    <n v="39"/>
    <s v="month"/>
    <n v="0"/>
    <x v="3"/>
    <s v="Yes"/>
    <n v="1"/>
    <n v="0"/>
    <n v="0"/>
  </r>
  <r>
    <n v="215606026"/>
    <d v="2023-05-21T00:00:00"/>
    <d v="2023-07-20T00:00:00"/>
    <x v="0"/>
    <n v="39"/>
    <s v="month"/>
    <n v="60"/>
    <x v="3"/>
    <s v="No"/>
    <n v="0"/>
    <n v="1"/>
    <n v="60"/>
  </r>
  <r>
    <n v="215678881"/>
    <d v="2023-05-22T00:00:00"/>
    <m/>
    <x v="0"/>
    <n v="39"/>
    <s v="month"/>
    <s v=""/>
    <x v="4"/>
    <s v="No"/>
    <n v="0"/>
    <n v="0"/>
    <s v=""/>
  </r>
  <r>
    <n v="212356610"/>
    <d v="2023-05-22T00:00:00"/>
    <m/>
    <x v="0"/>
    <n v="39"/>
    <s v="month"/>
    <s v=""/>
    <x v="4"/>
    <s v="No"/>
    <n v="0"/>
    <n v="0"/>
    <s v=""/>
  </r>
  <r>
    <n v="215336118"/>
    <d v="2023-05-22T00:00:00"/>
    <m/>
    <x v="0"/>
    <n v="39"/>
    <s v="month"/>
    <s v=""/>
    <x v="4"/>
    <s v="No"/>
    <n v="0"/>
    <n v="0"/>
    <s v=""/>
  </r>
  <r>
    <n v="215664306"/>
    <d v="2023-05-22T00:00:00"/>
    <m/>
    <x v="0"/>
    <n v="39"/>
    <s v="month"/>
    <s v=""/>
    <x v="4"/>
    <s v="No"/>
    <n v="0"/>
    <n v="0"/>
    <s v=""/>
  </r>
  <r>
    <n v="215643802"/>
    <d v="2023-05-22T00:00:00"/>
    <m/>
    <x v="0"/>
    <n v="39"/>
    <s v="month"/>
    <s v=""/>
    <x v="4"/>
    <s v="No"/>
    <n v="0"/>
    <n v="0"/>
    <s v=""/>
  </r>
  <r>
    <n v="206177720"/>
    <d v="2023-05-22T00:00:00"/>
    <d v="2023-05-23T00:00:00"/>
    <x v="1"/>
    <n v="39"/>
    <s v="month"/>
    <n v="1"/>
    <x v="4"/>
    <s v="No"/>
    <n v="1"/>
    <n v="0"/>
    <n v="1"/>
  </r>
  <r>
    <n v="215691994"/>
    <d v="2023-05-22T00:00:00"/>
    <d v="2023-08-21T00:00:00"/>
    <x v="0"/>
    <n v="39"/>
    <s v="month"/>
    <n v="91"/>
    <x v="4"/>
    <s v="No"/>
    <n v="0"/>
    <n v="1"/>
    <n v="91"/>
  </r>
  <r>
    <n v="215653406"/>
    <d v="2023-05-23T00:00:00"/>
    <m/>
    <x v="0"/>
    <n v="39"/>
    <s v="month"/>
    <s v=""/>
    <x v="5"/>
    <s v="No"/>
    <n v="0"/>
    <n v="0"/>
    <s v=""/>
  </r>
  <r>
    <n v="215534470"/>
    <d v="2023-05-23T00:00:00"/>
    <d v="2023-05-24T00:00:00"/>
    <x v="0"/>
    <n v="39"/>
    <s v="month"/>
    <n v="1"/>
    <x v="5"/>
    <s v="No"/>
    <n v="1"/>
    <n v="0"/>
    <n v="1"/>
  </r>
  <r>
    <n v="150751482"/>
    <d v="2023-05-23T00:00:00"/>
    <d v="2023-07-20T00:00:00"/>
    <x v="0"/>
    <n v="39"/>
    <s v="month"/>
    <n v="58"/>
    <x v="5"/>
    <s v="No"/>
    <n v="0"/>
    <n v="1"/>
    <n v="58"/>
  </r>
  <r>
    <n v="208601341"/>
    <d v="2023-05-23T00:00:00"/>
    <d v="2023-07-08T00:00:00"/>
    <x v="0"/>
    <n v="39"/>
    <s v="month"/>
    <n v="46"/>
    <x v="5"/>
    <s v="No"/>
    <n v="0"/>
    <n v="1"/>
    <n v="46"/>
  </r>
  <r>
    <n v="215473479"/>
    <d v="2023-05-23T00:00:00"/>
    <d v="2023-06-26T00:00:00"/>
    <x v="0"/>
    <n v="39"/>
    <s v="month"/>
    <n v="34"/>
    <x v="5"/>
    <s v="No"/>
    <n v="0"/>
    <n v="1"/>
    <n v="34"/>
  </r>
  <r>
    <n v="215646044"/>
    <d v="2023-05-23T00:00:00"/>
    <d v="2023-06-21T00:00:00"/>
    <x v="0"/>
    <n v="39"/>
    <s v="month"/>
    <n v="29"/>
    <x v="5"/>
    <s v="No"/>
    <n v="0"/>
    <n v="0"/>
    <n v="29"/>
  </r>
  <r>
    <n v="215686983"/>
    <d v="2023-05-23T00:00:00"/>
    <d v="2023-06-26T00:00:00"/>
    <x v="0"/>
    <n v="39"/>
    <s v="month"/>
    <n v="34"/>
    <x v="5"/>
    <s v="No"/>
    <n v="0"/>
    <n v="1"/>
    <n v="34"/>
  </r>
  <r>
    <n v="215704655"/>
    <d v="2023-05-24T00:00:00"/>
    <m/>
    <x v="0"/>
    <n v="39"/>
    <s v="month"/>
    <s v=""/>
    <x v="6"/>
    <s v="No"/>
    <n v="0"/>
    <n v="0"/>
    <s v=""/>
  </r>
  <r>
    <n v="131984682"/>
    <d v="2023-05-24T00:00:00"/>
    <d v="2023-07-09T00:00:00"/>
    <x v="0"/>
    <n v="39"/>
    <s v="month"/>
    <n v="46"/>
    <x v="6"/>
    <s v="No"/>
    <n v="0"/>
    <n v="1"/>
    <n v="46"/>
  </r>
  <r>
    <n v="214698924"/>
    <d v="2023-05-24T00:00:00"/>
    <d v="2023-06-27T00:00:00"/>
    <x v="0"/>
    <n v="39"/>
    <s v="month"/>
    <n v="34"/>
    <x v="6"/>
    <s v="No"/>
    <n v="0"/>
    <n v="1"/>
    <n v="34"/>
  </r>
  <r>
    <n v="183886863"/>
    <d v="2023-05-24T00:00:00"/>
    <d v="2023-05-24T00:00:00"/>
    <x v="0"/>
    <n v="39"/>
    <s v="month"/>
    <n v="0"/>
    <x v="6"/>
    <s v="Yes"/>
    <n v="1"/>
    <n v="0"/>
    <n v="0"/>
  </r>
  <r>
    <n v="215869320"/>
    <d v="2023-05-25T00:00:00"/>
    <m/>
    <x v="0"/>
    <n v="39"/>
    <s v="month"/>
    <s v=""/>
    <x v="0"/>
    <s v="No"/>
    <n v="0"/>
    <n v="0"/>
    <s v=""/>
  </r>
  <r>
    <n v="215616284"/>
    <d v="2023-05-25T00:00:00"/>
    <m/>
    <x v="0"/>
    <n v="39"/>
    <s v="month"/>
    <s v=""/>
    <x v="0"/>
    <s v="No"/>
    <n v="0"/>
    <n v="0"/>
    <s v=""/>
  </r>
  <r>
    <n v="215896078"/>
    <d v="2023-05-25T00:00:00"/>
    <m/>
    <x v="0"/>
    <n v="39"/>
    <s v="month"/>
    <s v=""/>
    <x v="0"/>
    <s v="No"/>
    <n v="0"/>
    <n v="0"/>
    <s v=""/>
  </r>
  <r>
    <n v="215910170"/>
    <d v="2023-05-25T00:00:00"/>
    <m/>
    <x v="0"/>
    <n v="39"/>
    <s v="month"/>
    <s v=""/>
    <x v="0"/>
    <s v="No"/>
    <n v="0"/>
    <n v="0"/>
    <s v=""/>
  </r>
  <r>
    <n v="211754109"/>
    <d v="2023-05-25T00:00:00"/>
    <d v="2023-05-26T00:00:00"/>
    <x v="1"/>
    <n v="39"/>
    <s v="month"/>
    <n v="1"/>
    <x v="0"/>
    <s v="No"/>
    <n v="1"/>
    <n v="0"/>
    <n v="1"/>
  </r>
  <r>
    <n v="205682690"/>
    <d v="2023-05-25T00:00:00"/>
    <d v="2023-05-26T00:00:00"/>
    <x v="0"/>
    <n v="39"/>
    <s v="month"/>
    <n v="1"/>
    <x v="0"/>
    <s v="No"/>
    <n v="1"/>
    <n v="0"/>
    <n v="1"/>
  </r>
  <r>
    <n v="151412112"/>
    <d v="2023-05-25T00:00:00"/>
    <d v="2023-06-19T00:00:00"/>
    <x v="0"/>
    <n v="39"/>
    <s v="month"/>
    <n v="25"/>
    <x v="0"/>
    <s v="No"/>
    <n v="0"/>
    <n v="0"/>
    <n v="25"/>
  </r>
  <r>
    <n v="154467458"/>
    <d v="2023-05-25T00:00:00"/>
    <d v="2023-06-29T00:00:00"/>
    <x v="0"/>
    <n v="39"/>
    <s v="month"/>
    <n v="35"/>
    <x v="0"/>
    <s v="No"/>
    <n v="0"/>
    <n v="1"/>
    <n v="35"/>
  </r>
  <r>
    <n v="212339137"/>
    <d v="2023-05-25T00:00:00"/>
    <d v="2023-07-02T00:00:00"/>
    <x v="0"/>
    <n v="39"/>
    <s v="month"/>
    <n v="38"/>
    <x v="0"/>
    <s v="No"/>
    <n v="0"/>
    <n v="1"/>
    <n v="38"/>
  </r>
  <r>
    <n v="215894271"/>
    <d v="2023-05-25T00:00:00"/>
    <d v="2023-06-15T00:00:00"/>
    <x v="0"/>
    <n v="39"/>
    <s v="month"/>
    <n v="21"/>
    <x v="0"/>
    <s v="No"/>
    <n v="0"/>
    <n v="0"/>
    <n v="21"/>
  </r>
  <r>
    <n v="215908442"/>
    <d v="2023-05-25T00:00:00"/>
    <d v="2023-08-17T00:00:00"/>
    <x v="0"/>
    <n v="39"/>
    <s v="month"/>
    <n v="84"/>
    <x v="0"/>
    <s v="No"/>
    <n v="0"/>
    <n v="1"/>
    <n v="84"/>
  </r>
  <r>
    <n v="136032360"/>
    <d v="2023-05-25T00:00:00"/>
    <d v="2023-08-25T00:00:00"/>
    <x v="0"/>
    <n v="39"/>
    <s v="month"/>
    <n v="92"/>
    <x v="0"/>
    <s v="No"/>
    <n v="0"/>
    <n v="1"/>
    <n v="92"/>
  </r>
  <r>
    <n v="215956542"/>
    <d v="2023-05-26T00:00:00"/>
    <m/>
    <x v="0"/>
    <n v="39"/>
    <s v="month"/>
    <s v=""/>
    <x v="1"/>
    <s v="No"/>
    <n v="0"/>
    <n v="0"/>
    <s v=""/>
  </r>
  <r>
    <n v="215947247"/>
    <d v="2023-05-26T00:00:00"/>
    <m/>
    <x v="0"/>
    <n v="39"/>
    <s v="month"/>
    <s v=""/>
    <x v="1"/>
    <s v="No"/>
    <n v="0"/>
    <n v="0"/>
    <s v=""/>
  </r>
  <r>
    <n v="122830574"/>
    <d v="2023-05-26T00:00:00"/>
    <m/>
    <x v="0"/>
    <n v="39"/>
    <s v="month"/>
    <s v=""/>
    <x v="1"/>
    <s v="No"/>
    <n v="0"/>
    <n v="0"/>
    <s v=""/>
  </r>
  <r>
    <n v="206904025"/>
    <d v="2023-05-26T00:00:00"/>
    <d v="2023-05-27T00:00:00"/>
    <x v="1"/>
    <n v="39"/>
    <s v="month"/>
    <n v="1"/>
    <x v="1"/>
    <s v="No"/>
    <n v="1"/>
    <n v="0"/>
    <n v="1"/>
  </r>
  <r>
    <n v="153396366"/>
    <d v="2023-05-26T00:00:00"/>
    <d v="2023-06-27T00:00:00"/>
    <x v="0"/>
    <n v="39"/>
    <s v="month"/>
    <n v="32"/>
    <x v="1"/>
    <s v="No"/>
    <n v="0"/>
    <n v="1"/>
    <n v="32"/>
  </r>
  <r>
    <n v="200304509"/>
    <d v="2023-05-26T00:00:00"/>
    <d v="2023-06-17T00:00:00"/>
    <x v="0"/>
    <n v="39"/>
    <s v="month"/>
    <n v="22"/>
    <x v="1"/>
    <s v="No"/>
    <n v="0"/>
    <n v="0"/>
    <n v="22"/>
  </r>
  <r>
    <n v="215867874"/>
    <d v="2023-05-26T00:00:00"/>
    <d v="2023-06-18T00:00:00"/>
    <x v="0"/>
    <n v="39"/>
    <s v="month"/>
    <n v="23"/>
    <x v="1"/>
    <s v="No"/>
    <n v="0"/>
    <n v="0"/>
    <n v="23"/>
  </r>
  <r>
    <n v="215869887"/>
    <d v="2023-05-26T00:00:00"/>
    <d v="2023-06-11T00:00:00"/>
    <x v="0"/>
    <n v="39"/>
    <s v="month"/>
    <n v="16"/>
    <x v="1"/>
    <s v="No"/>
    <n v="0"/>
    <n v="0"/>
    <n v="16"/>
  </r>
  <r>
    <n v="134652589"/>
    <d v="2023-05-26T00:00:00"/>
    <d v="2023-06-10T00:00:00"/>
    <x v="0"/>
    <n v="39"/>
    <s v="month"/>
    <n v="15"/>
    <x v="1"/>
    <s v="No"/>
    <n v="0"/>
    <n v="0"/>
    <n v="15"/>
  </r>
  <r>
    <n v="215759517"/>
    <d v="2023-05-26T00:00:00"/>
    <d v="2023-09-02T00:00:00"/>
    <x v="0"/>
    <n v="39"/>
    <s v="month"/>
    <n v="99"/>
    <x v="1"/>
    <s v="No"/>
    <n v="0"/>
    <n v="1"/>
    <n v="99"/>
  </r>
  <r>
    <n v="152004313"/>
    <d v="2023-05-26T00:00:00"/>
    <d v="2023-07-04T00:00:00"/>
    <x v="0"/>
    <n v="39"/>
    <s v="month"/>
    <n v="39"/>
    <x v="1"/>
    <s v="No"/>
    <n v="0"/>
    <n v="1"/>
    <n v="39"/>
  </r>
  <r>
    <n v="215931788"/>
    <d v="2023-05-26T00:00:00"/>
    <d v="2023-06-27T00:00:00"/>
    <x v="0"/>
    <n v="39"/>
    <s v="month"/>
    <n v="32"/>
    <x v="1"/>
    <s v="No"/>
    <n v="0"/>
    <n v="1"/>
    <n v="32"/>
  </r>
  <r>
    <n v="215792692"/>
    <d v="2023-05-26T00:00:00"/>
    <d v="2023-07-25T00:00:00"/>
    <x v="0"/>
    <n v="39"/>
    <s v="month"/>
    <n v="60"/>
    <x v="1"/>
    <s v="No"/>
    <n v="0"/>
    <n v="1"/>
    <n v="60"/>
  </r>
  <r>
    <n v="205507364"/>
    <d v="2023-05-26T00:00:00"/>
    <d v="2023-07-26T00:00:00"/>
    <x v="0"/>
    <n v="39"/>
    <s v="month"/>
    <n v="61"/>
    <x v="1"/>
    <s v="No"/>
    <n v="0"/>
    <n v="1"/>
    <n v="61"/>
  </r>
  <r>
    <n v="130016916"/>
    <d v="2023-05-26T00:00:00"/>
    <d v="2023-07-26T00:00:00"/>
    <x v="0"/>
    <n v="39"/>
    <s v="month"/>
    <n v="61"/>
    <x v="1"/>
    <s v="No"/>
    <n v="0"/>
    <n v="1"/>
    <n v="61"/>
  </r>
  <r>
    <n v="174991614"/>
    <d v="2023-05-27T00:00:00"/>
    <m/>
    <x v="0"/>
    <n v="39"/>
    <s v="month"/>
    <s v=""/>
    <x v="2"/>
    <s v="No"/>
    <n v="0"/>
    <n v="0"/>
    <s v=""/>
  </r>
  <r>
    <n v="118197872"/>
    <d v="2023-05-27T00:00:00"/>
    <m/>
    <x v="0"/>
    <n v="39"/>
    <s v="month"/>
    <s v=""/>
    <x v="2"/>
    <s v="No"/>
    <n v="0"/>
    <n v="0"/>
    <s v=""/>
  </r>
  <r>
    <n v="215906516"/>
    <d v="2023-05-27T00:00:00"/>
    <m/>
    <x v="0"/>
    <n v="39"/>
    <s v="month"/>
    <s v=""/>
    <x v="2"/>
    <s v="No"/>
    <n v="0"/>
    <n v="0"/>
    <s v=""/>
  </r>
  <r>
    <n v="116197941"/>
    <d v="2023-05-27T00:00:00"/>
    <d v="2023-08-03T00:00:00"/>
    <x v="0"/>
    <n v="39"/>
    <s v="month"/>
    <n v="68"/>
    <x v="2"/>
    <s v="No"/>
    <n v="0"/>
    <n v="1"/>
    <n v="68"/>
  </r>
  <r>
    <n v="215973039"/>
    <d v="2023-05-27T00:00:00"/>
    <d v="2023-06-03T00:00:00"/>
    <x v="0"/>
    <n v="39"/>
    <s v="month"/>
    <n v="7"/>
    <x v="2"/>
    <s v="No"/>
    <n v="0"/>
    <n v="0"/>
    <n v="7"/>
  </r>
  <r>
    <n v="147761700"/>
    <d v="2023-05-27T00:00:00"/>
    <d v="2023-06-08T00:00:00"/>
    <x v="0"/>
    <n v="39"/>
    <s v="month"/>
    <n v="12"/>
    <x v="2"/>
    <s v="No"/>
    <n v="0"/>
    <n v="0"/>
    <n v="12"/>
  </r>
  <r>
    <n v="215943650"/>
    <d v="2023-05-27T00:00:00"/>
    <d v="2023-07-04T00:00:00"/>
    <x v="0"/>
    <n v="39"/>
    <s v="month"/>
    <n v="38"/>
    <x v="2"/>
    <s v="No"/>
    <n v="0"/>
    <n v="1"/>
    <n v="38"/>
  </r>
  <r>
    <n v="157259062"/>
    <d v="2023-05-27T00:00:00"/>
    <d v="2023-07-04T00:00:00"/>
    <x v="0"/>
    <n v="39"/>
    <s v="month"/>
    <n v="38"/>
    <x v="2"/>
    <s v="No"/>
    <n v="0"/>
    <n v="1"/>
    <n v="38"/>
  </r>
  <r>
    <n v="216001506"/>
    <d v="2023-05-27T00:00:00"/>
    <d v="2023-07-26T00:00:00"/>
    <x v="0"/>
    <n v="39"/>
    <s v="month"/>
    <n v="60"/>
    <x v="2"/>
    <s v="No"/>
    <n v="0"/>
    <n v="1"/>
    <n v="60"/>
  </r>
  <r>
    <n v="199306900"/>
    <d v="2023-05-27T00:00:00"/>
    <d v="2023-09-03T00:00:00"/>
    <x v="0"/>
    <n v="39"/>
    <s v="month"/>
    <n v="99"/>
    <x v="2"/>
    <s v="No"/>
    <n v="0"/>
    <n v="1"/>
    <n v="99"/>
  </r>
  <r>
    <n v="156245288"/>
    <d v="2023-05-28T00:00:00"/>
    <m/>
    <x v="0"/>
    <n v="39"/>
    <s v="month"/>
    <s v=""/>
    <x v="3"/>
    <s v="No"/>
    <n v="0"/>
    <n v="0"/>
    <s v=""/>
  </r>
  <r>
    <n v="211904765"/>
    <d v="2023-05-28T00:00:00"/>
    <m/>
    <x v="0"/>
    <n v="39"/>
    <s v="month"/>
    <s v=""/>
    <x v="3"/>
    <s v="No"/>
    <n v="0"/>
    <n v="0"/>
    <s v=""/>
  </r>
  <r>
    <n v="215832805"/>
    <d v="2023-05-28T00:00:00"/>
    <m/>
    <x v="0"/>
    <n v="39"/>
    <s v="month"/>
    <s v=""/>
    <x v="3"/>
    <s v="No"/>
    <n v="0"/>
    <n v="0"/>
    <s v=""/>
  </r>
  <r>
    <n v="156403612"/>
    <d v="2023-05-29T00:00:00"/>
    <m/>
    <x v="0"/>
    <n v="39"/>
    <s v="month"/>
    <s v=""/>
    <x v="4"/>
    <s v="No"/>
    <n v="0"/>
    <n v="0"/>
    <s v=""/>
  </r>
  <r>
    <n v="216062001"/>
    <d v="2023-05-29T00:00:00"/>
    <m/>
    <x v="0"/>
    <n v="39"/>
    <s v="month"/>
    <s v=""/>
    <x v="4"/>
    <s v="No"/>
    <n v="0"/>
    <n v="0"/>
    <s v=""/>
  </r>
  <r>
    <n v="216083936"/>
    <d v="2023-05-29T00:00:00"/>
    <m/>
    <x v="0"/>
    <n v="39"/>
    <s v="month"/>
    <s v=""/>
    <x v="4"/>
    <s v="No"/>
    <n v="0"/>
    <n v="0"/>
    <s v=""/>
  </r>
  <r>
    <n v="215568210"/>
    <d v="2023-05-29T00:00:00"/>
    <d v="2023-08-28T00:00:00"/>
    <x v="0"/>
    <n v="39"/>
    <s v="month"/>
    <n v="91"/>
    <x v="4"/>
    <s v="No"/>
    <n v="0"/>
    <n v="1"/>
    <n v="91"/>
  </r>
  <r>
    <n v="181480437"/>
    <d v="2023-05-29T00:00:00"/>
    <d v="2023-07-03T00:00:00"/>
    <x v="0"/>
    <n v="39"/>
    <s v="month"/>
    <n v="35"/>
    <x v="4"/>
    <s v="No"/>
    <n v="0"/>
    <n v="1"/>
    <n v="35"/>
  </r>
  <r>
    <n v="147197398"/>
    <d v="2023-05-30T00:00:00"/>
    <m/>
    <x v="0"/>
    <n v="39"/>
    <s v="month"/>
    <s v=""/>
    <x v="5"/>
    <s v="No"/>
    <n v="0"/>
    <n v="0"/>
    <s v=""/>
  </r>
  <r>
    <n v="212051648"/>
    <d v="2023-05-30T00:00:00"/>
    <m/>
    <x v="0"/>
    <n v="39"/>
    <s v="month"/>
    <s v=""/>
    <x v="5"/>
    <s v="No"/>
    <n v="0"/>
    <n v="0"/>
    <s v=""/>
  </r>
  <r>
    <n v="216141502"/>
    <d v="2023-05-30T00:00:00"/>
    <m/>
    <x v="0"/>
    <n v="39"/>
    <s v="month"/>
    <s v=""/>
    <x v="5"/>
    <s v="No"/>
    <n v="0"/>
    <n v="0"/>
    <s v=""/>
  </r>
  <r>
    <n v="216136975"/>
    <d v="2023-05-30T00:00:00"/>
    <m/>
    <x v="0"/>
    <n v="39"/>
    <s v="month"/>
    <s v=""/>
    <x v="5"/>
    <s v="No"/>
    <n v="0"/>
    <n v="0"/>
    <s v=""/>
  </r>
  <r>
    <n v="213240907"/>
    <d v="2023-05-30T00:00:00"/>
    <m/>
    <x v="0"/>
    <n v="39"/>
    <s v="month"/>
    <s v=""/>
    <x v="5"/>
    <s v="No"/>
    <n v="0"/>
    <n v="0"/>
    <s v=""/>
  </r>
  <r>
    <n v="204739496"/>
    <d v="2023-05-30T00:00:00"/>
    <d v="2023-09-03T00:00:00"/>
    <x v="0"/>
    <n v="39"/>
    <s v="month"/>
    <n v="96"/>
    <x v="5"/>
    <s v="No"/>
    <n v="0"/>
    <n v="1"/>
    <n v="96"/>
  </r>
  <r>
    <n v="203366396"/>
    <d v="2023-05-30T00:00:00"/>
    <d v="2023-05-31T00:00:00"/>
    <x v="0"/>
    <n v="39"/>
    <s v="month"/>
    <n v="1"/>
    <x v="5"/>
    <s v="No"/>
    <n v="1"/>
    <n v="0"/>
    <n v="1"/>
  </r>
  <r>
    <n v="216136446"/>
    <d v="2023-05-30T00:00:00"/>
    <d v="2023-06-28T00:00:00"/>
    <x v="0"/>
    <n v="39"/>
    <s v="month"/>
    <n v="29"/>
    <x v="5"/>
    <s v="No"/>
    <n v="0"/>
    <n v="0"/>
    <n v="29"/>
  </r>
  <r>
    <n v="216139586"/>
    <d v="2023-05-30T00:00:00"/>
    <d v="2023-06-30T00:00:00"/>
    <x v="0"/>
    <n v="39"/>
    <s v="month"/>
    <n v="31"/>
    <x v="5"/>
    <s v="No"/>
    <n v="0"/>
    <n v="1"/>
    <n v="31"/>
  </r>
  <r>
    <n v="216126416"/>
    <d v="2023-05-30T00:00:00"/>
    <d v="2023-06-04T00:00:00"/>
    <x v="0"/>
    <n v="39"/>
    <s v="month"/>
    <n v="5"/>
    <x v="5"/>
    <s v="No"/>
    <n v="0"/>
    <n v="0"/>
    <n v="5"/>
  </r>
  <r>
    <n v="216181144"/>
    <d v="2023-05-30T00:00:00"/>
    <d v="2023-07-07T00:00:00"/>
    <x v="0"/>
    <n v="39"/>
    <s v="month"/>
    <n v="38"/>
    <x v="5"/>
    <s v="No"/>
    <n v="0"/>
    <n v="1"/>
    <n v="38"/>
  </r>
  <r>
    <n v="216100714"/>
    <d v="2023-05-30T00:00:00"/>
    <d v="2023-08-02T00:00:00"/>
    <x v="0"/>
    <n v="39"/>
    <s v="month"/>
    <n v="64"/>
    <x v="5"/>
    <s v="No"/>
    <n v="0"/>
    <n v="1"/>
    <n v="64"/>
  </r>
  <r>
    <n v="216155144"/>
    <d v="2023-05-30T00:00:00"/>
    <d v="2023-07-30T00:00:00"/>
    <x v="0"/>
    <n v="39"/>
    <s v="month"/>
    <n v="61"/>
    <x v="5"/>
    <s v="No"/>
    <n v="0"/>
    <n v="1"/>
    <n v="61"/>
  </r>
  <r>
    <n v="190978347"/>
    <d v="2023-05-30T00:00:00"/>
    <d v="2023-08-08T00:00:00"/>
    <x v="0"/>
    <n v="39"/>
    <s v="month"/>
    <n v="70"/>
    <x v="5"/>
    <s v="No"/>
    <n v="0"/>
    <n v="1"/>
    <n v="70"/>
  </r>
  <r>
    <n v="215653713"/>
    <d v="2023-05-30T00:00:00"/>
    <d v="2023-07-11T00:00:00"/>
    <x v="0"/>
    <n v="39"/>
    <s v="month"/>
    <n v="42"/>
    <x v="5"/>
    <s v="No"/>
    <n v="0"/>
    <n v="1"/>
    <n v="42"/>
  </r>
  <r>
    <n v="215185569"/>
    <d v="2023-05-30T00:00:00"/>
    <d v="2023-08-29T00:00:00"/>
    <x v="0"/>
    <n v="39"/>
    <s v="month"/>
    <n v="91"/>
    <x v="5"/>
    <s v="No"/>
    <n v="0"/>
    <n v="1"/>
    <n v="91"/>
  </r>
  <r>
    <n v="215488799"/>
    <d v="2023-05-31T00:00:00"/>
    <m/>
    <x v="0"/>
    <n v="39"/>
    <s v="month"/>
    <s v=""/>
    <x v="6"/>
    <s v="No"/>
    <n v="0"/>
    <n v="0"/>
    <s v=""/>
  </r>
  <r>
    <n v="216170130"/>
    <d v="2023-05-31T00:00:00"/>
    <m/>
    <x v="0"/>
    <n v="39"/>
    <s v="month"/>
    <s v=""/>
    <x v="6"/>
    <s v="No"/>
    <n v="0"/>
    <n v="0"/>
    <s v=""/>
  </r>
  <r>
    <n v="215723337"/>
    <d v="2023-05-31T00:00:00"/>
    <m/>
    <x v="0"/>
    <n v="39"/>
    <s v="month"/>
    <s v=""/>
    <x v="6"/>
    <s v="No"/>
    <n v="0"/>
    <n v="0"/>
    <s v=""/>
  </r>
  <r>
    <n v="148568942"/>
    <d v="2023-05-31T00:00:00"/>
    <m/>
    <x v="0"/>
    <n v="39"/>
    <s v="month"/>
    <s v=""/>
    <x v="6"/>
    <s v="No"/>
    <n v="0"/>
    <n v="0"/>
    <s v=""/>
  </r>
  <r>
    <n v="215102456"/>
    <d v="2023-05-31T00:00:00"/>
    <m/>
    <x v="0"/>
    <n v="39"/>
    <s v="month"/>
    <s v=""/>
    <x v="6"/>
    <s v="No"/>
    <n v="0"/>
    <n v="0"/>
    <s v=""/>
  </r>
  <r>
    <n v="216017581"/>
    <d v="2023-05-31T00:00:00"/>
    <m/>
    <x v="0"/>
    <n v="39"/>
    <s v="month"/>
    <s v=""/>
    <x v="6"/>
    <s v="No"/>
    <n v="0"/>
    <n v="0"/>
    <s v=""/>
  </r>
  <r>
    <n v="153438676"/>
    <d v="2023-05-31T00:00:00"/>
    <m/>
    <x v="0"/>
    <n v="39"/>
    <s v="month"/>
    <s v=""/>
    <x v="6"/>
    <s v="No"/>
    <n v="0"/>
    <n v="0"/>
    <s v=""/>
  </r>
  <r>
    <n v="213190132"/>
    <d v="2023-05-31T00:00:00"/>
    <m/>
    <x v="0"/>
    <n v="39"/>
    <s v="month"/>
    <s v=""/>
    <x v="6"/>
    <s v="No"/>
    <n v="0"/>
    <n v="0"/>
    <s v=""/>
  </r>
  <r>
    <n v="216218992"/>
    <d v="2023-05-31T00:00:00"/>
    <d v="2023-08-31T00:00:00"/>
    <x v="0"/>
    <n v="39"/>
    <s v="month"/>
    <n v="92"/>
    <x v="6"/>
    <s v="No"/>
    <n v="0"/>
    <n v="1"/>
    <n v="92"/>
  </r>
  <r>
    <n v="216210442"/>
    <d v="2023-05-31T00:00:00"/>
    <d v="2023-06-15T00:00:00"/>
    <x v="0"/>
    <n v="39"/>
    <s v="month"/>
    <n v="15"/>
    <x v="6"/>
    <s v="No"/>
    <n v="0"/>
    <n v="0"/>
    <n v="15"/>
  </r>
  <r>
    <n v="129447970"/>
    <d v="2023-05-31T00:00:00"/>
    <d v="2023-09-03T00:00:00"/>
    <x v="0"/>
    <n v="39"/>
    <s v="month"/>
    <n v="95"/>
    <x v="6"/>
    <s v="No"/>
    <n v="0"/>
    <n v="1"/>
    <n v="95"/>
  </r>
  <r>
    <n v="216221115"/>
    <d v="2023-05-31T00:00:00"/>
    <d v="2023-07-02T00:00:00"/>
    <x v="0"/>
    <n v="39"/>
    <s v="month"/>
    <n v="32"/>
    <x v="6"/>
    <s v="No"/>
    <n v="0"/>
    <n v="1"/>
    <n v="32"/>
  </r>
  <r>
    <n v="215911675"/>
    <d v="2023-05-31T00:00:00"/>
    <d v="2023-07-07T00:00:00"/>
    <x v="0"/>
    <n v="39"/>
    <s v="month"/>
    <n v="37"/>
    <x v="6"/>
    <s v="No"/>
    <n v="0"/>
    <n v="1"/>
    <n v="37"/>
  </r>
  <r>
    <n v="215908254"/>
    <d v="2023-05-31T00:00:00"/>
    <d v="2023-06-21T00:00:00"/>
    <x v="0"/>
    <n v="39"/>
    <s v="month"/>
    <n v="21"/>
    <x v="6"/>
    <s v="No"/>
    <n v="0"/>
    <n v="0"/>
    <n v="21"/>
  </r>
  <r>
    <n v="214610994"/>
    <d v="2023-05-31T00:00:00"/>
    <d v="2023-06-29T00:00:00"/>
    <x v="0"/>
    <n v="39"/>
    <s v="month"/>
    <n v="29"/>
    <x v="6"/>
    <s v="No"/>
    <n v="0"/>
    <n v="0"/>
    <n v="29"/>
  </r>
  <r>
    <n v="143272167"/>
    <d v="2023-05-31T00:00:00"/>
    <d v="2023-09-07T00:00:00"/>
    <x v="0"/>
    <n v="39"/>
    <s v="month"/>
    <n v="99"/>
    <x v="6"/>
    <s v="No"/>
    <n v="0"/>
    <n v="1"/>
    <n v="99"/>
  </r>
  <r>
    <n v="216340651"/>
    <d v="2023-06-01T00:00:00"/>
    <m/>
    <x v="0"/>
    <n v="39"/>
    <s v="month"/>
    <s v=""/>
    <x v="0"/>
    <s v="No"/>
    <n v="0"/>
    <n v="0"/>
    <s v=""/>
  </r>
  <r>
    <n v="153573832"/>
    <d v="2023-06-01T00:00:00"/>
    <m/>
    <x v="0"/>
    <n v="39"/>
    <s v="month"/>
    <s v=""/>
    <x v="0"/>
    <s v="No"/>
    <n v="0"/>
    <n v="0"/>
    <s v=""/>
  </r>
  <r>
    <n v="138312982"/>
    <d v="2023-06-01T00:00:00"/>
    <m/>
    <x v="0"/>
    <n v="39"/>
    <s v="month"/>
    <s v=""/>
    <x v="0"/>
    <s v="No"/>
    <n v="0"/>
    <n v="0"/>
    <s v=""/>
  </r>
  <r>
    <n v="216365777"/>
    <d v="2023-06-01T00:00:00"/>
    <m/>
    <x v="0"/>
    <n v="39"/>
    <s v="month"/>
    <s v=""/>
    <x v="0"/>
    <s v="No"/>
    <n v="0"/>
    <n v="0"/>
    <s v=""/>
  </r>
  <r>
    <n v="216272792"/>
    <d v="2023-06-01T00:00:00"/>
    <d v="2023-09-06T00:00:00"/>
    <x v="0"/>
    <n v="39"/>
    <s v="month"/>
    <n v="97"/>
    <x v="0"/>
    <s v="No"/>
    <n v="0"/>
    <n v="1"/>
    <n v="97"/>
  </r>
  <r>
    <n v="167174814"/>
    <d v="2023-06-01T00:00:00"/>
    <d v="2023-06-11T00:00:00"/>
    <x v="0"/>
    <n v="39"/>
    <s v="month"/>
    <n v="10"/>
    <x v="0"/>
    <s v="No"/>
    <n v="0"/>
    <n v="0"/>
    <n v="10"/>
  </r>
  <r>
    <n v="216329176"/>
    <d v="2023-06-01T00:00:00"/>
    <d v="2023-07-08T00:00:00"/>
    <x v="0"/>
    <n v="39"/>
    <s v="month"/>
    <n v="37"/>
    <x v="0"/>
    <s v="No"/>
    <n v="0"/>
    <n v="1"/>
    <n v="37"/>
  </r>
  <r>
    <n v="147320092"/>
    <d v="2023-06-01T00:00:00"/>
    <d v="2023-07-04T00:00:00"/>
    <x v="0"/>
    <n v="39"/>
    <s v="month"/>
    <n v="33"/>
    <x v="0"/>
    <s v="No"/>
    <n v="0"/>
    <n v="1"/>
    <n v="33"/>
  </r>
  <r>
    <n v="157974600"/>
    <d v="2023-06-01T00:00:00"/>
    <d v="2023-06-14T00:00:00"/>
    <x v="0"/>
    <n v="39"/>
    <s v="month"/>
    <n v="13"/>
    <x v="0"/>
    <s v="No"/>
    <n v="0"/>
    <n v="0"/>
    <n v="13"/>
  </r>
  <r>
    <n v="200955808"/>
    <d v="2023-06-01T00:00:00"/>
    <d v="2023-07-01T00:00:00"/>
    <x v="0"/>
    <n v="39"/>
    <s v="month"/>
    <n v="30"/>
    <x v="0"/>
    <s v="No"/>
    <n v="0"/>
    <n v="0"/>
    <n v="30"/>
  </r>
  <r>
    <n v="216332850"/>
    <d v="2023-06-01T00:00:00"/>
    <d v="2023-08-01T00:00:00"/>
    <x v="0"/>
    <n v="39"/>
    <s v="month"/>
    <n v="61"/>
    <x v="0"/>
    <s v="No"/>
    <n v="0"/>
    <n v="1"/>
    <n v="61"/>
  </r>
  <r>
    <n v="149986818"/>
    <d v="2023-06-02T00:00:00"/>
    <m/>
    <x v="0"/>
    <n v="39"/>
    <s v="month"/>
    <s v=""/>
    <x v="1"/>
    <s v="No"/>
    <n v="0"/>
    <n v="0"/>
    <s v=""/>
  </r>
  <r>
    <n v="132579012"/>
    <d v="2023-06-02T00:00:00"/>
    <m/>
    <x v="0"/>
    <n v="39"/>
    <s v="month"/>
    <s v=""/>
    <x v="1"/>
    <s v="No"/>
    <n v="0"/>
    <n v="0"/>
    <s v=""/>
  </r>
  <r>
    <n v="155529346"/>
    <d v="2023-06-02T00:00:00"/>
    <d v="2023-09-04T00:00:00"/>
    <x v="0"/>
    <n v="39"/>
    <s v="month"/>
    <n v="94"/>
    <x v="1"/>
    <s v="No"/>
    <n v="0"/>
    <n v="1"/>
    <n v="94"/>
  </r>
  <r>
    <n v="153085868"/>
    <d v="2023-06-02T00:00:00"/>
    <d v="2023-06-29T00:00:00"/>
    <x v="0"/>
    <n v="39"/>
    <s v="month"/>
    <n v="27"/>
    <x v="1"/>
    <s v="No"/>
    <n v="0"/>
    <n v="0"/>
    <n v="27"/>
  </r>
  <r>
    <n v="156702204"/>
    <d v="2023-06-02T00:00:00"/>
    <d v="2023-07-02T00:00:00"/>
    <x v="0"/>
    <n v="39"/>
    <s v="month"/>
    <n v="30"/>
    <x v="1"/>
    <s v="No"/>
    <n v="0"/>
    <n v="0"/>
    <n v="30"/>
  </r>
  <r>
    <n v="158177676"/>
    <d v="2023-06-02T00:00:00"/>
    <d v="2023-06-27T00:00:00"/>
    <x v="0"/>
    <n v="39"/>
    <s v="month"/>
    <n v="25"/>
    <x v="1"/>
    <s v="No"/>
    <n v="0"/>
    <n v="0"/>
    <n v="25"/>
  </r>
  <r>
    <n v="216423972"/>
    <d v="2023-06-02T00:00:00"/>
    <d v="2023-07-14T00:00:00"/>
    <x v="0"/>
    <n v="39"/>
    <s v="month"/>
    <n v="42"/>
    <x v="1"/>
    <s v="No"/>
    <n v="0"/>
    <n v="1"/>
    <n v="42"/>
  </r>
  <r>
    <n v="216533259"/>
    <d v="2023-06-03T00:00:00"/>
    <m/>
    <x v="0"/>
    <n v="39"/>
    <s v="month"/>
    <s v=""/>
    <x v="2"/>
    <s v="No"/>
    <n v="0"/>
    <n v="0"/>
    <s v=""/>
  </r>
  <r>
    <n v="204953211"/>
    <d v="2023-06-03T00:00:00"/>
    <m/>
    <x v="0"/>
    <n v="39"/>
    <s v="month"/>
    <s v=""/>
    <x v="2"/>
    <s v="No"/>
    <n v="0"/>
    <n v="0"/>
    <s v=""/>
  </r>
  <r>
    <n v="149112756"/>
    <d v="2023-06-03T00:00:00"/>
    <m/>
    <x v="0"/>
    <n v="39"/>
    <s v="month"/>
    <s v=""/>
    <x v="2"/>
    <s v="No"/>
    <n v="0"/>
    <n v="0"/>
    <s v=""/>
  </r>
  <r>
    <n v="216674420"/>
    <d v="2023-06-03T00:00:00"/>
    <d v="2023-06-04T00:00:00"/>
    <x v="1"/>
    <n v="39"/>
    <s v="month"/>
    <n v="1"/>
    <x v="2"/>
    <s v="No"/>
    <n v="1"/>
    <n v="0"/>
    <n v="1"/>
  </r>
  <r>
    <n v="148225450"/>
    <d v="2023-06-03T00:00:00"/>
    <d v="2023-06-29T00:00:00"/>
    <x v="0"/>
    <n v="39"/>
    <s v="month"/>
    <n v="26"/>
    <x v="2"/>
    <s v="No"/>
    <n v="0"/>
    <n v="0"/>
    <n v="26"/>
  </r>
  <r>
    <n v="216720172"/>
    <d v="2023-06-03T00:00:00"/>
    <d v="2023-06-20T00:00:00"/>
    <x v="0"/>
    <n v="39"/>
    <s v="month"/>
    <n v="17"/>
    <x v="2"/>
    <s v="No"/>
    <n v="0"/>
    <n v="0"/>
    <n v="17"/>
  </r>
  <r>
    <n v="204750804"/>
    <d v="2023-06-03T00:00:00"/>
    <d v="2023-06-27T00:00:00"/>
    <x v="0"/>
    <n v="39"/>
    <s v="month"/>
    <n v="24"/>
    <x v="2"/>
    <s v="No"/>
    <n v="0"/>
    <n v="0"/>
    <n v="24"/>
  </r>
  <r>
    <n v="147798395"/>
    <d v="2023-06-04T00:00:00"/>
    <m/>
    <x v="0"/>
    <n v="39"/>
    <s v="month"/>
    <s v=""/>
    <x v="3"/>
    <s v="No"/>
    <n v="0"/>
    <n v="0"/>
    <s v=""/>
  </r>
  <r>
    <n v="216560949"/>
    <d v="2023-06-04T00:00:00"/>
    <d v="2023-07-05T00:00:00"/>
    <x v="0"/>
    <n v="39"/>
    <s v="month"/>
    <n v="31"/>
    <x v="3"/>
    <s v="No"/>
    <n v="0"/>
    <n v="1"/>
    <n v="31"/>
  </r>
  <r>
    <n v="216743053"/>
    <d v="2023-06-04T00:00:00"/>
    <d v="2023-07-14T00:00:00"/>
    <x v="0"/>
    <n v="39"/>
    <s v="month"/>
    <n v="40"/>
    <x v="3"/>
    <s v="No"/>
    <n v="0"/>
    <n v="1"/>
    <n v="40"/>
  </r>
  <r>
    <n v="149040748"/>
    <d v="2023-06-05T00:00:00"/>
    <m/>
    <x v="0"/>
    <n v="39"/>
    <s v="month"/>
    <s v=""/>
    <x v="4"/>
    <s v="No"/>
    <n v="0"/>
    <n v="0"/>
    <s v=""/>
  </r>
  <r>
    <n v="206939746"/>
    <d v="2023-06-05T00:00:00"/>
    <m/>
    <x v="0"/>
    <n v="39"/>
    <s v="month"/>
    <s v=""/>
    <x v="4"/>
    <s v="No"/>
    <n v="0"/>
    <n v="0"/>
    <s v=""/>
  </r>
  <r>
    <n v="216845223"/>
    <d v="2023-06-05T00:00:00"/>
    <m/>
    <x v="0"/>
    <n v="39"/>
    <s v="month"/>
    <s v=""/>
    <x v="4"/>
    <s v="No"/>
    <n v="0"/>
    <n v="0"/>
    <s v=""/>
  </r>
  <r>
    <n v="124876382"/>
    <d v="2023-06-05T00:00:00"/>
    <d v="2023-08-12T00:00:00"/>
    <x v="0"/>
    <n v="39"/>
    <s v="month"/>
    <n v="68"/>
    <x v="4"/>
    <s v="No"/>
    <n v="0"/>
    <n v="1"/>
    <n v="68"/>
  </r>
  <r>
    <n v="168485609"/>
    <d v="2023-06-05T00:00:00"/>
    <d v="2023-08-20T00:00:00"/>
    <x v="0"/>
    <n v="39"/>
    <s v="month"/>
    <n v="76"/>
    <x v="4"/>
    <s v="No"/>
    <n v="0"/>
    <n v="1"/>
    <n v="76"/>
  </r>
  <r>
    <n v="216888206"/>
    <d v="2023-06-05T00:00:00"/>
    <d v="2023-09-03T00:00:00"/>
    <x v="0"/>
    <n v="39"/>
    <s v="month"/>
    <n v="90"/>
    <x v="4"/>
    <s v="No"/>
    <n v="0"/>
    <n v="1"/>
    <n v="90"/>
  </r>
  <r>
    <n v="216957502"/>
    <d v="2023-06-06T00:00:00"/>
    <m/>
    <x v="0"/>
    <n v="39"/>
    <s v="month"/>
    <s v=""/>
    <x v="5"/>
    <s v="No"/>
    <n v="0"/>
    <n v="0"/>
    <s v=""/>
  </r>
  <r>
    <n v="215840282"/>
    <d v="2023-06-06T00:00:00"/>
    <m/>
    <x v="0"/>
    <n v="39"/>
    <s v="month"/>
    <s v=""/>
    <x v="5"/>
    <s v="No"/>
    <n v="0"/>
    <n v="0"/>
    <s v=""/>
  </r>
  <r>
    <n v="216311456"/>
    <d v="2023-06-06T00:00:00"/>
    <m/>
    <x v="0"/>
    <n v="39"/>
    <s v="month"/>
    <s v=""/>
    <x v="5"/>
    <s v="No"/>
    <n v="0"/>
    <n v="0"/>
    <s v=""/>
  </r>
  <r>
    <n v="155088727"/>
    <d v="2023-06-06T00:00:00"/>
    <m/>
    <x v="0"/>
    <n v="39"/>
    <s v="month"/>
    <s v=""/>
    <x v="5"/>
    <s v="No"/>
    <n v="0"/>
    <n v="0"/>
    <s v=""/>
  </r>
  <r>
    <n v="216925191"/>
    <d v="2023-06-06T00:00:00"/>
    <d v="2023-06-13T00:00:00"/>
    <x v="0"/>
    <n v="39"/>
    <s v="month"/>
    <n v="7"/>
    <x v="5"/>
    <s v="No"/>
    <n v="0"/>
    <n v="0"/>
    <n v="7"/>
  </r>
  <r>
    <n v="216924741"/>
    <d v="2023-06-06T00:00:00"/>
    <d v="2023-08-22T00:00:00"/>
    <x v="0"/>
    <n v="39"/>
    <s v="month"/>
    <n v="77"/>
    <x v="5"/>
    <s v="No"/>
    <n v="0"/>
    <n v="1"/>
    <n v="77"/>
  </r>
  <r>
    <n v="194347007"/>
    <d v="2023-06-06T00:00:00"/>
    <d v="2023-07-13T00:00:00"/>
    <x v="0"/>
    <n v="39"/>
    <s v="month"/>
    <n v="37"/>
    <x v="5"/>
    <s v="No"/>
    <n v="0"/>
    <n v="1"/>
    <n v="37"/>
  </r>
  <r>
    <n v="217067696"/>
    <d v="2023-06-07T00:00:00"/>
    <m/>
    <x v="0"/>
    <n v="39"/>
    <s v="month"/>
    <s v=""/>
    <x v="6"/>
    <s v="No"/>
    <n v="0"/>
    <n v="0"/>
    <s v=""/>
  </r>
  <r>
    <n v="217012406"/>
    <d v="2023-06-07T00:00:00"/>
    <m/>
    <x v="0"/>
    <n v="39"/>
    <s v="month"/>
    <s v=""/>
    <x v="6"/>
    <s v="No"/>
    <n v="0"/>
    <n v="0"/>
    <s v=""/>
  </r>
  <r>
    <n v="216345770"/>
    <d v="2023-06-07T00:00:00"/>
    <m/>
    <x v="0"/>
    <n v="39"/>
    <s v="month"/>
    <s v=""/>
    <x v="6"/>
    <s v="No"/>
    <n v="0"/>
    <n v="0"/>
    <s v=""/>
  </r>
  <r>
    <n v="215654770"/>
    <d v="2023-06-07T00:00:00"/>
    <m/>
    <x v="0"/>
    <n v="39"/>
    <s v="month"/>
    <s v=""/>
    <x v="6"/>
    <s v="No"/>
    <n v="0"/>
    <n v="0"/>
    <s v=""/>
  </r>
  <r>
    <n v="217044528"/>
    <d v="2023-06-07T00:00:00"/>
    <m/>
    <x v="0"/>
    <n v="39"/>
    <s v="month"/>
    <s v=""/>
    <x v="6"/>
    <s v="No"/>
    <n v="0"/>
    <n v="0"/>
    <s v=""/>
  </r>
  <r>
    <n v="217031352"/>
    <d v="2023-06-07T00:00:00"/>
    <m/>
    <x v="0"/>
    <n v="39"/>
    <s v="month"/>
    <s v=""/>
    <x v="6"/>
    <s v="No"/>
    <n v="0"/>
    <n v="0"/>
    <s v=""/>
  </r>
  <r>
    <n v="146450388"/>
    <d v="2023-06-07T00:00:00"/>
    <m/>
    <x v="0"/>
    <n v="39"/>
    <s v="month"/>
    <s v=""/>
    <x v="6"/>
    <s v="No"/>
    <n v="0"/>
    <n v="0"/>
    <s v=""/>
  </r>
  <r>
    <n v="153374748"/>
    <d v="2023-06-07T00:00:00"/>
    <d v="2023-08-31T00:00:00"/>
    <x v="0"/>
    <n v="39"/>
    <s v="month"/>
    <n v="85"/>
    <x v="6"/>
    <s v="No"/>
    <n v="0"/>
    <n v="1"/>
    <n v="85"/>
  </r>
  <r>
    <n v="217065874"/>
    <d v="2023-06-07T00:00:00"/>
    <d v="2023-06-29T00:00:00"/>
    <x v="0"/>
    <n v="39"/>
    <s v="month"/>
    <n v="22"/>
    <x v="6"/>
    <s v="No"/>
    <n v="0"/>
    <n v="0"/>
    <n v="22"/>
  </r>
  <r>
    <n v="216622895"/>
    <d v="2023-06-07T00:00:00"/>
    <d v="2023-08-14T00:00:00"/>
    <x v="0"/>
    <n v="39"/>
    <s v="month"/>
    <n v="68"/>
    <x v="6"/>
    <s v="No"/>
    <n v="0"/>
    <n v="1"/>
    <n v="68"/>
  </r>
  <r>
    <n v="216907852"/>
    <d v="2023-06-07T00:00:00"/>
    <d v="2023-07-09T00:00:00"/>
    <x v="0"/>
    <n v="39"/>
    <s v="month"/>
    <n v="32"/>
    <x v="6"/>
    <s v="No"/>
    <n v="0"/>
    <n v="1"/>
    <n v="32"/>
  </r>
  <r>
    <n v="217054126"/>
    <d v="2023-06-08T00:00:00"/>
    <m/>
    <x v="0"/>
    <n v="39"/>
    <s v="month"/>
    <s v=""/>
    <x v="0"/>
    <s v="No"/>
    <n v="0"/>
    <n v="0"/>
    <s v=""/>
  </r>
  <r>
    <n v="206001231"/>
    <d v="2023-06-08T00:00:00"/>
    <m/>
    <x v="0"/>
    <n v="39"/>
    <s v="month"/>
    <s v=""/>
    <x v="0"/>
    <s v="No"/>
    <n v="0"/>
    <n v="0"/>
    <s v=""/>
  </r>
  <r>
    <n v="216925136"/>
    <d v="2023-06-08T00:00:00"/>
    <m/>
    <x v="0"/>
    <n v="39"/>
    <s v="month"/>
    <s v=""/>
    <x v="0"/>
    <s v="No"/>
    <n v="0"/>
    <n v="0"/>
    <s v=""/>
  </r>
  <r>
    <n v="217094352"/>
    <d v="2023-06-08T00:00:00"/>
    <d v="2023-07-02T00:00:00"/>
    <x v="0"/>
    <n v="39"/>
    <s v="month"/>
    <n v="24"/>
    <x v="0"/>
    <s v="No"/>
    <n v="0"/>
    <n v="0"/>
    <n v="24"/>
  </r>
  <r>
    <n v="206891818"/>
    <d v="2023-06-08T00:00:00"/>
    <d v="2023-06-28T00:00:00"/>
    <x v="0"/>
    <n v="39"/>
    <s v="month"/>
    <n v="20"/>
    <x v="0"/>
    <s v="No"/>
    <n v="0"/>
    <n v="0"/>
    <n v="20"/>
  </r>
  <r>
    <n v="217084888"/>
    <d v="2023-06-08T00:00:00"/>
    <d v="2023-06-08T00:00:00"/>
    <x v="0"/>
    <n v="39"/>
    <s v="month"/>
    <n v="0"/>
    <x v="0"/>
    <s v="Yes"/>
    <n v="1"/>
    <n v="0"/>
    <n v="0"/>
  </r>
  <r>
    <n v="216624401"/>
    <d v="2023-06-08T00:00:00"/>
    <d v="2023-06-28T00:00:00"/>
    <x v="0"/>
    <n v="39"/>
    <s v="month"/>
    <n v="20"/>
    <x v="0"/>
    <s v="No"/>
    <n v="0"/>
    <n v="0"/>
    <n v="20"/>
  </r>
  <r>
    <n v="216795282"/>
    <d v="2023-06-08T00:00:00"/>
    <d v="2023-07-23T00:00:00"/>
    <x v="0"/>
    <n v="39"/>
    <s v="month"/>
    <n v="45"/>
    <x v="0"/>
    <s v="No"/>
    <n v="0"/>
    <n v="1"/>
    <n v="45"/>
  </r>
  <r>
    <n v="174646924"/>
    <d v="2023-06-09T00:00:00"/>
    <m/>
    <x v="0"/>
    <n v="39"/>
    <s v="month"/>
    <s v=""/>
    <x v="1"/>
    <s v="No"/>
    <n v="0"/>
    <n v="0"/>
    <s v=""/>
  </r>
  <r>
    <n v="217123644"/>
    <d v="2023-06-09T00:00:00"/>
    <m/>
    <x v="0"/>
    <n v="39"/>
    <s v="month"/>
    <s v=""/>
    <x v="1"/>
    <s v="No"/>
    <n v="0"/>
    <n v="0"/>
    <s v=""/>
  </r>
  <r>
    <n v="217104490"/>
    <d v="2023-06-09T00:00:00"/>
    <m/>
    <x v="0"/>
    <n v="39"/>
    <s v="month"/>
    <s v=""/>
    <x v="1"/>
    <s v="No"/>
    <n v="0"/>
    <n v="0"/>
    <s v=""/>
  </r>
  <r>
    <n v="153349708"/>
    <d v="2023-06-09T00:00:00"/>
    <m/>
    <x v="0"/>
    <n v="39"/>
    <s v="month"/>
    <s v=""/>
    <x v="1"/>
    <s v="No"/>
    <n v="0"/>
    <n v="0"/>
    <s v=""/>
  </r>
  <r>
    <n v="153876204"/>
    <d v="2023-06-09T00:00:00"/>
    <d v="2023-06-10T00:00:00"/>
    <x v="0"/>
    <n v="39"/>
    <s v="month"/>
    <n v="1"/>
    <x v="1"/>
    <s v="No"/>
    <n v="1"/>
    <n v="0"/>
    <n v="1"/>
  </r>
  <r>
    <n v="132442956"/>
    <d v="2023-06-09T00:00:00"/>
    <d v="2023-07-28T00:00:00"/>
    <x v="0"/>
    <n v="39"/>
    <s v="month"/>
    <n v="49"/>
    <x v="1"/>
    <s v="No"/>
    <n v="0"/>
    <n v="1"/>
    <n v="49"/>
  </r>
  <r>
    <n v="130331160"/>
    <d v="2023-06-09T00:00:00"/>
    <d v="2023-07-02T00:00:00"/>
    <x v="0"/>
    <n v="39"/>
    <s v="month"/>
    <n v="23"/>
    <x v="1"/>
    <s v="No"/>
    <n v="0"/>
    <n v="0"/>
    <n v="23"/>
  </r>
  <r>
    <n v="216225148"/>
    <d v="2023-06-09T00:00:00"/>
    <d v="2023-06-09T00:00:00"/>
    <x v="0"/>
    <n v="39"/>
    <s v="month"/>
    <n v="0"/>
    <x v="1"/>
    <s v="Yes"/>
    <n v="1"/>
    <n v="0"/>
    <n v="0"/>
  </r>
  <r>
    <n v="161187748"/>
    <d v="2023-06-09T00:00:00"/>
    <d v="2023-07-24T00:00:00"/>
    <x v="0"/>
    <n v="39"/>
    <s v="month"/>
    <n v="45"/>
    <x v="1"/>
    <s v="No"/>
    <n v="0"/>
    <n v="1"/>
    <n v="45"/>
  </r>
  <r>
    <n v="217137211"/>
    <d v="2023-06-09T00:00:00"/>
    <d v="2023-07-16T00:00:00"/>
    <x v="0"/>
    <n v="39"/>
    <s v="month"/>
    <n v="37"/>
    <x v="1"/>
    <s v="No"/>
    <n v="0"/>
    <n v="1"/>
    <n v="37"/>
  </r>
  <r>
    <n v="180796559"/>
    <d v="2023-06-09T00:00:00"/>
    <d v="2023-07-16T00:00:00"/>
    <x v="0"/>
    <n v="39"/>
    <s v="month"/>
    <n v="37"/>
    <x v="1"/>
    <s v="No"/>
    <n v="0"/>
    <n v="1"/>
    <n v="37"/>
  </r>
  <r>
    <n v="168200039"/>
    <d v="2023-06-10T00:00:00"/>
    <d v="2023-06-11T00:00:00"/>
    <x v="0"/>
    <n v="39"/>
    <s v="month"/>
    <n v="1"/>
    <x v="2"/>
    <s v="No"/>
    <n v="1"/>
    <n v="0"/>
    <n v="1"/>
  </r>
  <r>
    <n v="217110396"/>
    <d v="2023-06-10T00:00:00"/>
    <d v="2023-06-24T00:00:00"/>
    <x v="0"/>
    <n v="39"/>
    <s v="month"/>
    <n v="14"/>
    <x v="2"/>
    <s v="No"/>
    <n v="0"/>
    <n v="0"/>
    <n v="14"/>
  </r>
  <r>
    <n v="217159016"/>
    <d v="2023-06-10T00:00:00"/>
    <d v="2023-08-11T00:00:00"/>
    <x v="0"/>
    <n v="39"/>
    <s v="month"/>
    <n v="62"/>
    <x v="2"/>
    <s v="No"/>
    <n v="0"/>
    <n v="1"/>
    <n v="62"/>
  </r>
  <r>
    <n v="217215106"/>
    <d v="2023-06-11T00:00:00"/>
    <m/>
    <x v="0"/>
    <n v="39"/>
    <s v="month"/>
    <s v=""/>
    <x v="3"/>
    <s v="No"/>
    <n v="0"/>
    <n v="0"/>
    <s v=""/>
  </r>
  <r>
    <n v="129819604"/>
    <d v="2023-06-11T00:00:00"/>
    <d v="2023-07-18T00:00:00"/>
    <x v="0"/>
    <n v="39"/>
    <s v="month"/>
    <n v="37"/>
    <x v="3"/>
    <s v="No"/>
    <n v="0"/>
    <n v="1"/>
    <n v="37"/>
  </r>
  <r>
    <n v="217208086"/>
    <d v="2023-06-11T00:00:00"/>
    <d v="2023-07-26T00:00:00"/>
    <x v="0"/>
    <n v="39"/>
    <s v="month"/>
    <n v="45"/>
    <x v="3"/>
    <s v="No"/>
    <n v="0"/>
    <n v="1"/>
    <n v="45"/>
  </r>
  <r>
    <n v="215534470"/>
    <d v="2023-06-11T00:00:00"/>
    <d v="2023-07-18T00:00:00"/>
    <x v="0"/>
    <n v="39"/>
    <s v="month"/>
    <n v="37"/>
    <x v="3"/>
    <s v="No"/>
    <n v="0"/>
    <n v="1"/>
    <n v="37"/>
  </r>
  <r>
    <n v="217277033"/>
    <d v="2023-06-12T00:00:00"/>
    <m/>
    <x v="0"/>
    <n v="39"/>
    <s v="month"/>
    <s v=""/>
    <x v="4"/>
    <s v="No"/>
    <n v="0"/>
    <n v="0"/>
    <s v=""/>
  </r>
  <r>
    <n v="136199071"/>
    <d v="2023-06-12T00:00:00"/>
    <m/>
    <x v="0"/>
    <n v="39"/>
    <s v="month"/>
    <s v=""/>
    <x v="4"/>
    <s v="No"/>
    <n v="0"/>
    <n v="0"/>
    <s v=""/>
  </r>
  <r>
    <n v="217102618"/>
    <d v="2023-06-12T00:00:00"/>
    <m/>
    <x v="0"/>
    <n v="39"/>
    <s v="month"/>
    <s v=""/>
    <x v="4"/>
    <s v="No"/>
    <n v="0"/>
    <n v="0"/>
    <s v=""/>
  </r>
  <r>
    <n v="217252136"/>
    <d v="2023-06-12T00:00:00"/>
    <m/>
    <x v="0"/>
    <n v="39"/>
    <s v="month"/>
    <s v=""/>
    <x v="4"/>
    <s v="No"/>
    <n v="0"/>
    <n v="0"/>
    <s v=""/>
  </r>
  <r>
    <n v="215856743"/>
    <d v="2023-06-12T00:00:00"/>
    <m/>
    <x v="0"/>
    <n v="39"/>
    <s v="month"/>
    <s v=""/>
    <x v="4"/>
    <s v="No"/>
    <n v="0"/>
    <n v="0"/>
    <s v=""/>
  </r>
  <r>
    <n v="217260184"/>
    <d v="2023-06-12T00:00:00"/>
    <d v="2023-06-13T00:00:00"/>
    <x v="1"/>
    <n v="39"/>
    <s v="month"/>
    <n v="1"/>
    <x v="4"/>
    <s v="No"/>
    <n v="1"/>
    <n v="0"/>
    <n v="1"/>
  </r>
  <r>
    <n v="140371292"/>
    <d v="2023-06-12T00:00:00"/>
    <d v="2023-07-10T00:00:00"/>
    <x v="0"/>
    <n v="39"/>
    <s v="month"/>
    <n v="28"/>
    <x v="4"/>
    <s v="No"/>
    <n v="0"/>
    <n v="0"/>
    <n v="28"/>
  </r>
  <r>
    <n v="164903790"/>
    <d v="2023-06-12T00:00:00"/>
    <d v="2023-07-20T00:00:00"/>
    <x v="0"/>
    <n v="39"/>
    <s v="month"/>
    <n v="38"/>
    <x v="4"/>
    <s v="No"/>
    <n v="0"/>
    <n v="1"/>
    <n v="38"/>
  </r>
  <r>
    <n v="217206158"/>
    <d v="2023-06-12T00:00:00"/>
    <d v="2023-08-11T00:00:00"/>
    <x v="0"/>
    <n v="39"/>
    <s v="month"/>
    <n v="60"/>
    <x v="4"/>
    <s v="No"/>
    <n v="0"/>
    <n v="1"/>
    <n v="60"/>
  </r>
  <r>
    <n v="215180470"/>
    <d v="2023-06-12T00:00:00"/>
    <d v="2023-08-06T00:00:00"/>
    <x v="0"/>
    <n v="39"/>
    <s v="month"/>
    <n v="55"/>
    <x v="4"/>
    <s v="No"/>
    <n v="0"/>
    <n v="1"/>
    <n v="55"/>
  </r>
  <r>
    <n v="217246611"/>
    <d v="2023-06-12T00:00:00"/>
    <d v="2023-07-06T00:00:00"/>
    <x v="0"/>
    <n v="39"/>
    <s v="month"/>
    <n v="24"/>
    <x v="4"/>
    <s v="No"/>
    <n v="0"/>
    <n v="0"/>
    <n v="24"/>
  </r>
  <r>
    <n v="217080066"/>
    <d v="2023-06-12T00:00:00"/>
    <d v="2023-07-12T00:00:00"/>
    <x v="0"/>
    <n v="39"/>
    <s v="month"/>
    <n v="30"/>
    <x v="4"/>
    <s v="No"/>
    <n v="0"/>
    <n v="0"/>
    <n v="30"/>
  </r>
  <r>
    <n v="214510838"/>
    <d v="2023-06-13T00:00:00"/>
    <m/>
    <x v="0"/>
    <n v="39"/>
    <s v="month"/>
    <s v=""/>
    <x v="5"/>
    <s v="No"/>
    <n v="0"/>
    <n v="0"/>
    <s v=""/>
  </r>
  <r>
    <n v="217241338"/>
    <d v="2023-06-13T00:00:00"/>
    <m/>
    <x v="0"/>
    <n v="39"/>
    <s v="month"/>
    <s v=""/>
    <x v="5"/>
    <s v="No"/>
    <n v="0"/>
    <n v="0"/>
    <s v=""/>
  </r>
  <r>
    <n v="215447681"/>
    <d v="2023-06-13T00:00:00"/>
    <m/>
    <x v="0"/>
    <n v="39"/>
    <s v="month"/>
    <s v=""/>
    <x v="5"/>
    <s v="No"/>
    <n v="0"/>
    <n v="0"/>
    <s v=""/>
  </r>
  <r>
    <n v="214746385"/>
    <d v="2023-06-13T00:00:00"/>
    <m/>
    <x v="0"/>
    <n v="39"/>
    <s v="month"/>
    <s v=""/>
    <x v="5"/>
    <s v="No"/>
    <n v="0"/>
    <n v="0"/>
    <s v=""/>
  </r>
  <r>
    <n v="217279595"/>
    <d v="2023-06-13T00:00:00"/>
    <m/>
    <x v="0"/>
    <n v="39"/>
    <s v="month"/>
    <s v=""/>
    <x v="5"/>
    <s v="No"/>
    <n v="0"/>
    <n v="0"/>
    <s v=""/>
  </r>
  <r>
    <n v="138725699"/>
    <d v="2023-06-13T00:00:00"/>
    <d v="2023-06-14T00:00:00"/>
    <x v="0"/>
    <n v="39"/>
    <s v="month"/>
    <n v="1"/>
    <x v="5"/>
    <s v="No"/>
    <n v="1"/>
    <n v="0"/>
    <n v="1"/>
  </r>
  <r>
    <n v="199464176"/>
    <d v="2023-06-13T00:00:00"/>
    <d v="2023-07-31T00:00:00"/>
    <x v="0"/>
    <n v="39"/>
    <s v="month"/>
    <n v="48"/>
    <x v="5"/>
    <s v="No"/>
    <n v="0"/>
    <n v="1"/>
    <n v="48"/>
  </r>
  <r>
    <n v="217269788"/>
    <d v="2023-06-13T00:00:00"/>
    <d v="2023-07-21T00:00:00"/>
    <x v="0"/>
    <n v="39"/>
    <s v="month"/>
    <n v="38"/>
    <x v="5"/>
    <s v="No"/>
    <n v="0"/>
    <n v="1"/>
    <n v="38"/>
  </r>
  <r>
    <n v="217210206"/>
    <d v="2023-06-13T00:00:00"/>
    <d v="2023-07-05T00:00:00"/>
    <x v="0"/>
    <n v="39"/>
    <s v="month"/>
    <n v="22"/>
    <x v="5"/>
    <s v="No"/>
    <n v="0"/>
    <n v="0"/>
    <n v="22"/>
  </r>
  <r>
    <n v="217276264"/>
    <d v="2023-06-14T00:00:00"/>
    <m/>
    <x v="0"/>
    <n v="39"/>
    <s v="month"/>
    <s v=""/>
    <x v="6"/>
    <s v="No"/>
    <n v="0"/>
    <n v="0"/>
    <s v=""/>
  </r>
  <r>
    <n v="217242854"/>
    <d v="2023-06-14T00:00:00"/>
    <m/>
    <x v="0"/>
    <n v="39"/>
    <s v="month"/>
    <s v=""/>
    <x v="6"/>
    <s v="No"/>
    <n v="0"/>
    <n v="0"/>
    <s v=""/>
  </r>
  <r>
    <n v="140062581"/>
    <d v="2023-06-14T00:00:00"/>
    <d v="2023-06-15T00:00:00"/>
    <x v="0"/>
    <n v="39"/>
    <s v="month"/>
    <n v="1"/>
    <x v="6"/>
    <s v="No"/>
    <n v="1"/>
    <n v="0"/>
    <n v="1"/>
  </r>
  <r>
    <n v="217340338"/>
    <d v="2023-06-14T00:00:00"/>
    <d v="2023-06-14T00:00:00"/>
    <x v="1"/>
    <n v="39"/>
    <s v="month"/>
    <n v="0"/>
    <x v="6"/>
    <s v="Yes"/>
    <n v="1"/>
    <n v="0"/>
    <n v="0"/>
  </r>
  <r>
    <n v="157435806"/>
    <d v="2023-06-14T00:00:00"/>
    <d v="2023-07-14T00:00:00"/>
    <x v="0"/>
    <n v="39"/>
    <s v="month"/>
    <n v="30"/>
    <x v="6"/>
    <s v="No"/>
    <n v="0"/>
    <n v="0"/>
    <n v="30"/>
  </r>
  <r>
    <n v="217358299"/>
    <d v="2023-06-14T00:00:00"/>
    <d v="2023-08-11T00:00:00"/>
    <x v="0"/>
    <n v="39"/>
    <s v="month"/>
    <n v="58"/>
    <x v="6"/>
    <s v="No"/>
    <n v="0"/>
    <n v="1"/>
    <n v="58"/>
  </r>
  <r>
    <n v="217330046"/>
    <d v="2023-06-14T00:00:00"/>
    <d v="2023-07-01T00:00:00"/>
    <x v="0"/>
    <n v="39"/>
    <s v="month"/>
    <n v="17"/>
    <x v="6"/>
    <s v="No"/>
    <n v="0"/>
    <n v="0"/>
    <n v="17"/>
  </r>
  <r>
    <n v="216945894"/>
    <d v="2023-06-15T00:00:00"/>
    <m/>
    <x v="0"/>
    <n v="39"/>
    <s v="month"/>
    <s v=""/>
    <x v="0"/>
    <s v="No"/>
    <n v="0"/>
    <n v="0"/>
    <s v=""/>
  </r>
  <r>
    <n v="150178354"/>
    <d v="2023-06-15T00:00:00"/>
    <m/>
    <x v="0"/>
    <n v="39"/>
    <s v="month"/>
    <s v=""/>
    <x v="0"/>
    <s v="No"/>
    <n v="0"/>
    <n v="0"/>
    <s v=""/>
  </r>
  <r>
    <n v="153942818"/>
    <d v="2023-06-15T00:00:00"/>
    <m/>
    <x v="0"/>
    <n v="39"/>
    <s v="month"/>
    <s v=""/>
    <x v="0"/>
    <s v="No"/>
    <n v="0"/>
    <n v="0"/>
    <s v=""/>
  </r>
  <r>
    <n v="150728848"/>
    <d v="2023-06-15T00:00:00"/>
    <m/>
    <x v="0"/>
    <n v="39"/>
    <s v="month"/>
    <s v=""/>
    <x v="0"/>
    <s v="No"/>
    <n v="0"/>
    <n v="0"/>
    <s v=""/>
  </r>
  <r>
    <n v="138725699"/>
    <d v="2023-06-15T00:00:00"/>
    <m/>
    <x v="0"/>
    <n v="39"/>
    <s v="month"/>
    <s v=""/>
    <x v="0"/>
    <s v="No"/>
    <n v="0"/>
    <n v="0"/>
    <s v=""/>
  </r>
  <r>
    <n v="217207926"/>
    <d v="2023-06-15T00:00:00"/>
    <m/>
    <x v="0"/>
    <n v="39"/>
    <s v="month"/>
    <s v=""/>
    <x v="0"/>
    <s v="No"/>
    <n v="0"/>
    <n v="0"/>
    <s v=""/>
  </r>
  <r>
    <n v="217370233"/>
    <d v="2023-06-15T00:00:00"/>
    <m/>
    <x v="0"/>
    <n v="39"/>
    <s v="month"/>
    <s v=""/>
    <x v="0"/>
    <s v="No"/>
    <n v="0"/>
    <n v="0"/>
    <s v=""/>
  </r>
  <r>
    <n v="205464540"/>
    <d v="2023-06-15T00:00:00"/>
    <d v="2023-07-22T00:00:00"/>
    <x v="0"/>
    <n v="39"/>
    <s v="month"/>
    <n v="37"/>
    <x v="0"/>
    <s v="No"/>
    <n v="0"/>
    <n v="1"/>
    <n v="37"/>
  </r>
  <r>
    <n v="167403892"/>
    <d v="2023-06-15T00:00:00"/>
    <d v="2023-08-22T00:00:00"/>
    <x v="0"/>
    <n v="39"/>
    <s v="month"/>
    <n v="68"/>
    <x v="0"/>
    <s v="No"/>
    <n v="0"/>
    <n v="1"/>
    <n v="68"/>
  </r>
  <r>
    <n v="217326821"/>
    <d v="2023-06-15T00:00:00"/>
    <d v="2023-08-22T00:00:00"/>
    <x v="0"/>
    <n v="39"/>
    <s v="month"/>
    <n v="68"/>
    <x v="0"/>
    <s v="No"/>
    <n v="0"/>
    <n v="1"/>
    <n v="68"/>
  </r>
  <r>
    <n v="214918906"/>
    <d v="2023-06-15T00:00:00"/>
    <d v="2023-07-22T00:00:00"/>
    <x v="0"/>
    <n v="39"/>
    <s v="month"/>
    <n v="37"/>
    <x v="0"/>
    <s v="No"/>
    <n v="0"/>
    <n v="1"/>
    <n v="37"/>
  </r>
  <r>
    <n v="216983668"/>
    <d v="2023-06-15T00:00:00"/>
    <d v="2023-07-15T00:00:00"/>
    <x v="0"/>
    <n v="39"/>
    <s v="month"/>
    <n v="30"/>
    <x v="0"/>
    <s v="No"/>
    <n v="0"/>
    <n v="0"/>
    <n v="30"/>
  </r>
  <r>
    <n v="217454204"/>
    <d v="2023-06-16T00:00:00"/>
    <m/>
    <x v="0"/>
    <n v="39"/>
    <s v="month"/>
    <s v=""/>
    <x v="1"/>
    <s v="No"/>
    <n v="0"/>
    <n v="0"/>
    <s v=""/>
  </r>
  <r>
    <n v="206049284"/>
    <d v="2023-06-16T00:00:00"/>
    <m/>
    <x v="0"/>
    <n v="39"/>
    <s v="month"/>
    <s v=""/>
    <x v="1"/>
    <s v="No"/>
    <n v="0"/>
    <n v="0"/>
    <s v=""/>
  </r>
  <r>
    <n v="132852439"/>
    <d v="2023-06-16T00:00:00"/>
    <m/>
    <x v="0"/>
    <n v="39"/>
    <s v="month"/>
    <s v=""/>
    <x v="1"/>
    <s v="No"/>
    <n v="0"/>
    <n v="0"/>
    <s v=""/>
  </r>
  <r>
    <n v="217233198"/>
    <d v="2023-06-16T00:00:00"/>
    <m/>
    <x v="0"/>
    <n v="39"/>
    <s v="month"/>
    <s v=""/>
    <x v="1"/>
    <s v="No"/>
    <n v="0"/>
    <n v="0"/>
    <s v=""/>
  </r>
  <r>
    <n v="188197564"/>
    <d v="2023-06-16T00:00:00"/>
    <d v="2023-06-17T00:00:00"/>
    <x v="0"/>
    <n v="39"/>
    <s v="month"/>
    <n v="1"/>
    <x v="1"/>
    <s v="No"/>
    <n v="1"/>
    <n v="0"/>
    <n v="1"/>
  </r>
  <r>
    <n v="146952862"/>
    <d v="2023-06-16T00:00:00"/>
    <d v="2023-07-12T00:00:00"/>
    <x v="0"/>
    <n v="39"/>
    <s v="month"/>
    <n v="26"/>
    <x v="1"/>
    <s v="No"/>
    <n v="0"/>
    <n v="0"/>
    <n v="26"/>
  </r>
  <r>
    <n v="152846561"/>
    <d v="2023-06-16T00:00:00"/>
    <d v="2023-07-23T00:00:00"/>
    <x v="0"/>
    <n v="39"/>
    <s v="month"/>
    <n v="37"/>
    <x v="1"/>
    <s v="No"/>
    <n v="0"/>
    <n v="1"/>
    <n v="37"/>
  </r>
  <r>
    <n v="132867770"/>
    <d v="2023-06-16T00:00:00"/>
    <d v="2023-07-24T00:00:00"/>
    <x v="0"/>
    <n v="39"/>
    <s v="month"/>
    <n v="38"/>
    <x v="1"/>
    <s v="No"/>
    <n v="0"/>
    <n v="1"/>
    <n v="38"/>
  </r>
  <r>
    <n v="206370330"/>
    <d v="2023-06-16T00:00:00"/>
    <d v="2023-08-15T00:00:00"/>
    <x v="0"/>
    <n v="39"/>
    <s v="month"/>
    <n v="60"/>
    <x v="1"/>
    <s v="No"/>
    <n v="0"/>
    <n v="1"/>
    <n v="60"/>
  </r>
  <r>
    <n v="217438230"/>
    <d v="2023-06-16T00:00:00"/>
    <d v="2023-07-13T00:00:00"/>
    <x v="0"/>
    <n v="39"/>
    <s v="month"/>
    <n v="27"/>
    <x v="1"/>
    <s v="No"/>
    <n v="0"/>
    <n v="0"/>
    <n v="27"/>
  </r>
  <r>
    <n v="217426939"/>
    <d v="2023-06-16T00:00:00"/>
    <d v="2023-07-16T00:00:00"/>
    <x v="0"/>
    <n v="39"/>
    <s v="month"/>
    <n v="30"/>
    <x v="1"/>
    <s v="No"/>
    <n v="0"/>
    <n v="0"/>
    <n v="30"/>
  </r>
  <r>
    <n v="205785520"/>
    <d v="2023-06-17T00:00:00"/>
    <m/>
    <x v="0"/>
    <n v="39"/>
    <s v="month"/>
    <s v=""/>
    <x v="2"/>
    <s v="No"/>
    <n v="0"/>
    <n v="0"/>
    <s v=""/>
  </r>
  <r>
    <n v="154284527"/>
    <d v="2023-06-17T00:00:00"/>
    <d v="2023-07-24T00:00:00"/>
    <x v="0"/>
    <n v="39"/>
    <s v="month"/>
    <n v="37"/>
    <x v="2"/>
    <s v="No"/>
    <n v="0"/>
    <n v="1"/>
    <n v="37"/>
  </r>
  <r>
    <n v="214105912"/>
    <d v="2023-06-17T00:00:00"/>
    <d v="2023-07-24T00:00:00"/>
    <x v="0"/>
    <n v="39"/>
    <s v="month"/>
    <n v="37"/>
    <x v="2"/>
    <s v="No"/>
    <n v="0"/>
    <n v="1"/>
    <n v="37"/>
  </r>
  <r>
    <n v="200909190"/>
    <d v="2023-06-17T00:00:00"/>
    <d v="2023-08-24T00:00:00"/>
    <x v="0"/>
    <n v="39"/>
    <s v="month"/>
    <n v="68"/>
    <x v="2"/>
    <s v="No"/>
    <n v="0"/>
    <n v="1"/>
    <n v="68"/>
  </r>
  <r>
    <n v="151633468"/>
    <d v="2023-06-17T00:00:00"/>
    <d v="2023-08-01T00:00:00"/>
    <x v="0"/>
    <n v="39"/>
    <s v="month"/>
    <n v="45"/>
    <x v="2"/>
    <s v="No"/>
    <n v="0"/>
    <n v="1"/>
    <n v="45"/>
  </r>
  <r>
    <n v="207010976"/>
    <d v="2023-06-17T00:00:00"/>
    <d v="2023-08-24T00:00:00"/>
    <x v="0"/>
    <n v="39"/>
    <s v="month"/>
    <n v="68"/>
    <x v="2"/>
    <s v="No"/>
    <n v="0"/>
    <n v="1"/>
    <n v="68"/>
  </r>
  <r>
    <n v="217487776"/>
    <d v="2023-06-17T00:00:00"/>
    <d v="2023-07-20T00:00:00"/>
    <x v="0"/>
    <n v="39"/>
    <s v="month"/>
    <n v="33"/>
    <x v="2"/>
    <s v="No"/>
    <n v="0"/>
    <n v="1"/>
    <n v="33"/>
  </r>
  <r>
    <n v="217484551"/>
    <d v="2023-06-17T00:00:00"/>
    <d v="2023-07-24T00:00:00"/>
    <x v="0"/>
    <n v="39"/>
    <s v="month"/>
    <n v="37"/>
    <x v="2"/>
    <s v="No"/>
    <n v="0"/>
    <n v="1"/>
    <n v="37"/>
  </r>
  <r>
    <n v="217498202"/>
    <d v="2023-06-18T00:00:00"/>
    <m/>
    <x v="0"/>
    <n v="39"/>
    <s v="month"/>
    <s v=""/>
    <x v="3"/>
    <s v="No"/>
    <n v="0"/>
    <n v="0"/>
    <s v=""/>
  </r>
  <r>
    <n v="217234603"/>
    <d v="2023-06-18T00:00:00"/>
    <m/>
    <x v="0"/>
    <n v="39"/>
    <s v="month"/>
    <s v=""/>
    <x v="3"/>
    <s v="No"/>
    <n v="0"/>
    <n v="0"/>
    <s v=""/>
  </r>
  <r>
    <n v="217264148"/>
    <d v="2023-06-18T00:00:00"/>
    <m/>
    <x v="0"/>
    <n v="39"/>
    <s v="month"/>
    <s v=""/>
    <x v="3"/>
    <s v="No"/>
    <n v="0"/>
    <n v="0"/>
    <s v=""/>
  </r>
  <r>
    <n v="217513366"/>
    <d v="2023-06-18T00:00:00"/>
    <m/>
    <x v="0"/>
    <n v="39"/>
    <s v="month"/>
    <s v=""/>
    <x v="3"/>
    <s v="No"/>
    <n v="0"/>
    <n v="0"/>
    <s v=""/>
  </r>
  <r>
    <n v="217503737"/>
    <d v="2023-06-18T00:00:00"/>
    <m/>
    <x v="0"/>
    <n v="39"/>
    <s v="month"/>
    <s v=""/>
    <x v="3"/>
    <s v="No"/>
    <n v="0"/>
    <n v="0"/>
    <s v=""/>
  </r>
  <r>
    <n v="151540809"/>
    <d v="2023-06-18T00:00:00"/>
    <m/>
    <x v="0"/>
    <n v="39"/>
    <s v="month"/>
    <s v=""/>
    <x v="3"/>
    <s v="No"/>
    <n v="0"/>
    <n v="0"/>
    <s v=""/>
  </r>
  <r>
    <n v="217526421"/>
    <d v="2023-06-18T00:00:00"/>
    <d v="2023-08-26T00:00:00"/>
    <x v="0"/>
    <n v="39"/>
    <s v="month"/>
    <n v="69"/>
    <x v="3"/>
    <s v="No"/>
    <n v="0"/>
    <n v="1"/>
    <n v="69"/>
  </r>
  <r>
    <n v="217418580"/>
    <d v="2023-06-18T00:00:00"/>
    <d v="2023-07-14T00:00:00"/>
    <x v="0"/>
    <n v="39"/>
    <s v="month"/>
    <n v="26"/>
    <x v="3"/>
    <s v="No"/>
    <n v="0"/>
    <n v="0"/>
    <n v="26"/>
  </r>
  <r>
    <n v="217426015"/>
    <d v="2023-06-19T00:00:00"/>
    <m/>
    <x v="0"/>
    <n v="39"/>
    <s v="month"/>
    <s v=""/>
    <x v="4"/>
    <s v="No"/>
    <n v="0"/>
    <n v="0"/>
    <s v=""/>
  </r>
  <r>
    <n v="217557584"/>
    <d v="2023-06-19T00:00:00"/>
    <m/>
    <x v="0"/>
    <n v="39"/>
    <s v="month"/>
    <s v=""/>
    <x v="4"/>
    <s v="No"/>
    <n v="0"/>
    <n v="0"/>
    <s v=""/>
  </r>
  <r>
    <n v="217406489"/>
    <d v="2023-06-19T00:00:00"/>
    <m/>
    <x v="0"/>
    <n v="39"/>
    <s v="month"/>
    <s v=""/>
    <x v="4"/>
    <s v="No"/>
    <n v="0"/>
    <n v="0"/>
    <s v=""/>
  </r>
  <r>
    <n v="217536534"/>
    <d v="2023-06-19T00:00:00"/>
    <m/>
    <x v="0"/>
    <n v="39"/>
    <s v="month"/>
    <s v=""/>
    <x v="4"/>
    <s v="No"/>
    <n v="0"/>
    <n v="0"/>
    <s v=""/>
  </r>
  <r>
    <n v="217557082"/>
    <d v="2023-06-19T00:00:00"/>
    <m/>
    <x v="0"/>
    <n v="39"/>
    <s v="month"/>
    <s v=""/>
    <x v="4"/>
    <s v="No"/>
    <n v="0"/>
    <n v="0"/>
    <s v=""/>
  </r>
  <r>
    <n v="176024207"/>
    <d v="2023-06-19T00:00:00"/>
    <d v="2023-08-07T00:00:00"/>
    <x v="0"/>
    <n v="39"/>
    <s v="month"/>
    <n v="49"/>
    <x v="4"/>
    <s v="No"/>
    <n v="0"/>
    <n v="1"/>
    <n v="49"/>
  </r>
  <r>
    <n v="160598122"/>
    <d v="2023-06-19T00:00:00"/>
    <d v="2023-07-26T00:00:00"/>
    <x v="0"/>
    <n v="39"/>
    <s v="month"/>
    <n v="37"/>
    <x v="4"/>
    <s v="No"/>
    <n v="0"/>
    <n v="1"/>
    <n v="37"/>
  </r>
  <r>
    <n v="217378430"/>
    <d v="2023-06-19T00:00:00"/>
    <d v="2023-08-06T00:00:00"/>
    <x v="0"/>
    <n v="39"/>
    <s v="month"/>
    <n v="48"/>
    <x v="4"/>
    <s v="No"/>
    <n v="0"/>
    <n v="1"/>
    <n v="48"/>
  </r>
  <r>
    <n v="193680187"/>
    <d v="2023-06-19T00:00:00"/>
    <d v="2023-06-20T00:00:00"/>
    <x v="0"/>
    <n v="39"/>
    <s v="month"/>
    <n v="1"/>
    <x v="4"/>
    <s v="No"/>
    <n v="1"/>
    <n v="0"/>
    <n v="1"/>
  </r>
  <r>
    <n v="180424442"/>
    <d v="2023-06-19T00:00:00"/>
    <d v="2023-07-26T00:00:00"/>
    <x v="0"/>
    <n v="39"/>
    <s v="month"/>
    <n v="37"/>
    <x v="4"/>
    <s v="No"/>
    <n v="0"/>
    <n v="1"/>
    <n v="37"/>
  </r>
  <r>
    <n v="217612796"/>
    <d v="2023-06-20T00:00:00"/>
    <m/>
    <x v="0"/>
    <n v="39"/>
    <s v="month"/>
    <s v=""/>
    <x v="5"/>
    <s v="No"/>
    <n v="0"/>
    <n v="0"/>
    <s v=""/>
  </r>
  <r>
    <n v="217601263"/>
    <d v="2023-06-20T00:00:00"/>
    <m/>
    <x v="0"/>
    <n v="39"/>
    <s v="month"/>
    <s v=""/>
    <x v="5"/>
    <s v="No"/>
    <n v="0"/>
    <n v="0"/>
    <s v=""/>
  </r>
  <r>
    <n v="217594148"/>
    <d v="2023-06-20T00:00:00"/>
    <m/>
    <x v="0"/>
    <n v="39"/>
    <s v="month"/>
    <s v=""/>
    <x v="5"/>
    <s v="No"/>
    <n v="0"/>
    <n v="0"/>
    <s v=""/>
  </r>
  <r>
    <n v="217598396"/>
    <d v="2023-06-20T00:00:00"/>
    <m/>
    <x v="0"/>
    <n v="39"/>
    <s v="month"/>
    <s v=""/>
    <x v="5"/>
    <s v="No"/>
    <n v="0"/>
    <n v="0"/>
    <s v=""/>
  </r>
  <r>
    <n v="206647130"/>
    <d v="2023-06-20T00:00:00"/>
    <m/>
    <x v="0"/>
    <n v="39"/>
    <s v="month"/>
    <s v=""/>
    <x v="5"/>
    <s v="No"/>
    <n v="0"/>
    <n v="0"/>
    <s v=""/>
  </r>
  <r>
    <n v="207099222"/>
    <d v="2023-06-20T00:00:00"/>
    <m/>
    <x v="0"/>
    <n v="39"/>
    <s v="month"/>
    <s v=""/>
    <x v="5"/>
    <s v="No"/>
    <n v="0"/>
    <n v="0"/>
    <s v=""/>
  </r>
  <r>
    <n v="207079318"/>
    <d v="2023-06-20T00:00:00"/>
    <m/>
    <x v="0"/>
    <n v="39"/>
    <s v="month"/>
    <s v=""/>
    <x v="5"/>
    <s v="No"/>
    <n v="0"/>
    <n v="0"/>
    <s v=""/>
  </r>
  <r>
    <n v="217580362"/>
    <d v="2023-06-20T00:00:00"/>
    <m/>
    <x v="0"/>
    <n v="39"/>
    <s v="month"/>
    <s v=""/>
    <x v="5"/>
    <s v="No"/>
    <n v="0"/>
    <n v="0"/>
    <s v=""/>
  </r>
  <r>
    <n v="217438678"/>
    <d v="2023-06-20T00:00:00"/>
    <m/>
    <x v="0"/>
    <n v="39"/>
    <s v="month"/>
    <s v=""/>
    <x v="5"/>
    <s v="No"/>
    <n v="0"/>
    <n v="0"/>
    <s v=""/>
  </r>
  <r>
    <n v="215963364"/>
    <d v="2023-06-20T00:00:00"/>
    <d v="2023-06-21T00:00:00"/>
    <x v="0"/>
    <n v="39"/>
    <s v="month"/>
    <n v="1"/>
    <x v="5"/>
    <s v="No"/>
    <n v="1"/>
    <n v="0"/>
    <n v="1"/>
  </r>
  <r>
    <n v="153876204"/>
    <d v="2023-06-20T00:00:00"/>
    <d v="2023-07-23T00:00:00"/>
    <x v="0"/>
    <n v="39"/>
    <s v="month"/>
    <n v="33"/>
    <x v="5"/>
    <s v="No"/>
    <n v="0"/>
    <n v="1"/>
    <n v="33"/>
  </r>
  <r>
    <n v="153828803"/>
    <d v="2023-06-20T00:00:00"/>
    <d v="2023-06-22T00:00:00"/>
    <x v="0"/>
    <n v="39"/>
    <s v="month"/>
    <n v="2"/>
    <x v="5"/>
    <s v="No"/>
    <n v="1"/>
    <n v="0"/>
    <n v="2"/>
  </r>
  <r>
    <n v="217595865"/>
    <d v="2023-06-20T00:00:00"/>
    <d v="2023-07-27T00:00:00"/>
    <x v="0"/>
    <n v="39"/>
    <s v="month"/>
    <n v="37"/>
    <x v="5"/>
    <s v="No"/>
    <n v="0"/>
    <n v="1"/>
    <n v="37"/>
  </r>
  <r>
    <n v="216158153"/>
    <d v="2023-06-20T00:00:00"/>
    <d v="2023-07-24T00:00:00"/>
    <x v="0"/>
    <n v="39"/>
    <s v="month"/>
    <n v="34"/>
    <x v="5"/>
    <s v="No"/>
    <n v="0"/>
    <n v="1"/>
    <n v="34"/>
  </r>
  <r>
    <n v="217548173"/>
    <d v="2023-06-20T00:00:00"/>
    <d v="2023-07-19T00:00:00"/>
    <x v="0"/>
    <n v="39"/>
    <s v="month"/>
    <n v="29"/>
    <x v="5"/>
    <s v="No"/>
    <n v="0"/>
    <n v="0"/>
    <n v="29"/>
  </r>
  <r>
    <n v="217533118"/>
    <d v="2023-06-21T00:00:00"/>
    <m/>
    <x v="0"/>
    <n v="39"/>
    <s v="month"/>
    <s v=""/>
    <x v="6"/>
    <s v="No"/>
    <n v="0"/>
    <n v="0"/>
    <s v=""/>
  </r>
  <r>
    <n v="205128906"/>
    <d v="2023-06-21T00:00:00"/>
    <m/>
    <x v="0"/>
    <n v="39"/>
    <s v="month"/>
    <s v=""/>
    <x v="6"/>
    <s v="No"/>
    <n v="0"/>
    <n v="0"/>
    <s v=""/>
  </r>
  <r>
    <n v="205812132"/>
    <d v="2023-06-21T00:00:00"/>
    <m/>
    <x v="0"/>
    <n v="39"/>
    <s v="month"/>
    <s v=""/>
    <x v="6"/>
    <s v="No"/>
    <n v="0"/>
    <n v="0"/>
    <s v=""/>
  </r>
  <r>
    <n v="216907554"/>
    <d v="2023-06-21T00:00:00"/>
    <m/>
    <x v="0"/>
    <n v="39"/>
    <s v="month"/>
    <s v=""/>
    <x v="6"/>
    <s v="No"/>
    <n v="0"/>
    <n v="0"/>
    <s v=""/>
  </r>
  <r>
    <n v="215113542"/>
    <d v="2023-06-21T00:00:00"/>
    <m/>
    <x v="0"/>
    <n v="39"/>
    <s v="month"/>
    <s v=""/>
    <x v="6"/>
    <s v="No"/>
    <n v="0"/>
    <n v="0"/>
    <s v=""/>
  </r>
  <r>
    <n v="204772797"/>
    <d v="2023-06-21T00:00:00"/>
    <m/>
    <x v="0"/>
    <n v="39"/>
    <s v="month"/>
    <s v=""/>
    <x v="6"/>
    <s v="No"/>
    <n v="0"/>
    <n v="0"/>
    <s v=""/>
  </r>
  <r>
    <n v="217627630"/>
    <d v="2023-06-21T00:00:00"/>
    <m/>
    <x v="0"/>
    <n v="39"/>
    <s v="month"/>
    <s v=""/>
    <x v="6"/>
    <s v="No"/>
    <n v="0"/>
    <n v="0"/>
    <s v=""/>
  </r>
  <r>
    <n v="217635272"/>
    <d v="2023-06-21T00:00:00"/>
    <m/>
    <x v="0"/>
    <n v="39"/>
    <s v="month"/>
    <s v=""/>
    <x v="6"/>
    <s v="No"/>
    <n v="0"/>
    <n v="0"/>
    <s v=""/>
  </r>
  <r>
    <n v="217543308"/>
    <d v="2023-06-21T00:00:00"/>
    <d v="2023-06-22T00:00:00"/>
    <x v="0"/>
    <n v="39"/>
    <s v="month"/>
    <n v="1"/>
    <x v="6"/>
    <s v="No"/>
    <n v="1"/>
    <n v="0"/>
    <n v="1"/>
  </r>
  <r>
    <n v="217626870"/>
    <d v="2023-06-21T00:00:00"/>
    <d v="2023-06-22T00:00:00"/>
    <x v="1"/>
    <n v="39"/>
    <s v="month"/>
    <n v="1"/>
    <x v="6"/>
    <s v="No"/>
    <n v="1"/>
    <n v="0"/>
    <n v="1"/>
  </r>
  <r>
    <n v="217246912"/>
    <d v="2023-06-21T00:00:00"/>
    <d v="2023-06-22T00:00:00"/>
    <x v="1"/>
    <n v="39"/>
    <s v="month"/>
    <n v="1"/>
    <x v="6"/>
    <s v="No"/>
    <n v="1"/>
    <n v="0"/>
    <n v="1"/>
  </r>
  <r>
    <n v="217223132"/>
    <d v="2023-06-21T00:00:00"/>
    <d v="2023-08-18T00:00:00"/>
    <x v="0"/>
    <n v="39"/>
    <s v="month"/>
    <n v="58"/>
    <x v="6"/>
    <s v="No"/>
    <n v="0"/>
    <n v="1"/>
    <n v="58"/>
  </r>
  <r>
    <n v="217650160"/>
    <d v="2023-06-21T00:00:00"/>
    <d v="2023-08-10T00:00:00"/>
    <x v="0"/>
    <n v="39"/>
    <s v="month"/>
    <n v="50"/>
    <x v="6"/>
    <s v="No"/>
    <n v="0"/>
    <n v="1"/>
    <n v="50"/>
  </r>
  <r>
    <n v="149856123"/>
    <d v="2023-06-21T00:00:00"/>
    <d v="2023-07-17T00:00:00"/>
    <x v="0"/>
    <n v="39"/>
    <s v="month"/>
    <n v="26"/>
    <x v="6"/>
    <s v="No"/>
    <n v="0"/>
    <n v="0"/>
    <n v="26"/>
  </r>
  <r>
    <n v="217657148"/>
    <d v="2023-06-21T00:00:00"/>
    <d v="2023-06-30T00:00:00"/>
    <x v="0"/>
    <n v="39"/>
    <s v="month"/>
    <n v="9"/>
    <x v="6"/>
    <s v="No"/>
    <n v="0"/>
    <n v="0"/>
    <n v="9"/>
  </r>
  <r>
    <n v="217386658"/>
    <d v="2023-06-21T00:00:00"/>
    <d v="2023-07-25T00:00:00"/>
    <x v="0"/>
    <n v="39"/>
    <s v="month"/>
    <n v="34"/>
    <x v="6"/>
    <s v="No"/>
    <n v="0"/>
    <n v="1"/>
    <n v="34"/>
  </r>
  <r>
    <n v="202563999"/>
    <d v="2023-06-22T00:00:00"/>
    <m/>
    <x v="0"/>
    <n v="39"/>
    <s v="month"/>
    <s v=""/>
    <x v="0"/>
    <s v="No"/>
    <n v="0"/>
    <n v="0"/>
    <s v=""/>
  </r>
  <r>
    <n v="137195650"/>
    <d v="2023-06-22T00:00:00"/>
    <m/>
    <x v="0"/>
    <n v="39"/>
    <s v="month"/>
    <s v=""/>
    <x v="0"/>
    <s v="No"/>
    <n v="0"/>
    <n v="0"/>
    <s v=""/>
  </r>
  <r>
    <n v="138372112"/>
    <d v="2023-06-22T00:00:00"/>
    <m/>
    <x v="0"/>
    <n v="39"/>
    <s v="month"/>
    <s v=""/>
    <x v="0"/>
    <s v="No"/>
    <n v="0"/>
    <n v="0"/>
    <s v=""/>
  </r>
  <r>
    <n v="217692419"/>
    <d v="2023-06-22T00:00:00"/>
    <m/>
    <x v="0"/>
    <n v="39"/>
    <s v="month"/>
    <s v=""/>
    <x v="0"/>
    <s v="No"/>
    <n v="0"/>
    <n v="0"/>
    <s v=""/>
  </r>
  <r>
    <n v="217610905"/>
    <d v="2023-06-22T00:00:00"/>
    <m/>
    <x v="0"/>
    <n v="39"/>
    <s v="month"/>
    <s v=""/>
    <x v="0"/>
    <s v="No"/>
    <n v="0"/>
    <n v="0"/>
    <s v=""/>
  </r>
  <r>
    <n v="217618558"/>
    <d v="2023-06-22T00:00:00"/>
    <m/>
    <x v="0"/>
    <n v="39"/>
    <s v="month"/>
    <s v=""/>
    <x v="0"/>
    <s v="No"/>
    <n v="0"/>
    <n v="0"/>
    <s v=""/>
  </r>
  <r>
    <n v="190490555"/>
    <d v="2023-06-22T00:00:00"/>
    <m/>
    <x v="0"/>
    <n v="39"/>
    <s v="month"/>
    <s v=""/>
    <x v="0"/>
    <s v="No"/>
    <n v="0"/>
    <n v="0"/>
    <s v=""/>
  </r>
  <r>
    <n v="122169020"/>
    <d v="2023-06-22T00:00:00"/>
    <d v="2023-06-23T00:00:00"/>
    <x v="0"/>
    <n v="39"/>
    <s v="month"/>
    <n v="1"/>
    <x v="0"/>
    <s v="No"/>
    <n v="1"/>
    <n v="0"/>
    <n v="1"/>
  </r>
  <r>
    <n v="217628239"/>
    <d v="2023-06-22T00:00:00"/>
    <d v="2023-06-23T00:00:00"/>
    <x v="1"/>
    <n v="39"/>
    <s v="month"/>
    <n v="1"/>
    <x v="0"/>
    <s v="No"/>
    <n v="1"/>
    <n v="0"/>
    <n v="1"/>
  </r>
  <r>
    <n v="148062219"/>
    <d v="2023-06-22T00:00:00"/>
    <d v="2023-07-19T00:00:00"/>
    <x v="0"/>
    <n v="39"/>
    <s v="month"/>
    <n v="27"/>
    <x v="0"/>
    <s v="No"/>
    <n v="0"/>
    <n v="0"/>
    <n v="27"/>
  </r>
  <r>
    <n v="131505988"/>
    <d v="2023-06-22T00:00:00"/>
    <d v="2023-07-06T00:00:00"/>
    <x v="0"/>
    <n v="39"/>
    <s v="month"/>
    <n v="14"/>
    <x v="0"/>
    <s v="No"/>
    <n v="0"/>
    <n v="0"/>
    <n v="14"/>
  </r>
  <r>
    <n v="215489398"/>
    <d v="2023-06-22T00:00:00"/>
    <d v="2023-06-22T00:00:00"/>
    <x v="0"/>
    <n v="39"/>
    <s v="month"/>
    <n v="0"/>
    <x v="0"/>
    <s v="Yes"/>
    <n v="1"/>
    <n v="0"/>
    <n v="0"/>
  </r>
  <r>
    <n v="195285936"/>
    <d v="2023-06-22T00:00:00"/>
    <d v="2023-08-18T00:00:00"/>
    <x v="0"/>
    <n v="39"/>
    <s v="month"/>
    <n v="57"/>
    <x v="0"/>
    <s v="No"/>
    <n v="0"/>
    <n v="1"/>
    <n v="57"/>
  </r>
  <r>
    <n v="217725764"/>
    <d v="2023-06-22T00:00:00"/>
    <d v="2023-06-27T00:00:00"/>
    <x v="0"/>
    <n v="39"/>
    <s v="month"/>
    <n v="5"/>
    <x v="0"/>
    <s v="No"/>
    <n v="0"/>
    <n v="0"/>
    <n v="5"/>
  </r>
  <r>
    <n v="217730944"/>
    <d v="2023-06-22T00:00:00"/>
    <d v="2023-07-06T00:00:00"/>
    <x v="0"/>
    <n v="39"/>
    <s v="month"/>
    <n v="14"/>
    <x v="0"/>
    <s v="No"/>
    <n v="0"/>
    <n v="0"/>
    <n v="14"/>
  </r>
  <r>
    <n v="205548571"/>
    <d v="2023-06-23T00:00:00"/>
    <m/>
    <x v="0"/>
    <n v="39"/>
    <s v="month"/>
    <s v=""/>
    <x v="1"/>
    <s v="No"/>
    <n v="0"/>
    <n v="0"/>
    <s v=""/>
  </r>
  <r>
    <n v="188085249"/>
    <d v="2023-06-23T00:00:00"/>
    <m/>
    <x v="0"/>
    <n v="39"/>
    <s v="month"/>
    <s v=""/>
    <x v="1"/>
    <s v="No"/>
    <n v="0"/>
    <n v="0"/>
    <s v=""/>
  </r>
  <r>
    <n v="206697535"/>
    <d v="2023-06-23T00:00:00"/>
    <m/>
    <x v="0"/>
    <n v="39"/>
    <s v="month"/>
    <s v=""/>
    <x v="1"/>
    <s v="No"/>
    <n v="0"/>
    <n v="0"/>
    <s v=""/>
  </r>
  <r>
    <n v="152705871"/>
    <d v="2023-06-23T00:00:00"/>
    <m/>
    <x v="0"/>
    <n v="39"/>
    <s v="month"/>
    <s v=""/>
    <x v="1"/>
    <s v="No"/>
    <n v="0"/>
    <n v="0"/>
    <s v=""/>
  </r>
  <r>
    <n v="216139584"/>
    <d v="2023-06-23T00:00:00"/>
    <m/>
    <x v="0"/>
    <n v="39"/>
    <s v="month"/>
    <s v=""/>
    <x v="1"/>
    <s v="No"/>
    <n v="0"/>
    <n v="0"/>
    <s v=""/>
  </r>
  <r>
    <n v="127716285"/>
    <d v="2023-06-23T00:00:00"/>
    <m/>
    <x v="0"/>
    <n v="39"/>
    <s v="month"/>
    <s v=""/>
    <x v="1"/>
    <s v="No"/>
    <n v="0"/>
    <n v="0"/>
    <s v=""/>
  </r>
  <r>
    <n v="138535334"/>
    <d v="2023-06-23T00:00:00"/>
    <d v="2023-08-23T00:00:00"/>
    <x v="0"/>
    <n v="39"/>
    <s v="month"/>
    <n v="61"/>
    <x v="1"/>
    <s v="No"/>
    <n v="0"/>
    <n v="1"/>
    <n v="61"/>
  </r>
  <r>
    <n v="205869717"/>
    <d v="2023-06-23T00:00:00"/>
    <d v="2023-08-30T00:00:00"/>
    <x v="0"/>
    <n v="39"/>
    <s v="month"/>
    <n v="68"/>
    <x v="1"/>
    <s v="No"/>
    <n v="0"/>
    <n v="1"/>
    <n v="68"/>
  </r>
  <r>
    <n v="204985013"/>
    <d v="2023-06-23T00:00:00"/>
    <d v="2023-08-12T00:00:00"/>
    <x v="0"/>
    <n v="39"/>
    <s v="month"/>
    <n v="50"/>
    <x v="1"/>
    <s v="No"/>
    <n v="0"/>
    <n v="1"/>
    <n v="50"/>
  </r>
  <r>
    <n v="217763600"/>
    <d v="2023-06-24T00:00:00"/>
    <m/>
    <x v="0"/>
    <n v="39"/>
    <s v="month"/>
    <s v=""/>
    <x v="2"/>
    <s v="No"/>
    <n v="0"/>
    <n v="0"/>
    <s v=""/>
  </r>
  <r>
    <n v="217808731"/>
    <d v="2023-06-24T00:00:00"/>
    <d v="2023-06-25T00:00:00"/>
    <x v="1"/>
    <n v="39"/>
    <s v="month"/>
    <n v="1"/>
    <x v="2"/>
    <s v="No"/>
    <n v="1"/>
    <n v="0"/>
    <n v="1"/>
  </r>
  <r>
    <n v="217822232"/>
    <d v="2023-06-24T00:00:00"/>
    <d v="2023-08-05T00:00:00"/>
    <x v="0"/>
    <n v="39"/>
    <s v="month"/>
    <n v="42"/>
    <x v="2"/>
    <s v="No"/>
    <n v="0"/>
    <n v="1"/>
    <n v="42"/>
  </r>
  <r>
    <n v="217718093"/>
    <d v="2023-06-25T00:00:00"/>
    <m/>
    <x v="0"/>
    <n v="39"/>
    <s v="month"/>
    <s v=""/>
    <x v="3"/>
    <s v="No"/>
    <n v="0"/>
    <n v="0"/>
    <s v=""/>
  </r>
  <r>
    <n v="217555660"/>
    <d v="2023-06-25T00:00:00"/>
    <m/>
    <x v="0"/>
    <n v="39"/>
    <s v="month"/>
    <s v=""/>
    <x v="3"/>
    <s v="No"/>
    <n v="0"/>
    <n v="0"/>
    <s v=""/>
  </r>
  <r>
    <n v="154535908"/>
    <d v="2023-06-25T00:00:00"/>
    <m/>
    <x v="0"/>
    <n v="39"/>
    <s v="month"/>
    <s v=""/>
    <x v="3"/>
    <s v="No"/>
    <n v="0"/>
    <n v="0"/>
    <s v=""/>
  </r>
  <r>
    <n v="217554744"/>
    <d v="2023-06-25T00:00:00"/>
    <d v="2023-08-01T00:00:00"/>
    <x v="0"/>
    <n v="39"/>
    <s v="month"/>
    <n v="37"/>
    <x v="3"/>
    <s v="No"/>
    <n v="0"/>
    <n v="1"/>
    <n v="37"/>
  </r>
  <r>
    <n v="217877324"/>
    <d v="2023-06-25T00:00:00"/>
    <d v="2023-06-25T00:00:00"/>
    <x v="0"/>
    <n v="39"/>
    <s v="month"/>
    <n v="0"/>
    <x v="3"/>
    <s v="Yes"/>
    <n v="1"/>
    <n v="0"/>
    <n v="0"/>
  </r>
  <r>
    <n v="147765298"/>
    <d v="2023-06-26T00:00:00"/>
    <m/>
    <x v="0"/>
    <n v="39"/>
    <s v="month"/>
    <s v=""/>
    <x v="4"/>
    <s v="No"/>
    <n v="0"/>
    <n v="0"/>
    <s v=""/>
  </r>
  <r>
    <n v="217901196"/>
    <d v="2023-06-26T00:00:00"/>
    <m/>
    <x v="0"/>
    <n v="39"/>
    <s v="month"/>
    <s v=""/>
    <x v="4"/>
    <s v="No"/>
    <n v="0"/>
    <n v="0"/>
    <s v=""/>
  </r>
  <r>
    <n v="217266939"/>
    <d v="2023-06-26T00:00:00"/>
    <m/>
    <x v="0"/>
    <n v="39"/>
    <s v="month"/>
    <s v=""/>
    <x v="4"/>
    <s v="No"/>
    <n v="0"/>
    <n v="0"/>
    <s v=""/>
  </r>
  <r>
    <n v="204908076"/>
    <d v="2023-06-26T00:00:00"/>
    <m/>
    <x v="0"/>
    <n v="39"/>
    <s v="month"/>
    <s v=""/>
    <x v="4"/>
    <s v="No"/>
    <n v="0"/>
    <n v="0"/>
    <s v=""/>
  </r>
  <r>
    <n v="217698784"/>
    <d v="2023-06-26T00:00:00"/>
    <m/>
    <x v="0"/>
    <n v="39"/>
    <s v="month"/>
    <s v=""/>
    <x v="4"/>
    <s v="No"/>
    <n v="0"/>
    <n v="0"/>
    <s v=""/>
  </r>
  <r>
    <n v="217909024"/>
    <d v="2023-06-26T00:00:00"/>
    <m/>
    <x v="0"/>
    <n v="39"/>
    <s v="month"/>
    <s v=""/>
    <x v="4"/>
    <s v="No"/>
    <n v="0"/>
    <n v="0"/>
    <s v=""/>
  </r>
  <r>
    <n v="201498671"/>
    <d v="2023-06-26T00:00:00"/>
    <m/>
    <x v="0"/>
    <n v="39"/>
    <s v="month"/>
    <s v=""/>
    <x v="4"/>
    <s v="No"/>
    <n v="0"/>
    <n v="0"/>
    <s v=""/>
  </r>
  <r>
    <n v="217902650"/>
    <d v="2023-06-26T00:00:00"/>
    <m/>
    <x v="0"/>
    <n v="39"/>
    <s v="month"/>
    <s v=""/>
    <x v="4"/>
    <s v="No"/>
    <n v="0"/>
    <n v="0"/>
    <s v=""/>
  </r>
  <r>
    <n v="217896282"/>
    <d v="2023-06-26T00:00:00"/>
    <m/>
    <x v="0"/>
    <n v="39"/>
    <s v="month"/>
    <s v=""/>
    <x v="4"/>
    <s v="No"/>
    <n v="0"/>
    <n v="0"/>
    <s v=""/>
  </r>
  <r>
    <n v="217337901"/>
    <d v="2023-06-26T00:00:00"/>
    <m/>
    <x v="0"/>
    <n v="39"/>
    <s v="month"/>
    <s v=""/>
    <x v="4"/>
    <s v="No"/>
    <n v="0"/>
    <n v="0"/>
    <s v=""/>
  </r>
  <r>
    <n v="217477535"/>
    <d v="2023-06-26T00:00:00"/>
    <m/>
    <x v="0"/>
    <n v="39"/>
    <s v="month"/>
    <s v=""/>
    <x v="4"/>
    <s v="No"/>
    <n v="0"/>
    <n v="0"/>
    <s v=""/>
  </r>
  <r>
    <n v="217885621"/>
    <d v="2023-06-26T00:00:00"/>
    <m/>
    <x v="0"/>
    <n v="39"/>
    <s v="month"/>
    <s v=""/>
    <x v="4"/>
    <s v="No"/>
    <n v="0"/>
    <n v="0"/>
    <s v=""/>
  </r>
  <r>
    <n v="217714764"/>
    <d v="2023-06-26T00:00:00"/>
    <m/>
    <x v="0"/>
    <n v="39"/>
    <s v="month"/>
    <s v=""/>
    <x v="4"/>
    <s v="No"/>
    <n v="0"/>
    <n v="0"/>
    <s v=""/>
  </r>
  <r>
    <n v="217335548"/>
    <d v="2023-06-26T00:00:00"/>
    <d v="2023-09-06T00:00:00"/>
    <x v="0"/>
    <n v="39"/>
    <s v="month"/>
    <n v="72"/>
    <x v="4"/>
    <s v="No"/>
    <n v="0"/>
    <n v="1"/>
    <n v="72"/>
  </r>
  <r>
    <n v="129747676"/>
    <d v="2023-06-26T00:00:00"/>
    <d v="2023-06-27T00:00:00"/>
    <x v="0"/>
    <n v="39"/>
    <s v="month"/>
    <n v="1"/>
    <x v="4"/>
    <s v="No"/>
    <n v="1"/>
    <n v="0"/>
    <n v="1"/>
  </r>
  <r>
    <n v="217846698"/>
    <d v="2023-06-26T00:00:00"/>
    <d v="2023-06-27T00:00:00"/>
    <x v="1"/>
    <n v="39"/>
    <s v="month"/>
    <n v="1"/>
    <x v="4"/>
    <s v="No"/>
    <n v="1"/>
    <n v="0"/>
    <n v="1"/>
  </r>
  <r>
    <n v="217965791"/>
    <d v="2023-06-27T00:00:00"/>
    <m/>
    <x v="0"/>
    <n v="39"/>
    <s v="month"/>
    <s v=""/>
    <x v="5"/>
    <s v="No"/>
    <n v="0"/>
    <n v="0"/>
    <s v=""/>
  </r>
  <r>
    <n v="217851124"/>
    <d v="2023-06-27T00:00:00"/>
    <m/>
    <x v="0"/>
    <n v="39"/>
    <s v="month"/>
    <s v=""/>
    <x v="5"/>
    <s v="No"/>
    <n v="0"/>
    <n v="0"/>
    <s v=""/>
  </r>
  <r>
    <n v="217861903"/>
    <d v="2023-06-27T00:00:00"/>
    <m/>
    <x v="0"/>
    <n v="39"/>
    <s v="month"/>
    <s v=""/>
    <x v="5"/>
    <s v="No"/>
    <n v="0"/>
    <n v="0"/>
    <s v=""/>
  </r>
  <r>
    <n v="217660423"/>
    <d v="2023-06-27T00:00:00"/>
    <m/>
    <x v="0"/>
    <n v="39"/>
    <s v="month"/>
    <s v=""/>
    <x v="5"/>
    <s v="No"/>
    <n v="0"/>
    <n v="0"/>
    <s v=""/>
  </r>
  <r>
    <n v="217814342"/>
    <d v="2023-06-27T00:00:00"/>
    <m/>
    <x v="0"/>
    <n v="39"/>
    <s v="month"/>
    <s v=""/>
    <x v="5"/>
    <s v="No"/>
    <n v="0"/>
    <n v="0"/>
    <s v=""/>
  </r>
  <r>
    <n v="157548765"/>
    <d v="2023-06-27T00:00:00"/>
    <d v="2023-06-28T00:00:00"/>
    <x v="1"/>
    <n v="39"/>
    <s v="month"/>
    <n v="1"/>
    <x v="5"/>
    <s v="No"/>
    <n v="1"/>
    <n v="0"/>
    <n v="1"/>
  </r>
  <r>
    <n v="217934288"/>
    <d v="2023-06-27T00:00:00"/>
    <d v="2023-06-28T00:00:00"/>
    <x v="1"/>
    <n v="39"/>
    <s v="month"/>
    <n v="1"/>
    <x v="5"/>
    <s v="No"/>
    <n v="1"/>
    <n v="0"/>
    <n v="1"/>
  </r>
  <r>
    <n v="217855786"/>
    <d v="2023-06-27T00:00:00"/>
    <d v="2023-06-28T00:00:00"/>
    <x v="1"/>
    <n v="39"/>
    <s v="month"/>
    <n v="1"/>
    <x v="5"/>
    <s v="No"/>
    <n v="1"/>
    <n v="0"/>
    <n v="1"/>
  </r>
  <r>
    <n v="131753677"/>
    <d v="2023-06-27T00:00:00"/>
    <d v="2023-08-15T00:00:00"/>
    <x v="0"/>
    <n v="39"/>
    <s v="month"/>
    <n v="49"/>
    <x v="5"/>
    <s v="No"/>
    <n v="0"/>
    <n v="1"/>
    <n v="49"/>
  </r>
  <r>
    <n v="215963364"/>
    <d v="2023-06-27T00:00:00"/>
    <d v="2023-09-03T00:00:00"/>
    <x v="0"/>
    <n v="39"/>
    <s v="month"/>
    <n v="68"/>
    <x v="5"/>
    <s v="No"/>
    <n v="0"/>
    <n v="1"/>
    <n v="68"/>
  </r>
  <r>
    <n v="217971206"/>
    <d v="2023-06-27T00:00:00"/>
    <d v="2023-07-18T00:00:00"/>
    <x v="0"/>
    <n v="39"/>
    <s v="month"/>
    <n v="21"/>
    <x v="5"/>
    <s v="No"/>
    <n v="0"/>
    <n v="0"/>
    <n v="21"/>
  </r>
  <r>
    <n v="217943053"/>
    <d v="2023-06-27T00:00:00"/>
    <d v="2023-07-17T00:00:00"/>
    <x v="0"/>
    <n v="39"/>
    <s v="month"/>
    <n v="20"/>
    <x v="5"/>
    <s v="No"/>
    <n v="0"/>
    <n v="0"/>
    <n v="20"/>
  </r>
  <r>
    <n v="218004764"/>
    <d v="2023-06-28T00:00:00"/>
    <m/>
    <x v="0"/>
    <n v="39"/>
    <s v="month"/>
    <s v=""/>
    <x v="6"/>
    <s v="No"/>
    <n v="0"/>
    <n v="0"/>
    <s v=""/>
  </r>
  <r>
    <n v="217768772"/>
    <d v="2023-06-28T00:00:00"/>
    <m/>
    <x v="0"/>
    <n v="39"/>
    <s v="month"/>
    <s v=""/>
    <x v="6"/>
    <s v="No"/>
    <n v="0"/>
    <n v="0"/>
    <s v=""/>
  </r>
  <r>
    <n v="216775344"/>
    <d v="2023-06-28T00:00:00"/>
    <m/>
    <x v="0"/>
    <n v="39"/>
    <s v="month"/>
    <s v=""/>
    <x v="6"/>
    <s v="No"/>
    <n v="0"/>
    <n v="0"/>
    <s v=""/>
  </r>
  <r>
    <n v="135364787"/>
    <d v="2023-06-28T00:00:00"/>
    <m/>
    <x v="0"/>
    <n v="39"/>
    <s v="month"/>
    <s v=""/>
    <x v="6"/>
    <s v="No"/>
    <n v="0"/>
    <n v="0"/>
    <s v=""/>
  </r>
  <r>
    <n v="148107179"/>
    <d v="2023-06-28T00:00:00"/>
    <d v="2023-08-04T00:00:00"/>
    <x v="0"/>
    <n v="39"/>
    <s v="month"/>
    <n v="37"/>
    <x v="6"/>
    <s v="No"/>
    <n v="0"/>
    <n v="1"/>
    <n v="37"/>
  </r>
  <r>
    <n v="215904194"/>
    <d v="2023-06-28T00:00:00"/>
    <d v="2023-07-22T00:00:00"/>
    <x v="0"/>
    <n v="39"/>
    <s v="month"/>
    <n v="24"/>
    <x v="6"/>
    <s v="No"/>
    <n v="0"/>
    <n v="0"/>
    <n v="24"/>
  </r>
  <r>
    <n v="217988577"/>
    <d v="2023-06-28T00:00:00"/>
    <d v="2023-07-26T00:00:00"/>
    <x v="0"/>
    <n v="39"/>
    <s v="month"/>
    <n v="28"/>
    <x v="6"/>
    <s v="No"/>
    <n v="0"/>
    <n v="0"/>
    <n v="28"/>
  </r>
  <r>
    <n v="146124679"/>
    <d v="2023-06-28T00:00:00"/>
    <d v="2023-07-28T00:00:00"/>
    <x v="0"/>
    <n v="39"/>
    <s v="month"/>
    <n v="30"/>
    <x v="6"/>
    <s v="No"/>
    <n v="0"/>
    <n v="0"/>
    <n v="30"/>
  </r>
  <r>
    <n v="217819772"/>
    <d v="2023-06-29T00:00:00"/>
    <m/>
    <x v="0"/>
    <n v="39"/>
    <s v="month"/>
    <s v=""/>
    <x v="0"/>
    <s v="No"/>
    <n v="0"/>
    <n v="0"/>
    <s v=""/>
  </r>
  <r>
    <n v="217996629"/>
    <d v="2023-06-29T00:00:00"/>
    <m/>
    <x v="0"/>
    <n v="39"/>
    <s v="month"/>
    <s v=""/>
    <x v="0"/>
    <s v="No"/>
    <n v="0"/>
    <n v="0"/>
    <s v=""/>
  </r>
  <r>
    <n v="152621756"/>
    <d v="2023-06-29T00:00:00"/>
    <m/>
    <x v="0"/>
    <n v="39"/>
    <s v="month"/>
    <s v=""/>
    <x v="0"/>
    <s v="No"/>
    <n v="0"/>
    <n v="0"/>
    <s v=""/>
  </r>
  <r>
    <n v="218006807"/>
    <d v="2023-06-29T00:00:00"/>
    <m/>
    <x v="0"/>
    <n v="39"/>
    <s v="month"/>
    <s v=""/>
    <x v="0"/>
    <s v="No"/>
    <n v="0"/>
    <n v="0"/>
    <s v=""/>
  </r>
  <r>
    <n v="218045202"/>
    <d v="2023-06-29T00:00:00"/>
    <d v="2023-08-29T00:00:00"/>
    <x v="0"/>
    <n v="39"/>
    <s v="month"/>
    <n v="61"/>
    <x v="0"/>
    <s v="No"/>
    <n v="0"/>
    <n v="1"/>
    <n v="61"/>
  </r>
  <r>
    <n v="122215146"/>
    <d v="2023-06-29T00:00:00"/>
    <d v="2023-08-13T00:00:00"/>
    <x v="0"/>
    <n v="39"/>
    <s v="month"/>
    <n v="45"/>
    <x v="0"/>
    <s v="No"/>
    <n v="0"/>
    <n v="1"/>
    <n v="45"/>
  </r>
  <r>
    <n v="218003864"/>
    <d v="2023-06-29T00:00:00"/>
    <d v="2023-07-28T00:00:00"/>
    <x v="0"/>
    <n v="39"/>
    <s v="month"/>
    <n v="29"/>
    <x v="0"/>
    <s v="No"/>
    <n v="0"/>
    <n v="0"/>
    <n v="29"/>
  </r>
  <r>
    <n v="218088770"/>
    <d v="2023-06-30T00:00:00"/>
    <m/>
    <x v="0"/>
    <n v="39"/>
    <s v="month"/>
    <s v=""/>
    <x v="1"/>
    <s v="No"/>
    <n v="0"/>
    <n v="0"/>
    <s v=""/>
  </r>
  <r>
    <n v="217856893"/>
    <d v="2023-06-30T00:00:00"/>
    <m/>
    <x v="0"/>
    <n v="39"/>
    <s v="month"/>
    <s v=""/>
    <x v="1"/>
    <s v="No"/>
    <n v="0"/>
    <n v="0"/>
    <s v=""/>
  </r>
  <r>
    <n v="156054912"/>
    <d v="2023-06-30T00:00:00"/>
    <m/>
    <x v="0"/>
    <n v="39"/>
    <s v="month"/>
    <s v=""/>
    <x v="1"/>
    <s v="No"/>
    <n v="0"/>
    <n v="0"/>
    <s v=""/>
  </r>
  <r>
    <n v="218059054"/>
    <d v="2023-06-30T00:00:00"/>
    <m/>
    <x v="0"/>
    <n v="39"/>
    <s v="month"/>
    <s v=""/>
    <x v="1"/>
    <s v="No"/>
    <n v="0"/>
    <n v="0"/>
    <s v=""/>
  </r>
  <r>
    <n v="218074245"/>
    <d v="2023-06-30T00:00:00"/>
    <m/>
    <x v="0"/>
    <n v="39"/>
    <s v="month"/>
    <s v=""/>
    <x v="1"/>
    <s v="No"/>
    <n v="0"/>
    <n v="0"/>
    <s v=""/>
  </r>
  <r>
    <n v="204774586"/>
    <d v="2023-06-30T00:00:00"/>
    <m/>
    <x v="0"/>
    <n v="39"/>
    <s v="month"/>
    <s v=""/>
    <x v="1"/>
    <s v="No"/>
    <n v="0"/>
    <n v="0"/>
    <s v=""/>
  </r>
  <r>
    <n v="215941440"/>
    <d v="2023-06-30T00:00:00"/>
    <m/>
    <x v="0"/>
    <n v="39"/>
    <s v="month"/>
    <s v=""/>
    <x v="1"/>
    <s v="No"/>
    <n v="0"/>
    <n v="0"/>
    <s v=""/>
  </r>
  <r>
    <n v="205547323"/>
    <d v="2023-06-30T00:00:00"/>
    <m/>
    <x v="1"/>
    <n v="39"/>
    <s v="month"/>
    <s v=""/>
    <x v="1"/>
    <s v="No"/>
    <n v="0"/>
    <n v="0"/>
    <s v=""/>
  </r>
  <r>
    <n v="140062581"/>
    <d v="2023-06-30T00:00:00"/>
    <m/>
    <x v="0"/>
    <n v="39"/>
    <s v="month"/>
    <s v=""/>
    <x v="1"/>
    <s v="No"/>
    <n v="0"/>
    <n v="0"/>
    <s v=""/>
  </r>
  <r>
    <n v="217932519"/>
    <d v="2023-06-30T00:00:00"/>
    <d v="2023-07-01T00:00:00"/>
    <x v="0"/>
    <n v="39"/>
    <s v="month"/>
    <n v="1"/>
    <x v="1"/>
    <s v="No"/>
    <n v="1"/>
    <n v="0"/>
    <n v="1"/>
  </r>
  <r>
    <n v="217982048"/>
    <d v="2023-06-30T00:00:00"/>
    <d v="2023-07-01T00:00:00"/>
    <x v="1"/>
    <n v="39"/>
    <s v="month"/>
    <n v="1"/>
    <x v="1"/>
    <s v="No"/>
    <n v="1"/>
    <n v="0"/>
    <n v="1"/>
  </r>
  <r>
    <n v="218066467"/>
    <d v="2023-06-30T00:00:00"/>
    <d v="2023-08-31T00:00:00"/>
    <x v="0"/>
    <n v="39"/>
    <s v="month"/>
    <n v="62"/>
    <x v="1"/>
    <s v="No"/>
    <n v="0"/>
    <n v="1"/>
    <n v="62"/>
  </r>
  <r>
    <n v="218046034"/>
    <d v="2023-06-30T00:00:00"/>
    <d v="2023-09-06T00:00:00"/>
    <x v="0"/>
    <n v="39"/>
    <s v="month"/>
    <n v="68"/>
    <x v="1"/>
    <s v="No"/>
    <n v="0"/>
    <n v="1"/>
    <n v="68"/>
  </r>
  <r>
    <n v="217697744"/>
    <d v="2023-06-30T00:00:00"/>
    <d v="2023-07-27T00:00:00"/>
    <x v="0"/>
    <n v="39"/>
    <s v="month"/>
    <n v="27"/>
    <x v="1"/>
    <s v="No"/>
    <n v="0"/>
    <n v="0"/>
    <n v="27"/>
  </r>
  <r>
    <n v="217942738"/>
    <d v="2023-07-01T00:00:00"/>
    <m/>
    <x v="0"/>
    <n v="39"/>
    <s v="month"/>
    <s v=""/>
    <x v="2"/>
    <s v="No"/>
    <n v="0"/>
    <n v="0"/>
    <s v=""/>
  </r>
  <r>
    <n v="218133628"/>
    <d v="2023-07-01T00:00:00"/>
    <m/>
    <x v="0"/>
    <n v="39"/>
    <s v="month"/>
    <s v=""/>
    <x v="2"/>
    <s v="No"/>
    <n v="0"/>
    <n v="0"/>
    <s v=""/>
  </r>
  <r>
    <n v="118508852"/>
    <d v="2023-07-01T00:00:00"/>
    <m/>
    <x v="0"/>
    <n v="39"/>
    <s v="month"/>
    <s v=""/>
    <x v="2"/>
    <s v="No"/>
    <n v="0"/>
    <n v="0"/>
    <s v=""/>
  </r>
  <r>
    <n v="218120267"/>
    <d v="2023-07-01T00:00:00"/>
    <m/>
    <x v="0"/>
    <n v="39"/>
    <s v="month"/>
    <s v=""/>
    <x v="2"/>
    <s v="No"/>
    <n v="0"/>
    <n v="0"/>
    <s v=""/>
  </r>
  <r>
    <n v="218095541"/>
    <d v="2023-07-01T00:00:00"/>
    <m/>
    <x v="0"/>
    <n v="39"/>
    <s v="month"/>
    <s v=""/>
    <x v="2"/>
    <s v="No"/>
    <n v="0"/>
    <n v="0"/>
    <s v=""/>
  </r>
  <r>
    <n v="217626801"/>
    <d v="2023-07-01T00:00:00"/>
    <m/>
    <x v="0"/>
    <n v="39"/>
    <s v="month"/>
    <s v=""/>
    <x v="2"/>
    <s v="No"/>
    <n v="0"/>
    <n v="0"/>
    <s v=""/>
  </r>
  <r>
    <n v="151555660"/>
    <d v="2023-07-01T00:00:00"/>
    <d v="2023-08-31T00:00:00"/>
    <x v="0"/>
    <n v="39"/>
    <s v="month"/>
    <n v="61"/>
    <x v="2"/>
    <s v="No"/>
    <n v="0"/>
    <n v="1"/>
    <n v="61"/>
  </r>
  <r>
    <n v="217110820"/>
    <d v="2023-07-01T00:00:00"/>
    <d v="2023-08-04T00:00:00"/>
    <x v="0"/>
    <n v="39"/>
    <s v="month"/>
    <n v="34"/>
    <x v="2"/>
    <s v="No"/>
    <n v="0"/>
    <n v="1"/>
    <n v="34"/>
  </r>
  <r>
    <n v="217932519"/>
    <d v="2023-07-01T00:00:00"/>
    <d v="2023-08-31T00:00:00"/>
    <x v="0"/>
    <n v="39"/>
    <s v="month"/>
    <n v="61"/>
    <x v="2"/>
    <s v="No"/>
    <n v="0"/>
    <n v="1"/>
    <n v="61"/>
  </r>
  <r>
    <n v="218164848"/>
    <d v="2023-07-02T00:00:00"/>
    <m/>
    <x v="0"/>
    <n v="39"/>
    <s v="month"/>
    <s v=""/>
    <x v="3"/>
    <s v="No"/>
    <n v="0"/>
    <n v="0"/>
    <s v=""/>
  </r>
  <r>
    <n v="217526484"/>
    <d v="2023-07-02T00:00:00"/>
    <m/>
    <x v="0"/>
    <n v="39"/>
    <s v="month"/>
    <s v=""/>
    <x v="3"/>
    <s v="No"/>
    <n v="0"/>
    <n v="0"/>
    <s v=""/>
  </r>
  <r>
    <n v="214940948"/>
    <d v="2023-07-02T00:00:00"/>
    <m/>
    <x v="0"/>
    <n v="39"/>
    <s v="month"/>
    <s v=""/>
    <x v="3"/>
    <s v="No"/>
    <n v="0"/>
    <n v="0"/>
    <s v=""/>
  </r>
  <r>
    <n v="218144586"/>
    <d v="2023-07-02T00:00:00"/>
    <m/>
    <x v="0"/>
    <n v="39"/>
    <s v="month"/>
    <s v=""/>
    <x v="3"/>
    <s v="No"/>
    <n v="0"/>
    <n v="0"/>
    <s v=""/>
  </r>
  <r>
    <n v="217863596"/>
    <d v="2023-07-02T00:00:00"/>
    <d v="2023-08-20T00:00:00"/>
    <x v="0"/>
    <n v="39"/>
    <s v="month"/>
    <n v="49"/>
    <x v="3"/>
    <s v="No"/>
    <n v="0"/>
    <n v="1"/>
    <n v="49"/>
  </r>
  <r>
    <n v="218098580"/>
    <d v="2023-07-02T00:00:00"/>
    <d v="2023-08-30T00:00:00"/>
    <x v="0"/>
    <n v="39"/>
    <s v="month"/>
    <n v="59"/>
    <x v="3"/>
    <s v="No"/>
    <n v="0"/>
    <n v="1"/>
    <n v="59"/>
  </r>
  <r>
    <n v="215602271"/>
    <d v="2023-07-02T00:00:00"/>
    <d v="2023-07-27T00:00:00"/>
    <x v="0"/>
    <n v="39"/>
    <s v="month"/>
    <n v="25"/>
    <x v="3"/>
    <s v="No"/>
    <n v="0"/>
    <n v="0"/>
    <n v="25"/>
  </r>
  <r>
    <n v="218202086"/>
    <d v="2023-07-03T00:00:00"/>
    <m/>
    <x v="0"/>
    <n v="39"/>
    <s v="month"/>
    <s v=""/>
    <x v="4"/>
    <s v="No"/>
    <n v="0"/>
    <n v="0"/>
    <s v=""/>
  </r>
  <r>
    <n v="217927897"/>
    <d v="2023-07-03T00:00:00"/>
    <m/>
    <x v="0"/>
    <n v="39"/>
    <s v="month"/>
    <s v=""/>
    <x v="4"/>
    <s v="No"/>
    <n v="0"/>
    <n v="0"/>
    <s v=""/>
  </r>
  <r>
    <n v="217856402"/>
    <d v="2023-07-03T00:00:00"/>
    <m/>
    <x v="0"/>
    <n v="39"/>
    <s v="month"/>
    <s v=""/>
    <x v="4"/>
    <s v="No"/>
    <n v="0"/>
    <n v="0"/>
    <s v=""/>
  </r>
  <r>
    <n v="217588559"/>
    <d v="2023-07-03T00:00:00"/>
    <m/>
    <x v="0"/>
    <n v="39"/>
    <s v="month"/>
    <s v=""/>
    <x v="4"/>
    <s v="No"/>
    <n v="0"/>
    <n v="0"/>
    <s v=""/>
  </r>
  <r>
    <n v="212136438"/>
    <d v="2023-07-03T00:00:00"/>
    <m/>
    <x v="0"/>
    <n v="39"/>
    <s v="month"/>
    <s v=""/>
    <x v="4"/>
    <s v="No"/>
    <n v="0"/>
    <n v="0"/>
    <s v=""/>
  </r>
  <r>
    <n v="138548670"/>
    <d v="2023-07-03T00:00:00"/>
    <m/>
    <x v="0"/>
    <n v="39"/>
    <s v="month"/>
    <s v=""/>
    <x v="4"/>
    <s v="No"/>
    <n v="0"/>
    <n v="0"/>
    <s v=""/>
  </r>
  <r>
    <n v="217588559"/>
    <d v="2023-07-03T00:00:00"/>
    <d v="2023-07-03T00:00:00"/>
    <x v="0"/>
    <n v="39"/>
    <s v="month"/>
    <n v="0"/>
    <x v="4"/>
    <s v="Yes"/>
    <n v="1"/>
    <n v="0"/>
    <n v="0"/>
  </r>
  <r>
    <n v="171893540"/>
    <d v="2023-07-03T00:00:00"/>
    <d v="2023-08-20T00:00:00"/>
    <x v="0"/>
    <n v="39"/>
    <s v="month"/>
    <n v="48"/>
    <x v="4"/>
    <s v="No"/>
    <n v="0"/>
    <n v="1"/>
    <n v="48"/>
  </r>
  <r>
    <n v="202412363"/>
    <d v="2023-07-03T00:00:00"/>
    <d v="2023-07-22T00:00:00"/>
    <x v="0"/>
    <n v="39"/>
    <s v="month"/>
    <n v="19"/>
    <x v="4"/>
    <s v="No"/>
    <n v="0"/>
    <n v="0"/>
    <n v="19"/>
  </r>
  <r>
    <n v="218129311"/>
    <d v="2023-07-03T00:00:00"/>
    <d v="2023-08-10T00:00:00"/>
    <x v="0"/>
    <n v="39"/>
    <s v="month"/>
    <n v="38"/>
    <x v="4"/>
    <s v="No"/>
    <n v="0"/>
    <n v="1"/>
    <n v="38"/>
  </r>
  <r>
    <n v="218092565"/>
    <d v="2023-07-03T00:00:00"/>
    <d v="2023-08-10T00:00:00"/>
    <x v="0"/>
    <n v="39"/>
    <s v="month"/>
    <n v="38"/>
    <x v="4"/>
    <s v="No"/>
    <n v="0"/>
    <n v="1"/>
    <n v="38"/>
  </r>
  <r>
    <n v="150436862"/>
    <d v="2023-07-04T00:00:00"/>
    <m/>
    <x v="0"/>
    <n v="39"/>
    <s v="month"/>
    <s v=""/>
    <x v="5"/>
    <s v="No"/>
    <n v="0"/>
    <n v="0"/>
    <s v=""/>
  </r>
  <r>
    <n v="218211840"/>
    <d v="2023-07-04T00:00:00"/>
    <m/>
    <x v="0"/>
    <n v="39"/>
    <s v="month"/>
    <s v=""/>
    <x v="5"/>
    <s v="No"/>
    <n v="0"/>
    <n v="0"/>
    <s v=""/>
  </r>
  <r>
    <n v="218235209"/>
    <d v="2023-07-04T00:00:00"/>
    <m/>
    <x v="0"/>
    <n v="39"/>
    <s v="month"/>
    <s v=""/>
    <x v="5"/>
    <s v="No"/>
    <n v="0"/>
    <n v="0"/>
    <s v=""/>
  </r>
  <r>
    <n v="132631414"/>
    <d v="2023-07-04T00:00:00"/>
    <m/>
    <x v="0"/>
    <n v="39"/>
    <s v="month"/>
    <s v=""/>
    <x v="5"/>
    <s v="No"/>
    <n v="0"/>
    <n v="0"/>
    <s v=""/>
  </r>
  <r>
    <n v="218254260"/>
    <d v="2023-07-04T00:00:00"/>
    <m/>
    <x v="0"/>
    <n v="39"/>
    <s v="month"/>
    <s v=""/>
    <x v="5"/>
    <s v="No"/>
    <n v="0"/>
    <n v="0"/>
    <s v=""/>
  </r>
  <r>
    <n v="218095604"/>
    <d v="2023-07-04T00:00:00"/>
    <m/>
    <x v="0"/>
    <n v="39"/>
    <s v="month"/>
    <s v=""/>
    <x v="5"/>
    <s v="No"/>
    <n v="0"/>
    <n v="0"/>
    <s v=""/>
  </r>
  <r>
    <n v="147845964"/>
    <d v="2023-07-04T00:00:00"/>
    <d v="2023-07-04T00:00:00"/>
    <x v="0"/>
    <n v="39"/>
    <s v="month"/>
    <n v="0"/>
    <x v="5"/>
    <s v="Yes"/>
    <n v="1"/>
    <n v="0"/>
    <n v="0"/>
  </r>
  <r>
    <n v="218242871"/>
    <d v="2023-07-04T00:00:00"/>
    <d v="2023-08-04T00:00:00"/>
    <x v="0"/>
    <n v="39"/>
    <s v="month"/>
    <n v="31"/>
    <x v="5"/>
    <s v="No"/>
    <n v="0"/>
    <n v="1"/>
    <n v="31"/>
  </r>
  <r>
    <n v="218238016"/>
    <d v="2023-07-04T00:00:00"/>
    <d v="2023-09-03T00:00:00"/>
    <x v="0"/>
    <n v="39"/>
    <s v="month"/>
    <n v="61"/>
    <x v="5"/>
    <s v="No"/>
    <n v="0"/>
    <n v="1"/>
    <n v="61"/>
  </r>
  <r>
    <n v="217387951"/>
    <d v="2023-07-04T00:00:00"/>
    <d v="2023-08-04T00:00:00"/>
    <x v="0"/>
    <n v="39"/>
    <s v="month"/>
    <n v="31"/>
    <x v="5"/>
    <s v="No"/>
    <n v="0"/>
    <n v="1"/>
    <n v="31"/>
  </r>
  <r>
    <n v="218236754"/>
    <d v="2023-07-04T00:00:00"/>
    <d v="2023-07-11T00:00:00"/>
    <x v="0"/>
    <n v="39"/>
    <s v="month"/>
    <n v="7"/>
    <x v="5"/>
    <s v="No"/>
    <n v="0"/>
    <n v="0"/>
    <n v="7"/>
  </r>
  <r>
    <n v="218307564"/>
    <d v="2023-07-05T00:00:00"/>
    <m/>
    <x v="0"/>
    <n v="39"/>
    <s v="month"/>
    <s v=""/>
    <x v="6"/>
    <s v="No"/>
    <n v="0"/>
    <n v="0"/>
    <s v=""/>
  </r>
  <r>
    <n v="150521180"/>
    <d v="2023-07-05T00:00:00"/>
    <m/>
    <x v="0"/>
    <n v="39"/>
    <s v="month"/>
    <s v=""/>
    <x v="6"/>
    <s v="No"/>
    <n v="0"/>
    <n v="0"/>
    <s v=""/>
  </r>
  <r>
    <n v="135240372"/>
    <d v="2023-07-05T00:00:00"/>
    <m/>
    <x v="0"/>
    <n v="39"/>
    <s v="month"/>
    <s v=""/>
    <x v="6"/>
    <s v="No"/>
    <n v="0"/>
    <n v="0"/>
    <s v=""/>
  </r>
  <r>
    <n v="218275834"/>
    <d v="2023-07-05T00:00:00"/>
    <m/>
    <x v="0"/>
    <n v="39"/>
    <s v="month"/>
    <s v=""/>
    <x v="6"/>
    <s v="No"/>
    <n v="0"/>
    <n v="0"/>
    <s v=""/>
  </r>
  <r>
    <n v="218028076"/>
    <d v="2023-07-05T00:00:00"/>
    <m/>
    <x v="0"/>
    <n v="39"/>
    <s v="month"/>
    <s v=""/>
    <x v="6"/>
    <s v="No"/>
    <n v="0"/>
    <n v="0"/>
    <s v=""/>
  </r>
  <r>
    <n v="164254865"/>
    <d v="2023-07-05T00:00:00"/>
    <m/>
    <x v="0"/>
    <n v="39"/>
    <s v="month"/>
    <s v=""/>
    <x v="6"/>
    <s v="No"/>
    <n v="0"/>
    <n v="0"/>
    <s v=""/>
  </r>
  <r>
    <n v="218274904"/>
    <d v="2023-07-05T00:00:00"/>
    <d v="2023-07-06T00:00:00"/>
    <x v="1"/>
    <n v="39"/>
    <s v="month"/>
    <n v="1"/>
    <x v="6"/>
    <s v="No"/>
    <n v="1"/>
    <n v="0"/>
    <n v="1"/>
  </r>
  <r>
    <n v="208473540"/>
    <d v="2023-07-05T00:00:00"/>
    <d v="2023-09-08T00:00:00"/>
    <x v="0"/>
    <n v="39"/>
    <s v="month"/>
    <n v="65"/>
    <x v="6"/>
    <s v="No"/>
    <n v="0"/>
    <n v="1"/>
    <n v="65"/>
  </r>
  <r>
    <n v="218233516"/>
    <d v="2023-07-05T00:00:00"/>
    <d v="2023-08-08T00:00:00"/>
    <x v="0"/>
    <n v="39"/>
    <s v="month"/>
    <n v="34"/>
    <x v="6"/>
    <s v="No"/>
    <n v="0"/>
    <n v="1"/>
    <n v="34"/>
  </r>
  <r>
    <n v="218261606"/>
    <d v="2023-07-05T00:00:00"/>
    <d v="2023-08-17T00:00:00"/>
    <x v="0"/>
    <n v="39"/>
    <s v="month"/>
    <n v="43"/>
    <x v="6"/>
    <s v="No"/>
    <n v="0"/>
    <n v="1"/>
    <n v="43"/>
  </r>
  <r>
    <n v="218289472"/>
    <d v="2023-07-05T00:00:00"/>
    <d v="2023-07-06T00:00:00"/>
    <x v="0"/>
    <n v="39"/>
    <s v="month"/>
    <n v="1"/>
    <x v="6"/>
    <s v="No"/>
    <n v="1"/>
    <n v="0"/>
    <n v="1"/>
  </r>
  <r>
    <n v="215946425"/>
    <d v="2023-07-05T00:00:00"/>
    <d v="2023-07-29T00:00:00"/>
    <x v="0"/>
    <n v="39"/>
    <s v="month"/>
    <n v="24"/>
    <x v="6"/>
    <s v="No"/>
    <n v="0"/>
    <n v="0"/>
    <n v="24"/>
  </r>
  <r>
    <n v="218284850"/>
    <d v="2023-07-05T00:00:00"/>
    <d v="2023-07-29T00:00:00"/>
    <x v="0"/>
    <n v="39"/>
    <s v="month"/>
    <n v="24"/>
    <x v="6"/>
    <s v="No"/>
    <n v="0"/>
    <n v="0"/>
    <n v="24"/>
  </r>
  <r>
    <n v="202151053"/>
    <d v="2023-07-06T00:00:00"/>
    <m/>
    <x v="0"/>
    <n v="39"/>
    <s v="month"/>
    <s v=""/>
    <x v="0"/>
    <s v="No"/>
    <n v="0"/>
    <n v="0"/>
    <s v=""/>
  </r>
  <r>
    <n v="112301350"/>
    <d v="2023-07-06T00:00:00"/>
    <m/>
    <x v="0"/>
    <n v="39"/>
    <s v="month"/>
    <s v=""/>
    <x v="0"/>
    <s v="No"/>
    <n v="0"/>
    <n v="0"/>
    <s v=""/>
  </r>
  <r>
    <n v="218300918"/>
    <d v="2023-07-06T00:00:00"/>
    <m/>
    <x v="0"/>
    <n v="39"/>
    <s v="month"/>
    <s v=""/>
    <x v="0"/>
    <s v="No"/>
    <n v="0"/>
    <n v="0"/>
    <s v=""/>
  </r>
  <r>
    <n v="205452800"/>
    <d v="2023-07-06T00:00:00"/>
    <m/>
    <x v="0"/>
    <n v="39"/>
    <s v="month"/>
    <s v=""/>
    <x v="0"/>
    <s v="No"/>
    <n v="0"/>
    <n v="0"/>
    <s v=""/>
  </r>
  <r>
    <n v="218278300"/>
    <d v="2023-07-06T00:00:00"/>
    <m/>
    <x v="0"/>
    <n v="39"/>
    <s v="month"/>
    <s v=""/>
    <x v="0"/>
    <s v="No"/>
    <n v="0"/>
    <n v="0"/>
    <s v=""/>
  </r>
  <r>
    <n v="216920844"/>
    <d v="2023-07-06T00:00:00"/>
    <m/>
    <x v="0"/>
    <n v="39"/>
    <s v="month"/>
    <s v=""/>
    <x v="0"/>
    <s v="No"/>
    <n v="0"/>
    <n v="0"/>
    <s v=""/>
  </r>
  <r>
    <n v="127100688"/>
    <d v="2023-07-06T00:00:00"/>
    <d v="2023-08-02T00:00:00"/>
    <x v="0"/>
    <n v="39"/>
    <s v="month"/>
    <n v="27"/>
    <x v="0"/>
    <s v="No"/>
    <n v="0"/>
    <n v="0"/>
    <n v="27"/>
  </r>
  <r>
    <n v="218345379"/>
    <d v="2023-07-06T00:00:00"/>
    <d v="2023-08-13T00:00:00"/>
    <x v="0"/>
    <n v="39"/>
    <s v="month"/>
    <n v="38"/>
    <x v="0"/>
    <s v="No"/>
    <n v="0"/>
    <n v="1"/>
    <n v="38"/>
  </r>
  <r>
    <n v="183507186"/>
    <d v="2023-07-06T00:00:00"/>
    <d v="2023-08-06T00:00:00"/>
    <x v="0"/>
    <n v="39"/>
    <s v="month"/>
    <n v="31"/>
    <x v="0"/>
    <s v="No"/>
    <n v="0"/>
    <n v="1"/>
    <n v="31"/>
  </r>
  <r>
    <n v="218133430"/>
    <d v="2023-07-07T00:00:00"/>
    <m/>
    <x v="0"/>
    <n v="39"/>
    <s v="month"/>
    <s v=""/>
    <x v="1"/>
    <s v="No"/>
    <n v="0"/>
    <n v="0"/>
    <s v=""/>
  </r>
  <r>
    <n v="147813476"/>
    <d v="2023-07-07T00:00:00"/>
    <m/>
    <x v="0"/>
    <n v="39"/>
    <s v="month"/>
    <s v=""/>
    <x v="1"/>
    <s v="No"/>
    <n v="0"/>
    <n v="0"/>
    <s v=""/>
  </r>
  <r>
    <n v="218375754"/>
    <d v="2023-07-07T00:00:00"/>
    <m/>
    <x v="0"/>
    <n v="39"/>
    <s v="month"/>
    <s v=""/>
    <x v="1"/>
    <s v="No"/>
    <n v="0"/>
    <n v="0"/>
    <s v=""/>
  </r>
  <r>
    <n v="216000482"/>
    <d v="2023-07-07T00:00:00"/>
    <m/>
    <x v="0"/>
    <n v="39"/>
    <s v="month"/>
    <s v=""/>
    <x v="1"/>
    <s v="No"/>
    <n v="0"/>
    <n v="0"/>
    <s v=""/>
  </r>
  <r>
    <n v="161549477"/>
    <d v="2023-07-07T00:00:00"/>
    <m/>
    <x v="0"/>
    <n v="39"/>
    <s v="month"/>
    <s v=""/>
    <x v="1"/>
    <s v="No"/>
    <n v="0"/>
    <n v="0"/>
    <s v=""/>
  </r>
  <r>
    <n v="133444654"/>
    <d v="2023-07-07T00:00:00"/>
    <d v="2023-07-10T00:00:00"/>
    <x v="0"/>
    <n v="39"/>
    <s v="month"/>
    <n v="3"/>
    <x v="1"/>
    <s v="No"/>
    <n v="0"/>
    <n v="0"/>
    <n v="3"/>
  </r>
  <r>
    <n v="217883594"/>
    <d v="2023-07-07T00:00:00"/>
    <d v="2023-07-27T00:00:00"/>
    <x v="0"/>
    <n v="39"/>
    <s v="month"/>
    <n v="20"/>
    <x v="1"/>
    <s v="No"/>
    <n v="0"/>
    <n v="0"/>
    <n v="20"/>
  </r>
  <r>
    <n v="197752733"/>
    <d v="2023-07-08T00:00:00"/>
    <m/>
    <x v="0"/>
    <n v="39"/>
    <s v="month"/>
    <s v=""/>
    <x v="2"/>
    <s v="No"/>
    <n v="0"/>
    <n v="0"/>
    <s v=""/>
  </r>
  <r>
    <n v="175884318"/>
    <d v="2023-07-08T00:00:00"/>
    <m/>
    <x v="0"/>
    <n v="39"/>
    <s v="month"/>
    <s v=""/>
    <x v="2"/>
    <s v="No"/>
    <n v="0"/>
    <n v="0"/>
    <s v=""/>
  </r>
  <r>
    <n v="218413958"/>
    <d v="2023-07-08T00:00:00"/>
    <m/>
    <x v="0"/>
    <n v="39"/>
    <s v="month"/>
    <s v=""/>
    <x v="2"/>
    <s v="No"/>
    <n v="0"/>
    <n v="0"/>
    <s v=""/>
  </r>
  <r>
    <n v="218434925"/>
    <d v="2023-07-08T00:00:00"/>
    <m/>
    <x v="0"/>
    <n v="39"/>
    <s v="month"/>
    <s v=""/>
    <x v="2"/>
    <s v="No"/>
    <n v="0"/>
    <n v="0"/>
    <s v=""/>
  </r>
  <r>
    <n v="156817946"/>
    <d v="2023-07-08T00:00:00"/>
    <m/>
    <x v="0"/>
    <n v="39"/>
    <s v="month"/>
    <s v=""/>
    <x v="2"/>
    <s v="No"/>
    <n v="0"/>
    <n v="0"/>
    <s v=""/>
  </r>
  <r>
    <n v="218427268"/>
    <d v="2023-07-08T00:00:00"/>
    <m/>
    <x v="0"/>
    <n v="39"/>
    <s v="month"/>
    <s v=""/>
    <x v="2"/>
    <s v="No"/>
    <n v="0"/>
    <n v="0"/>
    <s v=""/>
  </r>
  <r>
    <n v="208492287"/>
    <d v="2023-07-08T00:00:00"/>
    <m/>
    <x v="0"/>
    <n v="39"/>
    <s v="month"/>
    <s v=""/>
    <x v="2"/>
    <s v="No"/>
    <n v="0"/>
    <n v="0"/>
    <s v=""/>
  </r>
  <r>
    <n v="217499098"/>
    <d v="2023-07-08T00:00:00"/>
    <d v="2023-07-09T00:00:00"/>
    <x v="0"/>
    <n v="39"/>
    <s v="month"/>
    <n v="1"/>
    <x v="2"/>
    <s v="No"/>
    <n v="1"/>
    <n v="0"/>
    <n v="1"/>
  </r>
  <r>
    <n v="215723331"/>
    <d v="2023-07-08T00:00:00"/>
    <d v="2023-08-15T00:00:00"/>
    <x v="0"/>
    <n v="39"/>
    <s v="month"/>
    <n v="38"/>
    <x v="2"/>
    <s v="No"/>
    <n v="0"/>
    <n v="1"/>
    <n v="38"/>
  </r>
  <r>
    <n v="122616074"/>
    <d v="2023-07-09T00:00:00"/>
    <m/>
    <x v="0"/>
    <n v="39"/>
    <s v="month"/>
    <s v=""/>
    <x v="3"/>
    <s v="No"/>
    <n v="0"/>
    <n v="0"/>
    <s v=""/>
  </r>
  <r>
    <n v="218367490"/>
    <d v="2023-07-09T00:00:00"/>
    <m/>
    <x v="0"/>
    <n v="39"/>
    <s v="month"/>
    <s v=""/>
    <x v="3"/>
    <s v="No"/>
    <n v="0"/>
    <n v="0"/>
    <s v=""/>
  </r>
  <r>
    <n v="218415420"/>
    <d v="2023-07-09T00:00:00"/>
    <m/>
    <x v="0"/>
    <n v="39"/>
    <s v="month"/>
    <s v=""/>
    <x v="3"/>
    <s v="No"/>
    <n v="0"/>
    <n v="0"/>
    <s v=""/>
  </r>
  <r>
    <n v="135785962"/>
    <d v="2023-07-09T00:00:00"/>
    <m/>
    <x v="0"/>
    <n v="39"/>
    <s v="month"/>
    <s v=""/>
    <x v="3"/>
    <s v="No"/>
    <n v="0"/>
    <n v="0"/>
    <s v=""/>
  </r>
  <r>
    <n v="206121650"/>
    <d v="2023-07-09T00:00:00"/>
    <d v="2023-07-10T00:00:00"/>
    <x v="0"/>
    <n v="39"/>
    <s v="month"/>
    <n v="1"/>
    <x v="3"/>
    <s v="No"/>
    <n v="1"/>
    <n v="0"/>
    <n v="1"/>
  </r>
  <r>
    <n v="218129819"/>
    <d v="2023-07-09T00:00:00"/>
    <d v="2023-08-03T00:00:00"/>
    <x v="0"/>
    <n v="39"/>
    <s v="month"/>
    <n v="25"/>
    <x v="3"/>
    <s v="No"/>
    <n v="0"/>
    <n v="0"/>
    <n v="25"/>
  </r>
  <r>
    <n v="217766676"/>
    <d v="2023-07-09T00:00:00"/>
    <d v="2023-07-27T00:00:00"/>
    <x v="0"/>
    <n v="39"/>
    <s v="month"/>
    <n v="18"/>
    <x v="3"/>
    <s v="No"/>
    <n v="0"/>
    <n v="0"/>
    <n v="18"/>
  </r>
  <r>
    <n v="216886336"/>
    <d v="2023-07-10T00:00:00"/>
    <m/>
    <x v="0"/>
    <n v="39"/>
    <s v="month"/>
    <s v=""/>
    <x v="4"/>
    <s v="No"/>
    <n v="0"/>
    <n v="0"/>
    <s v=""/>
  </r>
  <r>
    <n v="217991032"/>
    <d v="2023-07-10T00:00:00"/>
    <m/>
    <x v="0"/>
    <n v="39"/>
    <s v="month"/>
    <s v=""/>
    <x v="4"/>
    <s v="No"/>
    <n v="0"/>
    <n v="0"/>
    <s v=""/>
  </r>
  <r>
    <n v="145797162"/>
    <d v="2023-07-10T00:00:00"/>
    <m/>
    <x v="0"/>
    <n v="39"/>
    <s v="month"/>
    <s v=""/>
    <x v="4"/>
    <s v="No"/>
    <n v="0"/>
    <n v="0"/>
    <s v=""/>
  </r>
  <r>
    <n v="217581606"/>
    <d v="2023-07-10T00:00:00"/>
    <m/>
    <x v="0"/>
    <n v="39"/>
    <s v="month"/>
    <s v=""/>
    <x v="4"/>
    <s v="No"/>
    <n v="0"/>
    <n v="0"/>
    <s v=""/>
  </r>
  <r>
    <n v="218459038"/>
    <d v="2023-07-10T00:00:00"/>
    <d v="2023-07-11T00:00:00"/>
    <x v="0"/>
    <n v="39"/>
    <s v="month"/>
    <n v="1"/>
    <x v="4"/>
    <s v="No"/>
    <n v="1"/>
    <n v="0"/>
    <n v="1"/>
  </r>
  <r>
    <n v="218526124"/>
    <d v="2023-07-10T00:00:00"/>
    <d v="2023-07-11T00:00:00"/>
    <x v="1"/>
    <n v="39"/>
    <s v="month"/>
    <n v="1"/>
    <x v="4"/>
    <s v="No"/>
    <n v="1"/>
    <n v="0"/>
    <n v="1"/>
  </r>
  <r>
    <n v="216335430"/>
    <d v="2023-07-10T00:00:00"/>
    <d v="2023-07-10T00:00:00"/>
    <x v="1"/>
    <n v="39"/>
    <s v="month"/>
    <n v="0"/>
    <x v="4"/>
    <s v="Yes"/>
    <n v="1"/>
    <n v="0"/>
    <n v="0"/>
  </r>
  <r>
    <n v="218519862"/>
    <d v="2023-07-10T00:00:00"/>
    <d v="2023-07-11T00:00:00"/>
    <x v="1"/>
    <n v="39"/>
    <s v="month"/>
    <n v="1"/>
    <x v="4"/>
    <s v="No"/>
    <n v="1"/>
    <n v="0"/>
    <n v="1"/>
  </r>
  <r>
    <n v="218496811"/>
    <d v="2023-07-10T00:00:00"/>
    <d v="2023-07-10T00:00:00"/>
    <x v="1"/>
    <n v="39"/>
    <s v="month"/>
    <n v="0"/>
    <x v="4"/>
    <s v="Yes"/>
    <n v="1"/>
    <n v="0"/>
    <n v="0"/>
  </r>
  <r>
    <n v="218490122"/>
    <d v="2023-07-10T00:00:00"/>
    <d v="2023-07-11T00:00:00"/>
    <x v="1"/>
    <n v="39"/>
    <s v="month"/>
    <n v="1"/>
    <x v="4"/>
    <s v="No"/>
    <n v="1"/>
    <n v="0"/>
    <n v="1"/>
  </r>
  <r>
    <n v="216337502"/>
    <d v="2023-07-10T00:00:00"/>
    <d v="2023-07-10T00:00:00"/>
    <x v="1"/>
    <n v="39"/>
    <s v="month"/>
    <n v="0"/>
    <x v="4"/>
    <s v="Yes"/>
    <n v="1"/>
    <n v="0"/>
    <n v="0"/>
  </r>
  <r>
    <n v="143111905"/>
    <d v="2023-07-10T00:00:00"/>
    <d v="2023-08-17T00:00:00"/>
    <x v="0"/>
    <n v="39"/>
    <s v="month"/>
    <n v="38"/>
    <x v="4"/>
    <s v="No"/>
    <n v="0"/>
    <n v="1"/>
    <n v="38"/>
  </r>
  <r>
    <n v="217709772"/>
    <d v="2023-07-10T00:00:00"/>
    <d v="2023-08-12T00:00:00"/>
    <x v="0"/>
    <n v="39"/>
    <s v="month"/>
    <n v="33"/>
    <x v="4"/>
    <s v="No"/>
    <n v="0"/>
    <n v="1"/>
    <n v="33"/>
  </r>
  <r>
    <n v="214924190"/>
    <d v="2023-07-10T00:00:00"/>
    <d v="2023-08-10T00:00:00"/>
    <x v="0"/>
    <n v="39"/>
    <s v="month"/>
    <n v="31"/>
    <x v="4"/>
    <s v="No"/>
    <n v="0"/>
    <n v="1"/>
    <n v="31"/>
  </r>
  <r>
    <n v="217914198"/>
    <d v="2023-07-10T00:00:00"/>
    <d v="2023-07-30T00:00:00"/>
    <x v="0"/>
    <n v="39"/>
    <s v="month"/>
    <n v="20"/>
    <x v="4"/>
    <s v="No"/>
    <n v="0"/>
    <n v="0"/>
    <n v="20"/>
  </r>
  <r>
    <n v="217773501"/>
    <d v="2023-07-10T00:00:00"/>
    <d v="2023-07-10T00:00:00"/>
    <x v="0"/>
    <n v="39"/>
    <s v="month"/>
    <n v="0"/>
    <x v="4"/>
    <s v="Yes"/>
    <n v="1"/>
    <n v="0"/>
    <n v="0"/>
  </r>
  <r>
    <n v="215311765"/>
    <d v="2023-07-11T00:00:00"/>
    <m/>
    <x v="0"/>
    <n v="39"/>
    <s v="month"/>
    <s v=""/>
    <x v="5"/>
    <s v="No"/>
    <n v="0"/>
    <n v="0"/>
    <s v=""/>
  </r>
  <r>
    <n v="218554220"/>
    <d v="2023-07-11T00:00:00"/>
    <m/>
    <x v="0"/>
    <n v="39"/>
    <s v="month"/>
    <s v=""/>
    <x v="5"/>
    <s v="No"/>
    <n v="0"/>
    <n v="0"/>
    <s v=""/>
  </r>
  <r>
    <n v="209743418"/>
    <d v="2023-07-11T00:00:00"/>
    <m/>
    <x v="0"/>
    <n v="39"/>
    <s v="month"/>
    <s v=""/>
    <x v="5"/>
    <s v="No"/>
    <n v="0"/>
    <n v="0"/>
    <s v=""/>
  </r>
  <r>
    <n v="218553244"/>
    <d v="2023-07-11T00:00:00"/>
    <m/>
    <x v="0"/>
    <n v="39"/>
    <s v="month"/>
    <s v=""/>
    <x v="5"/>
    <s v="No"/>
    <n v="0"/>
    <n v="0"/>
    <s v=""/>
  </r>
  <r>
    <n v="218548492"/>
    <d v="2023-07-11T00:00:00"/>
    <m/>
    <x v="0"/>
    <n v="39"/>
    <s v="month"/>
    <s v=""/>
    <x v="5"/>
    <s v="No"/>
    <n v="0"/>
    <n v="0"/>
    <s v=""/>
  </r>
  <r>
    <n v="217958138"/>
    <d v="2023-07-11T00:00:00"/>
    <m/>
    <x v="0"/>
    <n v="39"/>
    <s v="month"/>
    <s v=""/>
    <x v="5"/>
    <s v="No"/>
    <n v="0"/>
    <n v="0"/>
    <s v=""/>
  </r>
  <r>
    <n v="218365623"/>
    <d v="2023-07-11T00:00:00"/>
    <m/>
    <x v="0"/>
    <n v="39"/>
    <s v="month"/>
    <s v=""/>
    <x v="5"/>
    <s v="No"/>
    <n v="0"/>
    <n v="0"/>
    <s v=""/>
  </r>
  <r>
    <n v="218512642"/>
    <d v="2023-07-11T00:00:00"/>
    <m/>
    <x v="0"/>
    <n v="39"/>
    <s v="month"/>
    <s v=""/>
    <x v="5"/>
    <s v="No"/>
    <n v="0"/>
    <n v="0"/>
    <s v=""/>
  </r>
  <r>
    <n v="218569099"/>
    <d v="2023-07-11T00:00:00"/>
    <d v="2023-09-05T00:00:00"/>
    <x v="0"/>
    <n v="39"/>
    <s v="month"/>
    <n v="56"/>
    <x v="5"/>
    <s v="No"/>
    <n v="0"/>
    <n v="1"/>
    <n v="56"/>
  </r>
  <r>
    <n v="218304590"/>
    <d v="2023-07-11T00:00:00"/>
    <d v="2023-08-30T00:00:00"/>
    <x v="0"/>
    <n v="39"/>
    <s v="month"/>
    <n v="50"/>
    <x v="5"/>
    <s v="No"/>
    <n v="0"/>
    <n v="1"/>
    <n v="50"/>
  </r>
  <r>
    <n v="215390636"/>
    <d v="2023-07-11T00:00:00"/>
    <d v="2023-09-07T00:00:00"/>
    <x v="0"/>
    <n v="39"/>
    <s v="month"/>
    <n v="58"/>
    <x v="5"/>
    <s v="No"/>
    <n v="0"/>
    <n v="1"/>
    <n v="58"/>
  </r>
  <r>
    <n v="218538760"/>
    <d v="2023-07-11T00:00:00"/>
    <d v="2023-08-18T00:00:00"/>
    <x v="0"/>
    <n v="39"/>
    <s v="month"/>
    <n v="38"/>
    <x v="5"/>
    <s v="No"/>
    <n v="0"/>
    <n v="1"/>
    <n v="38"/>
  </r>
  <r>
    <n v="218544489"/>
    <d v="2023-07-11T00:00:00"/>
    <d v="2023-08-11T00:00:00"/>
    <x v="0"/>
    <n v="39"/>
    <s v="month"/>
    <n v="31"/>
    <x v="5"/>
    <s v="No"/>
    <n v="0"/>
    <n v="1"/>
    <n v="31"/>
  </r>
  <r>
    <n v="180161087"/>
    <d v="2023-07-11T00:00:00"/>
    <d v="2023-08-10T00:00:00"/>
    <x v="0"/>
    <n v="39"/>
    <s v="month"/>
    <n v="30"/>
    <x v="5"/>
    <s v="No"/>
    <n v="0"/>
    <n v="0"/>
    <n v="30"/>
  </r>
  <r>
    <n v="218484551"/>
    <d v="2023-07-11T00:00:00"/>
    <d v="2023-08-18T00:00:00"/>
    <x v="0"/>
    <n v="39"/>
    <s v="month"/>
    <n v="38"/>
    <x v="5"/>
    <s v="No"/>
    <n v="0"/>
    <n v="1"/>
    <n v="38"/>
  </r>
  <r>
    <n v="218570737"/>
    <d v="2023-07-11T00:00:00"/>
    <d v="2023-07-12T00:00:00"/>
    <x v="0"/>
    <n v="39"/>
    <s v="month"/>
    <n v="1"/>
    <x v="5"/>
    <s v="No"/>
    <n v="1"/>
    <n v="0"/>
    <n v="1"/>
  </r>
  <r>
    <n v="218526607"/>
    <d v="2023-07-12T00:00:00"/>
    <m/>
    <x v="0"/>
    <n v="39"/>
    <s v="month"/>
    <s v=""/>
    <x v="6"/>
    <s v="No"/>
    <n v="0"/>
    <n v="0"/>
    <s v=""/>
  </r>
  <r>
    <n v="211011508"/>
    <d v="2023-07-12T00:00:00"/>
    <m/>
    <x v="0"/>
    <n v="39"/>
    <s v="month"/>
    <s v=""/>
    <x v="6"/>
    <s v="No"/>
    <n v="0"/>
    <n v="0"/>
    <s v=""/>
  </r>
  <r>
    <n v="218610100"/>
    <d v="2023-07-12T00:00:00"/>
    <m/>
    <x v="0"/>
    <n v="39"/>
    <s v="month"/>
    <s v=""/>
    <x v="6"/>
    <s v="No"/>
    <n v="0"/>
    <n v="0"/>
    <s v=""/>
  </r>
  <r>
    <n v="206055148"/>
    <d v="2023-07-12T00:00:00"/>
    <m/>
    <x v="0"/>
    <n v="39"/>
    <s v="month"/>
    <s v=""/>
    <x v="6"/>
    <s v="No"/>
    <n v="0"/>
    <n v="0"/>
    <s v=""/>
  </r>
  <r>
    <n v="150509877"/>
    <d v="2023-07-12T00:00:00"/>
    <m/>
    <x v="0"/>
    <n v="39"/>
    <s v="month"/>
    <s v=""/>
    <x v="6"/>
    <s v="No"/>
    <n v="0"/>
    <n v="0"/>
    <s v=""/>
  </r>
  <r>
    <n v="218498112"/>
    <d v="2023-07-12T00:00:00"/>
    <m/>
    <x v="0"/>
    <n v="39"/>
    <s v="month"/>
    <s v=""/>
    <x v="6"/>
    <s v="No"/>
    <n v="0"/>
    <n v="0"/>
    <s v=""/>
  </r>
  <r>
    <n v="218624538"/>
    <d v="2023-07-12T00:00:00"/>
    <d v="2023-08-22T00:00:00"/>
    <x v="0"/>
    <n v="39"/>
    <s v="month"/>
    <n v="41"/>
    <x v="6"/>
    <s v="No"/>
    <n v="0"/>
    <n v="1"/>
    <n v="41"/>
  </r>
  <r>
    <n v="218467300"/>
    <d v="2023-07-12T00:00:00"/>
    <d v="2023-08-13T00:00:00"/>
    <x v="0"/>
    <n v="39"/>
    <s v="month"/>
    <n v="32"/>
    <x v="6"/>
    <s v="No"/>
    <n v="0"/>
    <n v="1"/>
    <n v="32"/>
  </r>
  <r>
    <n v="218509554"/>
    <d v="2023-07-12T00:00:00"/>
    <d v="2023-07-22T00:00:00"/>
    <x v="0"/>
    <n v="39"/>
    <s v="month"/>
    <n v="10"/>
    <x v="6"/>
    <s v="No"/>
    <n v="0"/>
    <n v="0"/>
    <n v="10"/>
  </r>
  <r>
    <n v="218257588"/>
    <d v="2023-07-13T00:00:00"/>
    <m/>
    <x v="0"/>
    <n v="39"/>
    <s v="month"/>
    <s v=""/>
    <x v="0"/>
    <s v="No"/>
    <n v="0"/>
    <n v="0"/>
    <s v=""/>
  </r>
  <r>
    <n v="218114325"/>
    <d v="2023-07-13T00:00:00"/>
    <m/>
    <x v="0"/>
    <n v="39"/>
    <s v="month"/>
    <s v=""/>
    <x v="0"/>
    <s v="No"/>
    <n v="0"/>
    <n v="0"/>
    <s v=""/>
  </r>
  <r>
    <n v="218325441"/>
    <d v="2023-07-13T00:00:00"/>
    <m/>
    <x v="0"/>
    <n v="39"/>
    <s v="month"/>
    <s v=""/>
    <x v="0"/>
    <s v="No"/>
    <n v="0"/>
    <n v="0"/>
    <s v=""/>
  </r>
  <r>
    <n v="218235047"/>
    <d v="2023-07-13T00:00:00"/>
    <m/>
    <x v="0"/>
    <n v="39"/>
    <s v="month"/>
    <s v=""/>
    <x v="0"/>
    <s v="No"/>
    <n v="0"/>
    <n v="0"/>
    <s v=""/>
  </r>
  <r>
    <n v="218598866"/>
    <d v="2023-07-13T00:00:00"/>
    <m/>
    <x v="0"/>
    <n v="39"/>
    <s v="month"/>
    <s v=""/>
    <x v="0"/>
    <s v="No"/>
    <n v="0"/>
    <n v="0"/>
    <s v=""/>
  </r>
  <r>
    <n v="218644881"/>
    <d v="2023-07-13T00:00:00"/>
    <d v="2023-08-16T00:00:00"/>
    <x v="0"/>
    <n v="39"/>
    <s v="month"/>
    <n v="34"/>
    <x v="0"/>
    <s v="No"/>
    <n v="0"/>
    <n v="1"/>
    <n v="34"/>
  </r>
  <r>
    <n v="218509727"/>
    <d v="2023-07-13T00:00:00"/>
    <d v="2023-08-09T00:00:00"/>
    <x v="0"/>
    <n v="39"/>
    <s v="month"/>
    <n v="27"/>
    <x v="0"/>
    <s v="No"/>
    <n v="0"/>
    <n v="0"/>
    <n v="27"/>
  </r>
  <r>
    <n v="150623785"/>
    <d v="2023-07-13T00:00:00"/>
    <d v="2023-08-14T00:00:00"/>
    <x v="0"/>
    <n v="39"/>
    <s v="month"/>
    <n v="32"/>
    <x v="0"/>
    <s v="No"/>
    <n v="0"/>
    <n v="1"/>
    <n v="32"/>
  </r>
  <r>
    <n v="218586552"/>
    <d v="2023-07-13T00:00:00"/>
    <d v="2023-08-14T00:00:00"/>
    <x v="0"/>
    <n v="39"/>
    <s v="month"/>
    <n v="32"/>
    <x v="0"/>
    <s v="No"/>
    <n v="0"/>
    <n v="1"/>
    <n v="32"/>
  </r>
  <r>
    <n v="218514844"/>
    <d v="2023-07-13T00:00:00"/>
    <d v="2023-07-17T00:00:00"/>
    <x v="0"/>
    <n v="39"/>
    <s v="month"/>
    <n v="4"/>
    <x v="0"/>
    <s v="No"/>
    <n v="0"/>
    <n v="0"/>
    <n v="4"/>
  </r>
  <r>
    <n v="218694806"/>
    <d v="2023-07-14T00:00:00"/>
    <m/>
    <x v="0"/>
    <n v="39"/>
    <s v="month"/>
    <s v=""/>
    <x v="1"/>
    <s v="No"/>
    <n v="0"/>
    <n v="0"/>
    <s v=""/>
  </r>
  <r>
    <n v="218678174"/>
    <d v="2023-07-14T00:00:00"/>
    <m/>
    <x v="0"/>
    <n v="39"/>
    <s v="month"/>
    <s v=""/>
    <x v="1"/>
    <s v="No"/>
    <n v="0"/>
    <n v="0"/>
    <s v=""/>
  </r>
  <r>
    <n v="218695487"/>
    <d v="2023-07-14T00:00:00"/>
    <d v="2023-09-08T00:00:00"/>
    <x v="0"/>
    <n v="39"/>
    <s v="month"/>
    <n v="56"/>
    <x v="1"/>
    <s v="No"/>
    <n v="0"/>
    <n v="1"/>
    <n v="56"/>
  </r>
  <r>
    <n v="218678790"/>
    <d v="2023-07-14T00:00:00"/>
    <d v="2023-08-21T00:00:00"/>
    <x v="0"/>
    <n v="39"/>
    <s v="month"/>
    <n v="38"/>
    <x v="1"/>
    <s v="No"/>
    <n v="0"/>
    <n v="1"/>
    <n v="38"/>
  </r>
  <r>
    <n v="217499098"/>
    <d v="2023-07-14T00:00:00"/>
    <d v="2023-08-21T00:00:00"/>
    <x v="0"/>
    <n v="39"/>
    <s v="month"/>
    <n v="38"/>
    <x v="1"/>
    <s v="No"/>
    <n v="0"/>
    <n v="1"/>
    <n v="38"/>
  </r>
  <r>
    <n v="217976753"/>
    <d v="2023-07-14T00:00:00"/>
    <d v="2023-08-21T00:00:00"/>
    <x v="0"/>
    <n v="39"/>
    <s v="month"/>
    <n v="38"/>
    <x v="1"/>
    <s v="No"/>
    <n v="0"/>
    <n v="1"/>
    <n v="38"/>
  </r>
  <r>
    <n v="199359226"/>
    <d v="2023-07-14T00:00:00"/>
    <d v="2023-07-15T00:00:00"/>
    <x v="0"/>
    <n v="39"/>
    <s v="month"/>
    <n v="1"/>
    <x v="1"/>
    <s v="No"/>
    <n v="1"/>
    <n v="0"/>
    <n v="1"/>
  </r>
  <r>
    <n v="121814098"/>
    <d v="2023-07-15T00:00:00"/>
    <m/>
    <x v="0"/>
    <n v="39"/>
    <s v="month"/>
    <s v=""/>
    <x v="2"/>
    <s v="No"/>
    <n v="0"/>
    <n v="0"/>
    <s v=""/>
  </r>
  <r>
    <n v="215605718"/>
    <d v="2023-07-15T00:00:00"/>
    <m/>
    <x v="0"/>
    <n v="39"/>
    <s v="month"/>
    <s v=""/>
    <x v="2"/>
    <s v="No"/>
    <n v="0"/>
    <n v="0"/>
    <s v=""/>
  </r>
  <r>
    <n v="218325705"/>
    <d v="2023-07-15T00:00:00"/>
    <m/>
    <x v="0"/>
    <n v="39"/>
    <s v="month"/>
    <s v=""/>
    <x v="2"/>
    <s v="No"/>
    <n v="0"/>
    <n v="0"/>
    <s v=""/>
  </r>
  <r>
    <n v="208598253"/>
    <d v="2023-07-15T00:00:00"/>
    <m/>
    <x v="0"/>
    <n v="39"/>
    <s v="month"/>
    <s v=""/>
    <x v="2"/>
    <s v="No"/>
    <n v="0"/>
    <n v="0"/>
    <s v=""/>
  </r>
  <r>
    <n v="218655628"/>
    <d v="2023-07-15T00:00:00"/>
    <m/>
    <x v="0"/>
    <n v="39"/>
    <s v="month"/>
    <s v=""/>
    <x v="2"/>
    <s v="No"/>
    <n v="0"/>
    <n v="0"/>
    <s v=""/>
  </r>
  <r>
    <n v="185602413"/>
    <d v="2023-07-15T00:00:00"/>
    <d v="2023-07-16T00:00:00"/>
    <x v="0"/>
    <n v="39"/>
    <s v="month"/>
    <n v="1"/>
    <x v="2"/>
    <s v="No"/>
    <n v="1"/>
    <n v="0"/>
    <n v="1"/>
  </r>
  <r>
    <n v="154082747"/>
    <d v="2023-07-15T00:00:00"/>
    <d v="2023-07-23T00:00:00"/>
    <x v="0"/>
    <n v="39"/>
    <s v="month"/>
    <n v="8"/>
    <x v="2"/>
    <s v="No"/>
    <n v="0"/>
    <n v="0"/>
    <n v="8"/>
  </r>
  <r>
    <n v="218017402"/>
    <d v="2023-07-15T00:00:00"/>
    <d v="2023-08-22T00:00:00"/>
    <x v="0"/>
    <n v="39"/>
    <s v="month"/>
    <n v="38"/>
    <x v="2"/>
    <s v="No"/>
    <n v="0"/>
    <n v="1"/>
    <n v="38"/>
  </r>
  <r>
    <n v="218792880"/>
    <d v="2023-07-16T00:00:00"/>
    <m/>
    <x v="0"/>
    <n v="39"/>
    <s v="month"/>
    <s v=""/>
    <x v="3"/>
    <s v="No"/>
    <n v="0"/>
    <n v="0"/>
    <s v=""/>
  </r>
  <r>
    <n v="218761808"/>
    <d v="2023-07-16T00:00:00"/>
    <m/>
    <x v="0"/>
    <n v="39"/>
    <s v="month"/>
    <s v=""/>
    <x v="3"/>
    <s v="No"/>
    <n v="0"/>
    <n v="0"/>
    <s v=""/>
  </r>
  <r>
    <n v="149303812"/>
    <d v="2023-07-16T00:00:00"/>
    <m/>
    <x v="0"/>
    <n v="39"/>
    <s v="month"/>
    <s v=""/>
    <x v="3"/>
    <s v="No"/>
    <n v="0"/>
    <n v="0"/>
    <s v=""/>
  </r>
  <r>
    <n v="216144261"/>
    <d v="2023-07-16T00:00:00"/>
    <m/>
    <x v="0"/>
    <n v="39"/>
    <s v="month"/>
    <s v=""/>
    <x v="3"/>
    <s v="No"/>
    <n v="0"/>
    <n v="0"/>
    <s v=""/>
  </r>
  <r>
    <n v="215976742"/>
    <d v="2023-07-16T00:00:00"/>
    <m/>
    <x v="0"/>
    <n v="39"/>
    <s v="month"/>
    <s v=""/>
    <x v="3"/>
    <s v="No"/>
    <n v="0"/>
    <n v="0"/>
    <s v=""/>
  </r>
  <r>
    <n v="218617631"/>
    <d v="2023-07-16T00:00:00"/>
    <d v="2023-08-23T00:00:00"/>
    <x v="0"/>
    <n v="39"/>
    <s v="month"/>
    <n v="38"/>
    <x v="3"/>
    <s v="No"/>
    <n v="0"/>
    <n v="1"/>
    <n v="38"/>
  </r>
  <r>
    <n v="218770458"/>
    <d v="2023-07-16T00:00:00"/>
    <d v="2023-08-03T00:00:00"/>
    <x v="0"/>
    <n v="39"/>
    <s v="month"/>
    <n v="18"/>
    <x v="3"/>
    <s v="No"/>
    <n v="0"/>
    <n v="0"/>
    <n v="18"/>
  </r>
  <r>
    <n v="218720472"/>
    <d v="2023-07-16T00:00:00"/>
    <d v="2023-08-19T00:00:00"/>
    <x v="0"/>
    <n v="39"/>
    <s v="month"/>
    <n v="34"/>
    <x v="3"/>
    <s v="No"/>
    <n v="0"/>
    <n v="1"/>
    <n v="34"/>
  </r>
  <r>
    <n v="218846909"/>
    <d v="2023-07-17T00:00:00"/>
    <m/>
    <x v="0"/>
    <n v="39"/>
    <s v="month"/>
    <s v=""/>
    <x v="4"/>
    <s v="No"/>
    <n v="0"/>
    <n v="0"/>
    <s v=""/>
  </r>
  <r>
    <n v="214714278"/>
    <d v="2023-07-17T00:00:00"/>
    <m/>
    <x v="0"/>
    <n v="39"/>
    <s v="month"/>
    <s v=""/>
    <x v="4"/>
    <s v="No"/>
    <n v="0"/>
    <n v="0"/>
    <s v=""/>
  </r>
  <r>
    <n v="218529158"/>
    <d v="2023-07-17T00:00:00"/>
    <m/>
    <x v="0"/>
    <n v="39"/>
    <s v="month"/>
    <s v=""/>
    <x v="4"/>
    <s v="No"/>
    <n v="0"/>
    <n v="0"/>
    <s v=""/>
  </r>
  <r>
    <n v="218837719"/>
    <d v="2023-07-17T00:00:00"/>
    <m/>
    <x v="0"/>
    <n v="39"/>
    <s v="month"/>
    <s v=""/>
    <x v="4"/>
    <s v="No"/>
    <n v="0"/>
    <n v="0"/>
    <s v=""/>
  </r>
  <r>
    <n v="194367477"/>
    <d v="2023-07-17T00:00:00"/>
    <m/>
    <x v="0"/>
    <n v="39"/>
    <s v="month"/>
    <s v=""/>
    <x v="4"/>
    <s v="No"/>
    <n v="0"/>
    <n v="0"/>
    <s v=""/>
  </r>
  <r>
    <n v="218300066"/>
    <d v="2023-07-17T00:00:00"/>
    <m/>
    <x v="0"/>
    <n v="39"/>
    <s v="month"/>
    <s v=""/>
    <x v="4"/>
    <s v="No"/>
    <n v="0"/>
    <n v="0"/>
    <s v=""/>
  </r>
  <r>
    <n v="218553583"/>
    <d v="2023-07-17T00:00:00"/>
    <m/>
    <x v="0"/>
    <n v="39"/>
    <s v="month"/>
    <s v=""/>
    <x v="4"/>
    <s v="No"/>
    <n v="0"/>
    <n v="0"/>
    <s v=""/>
  </r>
  <r>
    <n v="149657162"/>
    <d v="2023-07-17T00:00:00"/>
    <d v="2023-07-18T00:00:00"/>
    <x v="0"/>
    <n v="39"/>
    <s v="month"/>
    <n v="1"/>
    <x v="4"/>
    <s v="No"/>
    <n v="1"/>
    <n v="0"/>
    <n v="1"/>
  </r>
  <r>
    <n v="125920876"/>
    <d v="2023-07-17T00:00:00"/>
    <d v="2023-08-24T00:00:00"/>
    <x v="0"/>
    <n v="39"/>
    <s v="month"/>
    <n v="38"/>
    <x v="4"/>
    <s v="No"/>
    <n v="0"/>
    <n v="1"/>
    <n v="38"/>
  </r>
  <r>
    <n v="217403566"/>
    <d v="2023-07-17T00:00:00"/>
    <d v="2023-08-14T00:00:00"/>
    <x v="0"/>
    <n v="39"/>
    <s v="month"/>
    <n v="28"/>
    <x v="4"/>
    <s v="No"/>
    <n v="0"/>
    <n v="0"/>
    <n v="28"/>
  </r>
  <r>
    <n v="218677370"/>
    <d v="2023-07-17T00:00:00"/>
    <d v="2023-08-15T00:00:00"/>
    <x v="0"/>
    <n v="39"/>
    <s v="month"/>
    <n v="29"/>
    <x v="4"/>
    <s v="No"/>
    <n v="0"/>
    <n v="0"/>
    <n v="29"/>
  </r>
  <r>
    <n v="218598875"/>
    <d v="2023-07-17T00:00:00"/>
    <d v="2023-08-24T00:00:00"/>
    <x v="0"/>
    <n v="39"/>
    <s v="month"/>
    <n v="38"/>
    <x v="4"/>
    <s v="No"/>
    <n v="0"/>
    <n v="1"/>
    <n v="38"/>
  </r>
  <r>
    <n v="203116529"/>
    <d v="2023-07-17T00:00:00"/>
    <d v="2023-07-17T00:00:00"/>
    <x v="0"/>
    <n v="39"/>
    <s v="month"/>
    <n v="0"/>
    <x v="4"/>
    <s v="Yes"/>
    <n v="1"/>
    <n v="0"/>
    <n v="0"/>
  </r>
  <r>
    <n v="218808831"/>
    <d v="2023-07-17T00:00:00"/>
    <d v="2023-09-01T00:00:00"/>
    <x v="0"/>
    <n v="39"/>
    <s v="month"/>
    <n v="46"/>
    <x v="4"/>
    <s v="No"/>
    <n v="0"/>
    <n v="1"/>
    <n v="46"/>
  </r>
  <r>
    <n v="218844240"/>
    <d v="2023-07-18T00:00:00"/>
    <m/>
    <x v="0"/>
    <n v="39"/>
    <s v="month"/>
    <s v=""/>
    <x v="5"/>
    <s v="No"/>
    <n v="0"/>
    <n v="0"/>
    <s v=""/>
  </r>
  <r>
    <n v="218863419"/>
    <d v="2023-07-18T00:00:00"/>
    <m/>
    <x v="0"/>
    <n v="39"/>
    <s v="month"/>
    <s v=""/>
    <x v="5"/>
    <s v="No"/>
    <n v="0"/>
    <n v="0"/>
    <s v=""/>
  </r>
  <r>
    <n v="218445704"/>
    <d v="2023-07-18T00:00:00"/>
    <m/>
    <x v="0"/>
    <n v="39"/>
    <s v="month"/>
    <s v=""/>
    <x v="5"/>
    <s v="No"/>
    <n v="0"/>
    <n v="0"/>
    <s v=""/>
  </r>
  <r>
    <n v="149411976"/>
    <d v="2023-07-18T00:00:00"/>
    <m/>
    <x v="0"/>
    <n v="39"/>
    <s v="month"/>
    <s v=""/>
    <x v="5"/>
    <s v="No"/>
    <n v="0"/>
    <n v="0"/>
    <s v=""/>
  </r>
  <r>
    <n v="218862674"/>
    <d v="2023-07-18T00:00:00"/>
    <m/>
    <x v="0"/>
    <n v="39"/>
    <s v="month"/>
    <s v=""/>
    <x v="5"/>
    <s v="No"/>
    <n v="0"/>
    <n v="0"/>
    <s v=""/>
  </r>
  <r>
    <n v="218851122"/>
    <d v="2023-07-18T00:00:00"/>
    <m/>
    <x v="0"/>
    <n v="39"/>
    <s v="month"/>
    <s v=""/>
    <x v="5"/>
    <s v="No"/>
    <n v="0"/>
    <n v="0"/>
    <s v=""/>
  </r>
  <r>
    <n v="153402484"/>
    <d v="2023-07-18T00:00:00"/>
    <d v="2023-09-01T00:00:00"/>
    <x v="0"/>
    <n v="39"/>
    <s v="month"/>
    <n v="45"/>
    <x v="5"/>
    <s v="No"/>
    <n v="0"/>
    <n v="1"/>
    <n v="45"/>
  </r>
  <r>
    <n v="218848831"/>
    <d v="2023-07-18T00:00:00"/>
    <d v="2023-08-26T00:00:00"/>
    <x v="0"/>
    <n v="39"/>
    <s v="month"/>
    <n v="39"/>
    <x v="5"/>
    <s v="No"/>
    <n v="0"/>
    <n v="1"/>
    <n v="39"/>
  </r>
  <r>
    <n v="159639128"/>
    <d v="2023-07-18T00:00:00"/>
    <d v="2023-07-18T00:00:00"/>
    <x v="0"/>
    <n v="39"/>
    <s v="month"/>
    <n v="0"/>
    <x v="5"/>
    <s v="Yes"/>
    <n v="1"/>
    <n v="0"/>
    <n v="0"/>
  </r>
  <r>
    <n v="214638700"/>
    <d v="2023-07-18T00:00:00"/>
    <d v="2023-07-19T00:00:00"/>
    <x v="1"/>
    <n v="39"/>
    <s v="month"/>
    <n v="1"/>
    <x v="5"/>
    <s v="No"/>
    <n v="1"/>
    <n v="0"/>
    <n v="1"/>
  </r>
  <r>
    <n v="218850789"/>
    <d v="2023-07-18T00:00:00"/>
    <d v="2023-08-18T00:00:00"/>
    <x v="0"/>
    <n v="39"/>
    <s v="month"/>
    <n v="31"/>
    <x v="5"/>
    <s v="No"/>
    <n v="0"/>
    <n v="1"/>
    <n v="31"/>
  </r>
  <r>
    <n v="155510287"/>
    <d v="2023-07-18T00:00:00"/>
    <d v="2023-08-12T00:00:00"/>
    <x v="0"/>
    <n v="39"/>
    <s v="month"/>
    <n v="25"/>
    <x v="5"/>
    <s v="No"/>
    <n v="0"/>
    <n v="0"/>
    <n v="25"/>
  </r>
  <r>
    <n v="218677703"/>
    <d v="2023-07-18T00:00:00"/>
    <d v="2023-07-24T00:00:00"/>
    <x v="0"/>
    <n v="39"/>
    <s v="month"/>
    <n v="6"/>
    <x v="5"/>
    <s v="No"/>
    <n v="0"/>
    <n v="0"/>
    <n v="6"/>
  </r>
  <r>
    <n v="218878930"/>
    <d v="2023-07-18T00:00:00"/>
    <d v="2023-07-20T00:00:00"/>
    <x v="0"/>
    <n v="39"/>
    <s v="month"/>
    <n v="2"/>
    <x v="5"/>
    <s v="No"/>
    <n v="1"/>
    <n v="0"/>
    <n v="2"/>
  </r>
  <r>
    <n v="218935022"/>
    <d v="2023-07-19T00:00:00"/>
    <m/>
    <x v="0"/>
    <n v="39"/>
    <s v="month"/>
    <s v=""/>
    <x v="6"/>
    <s v="No"/>
    <n v="0"/>
    <n v="0"/>
    <s v=""/>
  </r>
  <r>
    <n v="218925198"/>
    <d v="2023-07-19T00:00:00"/>
    <m/>
    <x v="0"/>
    <n v="39"/>
    <s v="month"/>
    <s v=""/>
    <x v="6"/>
    <s v="No"/>
    <n v="0"/>
    <n v="0"/>
    <s v=""/>
  </r>
  <r>
    <n v="218927120"/>
    <d v="2023-07-19T00:00:00"/>
    <m/>
    <x v="0"/>
    <n v="39"/>
    <s v="month"/>
    <s v=""/>
    <x v="6"/>
    <s v="No"/>
    <n v="0"/>
    <n v="0"/>
    <s v=""/>
  </r>
  <r>
    <n v="218930176"/>
    <d v="2023-07-19T00:00:00"/>
    <m/>
    <x v="0"/>
    <n v="39"/>
    <s v="month"/>
    <s v=""/>
    <x v="6"/>
    <s v="No"/>
    <n v="0"/>
    <n v="0"/>
    <s v=""/>
  </r>
  <r>
    <n v="216185482"/>
    <d v="2023-07-19T00:00:00"/>
    <m/>
    <x v="0"/>
    <n v="39"/>
    <s v="month"/>
    <s v=""/>
    <x v="6"/>
    <s v="No"/>
    <n v="0"/>
    <n v="0"/>
    <s v=""/>
  </r>
  <r>
    <n v="218814342"/>
    <d v="2023-07-19T00:00:00"/>
    <m/>
    <x v="0"/>
    <n v="39"/>
    <s v="month"/>
    <s v=""/>
    <x v="6"/>
    <s v="No"/>
    <n v="0"/>
    <n v="0"/>
    <s v=""/>
  </r>
  <r>
    <n v="218764310"/>
    <d v="2023-07-19T00:00:00"/>
    <m/>
    <x v="0"/>
    <n v="39"/>
    <s v="month"/>
    <s v=""/>
    <x v="6"/>
    <s v="No"/>
    <n v="0"/>
    <n v="0"/>
    <s v=""/>
  </r>
  <r>
    <n v="218814328"/>
    <d v="2023-07-19T00:00:00"/>
    <m/>
    <x v="0"/>
    <n v="39"/>
    <s v="month"/>
    <s v=""/>
    <x v="6"/>
    <s v="No"/>
    <n v="0"/>
    <n v="0"/>
    <s v=""/>
  </r>
  <r>
    <n v="149144586"/>
    <d v="2023-07-19T00:00:00"/>
    <m/>
    <x v="0"/>
    <n v="39"/>
    <s v="month"/>
    <s v=""/>
    <x v="6"/>
    <s v="No"/>
    <n v="0"/>
    <n v="0"/>
    <s v=""/>
  </r>
  <r>
    <n v="217635511"/>
    <d v="2023-07-19T00:00:00"/>
    <m/>
    <x v="0"/>
    <n v="39"/>
    <s v="month"/>
    <s v=""/>
    <x v="6"/>
    <s v="No"/>
    <n v="0"/>
    <n v="0"/>
    <s v=""/>
  </r>
  <r>
    <n v="218924256"/>
    <d v="2023-07-19T00:00:00"/>
    <d v="2023-08-14T00:00:00"/>
    <x v="0"/>
    <n v="39"/>
    <s v="month"/>
    <n v="26"/>
    <x v="6"/>
    <s v="No"/>
    <n v="0"/>
    <n v="0"/>
    <n v="26"/>
  </r>
  <r>
    <n v="218898552"/>
    <d v="2023-07-19T00:00:00"/>
    <d v="2023-08-17T00:00:00"/>
    <x v="0"/>
    <n v="39"/>
    <s v="month"/>
    <n v="29"/>
    <x v="6"/>
    <s v="No"/>
    <n v="0"/>
    <n v="0"/>
    <n v="29"/>
  </r>
  <r>
    <n v="149657162"/>
    <d v="2023-07-19T00:00:00"/>
    <d v="2023-09-03T00:00:00"/>
    <x v="0"/>
    <n v="39"/>
    <s v="month"/>
    <n v="46"/>
    <x v="6"/>
    <s v="No"/>
    <n v="0"/>
    <n v="1"/>
    <n v="46"/>
  </r>
  <r>
    <n v="218581958"/>
    <d v="2023-07-19T00:00:00"/>
    <d v="2023-07-26T00:00:00"/>
    <x v="0"/>
    <n v="39"/>
    <s v="month"/>
    <n v="7"/>
    <x v="6"/>
    <s v="No"/>
    <n v="0"/>
    <n v="0"/>
    <n v="7"/>
  </r>
  <r>
    <n v="214943384"/>
    <d v="2023-07-20T00:00:00"/>
    <m/>
    <x v="0"/>
    <n v="39"/>
    <s v="month"/>
    <s v=""/>
    <x v="0"/>
    <s v="No"/>
    <n v="0"/>
    <n v="0"/>
    <s v=""/>
  </r>
  <r>
    <n v="147832373"/>
    <d v="2023-07-20T00:00:00"/>
    <m/>
    <x v="0"/>
    <n v="39"/>
    <s v="month"/>
    <s v=""/>
    <x v="0"/>
    <s v="No"/>
    <n v="0"/>
    <n v="0"/>
    <s v=""/>
  </r>
  <r>
    <n v="204362311"/>
    <d v="2023-07-20T00:00:00"/>
    <m/>
    <x v="0"/>
    <n v="39"/>
    <s v="month"/>
    <s v=""/>
    <x v="0"/>
    <s v="No"/>
    <n v="0"/>
    <n v="0"/>
    <s v=""/>
  </r>
  <r>
    <n v="217137211"/>
    <d v="2023-07-20T00:00:00"/>
    <m/>
    <x v="0"/>
    <n v="39"/>
    <s v="month"/>
    <s v=""/>
    <x v="0"/>
    <s v="No"/>
    <n v="0"/>
    <n v="0"/>
    <s v=""/>
  </r>
  <r>
    <n v="218942852"/>
    <d v="2023-07-20T00:00:00"/>
    <m/>
    <x v="0"/>
    <n v="39"/>
    <s v="month"/>
    <s v=""/>
    <x v="0"/>
    <s v="No"/>
    <n v="0"/>
    <n v="0"/>
    <s v=""/>
  </r>
  <r>
    <n v="218715020"/>
    <d v="2023-07-20T00:00:00"/>
    <d v="2023-09-05T00:00:00"/>
    <x v="0"/>
    <n v="39"/>
    <s v="month"/>
    <n v="47"/>
    <x v="0"/>
    <s v="No"/>
    <n v="0"/>
    <n v="1"/>
    <n v="47"/>
  </r>
  <r>
    <n v="218701308"/>
    <d v="2023-07-20T00:00:00"/>
    <d v="2023-07-21T00:00:00"/>
    <x v="0"/>
    <n v="39"/>
    <s v="month"/>
    <n v="1"/>
    <x v="0"/>
    <s v="No"/>
    <n v="1"/>
    <n v="0"/>
    <n v="1"/>
  </r>
  <r>
    <n v="218979443"/>
    <d v="2023-07-20T00:00:00"/>
    <d v="2023-08-15T00:00:00"/>
    <x v="0"/>
    <n v="39"/>
    <s v="month"/>
    <n v="26"/>
    <x v="0"/>
    <s v="No"/>
    <n v="0"/>
    <n v="0"/>
    <n v="26"/>
  </r>
  <r>
    <n v="218543315"/>
    <d v="2023-07-20T00:00:00"/>
    <d v="2023-09-04T00:00:00"/>
    <x v="0"/>
    <n v="39"/>
    <s v="month"/>
    <n v="46"/>
    <x v="0"/>
    <s v="No"/>
    <n v="0"/>
    <n v="1"/>
    <n v="46"/>
  </r>
  <r>
    <n v="218281726"/>
    <d v="2023-07-21T00:00:00"/>
    <m/>
    <x v="0"/>
    <n v="39"/>
    <s v="month"/>
    <s v=""/>
    <x v="1"/>
    <s v="No"/>
    <n v="0"/>
    <n v="0"/>
    <s v=""/>
  </r>
  <r>
    <n v="144972422"/>
    <d v="2023-07-21T00:00:00"/>
    <m/>
    <x v="0"/>
    <n v="39"/>
    <s v="month"/>
    <s v=""/>
    <x v="1"/>
    <s v="No"/>
    <n v="0"/>
    <n v="0"/>
    <s v=""/>
  </r>
  <r>
    <n v="219017513"/>
    <d v="2023-07-21T00:00:00"/>
    <m/>
    <x v="0"/>
    <n v="39"/>
    <s v="month"/>
    <s v=""/>
    <x v="1"/>
    <s v="No"/>
    <n v="0"/>
    <n v="0"/>
    <s v=""/>
  </r>
  <r>
    <n v="218096762"/>
    <d v="2023-07-21T00:00:00"/>
    <m/>
    <x v="0"/>
    <n v="39"/>
    <s v="month"/>
    <s v=""/>
    <x v="1"/>
    <s v="No"/>
    <n v="0"/>
    <n v="0"/>
    <s v=""/>
  </r>
  <r>
    <n v="134289850"/>
    <d v="2023-07-21T00:00:00"/>
    <m/>
    <x v="0"/>
    <n v="39"/>
    <s v="month"/>
    <s v=""/>
    <x v="1"/>
    <s v="No"/>
    <n v="0"/>
    <n v="0"/>
    <s v=""/>
  </r>
  <r>
    <n v="205210815"/>
    <d v="2023-07-21T00:00:00"/>
    <d v="2023-07-22T00:00:00"/>
    <x v="0"/>
    <n v="39"/>
    <s v="month"/>
    <n v="1"/>
    <x v="1"/>
    <s v="No"/>
    <n v="1"/>
    <n v="0"/>
    <n v="1"/>
  </r>
  <r>
    <n v="218684970"/>
    <d v="2023-07-21T00:00:00"/>
    <d v="2023-08-28T00:00:00"/>
    <x v="0"/>
    <n v="39"/>
    <s v="month"/>
    <n v="38"/>
    <x v="1"/>
    <s v="No"/>
    <n v="0"/>
    <n v="1"/>
    <n v="38"/>
  </r>
  <r>
    <n v="219045318"/>
    <d v="2023-07-22T00:00:00"/>
    <m/>
    <x v="0"/>
    <n v="39"/>
    <s v="month"/>
    <s v=""/>
    <x v="2"/>
    <s v="No"/>
    <n v="0"/>
    <n v="0"/>
    <s v=""/>
  </r>
  <r>
    <n v="218428977"/>
    <d v="2023-07-22T00:00:00"/>
    <m/>
    <x v="0"/>
    <n v="39"/>
    <s v="month"/>
    <s v=""/>
    <x v="2"/>
    <s v="No"/>
    <n v="0"/>
    <n v="0"/>
    <s v=""/>
  </r>
  <r>
    <n v="156587706"/>
    <d v="2023-07-22T00:00:00"/>
    <d v="2023-07-23T00:00:00"/>
    <x v="1"/>
    <n v="39"/>
    <s v="month"/>
    <n v="1"/>
    <x v="2"/>
    <s v="No"/>
    <n v="1"/>
    <n v="0"/>
    <n v="1"/>
  </r>
  <r>
    <n v="219034826"/>
    <d v="2023-07-22T00:00:00"/>
    <d v="2023-07-23T00:00:00"/>
    <x v="1"/>
    <n v="39"/>
    <s v="month"/>
    <n v="1"/>
    <x v="2"/>
    <s v="No"/>
    <n v="1"/>
    <n v="0"/>
    <n v="1"/>
  </r>
  <r>
    <n v="204380751"/>
    <d v="2023-07-22T00:00:00"/>
    <d v="2023-08-21T00:00:00"/>
    <x v="0"/>
    <n v="39"/>
    <s v="month"/>
    <n v="30"/>
    <x v="2"/>
    <s v="No"/>
    <n v="0"/>
    <n v="0"/>
    <n v="30"/>
  </r>
  <r>
    <n v="215315438"/>
    <d v="2023-07-22T00:00:00"/>
    <d v="2023-08-22T00:00:00"/>
    <x v="0"/>
    <n v="39"/>
    <s v="month"/>
    <n v="31"/>
    <x v="2"/>
    <s v="No"/>
    <n v="0"/>
    <n v="1"/>
    <n v="31"/>
  </r>
  <r>
    <n v="213774184"/>
    <d v="2023-07-22T00:00:00"/>
    <d v="2023-08-29T00:00:00"/>
    <x v="0"/>
    <n v="39"/>
    <s v="month"/>
    <n v="38"/>
    <x v="2"/>
    <s v="No"/>
    <n v="0"/>
    <n v="1"/>
    <n v="38"/>
  </r>
  <r>
    <n v="206121650"/>
    <d v="2023-07-23T00:00:00"/>
    <m/>
    <x v="0"/>
    <n v="39"/>
    <s v="month"/>
    <s v=""/>
    <x v="3"/>
    <s v="No"/>
    <n v="0"/>
    <n v="0"/>
    <s v=""/>
  </r>
  <r>
    <n v="219059958"/>
    <d v="2023-07-23T00:00:00"/>
    <m/>
    <x v="0"/>
    <n v="39"/>
    <s v="month"/>
    <s v=""/>
    <x v="3"/>
    <s v="No"/>
    <n v="0"/>
    <n v="0"/>
    <s v=""/>
  </r>
  <r>
    <n v="204639997"/>
    <d v="2023-07-23T00:00:00"/>
    <d v="2023-07-23T00:00:00"/>
    <x v="0"/>
    <n v="39"/>
    <s v="month"/>
    <n v="0"/>
    <x v="3"/>
    <s v="Yes"/>
    <n v="1"/>
    <n v="0"/>
    <n v="0"/>
  </r>
  <r>
    <n v="201817514"/>
    <d v="2023-07-23T00:00:00"/>
    <d v="2023-08-22T00:00:00"/>
    <x v="0"/>
    <n v="39"/>
    <s v="month"/>
    <n v="30"/>
    <x v="3"/>
    <s v="No"/>
    <n v="0"/>
    <n v="0"/>
    <n v="30"/>
  </r>
  <r>
    <n v="219065931"/>
    <d v="2023-07-23T00:00:00"/>
    <d v="2023-08-30T00:00:00"/>
    <x v="0"/>
    <n v="39"/>
    <s v="month"/>
    <n v="38"/>
    <x v="3"/>
    <s v="No"/>
    <n v="0"/>
    <n v="1"/>
    <n v="38"/>
  </r>
  <r>
    <n v="143627373"/>
    <d v="2023-07-24T00:00:00"/>
    <m/>
    <x v="0"/>
    <n v="39"/>
    <s v="month"/>
    <s v=""/>
    <x v="4"/>
    <s v="No"/>
    <n v="0"/>
    <n v="0"/>
    <s v=""/>
  </r>
  <r>
    <n v="218675428"/>
    <d v="2023-07-24T00:00:00"/>
    <m/>
    <x v="0"/>
    <n v="39"/>
    <s v="month"/>
    <s v=""/>
    <x v="4"/>
    <s v="No"/>
    <n v="0"/>
    <n v="0"/>
    <s v=""/>
  </r>
  <r>
    <n v="219057820"/>
    <d v="2023-07-24T00:00:00"/>
    <m/>
    <x v="0"/>
    <n v="39"/>
    <s v="month"/>
    <s v=""/>
    <x v="4"/>
    <s v="No"/>
    <n v="0"/>
    <n v="0"/>
    <s v=""/>
  </r>
  <r>
    <n v="219115854"/>
    <d v="2023-07-24T00:00:00"/>
    <m/>
    <x v="0"/>
    <n v="39"/>
    <s v="month"/>
    <s v=""/>
    <x v="4"/>
    <s v="No"/>
    <n v="0"/>
    <n v="0"/>
    <s v=""/>
  </r>
  <r>
    <n v="204826054"/>
    <d v="2023-07-24T00:00:00"/>
    <m/>
    <x v="0"/>
    <n v="39"/>
    <s v="month"/>
    <s v=""/>
    <x v="4"/>
    <s v="No"/>
    <n v="0"/>
    <n v="0"/>
    <s v=""/>
  </r>
  <r>
    <n v="219072554"/>
    <d v="2023-07-24T00:00:00"/>
    <m/>
    <x v="0"/>
    <n v="39"/>
    <s v="month"/>
    <s v=""/>
    <x v="4"/>
    <s v="No"/>
    <n v="0"/>
    <n v="0"/>
    <s v=""/>
  </r>
  <r>
    <n v="219088631"/>
    <d v="2023-07-24T00:00:00"/>
    <m/>
    <x v="0"/>
    <n v="39"/>
    <s v="month"/>
    <s v=""/>
    <x v="4"/>
    <s v="No"/>
    <n v="0"/>
    <n v="0"/>
    <s v=""/>
  </r>
  <r>
    <n v="218861750"/>
    <d v="2023-07-24T00:00:00"/>
    <d v="2023-08-31T00:00:00"/>
    <x v="0"/>
    <n v="39"/>
    <s v="month"/>
    <n v="38"/>
    <x v="4"/>
    <s v="No"/>
    <n v="0"/>
    <n v="1"/>
    <n v="38"/>
  </r>
  <r>
    <n v="217513777"/>
    <d v="2023-07-24T00:00:00"/>
    <d v="2023-08-02T00:00:00"/>
    <x v="0"/>
    <n v="39"/>
    <s v="month"/>
    <n v="9"/>
    <x v="4"/>
    <s v="No"/>
    <n v="0"/>
    <n v="0"/>
    <n v="9"/>
  </r>
  <r>
    <n v="218805370"/>
    <d v="2023-07-24T00:00:00"/>
    <d v="2023-08-08T00:00:00"/>
    <x v="0"/>
    <n v="39"/>
    <s v="month"/>
    <n v="15"/>
    <x v="4"/>
    <s v="No"/>
    <n v="0"/>
    <n v="0"/>
    <n v="15"/>
  </r>
  <r>
    <n v="219128709"/>
    <d v="2023-07-25T00:00:00"/>
    <m/>
    <x v="0"/>
    <n v="39"/>
    <s v="month"/>
    <s v=""/>
    <x v="5"/>
    <s v="No"/>
    <n v="0"/>
    <n v="0"/>
    <s v=""/>
  </r>
  <r>
    <n v="217998036"/>
    <d v="2023-07-25T00:00:00"/>
    <m/>
    <x v="0"/>
    <n v="39"/>
    <s v="month"/>
    <s v=""/>
    <x v="5"/>
    <s v="No"/>
    <n v="0"/>
    <n v="0"/>
    <s v=""/>
  </r>
  <r>
    <n v="219100886"/>
    <d v="2023-07-25T00:00:00"/>
    <m/>
    <x v="0"/>
    <n v="39"/>
    <s v="month"/>
    <s v=""/>
    <x v="5"/>
    <s v="No"/>
    <n v="0"/>
    <n v="0"/>
    <s v=""/>
  </r>
  <r>
    <n v="214586480"/>
    <d v="2023-07-25T00:00:00"/>
    <m/>
    <x v="0"/>
    <n v="39"/>
    <s v="month"/>
    <s v=""/>
    <x v="5"/>
    <s v="No"/>
    <n v="0"/>
    <n v="0"/>
    <s v=""/>
  </r>
  <r>
    <n v="219110064"/>
    <d v="2023-07-25T00:00:00"/>
    <m/>
    <x v="0"/>
    <n v="39"/>
    <s v="month"/>
    <s v=""/>
    <x v="5"/>
    <s v="No"/>
    <n v="0"/>
    <n v="0"/>
    <s v=""/>
  </r>
  <r>
    <n v="157374056"/>
    <d v="2023-07-25T00:00:00"/>
    <m/>
    <x v="0"/>
    <n v="39"/>
    <s v="month"/>
    <s v=""/>
    <x v="5"/>
    <s v="No"/>
    <n v="0"/>
    <n v="0"/>
    <s v=""/>
  </r>
  <r>
    <n v="219058076"/>
    <d v="2023-07-25T00:00:00"/>
    <m/>
    <x v="0"/>
    <n v="39"/>
    <s v="month"/>
    <s v=""/>
    <x v="5"/>
    <s v="No"/>
    <n v="0"/>
    <n v="0"/>
    <s v=""/>
  </r>
  <r>
    <n v="218011483"/>
    <d v="2023-07-25T00:00:00"/>
    <m/>
    <x v="0"/>
    <n v="39"/>
    <s v="month"/>
    <s v=""/>
    <x v="5"/>
    <s v="No"/>
    <n v="0"/>
    <n v="0"/>
    <s v=""/>
  </r>
  <r>
    <n v="216543186"/>
    <d v="2023-07-25T00:00:00"/>
    <m/>
    <x v="0"/>
    <n v="39"/>
    <s v="month"/>
    <s v=""/>
    <x v="5"/>
    <s v="No"/>
    <n v="0"/>
    <n v="0"/>
    <s v=""/>
  </r>
  <r>
    <n v="151239214"/>
    <d v="2023-07-25T00:00:00"/>
    <m/>
    <x v="0"/>
    <n v="39"/>
    <s v="month"/>
    <s v=""/>
    <x v="5"/>
    <s v="No"/>
    <n v="0"/>
    <n v="0"/>
    <s v=""/>
  </r>
  <r>
    <n v="152760748"/>
    <d v="2023-07-25T00:00:00"/>
    <d v="2023-08-20T00:00:00"/>
    <x v="0"/>
    <n v="39"/>
    <s v="month"/>
    <n v="26"/>
    <x v="5"/>
    <s v="No"/>
    <n v="0"/>
    <n v="0"/>
    <n v="26"/>
  </r>
  <r>
    <n v="182102820"/>
    <d v="2023-07-25T00:00:00"/>
    <d v="2023-09-01T00:00:00"/>
    <x v="0"/>
    <n v="39"/>
    <s v="month"/>
    <n v="38"/>
    <x v="5"/>
    <s v="No"/>
    <n v="0"/>
    <n v="1"/>
    <n v="38"/>
  </r>
  <r>
    <n v="215005163"/>
    <d v="2023-07-25T00:00:00"/>
    <d v="2023-08-17T00:00:00"/>
    <x v="0"/>
    <n v="39"/>
    <s v="month"/>
    <n v="23"/>
    <x v="5"/>
    <s v="No"/>
    <n v="0"/>
    <n v="0"/>
    <n v="23"/>
  </r>
  <r>
    <n v="219136846"/>
    <d v="2023-07-25T00:00:00"/>
    <d v="2023-08-02T00:00:00"/>
    <x v="0"/>
    <n v="39"/>
    <s v="month"/>
    <n v="8"/>
    <x v="5"/>
    <s v="No"/>
    <n v="0"/>
    <n v="0"/>
    <n v="8"/>
  </r>
  <r>
    <n v="218795222"/>
    <d v="2023-07-25T00:00:00"/>
    <d v="2023-08-23T00:00:00"/>
    <x v="0"/>
    <n v="39"/>
    <s v="month"/>
    <n v="29"/>
    <x v="5"/>
    <s v="No"/>
    <n v="0"/>
    <n v="0"/>
    <n v="29"/>
  </r>
  <r>
    <n v="208706876"/>
    <d v="2023-07-25T00:00:00"/>
    <d v="2023-08-21T00:00:00"/>
    <x v="0"/>
    <n v="39"/>
    <s v="month"/>
    <n v="27"/>
    <x v="5"/>
    <s v="No"/>
    <n v="0"/>
    <n v="0"/>
    <n v="27"/>
  </r>
  <r>
    <n v="218701308"/>
    <d v="2023-07-25T00:00:00"/>
    <d v="2023-09-01T00:00:00"/>
    <x v="0"/>
    <n v="39"/>
    <s v="month"/>
    <n v="38"/>
    <x v="5"/>
    <s v="No"/>
    <n v="0"/>
    <n v="1"/>
    <n v="38"/>
  </r>
  <r>
    <n v="219136623"/>
    <d v="2023-07-25T00:00:00"/>
    <d v="2023-09-01T00:00:00"/>
    <x v="0"/>
    <n v="39"/>
    <s v="month"/>
    <n v="38"/>
    <x v="5"/>
    <s v="No"/>
    <n v="0"/>
    <n v="1"/>
    <n v="38"/>
  </r>
  <r>
    <n v="219153922"/>
    <d v="2023-07-26T00:00:00"/>
    <m/>
    <x v="0"/>
    <n v="39"/>
    <s v="month"/>
    <s v=""/>
    <x v="6"/>
    <s v="No"/>
    <n v="0"/>
    <n v="0"/>
    <s v=""/>
  </r>
  <r>
    <n v="165529460"/>
    <d v="2023-07-26T00:00:00"/>
    <m/>
    <x v="0"/>
    <n v="39"/>
    <s v="month"/>
    <s v=""/>
    <x v="6"/>
    <s v="No"/>
    <n v="0"/>
    <n v="0"/>
    <s v=""/>
  </r>
  <r>
    <n v="218715792"/>
    <d v="2023-07-26T00:00:00"/>
    <m/>
    <x v="0"/>
    <n v="39"/>
    <s v="month"/>
    <s v=""/>
    <x v="6"/>
    <s v="No"/>
    <n v="0"/>
    <n v="0"/>
    <s v=""/>
  </r>
  <r>
    <n v="218985028"/>
    <d v="2023-07-26T00:00:00"/>
    <m/>
    <x v="0"/>
    <n v="39"/>
    <s v="month"/>
    <s v=""/>
    <x v="6"/>
    <s v="No"/>
    <n v="0"/>
    <n v="0"/>
    <s v=""/>
  </r>
  <r>
    <n v="218986352"/>
    <d v="2023-07-26T00:00:00"/>
    <m/>
    <x v="0"/>
    <n v="39"/>
    <s v="month"/>
    <s v=""/>
    <x v="6"/>
    <s v="No"/>
    <n v="0"/>
    <n v="0"/>
    <s v=""/>
  </r>
  <r>
    <n v="219152822"/>
    <d v="2023-07-26T00:00:00"/>
    <d v="2023-09-05T00:00:00"/>
    <x v="0"/>
    <n v="39"/>
    <s v="month"/>
    <n v="41"/>
    <x v="6"/>
    <s v="No"/>
    <n v="0"/>
    <n v="1"/>
    <n v="41"/>
  </r>
  <r>
    <n v="219084587"/>
    <d v="2023-07-26T00:00:00"/>
    <d v="2023-07-27T00:00:00"/>
    <x v="1"/>
    <n v="39"/>
    <s v="month"/>
    <n v="1"/>
    <x v="6"/>
    <s v="No"/>
    <n v="1"/>
    <n v="0"/>
    <n v="1"/>
  </r>
  <r>
    <n v="219200064"/>
    <d v="2023-07-26T00:00:00"/>
    <d v="2023-09-02T00:00:00"/>
    <x v="0"/>
    <n v="39"/>
    <s v="month"/>
    <n v="38"/>
    <x v="6"/>
    <s v="No"/>
    <n v="0"/>
    <n v="1"/>
    <n v="38"/>
  </r>
  <r>
    <n v="219224963"/>
    <d v="2023-07-27T00:00:00"/>
    <m/>
    <x v="0"/>
    <n v="39"/>
    <s v="month"/>
    <s v=""/>
    <x v="0"/>
    <s v="No"/>
    <n v="0"/>
    <n v="0"/>
    <s v=""/>
  </r>
  <r>
    <n v="219172302"/>
    <d v="2023-07-27T00:00:00"/>
    <m/>
    <x v="0"/>
    <n v="39"/>
    <s v="month"/>
    <s v=""/>
    <x v="0"/>
    <s v="No"/>
    <n v="0"/>
    <n v="0"/>
    <s v=""/>
  </r>
  <r>
    <n v="219244336"/>
    <d v="2023-07-27T00:00:00"/>
    <m/>
    <x v="0"/>
    <n v="39"/>
    <s v="month"/>
    <s v=""/>
    <x v="0"/>
    <s v="No"/>
    <n v="0"/>
    <n v="0"/>
    <s v=""/>
  </r>
  <r>
    <n v="150342446"/>
    <d v="2023-07-27T00:00:00"/>
    <m/>
    <x v="0"/>
    <n v="39"/>
    <s v="month"/>
    <s v=""/>
    <x v="0"/>
    <s v="No"/>
    <n v="0"/>
    <n v="0"/>
    <s v=""/>
  </r>
  <r>
    <n v="210432172"/>
    <d v="2023-07-27T00:00:00"/>
    <m/>
    <x v="0"/>
    <n v="39"/>
    <s v="month"/>
    <s v=""/>
    <x v="0"/>
    <s v="No"/>
    <n v="0"/>
    <n v="0"/>
    <s v=""/>
  </r>
  <r>
    <n v="145614180"/>
    <d v="2023-07-27T00:00:00"/>
    <m/>
    <x v="0"/>
    <n v="39"/>
    <s v="month"/>
    <s v=""/>
    <x v="0"/>
    <s v="No"/>
    <n v="0"/>
    <n v="0"/>
    <s v=""/>
  </r>
  <r>
    <n v="218318466"/>
    <d v="2023-07-27T00:00:00"/>
    <m/>
    <x v="0"/>
    <n v="39"/>
    <s v="month"/>
    <s v=""/>
    <x v="0"/>
    <s v="No"/>
    <n v="0"/>
    <n v="0"/>
    <s v=""/>
  </r>
  <r>
    <n v="131984682"/>
    <d v="2023-07-27T00:00:00"/>
    <m/>
    <x v="0"/>
    <n v="39"/>
    <s v="month"/>
    <s v=""/>
    <x v="0"/>
    <s v="No"/>
    <n v="0"/>
    <n v="0"/>
    <s v=""/>
  </r>
  <r>
    <n v="219243156"/>
    <d v="2023-07-27T00:00:00"/>
    <d v="2023-07-27T00:00:00"/>
    <x v="0"/>
    <n v="39"/>
    <s v="month"/>
    <n v="0"/>
    <x v="0"/>
    <s v="Yes"/>
    <n v="1"/>
    <n v="0"/>
    <n v="0"/>
  </r>
  <r>
    <n v="219301778"/>
    <d v="2023-07-28T00:00:00"/>
    <m/>
    <x v="0"/>
    <n v="39"/>
    <s v="month"/>
    <s v=""/>
    <x v="1"/>
    <s v="No"/>
    <n v="0"/>
    <n v="0"/>
    <s v=""/>
  </r>
  <r>
    <n v="153004062"/>
    <d v="2023-07-28T00:00:00"/>
    <m/>
    <x v="0"/>
    <n v="39"/>
    <s v="month"/>
    <s v=""/>
    <x v="1"/>
    <s v="No"/>
    <n v="0"/>
    <n v="0"/>
    <s v=""/>
  </r>
  <r>
    <n v="151015350"/>
    <d v="2023-07-28T00:00:00"/>
    <m/>
    <x v="0"/>
    <n v="39"/>
    <s v="month"/>
    <s v=""/>
    <x v="1"/>
    <s v="No"/>
    <n v="0"/>
    <n v="0"/>
    <s v=""/>
  </r>
  <r>
    <n v="147696294"/>
    <d v="2023-07-28T00:00:00"/>
    <m/>
    <x v="0"/>
    <n v="39"/>
    <s v="month"/>
    <s v=""/>
    <x v="1"/>
    <s v="No"/>
    <n v="0"/>
    <n v="0"/>
    <s v=""/>
  </r>
  <r>
    <n v="218255956"/>
    <d v="2023-07-28T00:00:00"/>
    <m/>
    <x v="0"/>
    <n v="39"/>
    <s v="month"/>
    <s v=""/>
    <x v="1"/>
    <s v="No"/>
    <n v="0"/>
    <n v="0"/>
    <s v=""/>
  </r>
  <r>
    <n v="218510841"/>
    <d v="2023-07-28T00:00:00"/>
    <m/>
    <x v="0"/>
    <n v="39"/>
    <s v="month"/>
    <s v=""/>
    <x v="1"/>
    <s v="No"/>
    <n v="0"/>
    <n v="0"/>
    <s v=""/>
  </r>
  <r>
    <n v="130864124"/>
    <d v="2023-07-28T00:00:00"/>
    <m/>
    <x v="0"/>
    <n v="39"/>
    <s v="month"/>
    <s v=""/>
    <x v="1"/>
    <s v="No"/>
    <n v="0"/>
    <n v="0"/>
    <s v=""/>
  </r>
  <r>
    <n v="219194059"/>
    <d v="2023-07-28T00:00:00"/>
    <m/>
    <x v="0"/>
    <n v="39"/>
    <s v="month"/>
    <s v=""/>
    <x v="1"/>
    <s v="No"/>
    <n v="0"/>
    <n v="0"/>
    <s v=""/>
  </r>
  <r>
    <n v="219254134"/>
    <d v="2023-07-28T00:00:00"/>
    <m/>
    <x v="0"/>
    <n v="39"/>
    <s v="month"/>
    <s v=""/>
    <x v="1"/>
    <s v="No"/>
    <n v="0"/>
    <n v="0"/>
    <s v=""/>
  </r>
  <r>
    <n v="215881016"/>
    <d v="2023-07-28T00:00:00"/>
    <m/>
    <x v="0"/>
    <n v="39"/>
    <s v="month"/>
    <s v=""/>
    <x v="1"/>
    <s v="No"/>
    <n v="0"/>
    <n v="0"/>
    <s v=""/>
  </r>
  <r>
    <n v="217361520"/>
    <d v="2023-07-28T00:00:00"/>
    <m/>
    <x v="0"/>
    <n v="39"/>
    <s v="month"/>
    <s v=""/>
    <x v="1"/>
    <s v="No"/>
    <n v="0"/>
    <n v="0"/>
    <s v=""/>
  </r>
  <r>
    <n v="219265654"/>
    <d v="2023-07-28T00:00:00"/>
    <m/>
    <x v="0"/>
    <n v="39"/>
    <s v="month"/>
    <s v=""/>
    <x v="1"/>
    <s v="No"/>
    <n v="0"/>
    <n v="0"/>
    <s v=""/>
  </r>
  <r>
    <n v="175491846"/>
    <d v="2023-07-28T00:00:00"/>
    <d v="2023-07-29T00:00:00"/>
    <x v="0"/>
    <n v="39"/>
    <s v="month"/>
    <n v="1"/>
    <x v="1"/>
    <s v="No"/>
    <n v="1"/>
    <n v="0"/>
    <n v="1"/>
  </r>
  <r>
    <n v="212603850"/>
    <d v="2023-07-28T00:00:00"/>
    <d v="2023-08-26T00:00:00"/>
    <x v="0"/>
    <n v="39"/>
    <s v="month"/>
    <n v="29"/>
    <x v="1"/>
    <s v="No"/>
    <n v="0"/>
    <n v="0"/>
    <n v="29"/>
  </r>
  <r>
    <n v="219307145"/>
    <d v="2023-07-29T00:00:00"/>
    <m/>
    <x v="0"/>
    <n v="39"/>
    <s v="month"/>
    <s v=""/>
    <x v="2"/>
    <s v="No"/>
    <n v="0"/>
    <n v="0"/>
    <s v=""/>
  </r>
  <r>
    <n v="212937420"/>
    <d v="2023-07-29T00:00:00"/>
    <d v="2023-09-05T00:00:00"/>
    <x v="0"/>
    <n v="39"/>
    <s v="month"/>
    <n v="38"/>
    <x v="2"/>
    <s v="No"/>
    <n v="0"/>
    <n v="1"/>
    <n v="38"/>
  </r>
  <r>
    <n v="219318511"/>
    <d v="2023-07-29T00:00:00"/>
    <d v="2023-08-18T00:00:00"/>
    <x v="0"/>
    <n v="39"/>
    <s v="month"/>
    <n v="20"/>
    <x v="2"/>
    <s v="No"/>
    <n v="0"/>
    <n v="0"/>
    <n v="20"/>
  </r>
  <r>
    <n v="218513479"/>
    <d v="2023-07-29T00:00:00"/>
    <d v="2023-08-25T00:00:00"/>
    <x v="0"/>
    <n v="39"/>
    <s v="month"/>
    <n v="27"/>
    <x v="2"/>
    <s v="No"/>
    <n v="0"/>
    <n v="0"/>
    <n v="27"/>
  </r>
  <r>
    <n v="219301764"/>
    <d v="2023-07-29T00:00:00"/>
    <d v="2023-08-27T00:00:00"/>
    <x v="0"/>
    <n v="39"/>
    <s v="month"/>
    <n v="29"/>
    <x v="2"/>
    <s v="No"/>
    <n v="0"/>
    <n v="0"/>
    <n v="29"/>
  </r>
  <r>
    <n v="125038257"/>
    <d v="2023-07-30T00:00:00"/>
    <m/>
    <x v="0"/>
    <n v="39"/>
    <s v="month"/>
    <s v=""/>
    <x v="3"/>
    <s v="No"/>
    <n v="0"/>
    <n v="0"/>
    <s v=""/>
  </r>
  <r>
    <n v="217813451"/>
    <d v="2023-07-30T00:00:00"/>
    <m/>
    <x v="0"/>
    <n v="39"/>
    <s v="month"/>
    <s v=""/>
    <x v="3"/>
    <s v="No"/>
    <n v="0"/>
    <n v="0"/>
    <s v=""/>
  </r>
  <r>
    <n v="162859352"/>
    <d v="2023-07-30T00:00:00"/>
    <d v="2023-07-31T00:00:00"/>
    <x v="1"/>
    <n v="39"/>
    <s v="month"/>
    <n v="1"/>
    <x v="3"/>
    <s v="No"/>
    <n v="1"/>
    <n v="0"/>
    <n v="1"/>
  </r>
  <r>
    <n v="146923161"/>
    <d v="2023-07-30T00:00:00"/>
    <d v="2023-09-06T00:00:00"/>
    <x v="0"/>
    <n v="39"/>
    <s v="month"/>
    <n v="38"/>
    <x v="3"/>
    <s v="No"/>
    <n v="0"/>
    <n v="1"/>
    <n v="38"/>
  </r>
  <r>
    <n v="206699284"/>
    <d v="2023-07-30T00:00:00"/>
    <d v="2023-08-28T00:00:00"/>
    <x v="0"/>
    <n v="39"/>
    <s v="month"/>
    <n v="29"/>
    <x v="3"/>
    <s v="No"/>
    <n v="0"/>
    <n v="0"/>
    <n v="29"/>
  </r>
  <r>
    <n v="219330169"/>
    <d v="2023-07-30T00:00:00"/>
    <d v="2023-08-28T00:00:00"/>
    <x v="0"/>
    <n v="39"/>
    <s v="month"/>
    <n v="29"/>
    <x v="3"/>
    <s v="No"/>
    <n v="0"/>
    <n v="0"/>
    <n v="29"/>
  </r>
  <r>
    <n v="219404710"/>
    <d v="2023-07-31T00:00:00"/>
    <m/>
    <x v="0"/>
    <n v="39"/>
    <s v="month"/>
    <s v=""/>
    <x v="4"/>
    <s v="No"/>
    <n v="0"/>
    <n v="0"/>
    <s v=""/>
  </r>
  <r>
    <n v="219402896"/>
    <d v="2023-07-31T00:00:00"/>
    <m/>
    <x v="0"/>
    <n v="39"/>
    <s v="month"/>
    <s v=""/>
    <x v="4"/>
    <s v="No"/>
    <n v="0"/>
    <n v="0"/>
    <s v=""/>
  </r>
  <r>
    <n v="214129448"/>
    <d v="2023-07-31T00:00:00"/>
    <m/>
    <x v="0"/>
    <n v="39"/>
    <s v="month"/>
    <s v=""/>
    <x v="4"/>
    <s v="No"/>
    <n v="0"/>
    <n v="0"/>
    <s v=""/>
  </r>
  <r>
    <n v="219218929"/>
    <d v="2023-07-31T00:00:00"/>
    <m/>
    <x v="0"/>
    <n v="39"/>
    <s v="month"/>
    <s v=""/>
    <x v="4"/>
    <s v="No"/>
    <n v="0"/>
    <n v="0"/>
    <s v=""/>
  </r>
  <r>
    <n v="219385880"/>
    <d v="2023-07-31T00:00:00"/>
    <m/>
    <x v="0"/>
    <n v="39"/>
    <s v="month"/>
    <s v=""/>
    <x v="4"/>
    <s v="No"/>
    <n v="0"/>
    <n v="0"/>
    <s v=""/>
  </r>
  <r>
    <n v="219368039"/>
    <d v="2023-07-31T00:00:00"/>
    <m/>
    <x v="0"/>
    <n v="39"/>
    <s v="month"/>
    <s v=""/>
    <x v="4"/>
    <s v="No"/>
    <n v="0"/>
    <n v="0"/>
    <s v=""/>
  </r>
  <r>
    <n v="219328313"/>
    <d v="2023-07-31T00:00:00"/>
    <m/>
    <x v="0"/>
    <n v="39"/>
    <s v="month"/>
    <s v=""/>
    <x v="4"/>
    <s v="No"/>
    <n v="0"/>
    <n v="0"/>
    <s v=""/>
  </r>
  <r>
    <n v="219185386"/>
    <d v="2023-07-31T00:00:00"/>
    <d v="2023-08-01T00:00:00"/>
    <x v="1"/>
    <n v="39"/>
    <s v="month"/>
    <n v="1"/>
    <x v="4"/>
    <s v="No"/>
    <n v="1"/>
    <n v="0"/>
    <n v="1"/>
  </r>
  <r>
    <n v="183712256"/>
    <d v="2023-07-31T00:00:00"/>
    <d v="2023-08-08T00:00:00"/>
    <x v="0"/>
    <n v="39"/>
    <s v="month"/>
    <n v="8"/>
    <x v="4"/>
    <s v="No"/>
    <n v="0"/>
    <n v="0"/>
    <n v="8"/>
  </r>
  <r>
    <n v="217624207"/>
    <d v="2023-08-01T00:00:00"/>
    <m/>
    <x v="0"/>
    <n v="39"/>
    <s v="month"/>
    <s v=""/>
    <x v="5"/>
    <s v="No"/>
    <n v="0"/>
    <n v="0"/>
    <s v=""/>
  </r>
  <r>
    <n v="218938921"/>
    <d v="2023-08-01T00:00:00"/>
    <m/>
    <x v="0"/>
    <n v="39"/>
    <s v="month"/>
    <s v=""/>
    <x v="5"/>
    <s v="No"/>
    <n v="0"/>
    <n v="0"/>
    <s v=""/>
  </r>
  <r>
    <n v="147145693"/>
    <d v="2023-08-01T00:00:00"/>
    <m/>
    <x v="0"/>
    <n v="39"/>
    <s v="month"/>
    <s v=""/>
    <x v="5"/>
    <s v="No"/>
    <n v="0"/>
    <n v="0"/>
    <s v=""/>
  </r>
  <r>
    <n v="218459038"/>
    <d v="2023-08-01T00:00:00"/>
    <m/>
    <x v="0"/>
    <n v="39"/>
    <s v="month"/>
    <s v=""/>
    <x v="5"/>
    <s v="No"/>
    <n v="0"/>
    <n v="0"/>
    <s v=""/>
  </r>
  <r>
    <n v="219395734"/>
    <d v="2023-08-01T00:00:00"/>
    <m/>
    <x v="0"/>
    <n v="39"/>
    <s v="month"/>
    <s v=""/>
    <x v="5"/>
    <s v="No"/>
    <n v="0"/>
    <n v="0"/>
    <s v=""/>
  </r>
  <r>
    <n v="219413956"/>
    <d v="2023-08-01T00:00:00"/>
    <m/>
    <x v="0"/>
    <n v="39"/>
    <s v="month"/>
    <s v=""/>
    <x v="5"/>
    <s v="No"/>
    <n v="0"/>
    <n v="0"/>
    <s v=""/>
  </r>
  <r>
    <n v="218562434"/>
    <d v="2023-08-01T00:00:00"/>
    <d v="2023-09-01T00:00:00"/>
    <x v="0"/>
    <n v="39"/>
    <s v="month"/>
    <n v="31"/>
    <x v="5"/>
    <s v="No"/>
    <n v="0"/>
    <n v="1"/>
    <n v="31"/>
  </r>
  <r>
    <n v="135521927"/>
    <d v="2023-08-01T00:00:00"/>
    <d v="2023-09-02T00:00:00"/>
    <x v="0"/>
    <n v="39"/>
    <s v="month"/>
    <n v="32"/>
    <x v="5"/>
    <s v="No"/>
    <n v="0"/>
    <n v="1"/>
    <n v="32"/>
  </r>
  <r>
    <n v="157035378"/>
    <d v="2023-08-01T00:00:00"/>
    <d v="2023-08-31T00:00:00"/>
    <x v="0"/>
    <n v="39"/>
    <s v="month"/>
    <n v="30"/>
    <x v="5"/>
    <s v="No"/>
    <n v="0"/>
    <n v="0"/>
    <n v="30"/>
  </r>
  <r>
    <n v="219382434"/>
    <d v="2023-08-01T00:00:00"/>
    <d v="2023-08-31T00:00:00"/>
    <x v="0"/>
    <n v="39"/>
    <s v="month"/>
    <n v="30"/>
    <x v="5"/>
    <s v="No"/>
    <n v="0"/>
    <n v="0"/>
    <n v="30"/>
  </r>
  <r>
    <n v="208762353"/>
    <d v="2023-08-02T00:00:00"/>
    <m/>
    <x v="0"/>
    <n v="39"/>
    <s v="month"/>
    <s v=""/>
    <x v="6"/>
    <s v="No"/>
    <n v="0"/>
    <n v="0"/>
    <s v=""/>
  </r>
  <r>
    <n v="218346336"/>
    <d v="2023-08-02T00:00:00"/>
    <m/>
    <x v="0"/>
    <n v="39"/>
    <s v="month"/>
    <s v=""/>
    <x v="6"/>
    <s v="No"/>
    <n v="0"/>
    <n v="0"/>
    <s v=""/>
  </r>
  <r>
    <n v="219226230"/>
    <d v="2023-08-02T00:00:00"/>
    <m/>
    <x v="0"/>
    <n v="39"/>
    <s v="month"/>
    <s v=""/>
    <x v="6"/>
    <s v="No"/>
    <n v="0"/>
    <n v="0"/>
    <s v=""/>
  </r>
  <r>
    <n v="219369515"/>
    <d v="2023-08-02T00:00:00"/>
    <m/>
    <x v="0"/>
    <n v="39"/>
    <s v="month"/>
    <s v=""/>
    <x v="6"/>
    <s v="No"/>
    <n v="0"/>
    <n v="0"/>
    <s v=""/>
  </r>
  <r>
    <n v="204947361"/>
    <d v="2023-08-02T00:00:00"/>
    <m/>
    <x v="0"/>
    <n v="39"/>
    <s v="month"/>
    <s v=""/>
    <x v="6"/>
    <s v="No"/>
    <n v="0"/>
    <n v="0"/>
    <s v=""/>
  </r>
  <r>
    <n v="212977568"/>
    <d v="2023-08-02T00:00:00"/>
    <m/>
    <x v="0"/>
    <n v="39"/>
    <s v="month"/>
    <s v=""/>
    <x v="6"/>
    <s v="No"/>
    <n v="0"/>
    <n v="0"/>
    <s v=""/>
  </r>
  <r>
    <n v="217981717"/>
    <d v="2023-08-02T00:00:00"/>
    <m/>
    <x v="0"/>
    <n v="39"/>
    <s v="month"/>
    <s v=""/>
    <x v="6"/>
    <s v="No"/>
    <n v="0"/>
    <n v="0"/>
    <s v=""/>
  </r>
  <r>
    <n v="219459089"/>
    <d v="2023-08-02T00:00:00"/>
    <m/>
    <x v="0"/>
    <n v="39"/>
    <s v="month"/>
    <s v=""/>
    <x v="6"/>
    <s v="No"/>
    <n v="0"/>
    <n v="0"/>
    <s v=""/>
  </r>
  <r>
    <n v="193483420"/>
    <d v="2023-08-02T00:00:00"/>
    <m/>
    <x v="0"/>
    <n v="39"/>
    <s v="month"/>
    <s v=""/>
    <x v="6"/>
    <s v="No"/>
    <n v="0"/>
    <n v="0"/>
    <s v=""/>
  </r>
  <r>
    <n v="219496362"/>
    <d v="2023-08-02T00:00:00"/>
    <d v="2023-09-04T00:00:00"/>
    <x v="0"/>
    <n v="39"/>
    <s v="month"/>
    <n v="33"/>
    <x v="6"/>
    <s v="No"/>
    <n v="0"/>
    <n v="1"/>
    <n v="33"/>
  </r>
  <r>
    <n v="219398902"/>
    <d v="2023-08-02T00:00:00"/>
    <d v="2023-09-05T00:00:00"/>
    <x v="0"/>
    <n v="39"/>
    <s v="month"/>
    <n v="34"/>
    <x v="6"/>
    <s v="No"/>
    <n v="0"/>
    <n v="1"/>
    <n v="34"/>
  </r>
  <r>
    <n v="219497152"/>
    <d v="2023-08-02T00:00:00"/>
    <d v="2023-08-23T00:00:00"/>
    <x v="0"/>
    <n v="39"/>
    <s v="month"/>
    <n v="21"/>
    <x v="6"/>
    <s v="No"/>
    <n v="0"/>
    <n v="0"/>
    <n v="21"/>
  </r>
  <r>
    <n v="188426619"/>
    <d v="2023-08-02T00:00:00"/>
    <d v="2023-09-01T00:00:00"/>
    <x v="0"/>
    <n v="39"/>
    <s v="month"/>
    <n v="30"/>
    <x v="6"/>
    <s v="No"/>
    <n v="0"/>
    <n v="0"/>
    <n v="30"/>
  </r>
  <r>
    <n v="219470485"/>
    <d v="2023-08-02T00:00:00"/>
    <d v="2023-08-16T00:00:00"/>
    <x v="0"/>
    <n v="39"/>
    <s v="month"/>
    <n v="14"/>
    <x v="6"/>
    <s v="No"/>
    <n v="0"/>
    <n v="0"/>
    <n v="14"/>
  </r>
  <r>
    <n v="219460783"/>
    <d v="2023-08-02T00:00:00"/>
    <d v="2023-08-28T00:00:00"/>
    <x v="0"/>
    <n v="39"/>
    <s v="month"/>
    <n v="26"/>
    <x v="6"/>
    <s v="No"/>
    <n v="0"/>
    <n v="0"/>
    <n v="26"/>
  </r>
  <r>
    <n v="219512722"/>
    <d v="2023-08-03T00:00:00"/>
    <m/>
    <x v="0"/>
    <n v="39"/>
    <s v="month"/>
    <s v=""/>
    <x v="0"/>
    <s v="No"/>
    <n v="0"/>
    <n v="0"/>
    <s v=""/>
  </r>
  <r>
    <n v="199393176"/>
    <d v="2023-08-03T00:00:00"/>
    <m/>
    <x v="0"/>
    <n v="39"/>
    <s v="month"/>
    <s v=""/>
    <x v="0"/>
    <s v="No"/>
    <n v="0"/>
    <n v="0"/>
    <s v=""/>
  </r>
  <r>
    <n v="217368686"/>
    <d v="2023-08-03T00:00:00"/>
    <m/>
    <x v="0"/>
    <n v="39"/>
    <s v="month"/>
    <s v=""/>
    <x v="0"/>
    <s v="No"/>
    <n v="0"/>
    <n v="0"/>
    <s v=""/>
  </r>
  <r>
    <n v="218247056"/>
    <d v="2023-08-03T00:00:00"/>
    <m/>
    <x v="0"/>
    <n v="39"/>
    <s v="month"/>
    <s v=""/>
    <x v="0"/>
    <s v="No"/>
    <n v="0"/>
    <n v="0"/>
    <s v=""/>
  </r>
  <r>
    <n v="219439239"/>
    <d v="2023-08-03T00:00:00"/>
    <m/>
    <x v="0"/>
    <n v="39"/>
    <s v="month"/>
    <s v=""/>
    <x v="0"/>
    <s v="No"/>
    <n v="0"/>
    <n v="0"/>
    <s v=""/>
  </r>
  <r>
    <n v="188206991"/>
    <d v="2023-08-03T00:00:00"/>
    <m/>
    <x v="0"/>
    <n v="39"/>
    <s v="month"/>
    <s v=""/>
    <x v="0"/>
    <s v="No"/>
    <n v="0"/>
    <n v="0"/>
    <s v=""/>
  </r>
  <r>
    <n v="206470657"/>
    <d v="2023-08-03T00:00:00"/>
    <m/>
    <x v="0"/>
    <n v="39"/>
    <s v="month"/>
    <s v=""/>
    <x v="0"/>
    <s v="No"/>
    <n v="0"/>
    <n v="0"/>
    <s v=""/>
  </r>
  <r>
    <n v="218706730"/>
    <d v="2023-08-03T00:00:00"/>
    <m/>
    <x v="0"/>
    <n v="39"/>
    <s v="month"/>
    <s v=""/>
    <x v="0"/>
    <s v="No"/>
    <n v="0"/>
    <n v="0"/>
    <s v=""/>
  </r>
  <r>
    <n v="219512680"/>
    <d v="2023-08-03T00:00:00"/>
    <m/>
    <x v="0"/>
    <n v="39"/>
    <s v="month"/>
    <s v=""/>
    <x v="0"/>
    <s v="No"/>
    <n v="0"/>
    <n v="0"/>
    <s v=""/>
  </r>
  <r>
    <n v="125335731"/>
    <d v="2023-08-03T00:00:00"/>
    <m/>
    <x v="0"/>
    <n v="39"/>
    <s v="month"/>
    <s v=""/>
    <x v="0"/>
    <s v="No"/>
    <n v="0"/>
    <n v="0"/>
    <s v=""/>
  </r>
  <r>
    <n v="160598122"/>
    <d v="2023-08-03T00:00:00"/>
    <m/>
    <x v="0"/>
    <n v="39"/>
    <s v="month"/>
    <s v=""/>
    <x v="0"/>
    <s v="No"/>
    <n v="0"/>
    <n v="0"/>
    <s v=""/>
  </r>
  <r>
    <n v="218414156"/>
    <d v="2023-08-03T00:00:00"/>
    <m/>
    <x v="0"/>
    <n v="39"/>
    <s v="month"/>
    <s v=""/>
    <x v="0"/>
    <s v="No"/>
    <n v="0"/>
    <n v="0"/>
    <s v=""/>
  </r>
  <r>
    <n v="206455504"/>
    <d v="2023-08-03T00:00:00"/>
    <d v="2023-09-01T00:00:00"/>
    <x v="0"/>
    <n v="39"/>
    <s v="month"/>
    <n v="29"/>
    <x v="0"/>
    <s v="No"/>
    <n v="0"/>
    <n v="0"/>
    <n v="29"/>
  </r>
  <r>
    <n v="202589094"/>
    <d v="2023-08-03T00:00:00"/>
    <d v="2023-09-03T00:00:00"/>
    <x v="0"/>
    <n v="39"/>
    <s v="month"/>
    <n v="31"/>
    <x v="0"/>
    <s v="No"/>
    <n v="0"/>
    <n v="1"/>
    <n v="31"/>
  </r>
  <r>
    <n v="129747676"/>
    <d v="2023-08-03T00:00:00"/>
    <d v="2023-09-06T00:00:00"/>
    <x v="0"/>
    <n v="39"/>
    <s v="month"/>
    <n v="34"/>
    <x v="0"/>
    <s v="No"/>
    <n v="0"/>
    <n v="1"/>
    <n v="34"/>
  </r>
  <r>
    <n v="219511614"/>
    <d v="2023-08-03T00:00:00"/>
    <d v="2023-09-01T00:00:00"/>
    <x v="0"/>
    <n v="39"/>
    <s v="month"/>
    <n v="29"/>
    <x v="0"/>
    <s v="No"/>
    <n v="0"/>
    <n v="0"/>
    <n v="29"/>
  </r>
  <r>
    <n v="219491158"/>
    <d v="2023-08-04T00:00:00"/>
    <m/>
    <x v="0"/>
    <n v="39"/>
    <s v="month"/>
    <s v=""/>
    <x v="1"/>
    <s v="No"/>
    <n v="0"/>
    <n v="0"/>
    <s v=""/>
  </r>
  <r>
    <n v="218790626"/>
    <d v="2023-08-04T00:00:00"/>
    <m/>
    <x v="0"/>
    <n v="39"/>
    <s v="month"/>
    <s v=""/>
    <x v="1"/>
    <s v="No"/>
    <n v="0"/>
    <n v="0"/>
    <s v=""/>
  </r>
  <r>
    <n v="219476808"/>
    <d v="2023-08-04T00:00:00"/>
    <m/>
    <x v="0"/>
    <n v="39"/>
    <s v="month"/>
    <s v=""/>
    <x v="1"/>
    <s v="No"/>
    <n v="0"/>
    <n v="0"/>
    <s v=""/>
  </r>
  <r>
    <n v="218585706"/>
    <d v="2023-08-04T00:00:00"/>
    <m/>
    <x v="0"/>
    <n v="39"/>
    <s v="month"/>
    <s v=""/>
    <x v="1"/>
    <s v="No"/>
    <n v="0"/>
    <n v="0"/>
    <s v=""/>
  </r>
  <r>
    <n v="219316901"/>
    <d v="2023-08-04T00:00:00"/>
    <m/>
    <x v="0"/>
    <n v="39"/>
    <s v="month"/>
    <s v=""/>
    <x v="1"/>
    <s v="No"/>
    <n v="0"/>
    <n v="0"/>
    <s v=""/>
  </r>
  <r>
    <n v="217724278"/>
    <d v="2023-08-04T00:00:00"/>
    <m/>
    <x v="0"/>
    <n v="39"/>
    <s v="month"/>
    <s v=""/>
    <x v="1"/>
    <s v="No"/>
    <n v="0"/>
    <n v="0"/>
    <s v=""/>
  </r>
  <r>
    <n v="155869412"/>
    <d v="2023-08-04T00:00:00"/>
    <m/>
    <x v="0"/>
    <n v="39"/>
    <s v="month"/>
    <s v=""/>
    <x v="1"/>
    <s v="No"/>
    <n v="0"/>
    <n v="0"/>
    <s v=""/>
  </r>
  <r>
    <n v="164535832"/>
    <d v="2023-08-04T00:00:00"/>
    <m/>
    <x v="0"/>
    <n v="39"/>
    <s v="month"/>
    <s v=""/>
    <x v="1"/>
    <s v="No"/>
    <n v="0"/>
    <n v="0"/>
    <s v=""/>
  </r>
  <r>
    <n v="219388064"/>
    <d v="2023-08-04T00:00:00"/>
    <m/>
    <x v="0"/>
    <n v="39"/>
    <s v="month"/>
    <s v=""/>
    <x v="1"/>
    <s v="No"/>
    <n v="0"/>
    <n v="0"/>
    <s v=""/>
  </r>
  <r>
    <n v="218884048"/>
    <d v="2023-08-04T00:00:00"/>
    <d v="2023-08-22T00:00:00"/>
    <x v="0"/>
    <n v="39"/>
    <s v="month"/>
    <n v="18"/>
    <x v="1"/>
    <s v="No"/>
    <n v="0"/>
    <n v="0"/>
    <n v="18"/>
  </r>
  <r>
    <n v="219603078"/>
    <d v="2023-08-05T00:00:00"/>
    <m/>
    <x v="0"/>
    <n v="39"/>
    <s v="month"/>
    <s v=""/>
    <x v="2"/>
    <s v="No"/>
    <n v="0"/>
    <n v="0"/>
    <s v=""/>
  </r>
  <r>
    <n v="219146842"/>
    <d v="2023-08-05T00:00:00"/>
    <m/>
    <x v="0"/>
    <n v="39"/>
    <s v="month"/>
    <s v=""/>
    <x v="2"/>
    <s v="No"/>
    <n v="0"/>
    <n v="0"/>
    <s v=""/>
  </r>
  <r>
    <n v="206676416"/>
    <d v="2023-08-05T00:00:00"/>
    <m/>
    <x v="0"/>
    <n v="39"/>
    <s v="month"/>
    <s v=""/>
    <x v="2"/>
    <s v="No"/>
    <n v="0"/>
    <n v="0"/>
    <s v=""/>
  </r>
  <r>
    <n v="219615770"/>
    <d v="2023-08-05T00:00:00"/>
    <m/>
    <x v="0"/>
    <n v="39"/>
    <s v="month"/>
    <s v=""/>
    <x v="2"/>
    <s v="No"/>
    <n v="0"/>
    <n v="0"/>
    <s v=""/>
  </r>
  <r>
    <n v="219630379"/>
    <d v="2023-08-06T00:00:00"/>
    <m/>
    <x v="0"/>
    <n v="39"/>
    <s v="month"/>
    <s v=""/>
    <x v="3"/>
    <s v="No"/>
    <n v="0"/>
    <n v="0"/>
    <s v=""/>
  </r>
  <r>
    <n v="145096572"/>
    <d v="2023-08-06T00:00:00"/>
    <m/>
    <x v="0"/>
    <n v="39"/>
    <s v="month"/>
    <s v=""/>
    <x v="3"/>
    <s v="No"/>
    <n v="0"/>
    <n v="0"/>
    <s v=""/>
  </r>
  <r>
    <n v="144005898"/>
    <d v="2023-08-06T00:00:00"/>
    <m/>
    <x v="0"/>
    <n v="39"/>
    <s v="month"/>
    <s v=""/>
    <x v="3"/>
    <s v="No"/>
    <n v="0"/>
    <n v="0"/>
    <s v=""/>
  </r>
  <r>
    <n v="215189020"/>
    <d v="2023-08-06T00:00:00"/>
    <m/>
    <x v="0"/>
    <n v="39"/>
    <s v="month"/>
    <s v=""/>
    <x v="3"/>
    <s v="No"/>
    <n v="0"/>
    <n v="0"/>
    <s v=""/>
  </r>
  <r>
    <n v="188354637"/>
    <d v="2023-08-06T00:00:00"/>
    <d v="2023-08-20T00:00:00"/>
    <x v="0"/>
    <n v="39"/>
    <s v="month"/>
    <n v="14"/>
    <x v="3"/>
    <s v="No"/>
    <n v="0"/>
    <n v="0"/>
    <n v="14"/>
  </r>
  <r>
    <n v="219668475"/>
    <d v="2023-08-07T00:00:00"/>
    <m/>
    <x v="0"/>
    <n v="39"/>
    <s v="month"/>
    <s v=""/>
    <x v="4"/>
    <s v="No"/>
    <n v="0"/>
    <n v="0"/>
    <s v=""/>
  </r>
  <r>
    <n v="219495361"/>
    <d v="2023-08-07T00:00:00"/>
    <m/>
    <x v="0"/>
    <n v="39"/>
    <s v="month"/>
    <s v=""/>
    <x v="4"/>
    <s v="No"/>
    <n v="0"/>
    <n v="0"/>
    <s v=""/>
  </r>
  <r>
    <n v="219672587"/>
    <d v="2023-08-07T00:00:00"/>
    <m/>
    <x v="0"/>
    <n v="39"/>
    <s v="month"/>
    <s v=""/>
    <x v="4"/>
    <s v="No"/>
    <n v="0"/>
    <n v="0"/>
    <s v=""/>
  </r>
  <r>
    <n v="218556897"/>
    <d v="2023-08-07T00:00:00"/>
    <d v="2023-08-08T00:00:00"/>
    <x v="0"/>
    <n v="39"/>
    <s v="month"/>
    <n v="1"/>
    <x v="4"/>
    <s v="No"/>
    <n v="1"/>
    <n v="0"/>
    <n v="1"/>
  </r>
  <r>
    <n v="219467082"/>
    <d v="2023-08-07T00:00:00"/>
    <d v="2023-08-15T00:00:00"/>
    <x v="0"/>
    <n v="39"/>
    <s v="month"/>
    <n v="8"/>
    <x v="4"/>
    <s v="No"/>
    <n v="0"/>
    <n v="0"/>
    <n v="8"/>
  </r>
  <r>
    <n v="139353407"/>
    <d v="2023-08-08T00:00:00"/>
    <m/>
    <x v="0"/>
    <n v="39"/>
    <s v="month"/>
    <s v=""/>
    <x v="5"/>
    <s v="No"/>
    <n v="0"/>
    <n v="0"/>
    <s v=""/>
  </r>
  <r>
    <n v="219734945"/>
    <d v="2023-08-08T00:00:00"/>
    <m/>
    <x v="0"/>
    <n v="39"/>
    <s v="month"/>
    <s v=""/>
    <x v="5"/>
    <s v="No"/>
    <n v="0"/>
    <n v="0"/>
    <s v=""/>
  </r>
  <r>
    <n v="219735949"/>
    <d v="2023-08-08T00:00:00"/>
    <m/>
    <x v="0"/>
    <n v="39"/>
    <s v="month"/>
    <s v=""/>
    <x v="5"/>
    <s v="No"/>
    <n v="0"/>
    <n v="0"/>
    <s v=""/>
  </r>
  <r>
    <n v="219688361"/>
    <d v="2023-08-08T00:00:00"/>
    <m/>
    <x v="0"/>
    <n v="39"/>
    <s v="month"/>
    <s v=""/>
    <x v="5"/>
    <s v="No"/>
    <n v="0"/>
    <n v="0"/>
    <s v=""/>
  </r>
  <r>
    <n v="219447968"/>
    <d v="2023-08-08T00:00:00"/>
    <m/>
    <x v="0"/>
    <n v="39"/>
    <s v="month"/>
    <s v=""/>
    <x v="5"/>
    <s v="No"/>
    <n v="0"/>
    <n v="0"/>
    <s v=""/>
  </r>
  <r>
    <n v="219583682"/>
    <d v="2023-08-08T00:00:00"/>
    <m/>
    <x v="0"/>
    <n v="39"/>
    <s v="month"/>
    <s v=""/>
    <x v="5"/>
    <s v="No"/>
    <n v="0"/>
    <n v="0"/>
    <s v=""/>
  </r>
  <r>
    <n v="217638566"/>
    <d v="2023-08-08T00:00:00"/>
    <m/>
    <x v="0"/>
    <n v="39"/>
    <s v="month"/>
    <s v=""/>
    <x v="5"/>
    <s v="No"/>
    <n v="0"/>
    <n v="0"/>
    <s v=""/>
  </r>
  <r>
    <n v="219716268"/>
    <d v="2023-08-08T00:00:00"/>
    <m/>
    <x v="0"/>
    <n v="39"/>
    <s v="month"/>
    <s v=""/>
    <x v="5"/>
    <s v="No"/>
    <n v="0"/>
    <n v="0"/>
    <s v=""/>
  </r>
  <r>
    <n v="219713718"/>
    <d v="2023-08-08T00:00:00"/>
    <m/>
    <x v="0"/>
    <n v="39"/>
    <s v="month"/>
    <s v=""/>
    <x v="5"/>
    <s v="No"/>
    <n v="0"/>
    <n v="0"/>
    <s v=""/>
  </r>
  <r>
    <n v="219707178"/>
    <d v="2023-08-08T00:00:00"/>
    <m/>
    <x v="0"/>
    <n v="39"/>
    <s v="month"/>
    <s v=""/>
    <x v="5"/>
    <s v="No"/>
    <n v="0"/>
    <n v="0"/>
    <s v=""/>
  </r>
  <r>
    <n v="219747148"/>
    <d v="2023-08-08T00:00:00"/>
    <d v="2023-08-08T00:00:00"/>
    <x v="0"/>
    <n v="39"/>
    <s v="month"/>
    <n v="0"/>
    <x v="5"/>
    <s v="Yes"/>
    <n v="1"/>
    <n v="0"/>
    <n v="0"/>
  </r>
  <r>
    <n v="219710700"/>
    <d v="2023-08-08T00:00:00"/>
    <d v="2023-08-17T00:00:00"/>
    <x v="0"/>
    <n v="39"/>
    <s v="month"/>
    <n v="9"/>
    <x v="5"/>
    <s v="No"/>
    <n v="0"/>
    <n v="0"/>
    <n v="9"/>
  </r>
  <r>
    <n v="160883429"/>
    <d v="2023-08-09T00:00:00"/>
    <m/>
    <x v="0"/>
    <n v="39"/>
    <s v="month"/>
    <s v=""/>
    <x v="6"/>
    <s v="No"/>
    <n v="0"/>
    <n v="0"/>
    <s v=""/>
  </r>
  <r>
    <n v="218556897"/>
    <d v="2023-08-09T00:00:00"/>
    <m/>
    <x v="0"/>
    <n v="39"/>
    <s v="month"/>
    <s v=""/>
    <x v="6"/>
    <s v="No"/>
    <n v="0"/>
    <n v="0"/>
    <s v=""/>
  </r>
  <r>
    <n v="219779586"/>
    <d v="2023-08-09T00:00:00"/>
    <m/>
    <x v="0"/>
    <n v="39"/>
    <s v="month"/>
    <s v=""/>
    <x v="6"/>
    <s v="No"/>
    <n v="0"/>
    <n v="0"/>
    <s v=""/>
  </r>
  <r>
    <n v="219437804"/>
    <d v="2023-08-09T00:00:00"/>
    <m/>
    <x v="0"/>
    <n v="39"/>
    <s v="month"/>
    <s v=""/>
    <x v="6"/>
    <s v="No"/>
    <n v="0"/>
    <n v="0"/>
    <s v=""/>
  </r>
  <r>
    <n v="206402783"/>
    <d v="2023-08-09T00:00:00"/>
    <m/>
    <x v="0"/>
    <n v="39"/>
    <s v="month"/>
    <s v=""/>
    <x v="6"/>
    <s v="No"/>
    <n v="0"/>
    <n v="0"/>
    <s v=""/>
  </r>
  <r>
    <n v="178419414"/>
    <d v="2023-08-09T00:00:00"/>
    <m/>
    <x v="0"/>
    <n v="39"/>
    <s v="month"/>
    <s v=""/>
    <x v="6"/>
    <s v="No"/>
    <n v="0"/>
    <n v="0"/>
    <s v=""/>
  </r>
  <r>
    <n v="219719416"/>
    <d v="2023-08-09T00:00:00"/>
    <m/>
    <x v="0"/>
    <n v="39"/>
    <s v="month"/>
    <s v=""/>
    <x v="6"/>
    <s v="No"/>
    <n v="0"/>
    <n v="0"/>
    <s v=""/>
  </r>
  <r>
    <n v="156558244"/>
    <d v="2023-08-09T00:00:00"/>
    <m/>
    <x v="0"/>
    <n v="39"/>
    <s v="month"/>
    <s v=""/>
    <x v="6"/>
    <s v="No"/>
    <n v="0"/>
    <n v="0"/>
    <s v=""/>
  </r>
  <r>
    <n v="215602271"/>
    <d v="2023-08-09T00:00:00"/>
    <d v="2023-08-15T00:00:00"/>
    <x v="0"/>
    <n v="39"/>
    <s v="month"/>
    <n v="6"/>
    <x v="6"/>
    <s v="No"/>
    <n v="0"/>
    <n v="0"/>
    <n v="6"/>
  </r>
  <r>
    <n v="219761422"/>
    <d v="2023-08-09T00:00:00"/>
    <d v="2023-08-14T00:00:00"/>
    <x v="0"/>
    <n v="39"/>
    <s v="month"/>
    <n v="5"/>
    <x v="6"/>
    <s v="No"/>
    <n v="0"/>
    <n v="0"/>
    <n v="5"/>
  </r>
  <r>
    <n v="218594597"/>
    <d v="2023-08-09T00:00:00"/>
    <d v="2023-08-09T00:00:00"/>
    <x v="1"/>
    <n v="39"/>
    <s v="month"/>
    <n v="0"/>
    <x v="6"/>
    <s v="Yes"/>
    <n v="1"/>
    <n v="0"/>
    <n v="0"/>
  </r>
  <r>
    <n v="219734107"/>
    <d v="2023-08-10T00:00:00"/>
    <m/>
    <x v="0"/>
    <n v="39"/>
    <s v="month"/>
    <s v=""/>
    <x v="0"/>
    <s v="No"/>
    <n v="0"/>
    <n v="0"/>
    <s v=""/>
  </r>
  <r>
    <n v="219836911"/>
    <d v="2023-08-10T00:00:00"/>
    <m/>
    <x v="0"/>
    <n v="39"/>
    <s v="month"/>
    <s v=""/>
    <x v="0"/>
    <s v="No"/>
    <n v="0"/>
    <n v="0"/>
    <s v=""/>
  </r>
  <r>
    <n v="215179190"/>
    <d v="2023-08-10T00:00:00"/>
    <m/>
    <x v="0"/>
    <n v="39"/>
    <s v="month"/>
    <s v=""/>
    <x v="0"/>
    <s v="No"/>
    <n v="0"/>
    <n v="0"/>
    <s v=""/>
  </r>
  <r>
    <n v="219817702"/>
    <d v="2023-08-10T00:00:00"/>
    <m/>
    <x v="0"/>
    <n v="39"/>
    <s v="month"/>
    <s v=""/>
    <x v="0"/>
    <s v="No"/>
    <n v="0"/>
    <n v="0"/>
    <s v=""/>
  </r>
  <r>
    <n v="150065982"/>
    <d v="2023-08-10T00:00:00"/>
    <d v="2023-08-11T00:00:00"/>
    <x v="0"/>
    <n v="39"/>
    <s v="month"/>
    <n v="1"/>
    <x v="0"/>
    <s v="No"/>
    <n v="1"/>
    <n v="0"/>
    <n v="1"/>
  </r>
  <r>
    <n v="219891350"/>
    <d v="2023-08-11T00:00:00"/>
    <m/>
    <x v="0"/>
    <n v="39"/>
    <s v="month"/>
    <s v=""/>
    <x v="1"/>
    <s v="No"/>
    <n v="0"/>
    <n v="0"/>
    <s v=""/>
  </r>
  <r>
    <n v="205210815"/>
    <d v="2023-08-11T00:00:00"/>
    <m/>
    <x v="0"/>
    <n v="39"/>
    <s v="month"/>
    <s v=""/>
    <x v="1"/>
    <s v="No"/>
    <n v="0"/>
    <n v="0"/>
    <s v=""/>
  </r>
  <r>
    <n v="219744473"/>
    <d v="2023-08-11T00:00:00"/>
    <m/>
    <x v="0"/>
    <n v="39"/>
    <s v="month"/>
    <s v=""/>
    <x v="1"/>
    <s v="No"/>
    <n v="0"/>
    <n v="0"/>
    <s v=""/>
  </r>
  <r>
    <n v="219851822"/>
    <d v="2023-08-11T00:00:00"/>
    <m/>
    <x v="0"/>
    <n v="39"/>
    <s v="month"/>
    <s v=""/>
    <x v="1"/>
    <s v="No"/>
    <n v="0"/>
    <n v="0"/>
    <s v=""/>
  </r>
  <r>
    <n v="150779000"/>
    <d v="2023-08-11T00:00:00"/>
    <d v="2023-09-06T00:00:00"/>
    <x v="0"/>
    <n v="39"/>
    <s v="month"/>
    <n v="26"/>
    <x v="1"/>
    <s v="No"/>
    <n v="0"/>
    <n v="0"/>
    <n v="26"/>
  </r>
  <r>
    <n v="219876215"/>
    <d v="2023-08-11T00:00:00"/>
    <d v="2023-08-12T00:00:00"/>
    <x v="0"/>
    <n v="39"/>
    <s v="month"/>
    <n v="1"/>
    <x v="1"/>
    <s v="No"/>
    <n v="1"/>
    <n v="0"/>
    <n v="1"/>
  </r>
  <r>
    <n v="151633468"/>
    <d v="2023-08-11T00:00:00"/>
    <d v="2023-08-12T00:00:00"/>
    <x v="0"/>
    <n v="39"/>
    <s v="month"/>
    <n v="1"/>
    <x v="1"/>
    <s v="No"/>
    <n v="1"/>
    <n v="0"/>
    <n v="1"/>
  </r>
  <r>
    <n v="219834528"/>
    <d v="2023-08-11T00:00:00"/>
    <d v="2023-08-12T00:00:00"/>
    <x v="1"/>
    <n v="39"/>
    <s v="month"/>
    <n v="1"/>
    <x v="1"/>
    <s v="No"/>
    <n v="1"/>
    <n v="0"/>
    <n v="1"/>
  </r>
  <r>
    <n v="202844600"/>
    <d v="2023-08-11T00:00:00"/>
    <d v="2023-08-12T00:00:00"/>
    <x v="1"/>
    <n v="39"/>
    <s v="month"/>
    <n v="1"/>
    <x v="1"/>
    <s v="No"/>
    <n v="1"/>
    <n v="0"/>
    <n v="1"/>
  </r>
  <r>
    <n v="158093021"/>
    <d v="2023-08-12T00:00:00"/>
    <m/>
    <x v="0"/>
    <n v="39"/>
    <s v="month"/>
    <s v=""/>
    <x v="2"/>
    <s v="No"/>
    <n v="0"/>
    <n v="0"/>
    <s v=""/>
  </r>
  <r>
    <n v="203366396"/>
    <d v="2023-08-12T00:00:00"/>
    <d v="2023-08-16T00:00:00"/>
    <x v="0"/>
    <n v="39"/>
    <s v="month"/>
    <n v="4"/>
    <x v="2"/>
    <s v="No"/>
    <n v="0"/>
    <n v="0"/>
    <n v="4"/>
  </r>
  <r>
    <n v="210694562"/>
    <d v="2023-08-12T00:00:00"/>
    <d v="2023-09-02T00:00:00"/>
    <x v="0"/>
    <n v="39"/>
    <s v="month"/>
    <n v="21"/>
    <x v="2"/>
    <s v="No"/>
    <n v="0"/>
    <n v="0"/>
    <n v="21"/>
  </r>
  <r>
    <n v="188347490"/>
    <d v="2023-08-13T00:00:00"/>
    <m/>
    <x v="0"/>
    <n v="39"/>
    <s v="month"/>
    <s v=""/>
    <x v="3"/>
    <s v="No"/>
    <n v="0"/>
    <n v="0"/>
    <s v=""/>
  </r>
  <r>
    <n v="219947831"/>
    <d v="2023-08-13T00:00:00"/>
    <m/>
    <x v="0"/>
    <n v="39"/>
    <s v="month"/>
    <s v=""/>
    <x v="3"/>
    <s v="No"/>
    <n v="0"/>
    <n v="0"/>
    <s v=""/>
  </r>
  <r>
    <n v="214775412"/>
    <d v="2023-08-13T00:00:00"/>
    <m/>
    <x v="0"/>
    <n v="39"/>
    <s v="month"/>
    <s v=""/>
    <x v="3"/>
    <s v="No"/>
    <n v="0"/>
    <n v="0"/>
    <s v=""/>
  </r>
  <r>
    <n v="134753801"/>
    <d v="2023-08-13T00:00:00"/>
    <m/>
    <x v="0"/>
    <n v="39"/>
    <s v="month"/>
    <s v=""/>
    <x v="3"/>
    <s v="No"/>
    <n v="0"/>
    <n v="0"/>
    <s v=""/>
  </r>
  <r>
    <n v="182584521"/>
    <d v="2023-08-13T00:00:00"/>
    <m/>
    <x v="0"/>
    <n v="39"/>
    <s v="month"/>
    <s v=""/>
    <x v="3"/>
    <s v="No"/>
    <n v="0"/>
    <n v="0"/>
    <s v=""/>
  </r>
  <r>
    <n v="219955434"/>
    <d v="2023-08-13T00:00:00"/>
    <m/>
    <x v="0"/>
    <n v="39"/>
    <s v="month"/>
    <s v=""/>
    <x v="3"/>
    <s v="No"/>
    <n v="0"/>
    <n v="0"/>
    <s v=""/>
  </r>
  <r>
    <n v="219951440"/>
    <d v="2023-08-13T00:00:00"/>
    <m/>
    <x v="0"/>
    <n v="39"/>
    <s v="month"/>
    <s v=""/>
    <x v="3"/>
    <s v="No"/>
    <n v="0"/>
    <n v="0"/>
    <s v=""/>
  </r>
  <r>
    <n v="219808428"/>
    <d v="2023-08-13T00:00:00"/>
    <d v="2023-09-01T00:00:00"/>
    <x v="0"/>
    <n v="39"/>
    <s v="month"/>
    <n v="19"/>
    <x v="3"/>
    <s v="No"/>
    <n v="0"/>
    <n v="0"/>
    <n v="19"/>
  </r>
  <r>
    <n v="191034251"/>
    <d v="2023-08-14T00:00:00"/>
    <m/>
    <x v="0"/>
    <n v="39"/>
    <s v="month"/>
    <s v=""/>
    <x v="4"/>
    <s v="No"/>
    <n v="0"/>
    <n v="0"/>
    <s v=""/>
  </r>
  <r>
    <n v="220023196"/>
    <d v="2023-08-14T00:00:00"/>
    <m/>
    <x v="0"/>
    <n v="39"/>
    <s v="month"/>
    <s v=""/>
    <x v="4"/>
    <s v="No"/>
    <n v="0"/>
    <n v="0"/>
    <s v=""/>
  </r>
  <r>
    <n v="220028812"/>
    <d v="2023-08-14T00:00:00"/>
    <m/>
    <x v="0"/>
    <n v="39"/>
    <s v="month"/>
    <s v=""/>
    <x v="4"/>
    <s v="No"/>
    <n v="0"/>
    <n v="0"/>
    <s v=""/>
  </r>
  <r>
    <n v="195988242"/>
    <d v="2023-08-14T00:00:00"/>
    <m/>
    <x v="0"/>
    <n v="39"/>
    <s v="month"/>
    <s v=""/>
    <x v="4"/>
    <s v="No"/>
    <n v="0"/>
    <n v="0"/>
    <s v=""/>
  </r>
  <r>
    <n v="151633468"/>
    <d v="2023-08-14T00:00:00"/>
    <m/>
    <x v="0"/>
    <n v="39"/>
    <s v="month"/>
    <s v=""/>
    <x v="4"/>
    <s v="No"/>
    <n v="0"/>
    <n v="0"/>
    <s v=""/>
  </r>
  <r>
    <n v="220012044"/>
    <d v="2023-08-14T00:00:00"/>
    <m/>
    <x v="0"/>
    <n v="39"/>
    <s v="month"/>
    <s v=""/>
    <x v="4"/>
    <s v="No"/>
    <n v="0"/>
    <n v="0"/>
    <s v=""/>
  </r>
  <r>
    <n v="219981231"/>
    <d v="2023-08-14T00:00:00"/>
    <m/>
    <x v="0"/>
    <n v="39"/>
    <s v="month"/>
    <s v=""/>
    <x v="4"/>
    <s v="No"/>
    <n v="0"/>
    <n v="0"/>
    <s v=""/>
  </r>
  <r>
    <n v="169692209"/>
    <d v="2023-08-14T00:00:00"/>
    <m/>
    <x v="0"/>
    <n v="39"/>
    <s v="month"/>
    <s v=""/>
    <x v="4"/>
    <s v="No"/>
    <n v="0"/>
    <n v="0"/>
    <s v=""/>
  </r>
  <r>
    <n v="116156335"/>
    <d v="2023-08-14T00:00:00"/>
    <m/>
    <x v="0"/>
    <n v="39"/>
    <s v="month"/>
    <s v=""/>
    <x v="4"/>
    <s v="No"/>
    <n v="0"/>
    <n v="0"/>
    <s v=""/>
  </r>
  <r>
    <n v="153393340"/>
    <d v="2023-08-14T00:00:00"/>
    <m/>
    <x v="0"/>
    <n v="39"/>
    <s v="month"/>
    <s v=""/>
    <x v="4"/>
    <s v="No"/>
    <n v="0"/>
    <n v="0"/>
    <s v=""/>
  </r>
  <r>
    <n v="219974920"/>
    <d v="2023-08-14T00:00:00"/>
    <m/>
    <x v="0"/>
    <n v="39"/>
    <s v="month"/>
    <s v=""/>
    <x v="4"/>
    <s v="No"/>
    <n v="0"/>
    <n v="0"/>
    <s v=""/>
  </r>
  <r>
    <n v="121253113"/>
    <d v="2023-08-14T00:00:00"/>
    <d v="2023-08-16T00:00:00"/>
    <x v="0"/>
    <n v="39"/>
    <s v="month"/>
    <n v="2"/>
    <x v="4"/>
    <s v="No"/>
    <n v="1"/>
    <n v="0"/>
    <n v="2"/>
  </r>
  <r>
    <n v="219690296"/>
    <d v="2023-08-15T00:00:00"/>
    <m/>
    <x v="0"/>
    <n v="39"/>
    <s v="month"/>
    <s v=""/>
    <x v="5"/>
    <s v="No"/>
    <n v="0"/>
    <n v="0"/>
    <s v=""/>
  </r>
  <r>
    <n v="187268085"/>
    <d v="2023-08-15T00:00:00"/>
    <m/>
    <x v="0"/>
    <n v="39"/>
    <s v="month"/>
    <s v=""/>
    <x v="5"/>
    <s v="No"/>
    <n v="0"/>
    <n v="0"/>
    <s v=""/>
  </r>
  <r>
    <n v="150623785"/>
    <d v="2023-08-15T00:00:00"/>
    <m/>
    <x v="0"/>
    <n v="39"/>
    <s v="month"/>
    <s v=""/>
    <x v="5"/>
    <s v="No"/>
    <n v="0"/>
    <n v="0"/>
    <s v=""/>
  </r>
  <r>
    <n v="220056524"/>
    <d v="2023-08-15T00:00:00"/>
    <d v="2023-08-16T00:00:00"/>
    <x v="1"/>
    <n v="39"/>
    <s v="month"/>
    <n v="1"/>
    <x v="5"/>
    <s v="No"/>
    <n v="1"/>
    <n v="0"/>
    <n v="1"/>
  </r>
  <r>
    <n v="208188866"/>
    <d v="2023-08-16T00:00:00"/>
    <m/>
    <x v="0"/>
    <n v="39"/>
    <s v="month"/>
    <s v=""/>
    <x v="6"/>
    <s v="No"/>
    <n v="0"/>
    <n v="0"/>
    <s v=""/>
  </r>
  <r>
    <n v="219081046"/>
    <d v="2023-08-16T00:00:00"/>
    <m/>
    <x v="0"/>
    <n v="39"/>
    <s v="month"/>
    <s v=""/>
    <x v="6"/>
    <s v="No"/>
    <n v="0"/>
    <n v="0"/>
    <s v=""/>
  </r>
  <r>
    <n v="219569143"/>
    <d v="2023-08-16T00:00:00"/>
    <m/>
    <x v="0"/>
    <n v="39"/>
    <s v="month"/>
    <s v=""/>
    <x v="6"/>
    <s v="No"/>
    <n v="0"/>
    <n v="0"/>
    <s v=""/>
  </r>
  <r>
    <n v="219653068"/>
    <d v="2023-08-16T00:00:00"/>
    <m/>
    <x v="0"/>
    <n v="39"/>
    <s v="month"/>
    <s v=""/>
    <x v="6"/>
    <s v="No"/>
    <n v="0"/>
    <n v="0"/>
    <s v=""/>
  </r>
  <r>
    <n v="220120740"/>
    <d v="2023-08-16T00:00:00"/>
    <m/>
    <x v="0"/>
    <n v="39"/>
    <s v="month"/>
    <s v=""/>
    <x v="6"/>
    <s v="No"/>
    <n v="0"/>
    <n v="0"/>
    <s v=""/>
  </r>
  <r>
    <n v="186200901"/>
    <d v="2023-08-16T00:00:00"/>
    <m/>
    <x v="0"/>
    <n v="39"/>
    <s v="month"/>
    <s v=""/>
    <x v="6"/>
    <s v="No"/>
    <n v="0"/>
    <n v="0"/>
    <s v=""/>
  </r>
  <r>
    <n v="220116966"/>
    <d v="2023-08-16T00:00:00"/>
    <m/>
    <x v="0"/>
    <n v="39"/>
    <s v="month"/>
    <s v=""/>
    <x v="6"/>
    <s v="No"/>
    <n v="0"/>
    <n v="0"/>
    <s v=""/>
  </r>
  <r>
    <n v="219876215"/>
    <d v="2023-08-16T00:00:00"/>
    <m/>
    <x v="0"/>
    <n v="39"/>
    <s v="month"/>
    <s v=""/>
    <x v="6"/>
    <s v="No"/>
    <n v="0"/>
    <n v="0"/>
    <s v=""/>
  </r>
  <r>
    <n v="219996796"/>
    <d v="2023-08-16T00:00:00"/>
    <m/>
    <x v="0"/>
    <n v="39"/>
    <s v="month"/>
    <s v=""/>
    <x v="6"/>
    <s v="No"/>
    <n v="0"/>
    <n v="0"/>
    <s v=""/>
  </r>
  <r>
    <n v="218296652"/>
    <d v="2023-08-16T00:00:00"/>
    <m/>
    <x v="0"/>
    <n v="39"/>
    <s v="month"/>
    <s v=""/>
    <x v="6"/>
    <s v="No"/>
    <n v="0"/>
    <n v="0"/>
    <s v=""/>
  </r>
  <r>
    <n v="188748372"/>
    <d v="2023-08-16T00:00:00"/>
    <m/>
    <x v="0"/>
    <n v="39"/>
    <s v="month"/>
    <s v=""/>
    <x v="6"/>
    <s v="No"/>
    <n v="0"/>
    <n v="0"/>
    <s v=""/>
  </r>
  <r>
    <n v="220080560"/>
    <d v="2023-08-16T00:00:00"/>
    <m/>
    <x v="0"/>
    <n v="39"/>
    <s v="month"/>
    <s v=""/>
    <x v="6"/>
    <s v="No"/>
    <n v="0"/>
    <n v="0"/>
    <s v=""/>
  </r>
  <r>
    <n v="219899496"/>
    <d v="2023-08-17T00:00:00"/>
    <m/>
    <x v="0"/>
    <n v="39"/>
    <s v="month"/>
    <s v=""/>
    <x v="0"/>
    <s v="No"/>
    <n v="0"/>
    <n v="0"/>
    <s v=""/>
  </r>
  <r>
    <n v="219000322"/>
    <d v="2023-08-17T00:00:00"/>
    <m/>
    <x v="0"/>
    <n v="39"/>
    <s v="month"/>
    <s v=""/>
    <x v="0"/>
    <s v="No"/>
    <n v="0"/>
    <n v="0"/>
    <s v=""/>
  </r>
  <r>
    <n v="220181992"/>
    <d v="2023-08-17T00:00:00"/>
    <m/>
    <x v="0"/>
    <n v="39"/>
    <s v="month"/>
    <s v=""/>
    <x v="0"/>
    <s v="No"/>
    <n v="0"/>
    <n v="0"/>
    <s v=""/>
  </r>
  <r>
    <n v="220196419"/>
    <d v="2023-08-17T00:00:00"/>
    <m/>
    <x v="0"/>
    <n v="39"/>
    <s v="month"/>
    <s v=""/>
    <x v="0"/>
    <s v="No"/>
    <n v="0"/>
    <n v="0"/>
    <s v=""/>
  </r>
  <r>
    <n v="220155197"/>
    <d v="2023-08-17T00:00:00"/>
    <m/>
    <x v="0"/>
    <n v="39"/>
    <s v="month"/>
    <s v=""/>
    <x v="0"/>
    <s v="No"/>
    <n v="0"/>
    <n v="0"/>
    <s v=""/>
  </r>
  <r>
    <n v="220144619"/>
    <d v="2023-08-17T00:00:00"/>
    <m/>
    <x v="0"/>
    <n v="39"/>
    <s v="month"/>
    <s v=""/>
    <x v="0"/>
    <s v="No"/>
    <n v="0"/>
    <n v="0"/>
    <s v=""/>
  </r>
  <r>
    <n v="220184550"/>
    <d v="2023-08-17T00:00:00"/>
    <m/>
    <x v="0"/>
    <n v="39"/>
    <s v="month"/>
    <s v=""/>
    <x v="0"/>
    <s v="No"/>
    <n v="0"/>
    <n v="0"/>
    <s v=""/>
  </r>
  <r>
    <n v="152209352"/>
    <d v="2023-08-17T00:00:00"/>
    <m/>
    <x v="0"/>
    <n v="39"/>
    <s v="month"/>
    <s v=""/>
    <x v="0"/>
    <s v="No"/>
    <n v="0"/>
    <n v="0"/>
    <s v=""/>
  </r>
  <r>
    <n v="146952862"/>
    <d v="2023-08-17T00:00:00"/>
    <m/>
    <x v="0"/>
    <n v="39"/>
    <s v="month"/>
    <s v=""/>
    <x v="0"/>
    <s v="No"/>
    <n v="0"/>
    <n v="0"/>
    <s v=""/>
  </r>
  <r>
    <n v="220178530"/>
    <d v="2023-08-17T00:00:00"/>
    <m/>
    <x v="0"/>
    <n v="39"/>
    <s v="month"/>
    <s v=""/>
    <x v="0"/>
    <s v="No"/>
    <n v="0"/>
    <n v="0"/>
    <s v=""/>
  </r>
  <r>
    <n v="219498470"/>
    <d v="2023-08-17T00:00:00"/>
    <m/>
    <x v="0"/>
    <n v="39"/>
    <s v="month"/>
    <s v=""/>
    <x v="0"/>
    <s v="No"/>
    <n v="0"/>
    <n v="0"/>
    <s v=""/>
  </r>
  <r>
    <n v="216622895"/>
    <d v="2023-08-17T00:00:00"/>
    <m/>
    <x v="0"/>
    <n v="39"/>
    <s v="month"/>
    <s v=""/>
    <x v="0"/>
    <s v="No"/>
    <n v="0"/>
    <n v="0"/>
    <s v=""/>
  </r>
  <r>
    <n v="153705354"/>
    <d v="2023-08-17T00:00:00"/>
    <d v="2023-08-17T00:00:00"/>
    <x v="0"/>
    <n v="39"/>
    <s v="month"/>
    <n v="0"/>
    <x v="0"/>
    <s v="Yes"/>
    <n v="1"/>
    <n v="0"/>
    <n v="0"/>
  </r>
  <r>
    <n v="219280628"/>
    <d v="2023-08-17T00:00:00"/>
    <d v="2023-08-18T00:00:00"/>
    <x v="1"/>
    <n v="39"/>
    <s v="month"/>
    <n v="1"/>
    <x v="0"/>
    <s v="No"/>
    <n v="1"/>
    <n v="0"/>
    <n v="1"/>
  </r>
  <r>
    <n v="220171290"/>
    <d v="2023-08-18T00:00:00"/>
    <m/>
    <x v="0"/>
    <n v="39"/>
    <s v="month"/>
    <s v=""/>
    <x v="1"/>
    <s v="No"/>
    <n v="0"/>
    <n v="0"/>
    <s v=""/>
  </r>
  <r>
    <n v="219553060"/>
    <d v="2023-08-18T00:00:00"/>
    <m/>
    <x v="0"/>
    <n v="39"/>
    <s v="month"/>
    <s v=""/>
    <x v="1"/>
    <s v="No"/>
    <n v="0"/>
    <n v="0"/>
    <s v=""/>
  </r>
  <r>
    <n v="220244827"/>
    <d v="2023-08-18T00:00:00"/>
    <m/>
    <x v="0"/>
    <n v="39"/>
    <s v="month"/>
    <s v=""/>
    <x v="1"/>
    <s v="No"/>
    <n v="0"/>
    <n v="0"/>
    <s v=""/>
  </r>
  <r>
    <n v="219612883"/>
    <d v="2023-08-18T00:00:00"/>
    <m/>
    <x v="0"/>
    <n v="39"/>
    <s v="month"/>
    <s v=""/>
    <x v="1"/>
    <s v="No"/>
    <n v="0"/>
    <n v="0"/>
    <s v=""/>
  </r>
  <r>
    <n v="217914279"/>
    <d v="2023-08-18T00:00:00"/>
    <m/>
    <x v="0"/>
    <n v="39"/>
    <s v="month"/>
    <s v=""/>
    <x v="1"/>
    <s v="No"/>
    <n v="0"/>
    <n v="0"/>
    <s v=""/>
  </r>
  <r>
    <n v="220171851"/>
    <d v="2023-08-18T00:00:00"/>
    <m/>
    <x v="0"/>
    <n v="39"/>
    <s v="month"/>
    <s v=""/>
    <x v="1"/>
    <s v="No"/>
    <n v="0"/>
    <n v="0"/>
    <s v=""/>
  </r>
  <r>
    <n v="217543308"/>
    <d v="2023-08-18T00:00:00"/>
    <m/>
    <x v="0"/>
    <n v="39"/>
    <s v="month"/>
    <s v=""/>
    <x v="1"/>
    <s v="No"/>
    <n v="0"/>
    <n v="0"/>
    <s v=""/>
  </r>
  <r>
    <n v="157008330"/>
    <d v="2023-08-18T00:00:00"/>
    <d v="2023-08-18T00:00:00"/>
    <x v="0"/>
    <n v="39"/>
    <s v="month"/>
    <n v="0"/>
    <x v="1"/>
    <s v="Yes"/>
    <n v="1"/>
    <n v="0"/>
    <n v="0"/>
  </r>
  <r>
    <n v="206063908"/>
    <d v="2023-08-18T00:00:00"/>
    <d v="2023-09-07T00:00:00"/>
    <x v="0"/>
    <n v="39"/>
    <s v="month"/>
    <n v="20"/>
    <x v="1"/>
    <s v="No"/>
    <n v="0"/>
    <n v="0"/>
    <n v="20"/>
  </r>
  <r>
    <n v="220182716"/>
    <d v="2023-08-18T00:00:00"/>
    <d v="2023-08-19T00:00:00"/>
    <x v="1"/>
    <n v="39"/>
    <s v="month"/>
    <n v="1"/>
    <x v="1"/>
    <s v="No"/>
    <n v="1"/>
    <n v="0"/>
    <n v="1"/>
  </r>
  <r>
    <n v="202103959"/>
    <d v="2023-08-19T00:00:00"/>
    <m/>
    <x v="0"/>
    <n v="39"/>
    <s v="month"/>
    <s v=""/>
    <x v="2"/>
    <s v="No"/>
    <n v="0"/>
    <n v="0"/>
    <s v=""/>
  </r>
  <r>
    <n v="218757796"/>
    <d v="2023-08-19T00:00:00"/>
    <m/>
    <x v="0"/>
    <n v="39"/>
    <s v="month"/>
    <s v=""/>
    <x v="2"/>
    <s v="No"/>
    <n v="0"/>
    <n v="0"/>
    <s v=""/>
  </r>
  <r>
    <n v="220272556"/>
    <d v="2023-08-19T00:00:00"/>
    <m/>
    <x v="0"/>
    <n v="39"/>
    <s v="month"/>
    <s v=""/>
    <x v="2"/>
    <s v="No"/>
    <n v="0"/>
    <n v="0"/>
    <s v=""/>
  </r>
  <r>
    <n v="219493644"/>
    <d v="2023-08-19T00:00:00"/>
    <m/>
    <x v="0"/>
    <n v="39"/>
    <s v="month"/>
    <s v=""/>
    <x v="2"/>
    <s v="No"/>
    <n v="0"/>
    <n v="0"/>
    <s v=""/>
  </r>
  <r>
    <n v="148996798"/>
    <d v="2023-08-19T00:00:00"/>
    <m/>
    <x v="0"/>
    <n v="39"/>
    <s v="month"/>
    <s v=""/>
    <x v="2"/>
    <s v="No"/>
    <n v="0"/>
    <n v="0"/>
    <s v=""/>
  </r>
  <r>
    <n v="218947678"/>
    <d v="2023-08-19T00:00:00"/>
    <m/>
    <x v="0"/>
    <n v="39"/>
    <s v="month"/>
    <s v=""/>
    <x v="2"/>
    <s v="No"/>
    <n v="0"/>
    <n v="0"/>
    <s v=""/>
  </r>
  <r>
    <n v="119465934"/>
    <d v="2023-08-19T00:00:00"/>
    <m/>
    <x v="0"/>
    <n v="39"/>
    <s v="month"/>
    <s v=""/>
    <x v="2"/>
    <s v="No"/>
    <n v="0"/>
    <n v="0"/>
    <s v=""/>
  </r>
  <r>
    <n v="219195061"/>
    <d v="2023-08-19T00:00:00"/>
    <m/>
    <x v="0"/>
    <n v="39"/>
    <s v="month"/>
    <s v=""/>
    <x v="2"/>
    <s v="No"/>
    <n v="0"/>
    <n v="0"/>
    <s v=""/>
  </r>
  <r>
    <n v="219637590"/>
    <d v="2023-08-19T00:00:00"/>
    <d v="2023-08-25T00:00:00"/>
    <x v="0"/>
    <n v="39"/>
    <s v="month"/>
    <n v="6"/>
    <x v="2"/>
    <s v="No"/>
    <n v="0"/>
    <n v="0"/>
    <n v="6"/>
  </r>
  <r>
    <n v="218878930"/>
    <d v="2023-08-20T00:00:00"/>
    <m/>
    <x v="0"/>
    <n v="39"/>
    <s v="month"/>
    <s v=""/>
    <x v="3"/>
    <s v="No"/>
    <n v="0"/>
    <n v="0"/>
    <s v=""/>
  </r>
  <r>
    <n v="134622358"/>
    <d v="2023-08-20T00:00:00"/>
    <m/>
    <x v="0"/>
    <n v="39"/>
    <s v="month"/>
    <s v=""/>
    <x v="3"/>
    <s v="No"/>
    <n v="0"/>
    <n v="0"/>
    <s v=""/>
  </r>
  <r>
    <n v="219237524"/>
    <d v="2023-08-20T00:00:00"/>
    <m/>
    <x v="0"/>
    <n v="39"/>
    <s v="month"/>
    <s v=""/>
    <x v="3"/>
    <s v="No"/>
    <n v="0"/>
    <n v="0"/>
    <s v=""/>
  </r>
  <r>
    <n v="147320092"/>
    <d v="2023-08-20T00:00:00"/>
    <m/>
    <x v="0"/>
    <n v="39"/>
    <s v="month"/>
    <s v=""/>
    <x v="3"/>
    <s v="No"/>
    <n v="0"/>
    <n v="0"/>
    <s v=""/>
  </r>
  <r>
    <n v="219953886"/>
    <d v="2023-08-20T00:00:00"/>
    <m/>
    <x v="0"/>
    <n v="39"/>
    <s v="month"/>
    <s v=""/>
    <x v="3"/>
    <s v="No"/>
    <n v="0"/>
    <n v="0"/>
    <s v=""/>
  </r>
  <r>
    <n v="207013932"/>
    <d v="2023-08-20T00:00:00"/>
    <d v="2023-08-20T00:00:00"/>
    <x v="1"/>
    <n v="39"/>
    <s v="month"/>
    <n v="0"/>
    <x v="3"/>
    <s v="Yes"/>
    <n v="1"/>
    <n v="0"/>
    <n v="0"/>
  </r>
  <r>
    <n v="205274562"/>
    <d v="2023-08-21T00:00:00"/>
    <m/>
    <x v="0"/>
    <n v="39"/>
    <s v="month"/>
    <s v=""/>
    <x v="4"/>
    <s v="No"/>
    <n v="0"/>
    <n v="0"/>
    <s v=""/>
  </r>
  <r>
    <n v="152698255"/>
    <d v="2023-08-21T00:00:00"/>
    <m/>
    <x v="0"/>
    <n v="39"/>
    <s v="month"/>
    <s v=""/>
    <x v="4"/>
    <s v="No"/>
    <n v="0"/>
    <n v="0"/>
    <s v=""/>
  </r>
  <r>
    <n v="209361492"/>
    <d v="2023-08-21T00:00:00"/>
    <m/>
    <x v="0"/>
    <n v="39"/>
    <s v="month"/>
    <s v=""/>
    <x v="4"/>
    <s v="No"/>
    <n v="0"/>
    <n v="0"/>
    <s v=""/>
  </r>
  <r>
    <n v="205530810"/>
    <d v="2023-08-21T00:00:00"/>
    <m/>
    <x v="0"/>
    <n v="39"/>
    <s v="month"/>
    <s v=""/>
    <x v="4"/>
    <s v="No"/>
    <n v="0"/>
    <n v="0"/>
    <s v=""/>
  </r>
  <r>
    <n v="220343801"/>
    <d v="2023-08-21T00:00:00"/>
    <m/>
    <x v="0"/>
    <n v="39"/>
    <s v="month"/>
    <s v=""/>
    <x v="4"/>
    <s v="No"/>
    <n v="0"/>
    <n v="0"/>
    <s v=""/>
  </r>
  <r>
    <n v="150441222"/>
    <d v="2023-08-21T00:00:00"/>
    <m/>
    <x v="0"/>
    <n v="39"/>
    <s v="month"/>
    <s v=""/>
    <x v="4"/>
    <s v="No"/>
    <n v="0"/>
    <n v="0"/>
    <s v=""/>
  </r>
  <r>
    <n v="214640803"/>
    <d v="2023-08-21T00:00:00"/>
    <m/>
    <x v="0"/>
    <n v="39"/>
    <s v="month"/>
    <s v=""/>
    <x v="4"/>
    <s v="No"/>
    <n v="0"/>
    <n v="0"/>
    <s v=""/>
  </r>
  <r>
    <n v="219569853"/>
    <d v="2023-08-21T00:00:00"/>
    <m/>
    <x v="0"/>
    <n v="39"/>
    <s v="month"/>
    <s v=""/>
    <x v="4"/>
    <s v="No"/>
    <n v="0"/>
    <n v="0"/>
    <s v=""/>
  </r>
  <r>
    <n v="220197494"/>
    <d v="2023-08-21T00:00:00"/>
    <m/>
    <x v="0"/>
    <n v="39"/>
    <s v="month"/>
    <s v=""/>
    <x v="4"/>
    <s v="No"/>
    <n v="0"/>
    <n v="0"/>
    <s v=""/>
  </r>
  <r>
    <n v="220323698"/>
    <d v="2023-08-21T00:00:00"/>
    <m/>
    <x v="0"/>
    <n v="39"/>
    <s v="month"/>
    <s v=""/>
    <x v="4"/>
    <s v="No"/>
    <n v="0"/>
    <n v="0"/>
    <s v=""/>
  </r>
  <r>
    <n v="215180470"/>
    <d v="2023-08-21T00:00:00"/>
    <d v="2023-08-21T00:00:00"/>
    <x v="0"/>
    <n v="39"/>
    <s v="month"/>
    <n v="0"/>
    <x v="4"/>
    <s v="Yes"/>
    <n v="1"/>
    <n v="0"/>
    <n v="0"/>
  </r>
  <r>
    <n v="177323966"/>
    <d v="2023-08-21T00:00:00"/>
    <d v="2023-08-28T00:00:00"/>
    <x v="0"/>
    <n v="39"/>
    <s v="month"/>
    <n v="7"/>
    <x v="4"/>
    <s v="No"/>
    <n v="0"/>
    <n v="0"/>
    <n v="7"/>
  </r>
  <r>
    <n v="214682826"/>
    <d v="2023-08-21T00:00:00"/>
    <d v="2023-08-22T00:00:00"/>
    <x v="0"/>
    <n v="39"/>
    <s v="month"/>
    <n v="1"/>
    <x v="4"/>
    <s v="No"/>
    <n v="1"/>
    <n v="0"/>
    <n v="1"/>
  </r>
  <r>
    <n v="220414820"/>
    <d v="2023-08-22T00:00:00"/>
    <m/>
    <x v="0"/>
    <n v="39"/>
    <s v="month"/>
    <s v=""/>
    <x v="5"/>
    <s v="No"/>
    <n v="0"/>
    <n v="0"/>
    <s v=""/>
  </r>
  <r>
    <n v="214682826"/>
    <d v="2023-08-22T00:00:00"/>
    <m/>
    <x v="0"/>
    <n v="39"/>
    <s v="month"/>
    <s v=""/>
    <x v="5"/>
    <s v="No"/>
    <n v="0"/>
    <n v="0"/>
    <s v=""/>
  </r>
  <r>
    <n v="206147500"/>
    <d v="2023-08-22T00:00:00"/>
    <m/>
    <x v="0"/>
    <n v="39"/>
    <s v="month"/>
    <s v=""/>
    <x v="5"/>
    <s v="No"/>
    <n v="0"/>
    <n v="0"/>
    <s v=""/>
  </r>
  <r>
    <n v="220402308"/>
    <d v="2023-08-22T00:00:00"/>
    <m/>
    <x v="0"/>
    <n v="39"/>
    <s v="month"/>
    <s v=""/>
    <x v="5"/>
    <s v="No"/>
    <n v="0"/>
    <n v="0"/>
    <s v=""/>
  </r>
  <r>
    <n v="220205806"/>
    <d v="2023-08-22T00:00:00"/>
    <m/>
    <x v="0"/>
    <n v="39"/>
    <s v="month"/>
    <s v=""/>
    <x v="5"/>
    <s v="No"/>
    <n v="0"/>
    <n v="0"/>
    <s v=""/>
  </r>
  <r>
    <n v="152792045"/>
    <d v="2023-08-22T00:00:00"/>
    <m/>
    <x v="0"/>
    <n v="39"/>
    <s v="month"/>
    <s v=""/>
    <x v="5"/>
    <s v="No"/>
    <n v="0"/>
    <n v="0"/>
    <s v=""/>
  </r>
  <r>
    <n v="220381016"/>
    <d v="2023-08-22T00:00:00"/>
    <m/>
    <x v="0"/>
    <n v="39"/>
    <s v="month"/>
    <s v=""/>
    <x v="5"/>
    <s v="No"/>
    <n v="0"/>
    <n v="0"/>
    <s v=""/>
  </r>
  <r>
    <n v="220385078"/>
    <d v="2023-08-22T00:00:00"/>
    <m/>
    <x v="0"/>
    <n v="39"/>
    <s v="month"/>
    <s v=""/>
    <x v="5"/>
    <s v="No"/>
    <n v="0"/>
    <n v="0"/>
    <s v=""/>
  </r>
  <r>
    <n v="220414853"/>
    <d v="2023-08-22T00:00:00"/>
    <m/>
    <x v="0"/>
    <n v="39"/>
    <s v="month"/>
    <s v=""/>
    <x v="5"/>
    <s v="No"/>
    <n v="0"/>
    <n v="0"/>
    <s v=""/>
  </r>
  <r>
    <n v="220366524"/>
    <d v="2023-08-22T00:00:00"/>
    <m/>
    <x v="0"/>
    <n v="39"/>
    <s v="month"/>
    <s v=""/>
    <x v="5"/>
    <s v="No"/>
    <n v="0"/>
    <n v="0"/>
    <s v=""/>
  </r>
  <r>
    <n v="220407436"/>
    <d v="2023-08-22T00:00:00"/>
    <d v="2023-08-23T00:00:00"/>
    <x v="1"/>
    <n v="39"/>
    <s v="month"/>
    <n v="1"/>
    <x v="5"/>
    <s v="No"/>
    <n v="1"/>
    <n v="0"/>
    <n v="1"/>
  </r>
  <r>
    <n v="192182455"/>
    <d v="2023-08-23T00:00:00"/>
    <m/>
    <x v="0"/>
    <n v="39"/>
    <s v="month"/>
    <s v=""/>
    <x v="6"/>
    <s v="No"/>
    <n v="0"/>
    <n v="0"/>
    <s v=""/>
  </r>
  <r>
    <n v="219439597"/>
    <d v="2023-08-23T00:00:00"/>
    <m/>
    <x v="0"/>
    <n v="39"/>
    <s v="month"/>
    <s v=""/>
    <x v="6"/>
    <s v="No"/>
    <n v="0"/>
    <n v="0"/>
    <s v=""/>
  </r>
  <r>
    <n v="219576812"/>
    <d v="2023-08-23T00:00:00"/>
    <m/>
    <x v="0"/>
    <n v="39"/>
    <s v="month"/>
    <s v=""/>
    <x v="6"/>
    <s v="No"/>
    <n v="0"/>
    <n v="0"/>
    <s v=""/>
  </r>
  <r>
    <n v="143111905"/>
    <d v="2023-08-23T00:00:00"/>
    <m/>
    <x v="0"/>
    <n v="39"/>
    <s v="month"/>
    <s v=""/>
    <x v="6"/>
    <s v="No"/>
    <n v="0"/>
    <n v="0"/>
    <s v=""/>
  </r>
  <r>
    <n v="123297208"/>
    <d v="2023-08-23T00:00:00"/>
    <m/>
    <x v="0"/>
    <n v="39"/>
    <s v="month"/>
    <s v=""/>
    <x v="6"/>
    <s v="No"/>
    <n v="0"/>
    <n v="0"/>
    <s v=""/>
  </r>
  <r>
    <n v="213194584"/>
    <d v="2023-08-23T00:00:00"/>
    <m/>
    <x v="0"/>
    <n v="39"/>
    <s v="month"/>
    <s v=""/>
    <x v="6"/>
    <s v="No"/>
    <n v="0"/>
    <n v="0"/>
    <s v=""/>
  </r>
  <r>
    <n v="220455205"/>
    <d v="2023-08-23T00:00:00"/>
    <m/>
    <x v="0"/>
    <n v="39"/>
    <s v="month"/>
    <s v=""/>
    <x v="6"/>
    <s v="No"/>
    <n v="0"/>
    <n v="0"/>
    <s v=""/>
  </r>
  <r>
    <n v="220425056"/>
    <d v="2023-08-23T00:00:00"/>
    <m/>
    <x v="0"/>
    <n v="39"/>
    <s v="month"/>
    <s v=""/>
    <x v="6"/>
    <s v="No"/>
    <n v="0"/>
    <n v="0"/>
    <s v=""/>
  </r>
  <r>
    <n v="219685108"/>
    <d v="2023-08-23T00:00:00"/>
    <m/>
    <x v="0"/>
    <n v="39"/>
    <s v="month"/>
    <s v=""/>
    <x v="6"/>
    <s v="No"/>
    <n v="0"/>
    <n v="0"/>
    <s v=""/>
  </r>
  <r>
    <n v="220531090"/>
    <d v="2023-08-24T00:00:00"/>
    <m/>
    <x v="0"/>
    <n v="39"/>
    <s v="month"/>
    <s v=""/>
    <x v="0"/>
    <s v="No"/>
    <n v="0"/>
    <n v="0"/>
    <s v=""/>
  </r>
  <r>
    <n v="220510482"/>
    <d v="2023-08-24T00:00:00"/>
    <m/>
    <x v="0"/>
    <n v="39"/>
    <s v="month"/>
    <s v=""/>
    <x v="0"/>
    <s v="No"/>
    <n v="0"/>
    <n v="0"/>
    <s v=""/>
  </r>
  <r>
    <n v="149856123"/>
    <d v="2023-08-24T00:00:00"/>
    <m/>
    <x v="0"/>
    <n v="39"/>
    <s v="month"/>
    <s v=""/>
    <x v="0"/>
    <s v="No"/>
    <n v="0"/>
    <n v="0"/>
    <s v=""/>
  </r>
  <r>
    <n v="217506938"/>
    <d v="2023-08-24T00:00:00"/>
    <m/>
    <x v="0"/>
    <n v="39"/>
    <s v="month"/>
    <s v=""/>
    <x v="0"/>
    <s v="No"/>
    <n v="0"/>
    <n v="0"/>
    <s v=""/>
  </r>
  <r>
    <n v="189403535"/>
    <d v="2023-08-24T00:00:00"/>
    <m/>
    <x v="0"/>
    <n v="39"/>
    <s v="month"/>
    <s v=""/>
    <x v="0"/>
    <s v="No"/>
    <n v="0"/>
    <n v="0"/>
    <s v=""/>
  </r>
  <r>
    <n v="132318451"/>
    <d v="2023-08-24T00:00:00"/>
    <d v="2023-08-25T00:00:00"/>
    <x v="0"/>
    <n v="39"/>
    <s v="month"/>
    <n v="1"/>
    <x v="0"/>
    <s v="No"/>
    <n v="1"/>
    <n v="0"/>
    <n v="1"/>
  </r>
  <r>
    <n v="220495479"/>
    <d v="2023-08-24T00:00:00"/>
    <d v="2023-08-25T00:00:00"/>
    <x v="1"/>
    <n v="39"/>
    <s v="month"/>
    <n v="1"/>
    <x v="0"/>
    <s v="No"/>
    <n v="1"/>
    <n v="0"/>
    <n v="1"/>
  </r>
  <r>
    <n v="164903790"/>
    <d v="2023-08-25T00:00:00"/>
    <m/>
    <x v="0"/>
    <n v="39"/>
    <s v="month"/>
    <s v=""/>
    <x v="1"/>
    <s v="No"/>
    <n v="0"/>
    <n v="0"/>
    <s v=""/>
  </r>
  <r>
    <n v="220371835"/>
    <d v="2023-08-25T00:00:00"/>
    <m/>
    <x v="0"/>
    <n v="39"/>
    <s v="month"/>
    <s v=""/>
    <x v="1"/>
    <s v="No"/>
    <n v="0"/>
    <n v="0"/>
    <s v=""/>
  </r>
  <r>
    <n v="125932988"/>
    <d v="2023-08-25T00:00:00"/>
    <m/>
    <x v="0"/>
    <n v="39"/>
    <s v="month"/>
    <s v=""/>
    <x v="1"/>
    <s v="No"/>
    <n v="0"/>
    <n v="0"/>
    <s v=""/>
  </r>
  <r>
    <n v="214924190"/>
    <d v="2023-08-25T00:00:00"/>
    <m/>
    <x v="0"/>
    <n v="39"/>
    <s v="month"/>
    <s v=""/>
    <x v="1"/>
    <s v="No"/>
    <n v="0"/>
    <n v="0"/>
    <s v=""/>
  </r>
  <r>
    <n v="117300170"/>
    <d v="2023-08-25T00:00:00"/>
    <m/>
    <x v="0"/>
    <n v="39"/>
    <s v="month"/>
    <s v=""/>
    <x v="1"/>
    <s v="No"/>
    <n v="0"/>
    <n v="0"/>
    <s v=""/>
  </r>
  <r>
    <n v="162913792"/>
    <d v="2023-08-25T00:00:00"/>
    <m/>
    <x v="0"/>
    <n v="39"/>
    <s v="month"/>
    <s v=""/>
    <x v="1"/>
    <s v="No"/>
    <n v="0"/>
    <n v="0"/>
    <s v=""/>
  </r>
  <r>
    <n v="220551506"/>
    <d v="2023-08-25T00:00:00"/>
    <m/>
    <x v="0"/>
    <n v="39"/>
    <s v="month"/>
    <s v=""/>
    <x v="1"/>
    <s v="No"/>
    <n v="0"/>
    <n v="0"/>
    <s v=""/>
  </r>
  <r>
    <n v="161187523"/>
    <d v="2023-08-25T00:00:00"/>
    <m/>
    <x v="0"/>
    <n v="39"/>
    <s v="month"/>
    <s v=""/>
    <x v="1"/>
    <s v="No"/>
    <n v="0"/>
    <n v="0"/>
    <s v=""/>
  </r>
  <r>
    <n v="220562110"/>
    <d v="2023-08-25T00:00:00"/>
    <d v="2023-08-26T00:00:00"/>
    <x v="1"/>
    <n v="39"/>
    <s v="month"/>
    <n v="1"/>
    <x v="1"/>
    <s v="No"/>
    <n v="1"/>
    <n v="0"/>
    <n v="1"/>
  </r>
  <r>
    <n v="220589305"/>
    <d v="2023-08-26T00:00:00"/>
    <m/>
    <x v="0"/>
    <n v="39"/>
    <s v="month"/>
    <s v=""/>
    <x v="2"/>
    <s v="No"/>
    <n v="0"/>
    <n v="0"/>
    <s v=""/>
  </r>
  <r>
    <n v="220496139"/>
    <d v="2023-08-26T00:00:00"/>
    <m/>
    <x v="0"/>
    <n v="39"/>
    <s v="month"/>
    <s v=""/>
    <x v="2"/>
    <s v="No"/>
    <n v="0"/>
    <n v="0"/>
    <s v=""/>
  </r>
  <r>
    <n v="219211334"/>
    <d v="2023-08-26T00:00:00"/>
    <m/>
    <x v="0"/>
    <n v="39"/>
    <s v="month"/>
    <s v=""/>
    <x v="2"/>
    <s v="No"/>
    <n v="0"/>
    <n v="0"/>
    <s v=""/>
  </r>
  <r>
    <n v="220582817"/>
    <d v="2023-08-26T00:00:00"/>
    <m/>
    <x v="0"/>
    <n v="39"/>
    <s v="month"/>
    <s v=""/>
    <x v="2"/>
    <s v="No"/>
    <n v="0"/>
    <n v="0"/>
    <s v=""/>
  </r>
  <r>
    <n v="217513777"/>
    <d v="2023-08-26T00:00:00"/>
    <d v="2023-08-28T00:00:00"/>
    <x v="0"/>
    <n v="39"/>
    <s v="month"/>
    <n v="2"/>
    <x v="2"/>
    <s v="No"/>
    <n v="1"/>
    <n v="0"/>
    <n v="2"/>
  </r>
  <r>
    <n v="220576148"/>
    <d v="2023-08-26T00:00:00"/>
    <d v="2023-09-05T00:00:00"/>
    <x v="0"/>
    <n v="39"/>
    <s v="month"/>
    <n v="10"/>
    <x v="2"/>
    <s v="No"/>
    <n v="0"/>
    <n v="0"/>
    <n v="10"/>
  </r>
  <r>
    <n v="219294264"/>
    <d v="2023-08-27T00:00:00"/>
    <m/>
    <x v="0"/>
    <n v="39"/>
    <s v="month"/>
    <s v=""/>
    <x v="3"/>
    <s v="No"/>
    <n v="0"/>
    <n v="0"/>
    <s v=""/>
  </r>
  <r>
    <n v="220617197"/>
    <d v="2023-08-27T00:00:00"/>
    <m/>
    <x v="0"/>
    <n v="39"/>
    <s v="month"/>
    <s v=""/>
    <x v="3"/>
    <s v="No"/>
    <n v="0"/>
    <n v="0"/>
    <s v=""/>
  </r>
  <r>
    <n v="220227691"/>
    <d v="2023-08-27T00:00:00"/>
    <m/>
    <x v="0"/>
    <n v="39"/>
    <s v="month"/>
    <s v=""/>
    <x v="3"/>
    <s v="No"/>
    <n v="0"/>
    <n v="0"/>
    <s v=""/>
  </r>
  <r>
    <n v="220672607"/>
    <d v="2023-08-28T00:00:00"/>
    <m/>
    <x v="0"/>
    <n v="39"/>
    <s v="month"/>
    <s v=""/>
    <x v="4"/>
    <s v="No"/>
    <n v="0"/>
    <n v="0"/>
    <s v=""/>
  </r>
  <r>
    <n v="218608353"/>
    <d v="2023-08-28T00:00:00"/>
    <m/>
    <x v="0"/>
    <n v="39"/>
    <s v="month"/>
    <s v=""/>
    <x v="4"/>
    <s v="No"/>
    <n v="0"/>
    <n v="0"/>
    <s v=""/>
  </r>
  <r>
    <n v="135128238"/>
    <d v="2023-08-28T00:00:00"/>
    <m/>
    <x v="0"/>
    <n v="39"/>
    <s v="month"/>
    <s v=""/>
    <x v="4"/>
    <s v="No"/>
    <n v="0"/>
    <n v="0"/>
    <s v=""/>
  </r>
  <r>
    <n v="220285147"/>
    <d v="2023-08-28T00:00:00"/>
    <m/>
    <x v="0"/>
    <n v="39"/>
    <s v="month"/>
    <s v=""/>
    <x v="4"/>
    <s v="No"/>
    <n v="0"/>
    <n v="0"/>
    <s v=""/>
  </r>
  <r>
    <n v="218645057"/>
    <d v="2023-08-28T00:00:00"/>
    <m/>
    <x v="0"/>
    <n v="39"/>
    <s v="month"/>
    <s v=""/>
    <x v="4"/>
    <s v="No"/>
    <n v="0"/>
    <n v="0"/>
    <s v=""/>
  </r>
  <r>
    <n v="128199550"/>
    <d v="2023-08-28T00:00:00"/>
    <d v="2023-08-31T00:00:00"/>
    <x v="0"/>
    <n v="39"/>
    <s v="month"/>
    <n v="3"/>
    <x v="4"/>
    <s v="No"/>
    <n v="0"/>
    <n v="0"/>
    <n v="3"/>
  </r>
  <r>
    <n v="220747618"/>
    <d v="2023-08-29T00:00:00"/>
    <m/>
    <x v="0"/>
    <n v="39"/>
    <s v="month"/>
    <s v=""/>
    <x v="5"/>
    <s v="No"/>
    <n v="0"/>
    <n v="0"/>
    <s v=""/>
  </r>
  <r>
    <n v="207386830"/>
    <d v="2023-08-29T00:00:00"/>
    <m/>
    <x v="0"/>
    <n v="39"/>
    <s v="month"/>
    <s v=""/>
    <x v="5"/>
    <s v="No"/>
    <n v="0"/>
    <n v="0"/>
    <s v=""/>
  </r>
  <r>
    <n v="205109812"/>
    <d v="2023-08-29T00:00:00"/>
    <m/>
    <x v="0"/>
    <n v="39"/>
    <s v="month"/>
    <s v=""/>
    <x v="5"/>
    <s v="No"/>
    <n v="0"/>
    <n v="0"/>
    <s v=""/>
  </r>
  <r>
    <n v="132318451"/>
    <d v="2023-08-29T00:00:00"/>
    <m/>
    <x v="0"/>
    <n v="39"/>
    <s v="month"/>
    <s v=""/>
    <x v="5"/>
    <s v="No"/>
    <n v="0"/>
    <n v="0"/>
    <s v=""/>
  </r>
  <r>
    <n v="218596318"/>
    <d v="2023-08-29T00:00:00"/>
    <m/>
    <x v="0"/>
    <n v="39"/>
    <s v="month"/>
    <s v=""/>
    <x v="5"/>
    <s v="No"/>
    <n v="0"/>
    <n v="0"/>
    <s v=""/>
  </r>
  <r>
    <n v="220699520"/>
    <d v="2023-08-29T00:00:00"/>
    <m/>
    <x v="0"/>
    <n v="39"/>
    <s v="month"/>
    <s v=""/>
    <x v="5"/>
    <s v="No"/>
    <n v="0"/>
    <n v="0"/>
    <s v=""/>
  </r>
  <r>
    <n v="218307579"/>
    <d v="2023-08-29T00:00:00"/>
    <m/>
    <x v="0"/>
    <n v="39"/>
    <s v="month"/>
    <s v=""/>
    <x v="5"/>
    <s v="No"/>
    <n v="0"/>
    <n v="0"/>
    <s v=""/>
  </r>
  <r>
    <n v="218514844"/>
    <d v="2023-08-30T00:00:00"/>
    <m/>
    <x v="0"/>
    <n v="39"/>
    <s v="month"/>
    <s v=""/>
    <x v="6"/>
    <s v="No"/>
    <n v="0"/>
    <n v="0"/>
    <s v=""/>
  </r>
  <r>
    <n v="188622328"/>
    <d v="2023-08-30T00:00:00"/>
    <m/>
    <x v="0"/>
    <n v="39"/>
    <s v="month"/>
    <s v=""/>
    <x v="6"/>
    <s v="No"/>
    <n v="0"/>
    <n v="0"/>
    <s v=""/>
  </r>
  <r>
    <n v="220790640"/>
    <d v="2023-08-30T00:00:00"/>
    <m/>
    <x v="0"/>
    <n v="39"/>
    <s v="month"/>
    <s v=""/>
    <x v="6"/>
    <s v="No"/>
    <n v="0"/>
    <n v="0"/>
    <s v=""/>
  </r>
  <r>
    <n v="220675005"/>
    <d v="2023-08-30T00:00:00"/>
    <m/>
    <x v="0"/>
    <n v="39"/>
    <s v="month"/>
    <s v=""/>
    <x v="6"/>
    <s v="No"/>
    <n v="0"/>
    <n v="0"/>
    <s v=""/>
  </r>
  <r>
    <n v="142757196"/>
    <d v="2023-08-30T00:00:00"/>
    <m/>
    <x v="0"/>
    <n v="39"/>
    <s v="month"/>
    <s v=""/>
    <x v="6"/>
    <s v="No"/>
    <n v="0"/>
    <n v="0"/>
    <s v=""/>
  </r>
  <r>
    <n v="220411940"/>
    <d v="2023-08-30T00:00:00"/>
    <m/>
    <x v="0"/>
    <n v="39"/>
    <s v="month"/>
    <s v=""/>
    <x v="6"/>
    <s v="No"/>
    <n v="0"/>
    <n v="0"/>
    <s v=""/>
  </r>
  <r>
    <n v="155613371"/>
    <d v="2023-08-30T00:00:00"/>
    <m/>
    <x v="0"/>
    <n v="39"/>
    <s v="month"/>
    <s v=""/>
    <x v="6"/>
    <s v="No"/>
    <n v="0"/>
    <n v="0"/>
    <s v=""/>
  </r>
  <r>
    <n v="164548755"/>
    <d v="2023-08-30T00:00:00"/>
    <m/>
    <x v="0"/>
    <n v="39"/>
    <s v="month"/>
    <s v=""/>
    <x v="6"/>
    <s v="No"/>
    <n v="0"/>
    <n v="0"/>
    <s v=""/>
  </r>
  <r>
    <n v="220546810"/>
    <d v="2023-08-30T00:00:00"/>
    <m/>
    <x v="0"/>
    <n v="39"/>
    <s v="month"/>
    <s v=""/>
    <x v="6"/>
    <s v="No"/>
    <n v="0"/>
    <n v="0"/>
    <s v=""/>
  </r>
  <r>
    <n v="215202566"/>
    <d v="2023-08-30T00:00:00"/>
    <d v="2023-08-30T00:00:00"/>
    <x v="0"/>
    <n v="39"/>
    <s v="month"/>
    <n v="0"/>
    <x v="6"/>
    <s v="Yes"/>
    <n v="1"/>
    <n v="0"/>
    <n v="0"/>
  </r>
  <r>
    <n v="135092264"/>
    <d v="2023-08-31T00:00:00"/>
    <m/>
    <x v="0"/>
    <n v="39"/>
    <s v="month"/>
    <s v=""/>
    <x v="0"/>
    <s v="No"/>
    <n v="0"/>
    <n v="0"/>
    <s v=""/>
  </r>
  <r>
    <n v="220854418"/>
    <d v="2023-08-31T00:00:00"/>
    <m/>
    <x v="0"/>
    <n v="39"/>
    <s v="month"/>
    <s v=""/>
    <x v="0"/>
    <s v="No"/>
    <n v="0"/>
    <n v="0"/>
    <s v=""/>
  </r>
  <r>
    <n v="220851140"/>
    <d v="2023-08-31T00:00:00"/>
    <m/>
    <x v="0"/>
    <n v="39"/>
    <s v="month"/>
    <s v=""/>
    <x v="0"/>
    <s v="No"/>
    <n v="0"/>
    <n v="0"/>
    <s v=""/>
  </r>
  <r>
    <n v="220843911"/>
    <d v="2023-08-31T00:00:00"/>
    <m/>
    <x v="0"/>
    <n v="39"/>
    <s v="month"/>
    <s v=""/>
    <x v="0"/>
    <s v="No"/>
    <n v="0"/>
    <n v="0"/>
    <s v=""/>
  </r>
  <r>
    <n v="216137022"/>
    <d v="2023-08-31T00:00:00"/>
    <m/>
    <x v="0"/>
    <n v="39"/>
    <s v="month"/>
    <s v=""/>
    <x v="0"/>
    <s v="No"/>
    <n v="0"/>
    <n v="0"/>
    <s v=""/>
  </r>
  <r>
    <n v="161151062"/>
    <d v="2023-08-31T00:00:00"/>
    <m/>
    <x v="0"/>
    <n v="39"/>
    <s v="month"/>
    <s v=""/>
    <x v="0"/>
    <s v="No"/>
    <n v="0"/>
    <n v="0"/>
    <s v=""/>
  </r>
  <r>
    <n v="148085880"/>
    <d v="2023-08-31T00:00:00"/>
    <m/>
    <x v="0"/>
    <n v="39"/>
    <s v="month"/>
    <s v=""/>
    <x v="0"/>
    <s v="No"/>
    <n v="0"/>
    <n v="0"/>
    <s v=""/>
  </r>
  <r>
    <n v="182061738"/>
    <d v="2023-09-01T00:00:00"/>
    <m/>
    <x v="0"/>
    <n v="39"/>
    <s v="month"/>
    <s v=""/>
    <x v="1"/>
    <s v="No"/>
    <n v="0"/>
    <n v="0"/>
    <s v=""/>
  </r>
  <r>
    <n v="220860582"/>
    <d v="2023-09-01T00:00:00"/>
    <m/>
    <x v="0"/>
    <n v="39"/>
    <s v="month"/>
    <s v=""/>
    <x v="1"/>
    <s v="No"/>
    <n v="0"/>
    <n v="0"/>
    <s v=""/>
  </r>
  <r>
    <n v="218315334"/>
    <d v="2023-09-01T00:00:00"/>
    <m/>
    <x v="0"/>
    <n v="39"/>
    <s v="month"/>
    <s v=""/>
    <x v="1"/>
    <s v="No"/>
    <n v="0"/>
    <n v="0"/>
    <s v=""/>
  </r>
  <r>
    <n v="217246008"/>
    <d v="2023-09-01T00:00:00"/>
    <m/>
    <x v="0"/>
    <n v="39"/>
    <s v="month"/>
    <s v=""/>
    <x v="1"/>
    <s v="No"/>
    <n v="0"/>
    <n v="0"/>
    <s v=""/>
  </r>
  <r>
    <n v="220835326"/>
    <d v="2023-09-01T00:00:00"/>
    <m/>
    <x v="0"/>
    <n v="39"/>
    <s v="month"/>
    <s v=""/>
    <x v="1"/>
    <s v="No"/>
    <n v="0"/>
    <n v="0"/>
    <s v=""/>
  </r>
  <r>
    <n v="219470485"/>
    <d v="2023-09-01T00:00:00"/>
    <m/>
    <x v="0"/>
    <n v="39"/>
    <s v="month"/>
    <s v=""/>
    <x v="1"/>
    <s v="No"/>
    <n v="0"/>
    <n v="0"/>
    <s v=""/>
  </r>
  <r>
    <n v="182153913"/>
    <d v="2023-09-02T00:00:00"/>
    <m/>
    <x v="0"/>
    <n v="39"/>
    <s v="month"/>
    <s v=""/>
    <x v="2"/>
    <s v="No"/>
    <n v="0"/>
    <n v="0"/>
    <s v=""/>
  </r>
  <r>
    <n v="217223132"/>
    <d v="2023-09-02T00:00:00"/>
    <m/>
    <x v="0"/>
    <n v="39"/>
    <s v="month"/>
    <s v=""/>
    <x v="2"/>
    <s v="No"/>
    <n v="0"/>
    <n v="0"/>
    <s v=""/>
  </r>
  <r>
    <n v="219643599"/>
    <d v="2023-09-02T00:00:00"/>
    <m/>
    <x v="0"/>
    <n v="39"/>
    <s v="month"/>
    <s v=""/>
    <x v="2"/>
    <s v="No"/>
    <n v="0"/>
    <n v="0"/>
    <s v=""/>
  </r>
  <r>
    <n v="152851458"/>
    <d v="2023-09-02T00:00:00"/>
    <m/>
    <x v="0"/>
    <n v="39"/>
    <s v="month"/>
    <s v=""/>
    <x v="2"/>
    <s v="No"/>
    <n v="0"/>
    <n v="0"/>
    <s v=""/>
  </r>
  <r>
    <n v="219657672"/>
    <d v="2023-09-02T00:00:00"/>
    <m/>
    <x v="0"/>
    <n v="39"/>
    <s v="month"/>
    <s v=""/>
    <x v="2"/>
    <s v="No"/>
    <n v="0"/>
    <n v="0"/>
    <s v=""/>
  </r>
  <r>
    <n v="220973656"/>
    <d v="2023-09-03T00:00:00"/>
    <m/>
    <x v="0"/>
    <n v="39"/>
    <s v="month"/>
    <s v=""/>
    <x v="3"/>
    <s v="No"/>
    <n v="0"/>
    <n v="0"/>
    <s v=""/>
  </r>
  <r>
    <n v="159717680"/>
    <d v="2023-09-03T00:00:00"/>
    <m/>
    <x v="0"/>
    <n v="39"/>
    <s v="month"/>
    <s v=""/>
    <x v="3"/>
    <s v="No"/>
    <n v="0"/>
    <n v="0"/>
    <s v=""/>
  </r>
  <r>
    <n v="220420126"/>
    <d v="2023-09-03T00:00:00"/>
    <m/>
    <x v="0"/>
    <n v="39"/>
    <s v="month"/>
    <s v=""/>
    <x v="3"/>
    <s v="No"/>
    <n v="0"/>
    <n v="0"/>
    <s v=""/>
  </r>
  <r>
    <n v="220965750"/>
    <d v="2023-09-03T00:00:00"/>
    <m/>
    <x v="0"/>
    <n v="39"/>
    <s v="month"/>
    <s v=""/>
    <x v="3"/>
    <s v="No"/>
    <n v="0"/>
    <n v="0"/>
    <s v=""/>
  </r>
  <r>
    <n v="219065931"/>
    <d v="2023-09-03T00:00:00"/>
    <m/>
    <x v="0"/>
    <n v="39"/>
    <s v="month"/>
    <s v=""/>
    <x v="3"/>
    <s v="No"/>
    <n v="0"/>
    <n v="0"/>
    <s v=""/>
  </r>
  <r>
    <n v="220707034"/>
    <d v="2023-09-03T00:00:00"/>
    <m/>
    <x v="0"/>
    <n v="39"/>
    <s v="month"/>
    <s v=""/>
    <x v="3"/>
    <s v="No"/>
    <n v="0"/>
    <n v="0"/>
    <s v=""/>
  </r>
  <r>
    <n v="220875396"/>
    <d v="2023-09-03T00:00:00"/>
    <m/>
    <x v="0"/>
    <n v="39"/>
    <s v="month"/>
    <s v=""/>
    <x v="3"/>
    <s v="No"/>
    <n v="0"/>
    <n v="0"/>
    <s v=""/>
  </r>
  <r>
    <n v="134054676"/>
    <d v="2023-09-03T00:00:00"/>
    <d v="2023-09-05T00:00:00"/>
    <x v="0"/>
    <n v="39"/>
    <s v="month"/>
    <n v="2"/>
    <x v="3"/>
    <s v="No"/>
    <n v="1"/>
    <n v="0"/>
    <n v="2"/>
  </r>
  <r>
    <n v="183702574"/>
    <d v="2023-09-03T00:00:00"/>
    <d v="2023-09-03T00:00:00"/>
    <x v="0"/>
    <n v="39"/>
    <s v="month"/>
    <n v="0"/>
    <x v="3"/>
    <s v="Yes"/>
    <n v="1"/>
    <n v="0"/>
    <n v="0"/>
  </r>
  <r>
    <n v="220997288"/>
    <d v="2023-09-04T00:00:00"/>
    <m/>
    <x v="0"/>
    <n v="39"/>
    <s v="month"/>
    <s v=""/>
    <x v="4"/>
    <s v="No"/>
    <n v="0"/>
    <n v="0"/>
    <s v=""/>
  </r>
  <r>
    <n v="218617631"/>
    <d v="2023-09-04T00:00:00"/>
    <m/>
    <x v="0"/>
    <n v="39"/>
    <s v="month"/>
    <s v=""/>
    <x v="4"/>
    <s v="No"/>
    <n v="0"/>
    <n v="0"/>
    <s v=""/>
  </r>
  <r>
    <n v="220952702"/>
    <d v="2023-09-04T00:00:00"/>
    <m/>
    <x v="0"/>
    <n v="39"/>
    <s v="month"/>
    <s v=""/>
    <x v="4"/>
    <s v="No"/>
    <n v="0"/>
    <n v="0"/>
    <s v=""/>
  </r>
  <r>
    <n v="156460574"/>
    <d v="2023-09-04T00:00:00"/>
    <m/>
    <x v="0"/>
    <n v="39"/>
    <s v="month"/>
    <s v=""/>
    <x v="4"/>
    <s v="No"/>
    <n v="0"/>
    <n v="0"/>
    <s v=""/>
  </r>
  <r>
    <n v="221012872"/>
    <d v="2023-09-04T00:00:00"/>
    <m/>
    <x v="0"/>
    <n v="39"/>
    <s v="month"/>
    <s v=""/>
    <x v="4"/>
    <s v="No"/>
    <n v="0"/>
    <n v="0"/>
    <s v=""/>
  </r>
  <r>
    <n v="220845656"/>
    <d v="2023-09-04T00:00:00"/>
    <m/>
    <x v="0"/>
    <n v="39"/>
    <s v="month"/>
    <s v=""/>
    <x v="4"/>
    <s v="No"/>
    <n v="0"/>
    <n v="0"/>
    <s v=""/>
  </r>
  <r>
    <n v="220989516"/>
    <d v="2023-09-04T00:00:00"/>
    <m/>
    <x v="0"/>
    <n v="39"/>
    <s v="month"/>
    <s v=""/>
    <x v="4"/>
    <s v="No"/>
    <n v="0"/>
    <n v="0"/>
    <s v=""/>
  </r>
  <r>
    <n v="135317128"/>
    <d v="2023-09-04T00:00:00"/>
    <m/>
    <x v="0"/>
    <n v="39"/>
    <s v="month"/>
    <s v=""/>
    <x v="4"/>
    <s v="No"/>
    <n v="0"/>
    <n v="0"/>
    <s v=""/>
  </r>
  <r>
    <n v="220984730"/>
    <d v="2023-09-04T00:00:00"/>
    <m/>
    <x v="0"/>
    <n v="39"/>
    <s v="month"/>
    <s v=""/>
    <x v="4"/>
    <s v="No"/>
    <n v="0"/>
    <n v="0"/>
    <s v=""/>
  </r>
  <r>
    <n v="220984628"/>
    <d v="2023-09-04T00:00:00"/>
    <m/>
    <x v="0"/>
    <n v="39"/>
    <s v="month"/>
    <s v=""/>
    <x v="4"/>
    <s v="No"/>
    <n v="0"/>
    <n v="0"/>
    <s v=""/>
  </r>
  <r>
    <n v="220989226"/>
    <d v="2023-09-04T00:00:00"/>
    <m/>
    <x v="0"/>
    <n v="39"/>
    <s v="month"/>
    <s v=""/>
    <x v="4"/>
    <s v="No"/>
    <n v="0"/>
    <n v="0"/>
    <s v=""/>
  </r>
  <r>
    <n v="220988969"/>
    <d v="2023-09-04T00:00:00"/>
    <m/>
    <x v="0"/>
    <n v="39"/>
    <s v="month"/>
    <s v=""/>
    <x v="4"/>
    <s v="No"/>
    <n v="0"/>
    <n v="0"/>
    <s v=""/>
  </r>
  <r>
    <n v="220988022"/>
    <d v="2023-09-04T00:00:00"/>
    <m/>
    <x v="0"/>
    <n v="39"/>
    <s v="month"/>
    <s v=""/>
    <x v="4"/>
    <s v="No"/>
    <n v="0"/>
    <n v="0"/>
    <s v=""/>
  </r>
  <r>
    <n v="220984390"/>
    <d v="2023-09-04T00:00:00"/>
    <m/>
    <x v="0"/>
    <n v="39"/>
    <s v="month"/>
    <s v=""/>
    <x v="4"/>
    <s v="No"/>
    <n v="0"/>
    <n v="0"/>
    <s v=""/>
  </r>
  <r>
    <n v="181480437"/>
    <d v="2023-09-04T00:00:00"/>
    <m/>
    <x v="0"/>
    <n v="39"/>
    <s v="month"/>
    <s v=""/>
    <x v="4"/>
    <s v="No"/>
    <n v="0"/>
    <n v="0"/>
    <s v=""/>
  </r>
  <r>
    <n v="125219153"/>
    <d v="2023-09-05T00:00:00"/>
    <m/>
    <x v="0"/>
    <n v="39"/>
    <s v="month"/>
    <s v=""/>
    <x v="5"/>
    <s v="No"/>
    <n v="0"/>
    <n v="0"/>
    <s v=""/>
  </r>
  <r>
    <n v="160833652"/>
    <d v="2023-09-05T00:00:00"/>
    <m/>
    <x v="0"/>
    <n v="39"/>
    <s v="month"/>
    <s v=""/>
    <x v="5"/>
    <s v="No"/>
    <n v="0"/>
    <n v="0"/>
    <s v=""/>
  </r>
  <r>
    <n v="221073196"/>
    <d v="2023-09-05T00:00:00"/>
    <m/>
    <x v="0"/>
    <n v="39"/>
    <s v="month"/>
    <s v=""/>
    <x v="5"/>
    <s v="No"/>
    <n v="0"/>
    <n v="0"/>
    <s v=""/>
  </r>
  <r>
    <n v="153733292"/>
    <d v="2023-09-05T00:00:00"/>
    <m/>
    <x v="0"/>
    <n v="39"/>
    <s v="month"/>
    <s v=""/>
    <x v="5"/>
    <s v="No"/>
    <n v="0"/>
    <n v="0"/>
    <s v=""/>
  </r>
  <r>
    <n v="152692003"/>
    <d v="2023-09-05T00:00:00"/>
    <m/>
    <x v="0"/>
    <n v="39"/>
    <s v="month"/>
    <s v=""/>
    <x v="5"/>
    <s v="No"/>
    <n v="0"/>
    <n v="0"/>
    <s v=""/>
  </r>
  <r>
    <n v="220528931"/>
    <d v="2023-09-05T00:00:00"/>
    <m/>
    <x v="0"/>
    <n v="39"/>
    <s v="month"/>
    <s v=""/>
    <x v="5"/>
    <s v="No"/>
    <n v="0"/>
    <n v="0"/>
    <s v=""/>
  </r>
  <r>
    <n v="221052611"/>
    <d v="2023-09-05T00:00:00"/>
    <m/>
    <x v="0"/>
    <n v="39"/>
    <s v="month"/>
    <s v=""/>
    <x v="5"/>
    <s v="No"/>
    <n v="0"/>
    <n v="0"/>
    <s v=""/>
  </r>
  <r>
    <n v="220665801"/>
    <d v="2023-09-05T00:00:00"/>
    <m/>
    <x v="0"/>
    <n v="39"/>
    <s v="month"/>
    <s v=""/>
    <x v="5"/>
    <s v="No"/>
    <n v="0"/>
    <n v="0"/>
    <s v=""/>
  </r>
  <r>
    <n v="221028388"/>
    <d v="2023-09-05T00:00:00"/>
    <m/>
    <x v="0"/>
    <n v="39"/>
    <s v="month"/>
    <s v=""/>
    <x v="5"/>
    <s v="No"/>
    <n v="0"/>
    <n v="0"/>
    <s v=""/>
  </r>
  <r>
    <n v="206284545"/>
    <d v="2023-09-05T00:00:00"/>
    <m/>
    <x v="0"/>
    <n v="39"/>
    <s v="month"/>
    <s v=""/>
    <x v="5"/>
    <s v="No"/>
    <n v="0"/>
    <n v="0"/>
    <s v=""/>
  </r>
  <r>
    <n v="178531928"/>
    <d v="2023-09-05T00:00:00"/>
    <m/>
    <x v="0"/>
    <n v="39"/>
    <s v="month"/>
    <s v=""/>
    <x v="5"/>
    <s v="No"/>
    <n v="0"/>
    <n v="0"/>
    <s v=""/>
  </r>
  <r>
    <n v="220994271"/>
    <d v="2023-09-05T00:00:00"/>
    <m/>
    <x v="0"/>
    <n v="39"/>
    <s v="month"/>
    <s v=""/>
    <x v="5"/>
    <s v="No"/>
    <n v="0"/>
    <n v="0"/>
    <s v=""/>
  </r>
  <r>
    <n v="218720472"/>
    <d v="2023-09-05T00:00:00"/>
    <m/>
    <x v="0"/>
    <n v="39"/>
    <s v="month"/>
    <s v=""/>
    <x v="5"/>
    <s v="No"/>
    <n v="0"/>
    <n v="0"/>
    <s v=""/>
  </r>
  <r>
    <n v="218900441"/>
    <d v="2023-09-06T00:00:00"/>
    <m/>
    <x v="0"/>
    <n v="39"/>
    <s v="month"/>
    <s v=""/>
    <x v="6"/>
    <s v="No"/>
    <n v="0"/>
    <n v="0"/>
    <s v=""/>
  </r>
  <r>
    <n v="221123938"/>
    <d v="2023-09-06T00:00:00"/>
    <m/>
    <x v="0"/>
    <n v="39"/>
    <s v="month"/>
    <s v=""/>
    <x v="6"/>
    <s v="No"/>
    <n v="0"/>
    <n v="0"/>
    <s v=""/>
  </r>
  <r>
    <n v="166750222"/>
    <d v="2023-09-06T00:00:00"/>
    <m/>
    <x v="0"/>
    <n v="39"/>
    <s v="month"/>
    <s v=""/>
    <x v="6"/>
    <s v="No"/>
    <n v="0"/>
    <n v="0"/>
    <s v=""/>
  </r>
  <r>
    <n v="154783053"/>
    <d v="2023-09-06T00:00:00"/>
    <m/>
    <x v="0"/>
    <n v="39"/>
    <s v="month"/>
    <s v=""/>
    <x v="6"/>
    <s v="No"/>
    <n v="0"/>
    <n v="0"/>
    <s v=""/>
  </r>
  <r>
    <n v="221100604"/>
    <d v="2023-09-06T00:00:00"/>
    <m/>
    <x v="0"/>
    <n v="39"/>
    <s v="month"/>
    <s v=""/>
    <x v="6"/>
    <s v="No"/>
    <n v="0"/>
    <n v="0"/>
    <s v=""/>
  </r>
  <r>
    <n v="220703723"/>
    <d v="2023-09-06T00:00:00"/>
    <m/>
    <x v="0"/>
    <n v="39"/>
    <s v="month"/>
    <s v=""/>
    <x v="6"/>
    <s v="No"/>
    <n v="0"/>
    <n v="0"/>
    <s v=""/>
  </r>
  <r>
    <n v="220815627"/>
    <d v="2023-09-06T00:00:00"/>
    <m/>
    <x v="0"/>
    <n v="39"/>
    <s v="month"/>
    <s v=""/>
    <x v="6"/>
    <s v="No"/>
    <n v="0"/>
    <n v="0"/>
    <s v=""/>
  </r>
  <r>
    <n v="214764106"/>
    <d v="2023-09-06T00:00:00"/>
    <m/>
    <x v="0"/>
    <n v="39"/>
    <s v="month"/>
    <s v=""/>
    <x v="6"/>
    <s v="No"/>
    <n v="0"/>
    <n v="0"/>
    <s v=""/>
  </r>
  <r>
    <n v="158763940"/>
    <d v="2023-09-07T00:00:00"/>
    <m/>
    <x v="0"/>
    <n v="39"/>
    <s v="month"/>
    <s v=""/>
    <x v="0"/>
    <s v="No"/>
    <n v="0"/>
    <n v="0"/>
    <s v=""/>
  </r>
  <r>
    <n v="220065316"/>
    <d v="2023-09-07T00:00:00"/>
    <m/>
    <x v="0"/>
    <n v="39"/>
    <s v="month"/>
    <s v=""/>
    <x v="0"/>
    <s v="No"/>
    <n v="0"/>
    <n v="0"/>
    <s v=""/>
  </r>
  <r>
    <n v="217662862"/>
    <d v="2023-09-07T00:00:00"/>
    <m/>
    <x v="0"/>
    <n v="39"/>
    <s v="month"/>
    <s v=""/>
    <x v="0"/>
    <s v="No"/>
    <n v="0"/>
    <n v="0"/>
    <s v=""/>
  </r>
  <r>
    <n v="220328388"/>
    <d v="2023-09-07T00:00:00"/>
    <m/>
    <x v="0"/>
    <n v="39"/>
    <s v="month"/>
    <s v=""/>
    <x v="0"/>
    <s v="No"/>
    <n v="0"/>
    <n v="0"/>
    <s v=""/>
  </r>
  <r>
    <n v="219521019"/>
    <d v="2023-09-07T00:00:00"/>
    <m/>
    <x v="0"/>
    <n v="39"/>
    <s v="month"/>
    <s v=""/>
    <x v="0"/>
    <s v="No"/>
    <n v="0"/>
    <n v="0"/>
    <s v=""/>
  </r>
  <r>
    <n v="221145374"/>
    <d v="2023-09-07T00:00:00"/>
    <m/>
    <x v="0"/>
    <n v="39"/>
    <s v="month"/>
    <s v=""/>
    <x v="0"/>
    <s v="No"/>
    <n v="0"/>
    <n v="0"/>
    <s v=""/>
  </r>
  <r>
    <n v="221130434"/>
    <d v="2023-09-07T00:00:00"/>
    <m/>
    <x v="0"/>
    <n v="39"/>
    <s v="month"/>
    <s v=""/>
    <x v="0"/>
    <s v="No"/>
    <n v="0"/>
    <n v="0"/>
    <s v=""/>
  </r>
  <r>
    <n v="221189604"/>
    <d v="2023-09-08T00:00:00"/>
    <m/>
    <x v="0"/>
    <n v="39"/>
    <s v="month"/>
    <s v=""/>
    <x v="1"/>
    <s v="No"/>
    <n v="0"/>
    <n v="0"/>
    <s v=""/>
  </r>
  <r>
    <n v="215174643"/>
    <d v="2023-09-08T00:00:00"/>
    <m/>
    <x v="0"/>
    <n v="39"/>
    <s v="month"/>
    <s v=""/>
    <x v="1"/>
    <s v="No"/>
    <n v="0"/>
    <n v="0"/>
    <s v=""/>
  </r>
  <r>
    <n v="188354637"/>
    <d v="2023-09-08T00:00:00"/>
    <m/>
    <x v="0"/>
    <n v="39"/>
    <s v="month"/>
    <s v=""/>
    <x v="1"/>
    <s v="No"/>
    <n v="0"/>
    <n v="0"/>
    <s v=""/>
  </r>
</pivotCacheRecords>
</file>

<file path=xl/pivotCache/pivotCacheRecords2.xml><?xml version="1.0" encoding="utf-8"?>
<pivotCacheRecords xmlns="http://schemas.openxmlformats.org/spreadsheetml/2006/main" xmlns:r="http://schemas.openxmlformats.org/officeDocument/2006/relationships" count="3069">
  <r>
    <n v="154536156"/>
    <d v="2022-09-01T00:00:00"/>
    <s v="Active"/>
    <x v="0"/>
    <n v="39"/>
    <s v="month"/>
    <s v="Active"/>
    <s v="Thursday"/>
  </r>
  <r>
    <n v="149713408"/>
    <d v="2022-09-01T00:00:00"/>
    <d v="2022-09-02T00:00:00"/>
    <x v="1"/>
    <n v="39"/>
    <s v="month"/>
    <n v="1"/>
    <s v="Thursday"/>
  </r>
  <r>
    <n v="153756284"/>
    <d v="2022-09-01T00:00:00"/>
    <d v="2022-09-02T00:00:00"/>
    <x v="1"/>
    <n v="39"/>
    <s v="month"/>
    <n v="1"/>
    <s v="Thursday"/>
  </r>
  <r>
    <n v="121253113"/>
    <d v="2022-09-01T00:00:00"/>
    <d v="2022-09-23T00:00:00"/>
    <x v="0"/>
    <n v="39"/>
    <s v="month"/>
    <n v="22"/>
    <s v="Thursday"/>
  </r>
  <r>
    <n v="154467210"/>
    <d v="2022-09-01T00:00:00"/>
    <d v="2023-06-29T00:00:00"/>
    <x v="0"/>
    <n v="39"/>
    <s v="month"/>
    <n v="301"/>
    <s v="Thursday"/>
  </r>
  <r>
    <n v="154510811"/>
    <d v="2022-09-01T00:00:00"/>
    <d v="2023-05-08T00:00:00"/>
    <x v="0"/>
    <n v="39"/>
    <s v="month"/>
    <n v="249"/>
    <s v="Thursday"/>
  </r>
  <r>
    <n v="154494346"/>
    <d v="2022-09-01T00:00:00"/>
    <d v="2022-11-26T00:00:00"/>
    <x v="0"/>
    <n v="39"/>
    <s v="month"/>
    <n v="86"/>
    <s v="Thursday"/>
  </r>
  <r>
    <n v="148671505"/>
    <d v="2022-09-01T00:00:00"/>
    <d v="2022-11-23T00:00:00"/>
    <x v="0"/>
    <n v="39"/>
    <s v="month"/>
    <n v="83"/>
    <s v="Thursday"/>
  </r>
  <r>
    <n v="154568379"/>
    <d v="2022-09-01T00:00:00"/>
    <d v="2022-10-25T00:00:00"/>
    <x v="0"/>
    <n v="39"/>
    <s v="month"/>
    <n v="54"/>
    <s v="Thursday"/>
  </r>
  <r>
    <n v="154428434"/>
    <d v="2022-09-01T00:00:00"/>
    <d v="2022-10-31T00:00:00"/>
    <x v="0"/>
    <n v="39"/>
    <s v="month"/>
    <n v="60"/>
    <s v="Thursday"/>
  </r>
  <r>
    <n v="154601651"/>
    <d v="2022-09-01T00:00:00"/>
    <d v="2022-09-26T00:00:00"/>
    <x v="0"/>
    <n v="39"/>
    <s v="month"/>
    <n v="25"/>
    <s v="Thursday"/>
  </r>
  <r>
    <n v="122824692"/>
    <d v="2022-09-01T00:00:00"/>
    <d v="2022-09-15T00:00:00"/>
    <x v="0"/>
    <n v="39"/>
    <s v="month"/>
    <n v="14"/>
    <s v="Thursday"/>
  </r>
  <r>
    <n v="152925600"/>
    <d v="2022-09-02T00:00:00"/>
    <s v="Active"/>
    <x v="0"/>
    <n v="39"/>
    <s v="month"/>
    <s v="Active"/>
    <s v="Friday"/>
  </r>
  <r>
    <n v="151154171"/>
    <d v="2022-09-02T00:00:00"/>
    <d v="2022-09-02T00:00:00"/>
    <x v="0"/>
    <n v="39"/>
    <s v="month"/>
    <n v="0"/>
    <s v="Friday"/>
  </r>
  <r>
    <n v="154640950"/>
    <d v="2022-09-02T00:00:00"/>
    <d v="2022-12-09T00:00:00"/>
    <x v="0"/>
    <n v="39"/>
    <s v="month"/>
    <n v="98"/>
    <s v="Friday"/>
  </r>
  <r>
    <n v="154617329"/>
    <d v="2022-09-02T00:00:00"/>
    <d v="2022-10-27T00:00:00"/>
    <x v="0"/>
    <n v="39"/>
    <s v="month"/>
    <n v="55"/>
    <s v="Friday"/>
  </r>
  <r>
    <n v="154089211"/>
    <d v="2022-09-02T00:00:00"/>
    <d v="2022-10-09T00:00:00"/>
    <x v="0"/>
    <n v="39"/>
    <s v="month"/>
    <n v="37"/>
    <s v="Friday"/>
  </r>
  <r>
    <n v="154653820"/>
    <d v="2022-09-02T00:00:00"/>
    <d v="2022-09-26T00:00:00"/>
    <x v="0"/>
    <n v="39"/>
    <s v="month"/>
    <n v="24"/>
    <s v="Friday"/>
  </r>
  <r>
    <n v="154131290"/>
    <d v="2022-09-03T00:00:00"/>
    <s v="Active"/>
    <x v="0"/>
    <n v="39"/>
    <s v="month"/>
    <s v="Active"/>
    <s v="Saturday"/>
  </r>
  <r>
    <n v="154434009"/>
    <d v="2022-09-03T00:00:00"/>
    <s v="Active"/>
    <x v="0"/>
    <n v="39"/>
    <s v="month"/>
    <s v="Active"/>
    <s v="Saturday"/>
  </r>
  <r>
    <n v="136108848"/>
    <d v="2022-09-03T00:00:00"/>
    <d v="2022-09-04T00:00:00"/>
    <x v="0"/>
    <n v="39"/>
    <s v="month"/>
    <n v="1"/>
    <s v="Saturday"/>
  </r>
  <r>
    <n v="135185873"/>
    <d v="2022-09-03T00:00:00"/>
    <d v="2023-05-10T00:00:00"/>
    <x v="0"/>
    <n v="39"/>
    <s v="month"/>
    <n v="249"/>
    <s v="Saturday"/>
  </r>
  <r>
    <n v="154592664"/>
    <d v="2022-09-03T00:00:00"/>
    <d v="2023-04-01T00:00:00"/>
    <x v="0"/>
    <n v="39"/>
    <s v="month"/>
    <n v="210"/>
    <s v="Saturday"/>
  </r>
  <r>
    <n v="119436804"/>
    <d v="2022-09-03T00:00:00"/>
    <d v="2023-04-10T00:00:00"/>
    <x v="0"/>
    <n v="39"/>
    <s v="month"/>
    <n v="219"/>
    <s v="Saturday"/>
  </r>
  <r>
    <n v="152929657"/>
    <d v="2022-09-03T00:00:00"/>
    <d v="2022-11-23T00:00:00"/>
    <x v="0"/>
    <n v="39"/>
    <s v="month"/>
    <n v="81"/>
    <s v="Saturday"/>
  </r>
  <r>
    <n v="154708974"/>
    <d v="2022-09-03T00:00:00"/>
    <d v="2022-10-18T00:00:00"/>
    <x v="0"/>
    <n v="39"/>
    <s v="month"/>
    <n v="45"/>
    <s v="Saturday"/>
  </r>
  <r>
    <n v="154567722"/>
    <d v="2022-09-03T00:00:00"/>
    <d v="2022-09-29T00:00:00"/>
    <x v="0"/>
    <n v="39"/>
    <s v="month"/>
    <n v="26"/>
    <s v="Saturday"/>
  </r>
  <r>
    <n v="154719788"/>
    <d v="2022-09-03T00:00:00"/>
    <d v="2022-09-25T00:00:00"/>
    <x v="0"/>
    <n v="39"/>
    <s v="month"/>
    <n v="22"/>
    <s v="Saturday"/>
  </r>
  <r>
    <n v="154809306"/>
    <d v="2022-09-04T00:00:00"/>
    <d v="2022-09-05T00:00:00"/>
    <x v="0"/>
    <n v="39"/>
    <s v="month"/>
    <n v="1"/>
    <s v="Sunday"/>
  </r>
  <r>
    <n v="140391539"/>
    <d v="2022-09-04T00:00:00"/>
    <d v="2023-04-05T00:00:00"/>
    <x v="0"/>
    <n v="39"/>
    <s v="month"/>
    <n v="213"/>
    <s v="Sunday"/>
  </r>
  <r>
    <n v="153194806"/>
    <d v="2022-09-04T00:00:00"/>
    <d v="2023-04-16T00:00:00"/>
    <x v="0"/>
    <n v="39"/>
    <s v="month"/>
    <n v="224"/>
    <s v="Sunday"/>
  </r>
  <r>
    <n v="144402204"/>
    <d v="2022-09-04T00:00:00"/>
    <d v="2022-09-22T00:00:00"/>
    <x v="0"/>
    <n v="39"/>
    <s v="month"/>
    <n v="18"/>
    <s v="Sunday"/>
  </r>
  <r>
    <n v="154747678"/>
    <d v="2022-09-04T00:00:00"/>
    <d v="2023-01-15T00:00:00"/>
    <x v="0"/>
    <n v="39"/>
    <s v="month"/>
    <n v="133"/>
    <s v="Sunday"/>
  </r>
  <r>
    <n v="130939158"/>
    <d v="2022-09-04T00:00:00"/>
    <d v="2023-02-19T00:00:00"/>
    <x v="0"/>
    <n v="39"/>
    <s v="month"/>
    <n v="168"/>
    <s v="Sunday"/>
  </r>
  <r>
    <n v="150912359"/>
    <d v="2022-09-04T00:00:00"/>
    <d v="2022-11-02T00:00:00"/>
    <x v="0"/>
    <n v="39"/>
    <s v="month"/>
    <n v="59"/>
    <s v="Sunday"/>
  </r>
  <r>
    <n v="154132592"/>
    <d v="2022-09-04T00:00:00"/>
    <d v="2022-11-01T00:00:00"/>
    <x v="0"/>
    <n v="39"/>
    <s v="month"/>
    <n v="58"/>
    <s v="Sunday"/>
  </r>
  <r>
    <n v="153368891"/>
    <d v="2022-09-04T00:00:00"/>
    <d v="2022-10-11T00:00:00"/>
    <x v="0"/>
    <n v="39"/>
    <s v="month"/>
    <n v="37"/>
    <s v="Sunday"/>
  </r>
  <r>
    <n v="154225450"/>
    <d v="2022-09-05T00:00:00"/>
    <s v="Active"/>
    <x v="0"/>
    <n v="39"/>
    <s v="month"/>
    <s v="Active"/>
    <s v="Monday"/>
  </r>
  <r>
    <n v="154904040"/>
    <d v="2022-09-05T00:00:00"/>
    <d v="2022-09-06T00:00:00"/>
    <x v="0"/>
    <n v="39"/>
    <s v="month"/>
    <n v="1"/>
    <s v="Monday"/>
  </r>
  <r>
    <n v="127604200"/>
    <d v="2022-09-05T00:00:00"/>
    <d v="2022-10-06T00:00:00"/>
    <x v="0"/>
    <n v="39"/>
    <s v="month"/>
    <n v="31"/>
    <s v="Monday"/>
  </r>
  <r>
    <n v="154913576"/>
    <d v="2022-09-05T00:00:00"/>
    <d v="2023-03-13T00:00:00"/>
    <x v="0"/>
    <n v="39"/>
    <s v="month"/>
    <n v="189"/>
    <s v="Monday"/>
  </r>
  <r>
    <n v="154910432"/>
    <d v="2022-09-05T00:00:00"/>
    <d v="2023-03-13T00:00:00"/>
    <x v="0"/>
    <n v="39"/>
    <s v="month"/>
    <n v="189"/>
    <s v="Monday"/>
  </r>
  <r>
    <n v="154911229"/>
    <d v="2022-09-05T00:00:00"/>
    <d v="2023-03-12T00:00:00"/>
    <x v="0"/>
    <n v="39"/>
    <s v="month"/>
    <n v="188"/>
    <s v="Monday"/>
  </r>
  <r>
    <n v="154518837"/>
    <d v="2022-09-05T00:00:00"/>
    <d v="2023-01-03T00:00:00"/>
    <x v="0"/>
    <n v="39"/>
    <s v="month"/>
    <n v="120"/>
    <s v="Monday"/>
  </r>
  <r>
    <n v="154910009"/>
    <d v="2022-09-05T00:00:00"/>
    <d v="2023-02-08T00:00:00"/>
    <x v="0"/>
    <n v="39"/>
    <s v="month"/>
    <n v="156"/>
    <s v="Monday"/>
  </r>
  <r>
    <n v="154911693"/>
    <d v="2022-09-05T00:00:00"/>
    <d v="2023-02-08T00:00:00"/>
    <x v="0"/>
    <n v="39"/>
    <s v="month"/>
    <n v="156"/>
    <s v="Monday"/>
  </r>
  <r>
    <n v="154894177"/>
    <d v="2022-09-05T00:00:00"/>
    <d v="2022-12-12T00:00:00"/>
    <x v="0"/>
    <n v="39"/>
    <s v="month"/>
    <n v="98"/>
    <s v="Monday"/>
  </r>
  <r>
    <n v="154494026"/>
    <d v="2022-09-05T00:00:00"/>
    <d v="2022-12-12T00:00:00"/>
    <x v="0"/>
    <n v="39"/>
    <s v="month"/>
    <n v="98"/>
    <s v="Monday"/>
  </r>
  <r>
    <n v="154245189"/>
    <d v="2022-09-05T00:00:00"/>
    <d v="2022-11-26T00:00:00"/>
    <x v="0"/>
    <n v="39"/>
    <s v="month"/>
    <n v="82"/>
    <s v="Monday"/>
  </r>
  <r>
    <n v="154604182"/>
    <d v="2022-09-05T00:00:00"/>
    <d v="2022-10-19T00:00:00"/>
    <x v="0"/>
    <n v="39"/>
    <s v="month"/>
    <n v="44"/>
    <s v="Monday"/>
  </r>
  <r>
    <n v="154711552"/>
    <d v="2022-09-05T00:00:00"/>
    <d v="2022-10-05T00:00:00"/>
    <x v="0"/>
    <n v="39"/>
    <s v="month"/>
    <n v="30"/>
    <s v="Monday"/>
  </r>
  <r>
    <n v="154827564"/>
    <d v="2022-09-05T00:00:00"/>
    <d v="2022-10-09T00:00:00"/>
    <x v="0"/>
    <n v="39"/>
    <s v="month"/>
    <n v="34"/>
    <s v="Monday"/>
  </r>
  <r>
    <n v="143581543"/>
    <d v="2022-09-05T00:00:00"/>
    <d v="2022-10-12T00:00:00"/>
    <x v="0"/>
    <n v="39"/>
    <s v="month"/>
    <n v="37"/>
    <s v="Monday"/>
  </r>
  <r>
    <n v="154867798"/>
    <d v="2022-09-05T00:00:00"/>
    <d v="2022-10-05T00:00:00"/>
    <x v="0"/>
    <n v="39"/>
    <s v="month"/>
    <n v="30"/>
    <s v="Monday"/>
  </r>
  <r>
    <n v="154863996"/>
    <d v="2022-09-05T00:00:00"/>
    <d v="2022-09-09T00:00:00"/>
    <x v="0"/>
    <n v="39"/>
    <s v="month"/>
    <n v="4"/>
    <s v="Monday"/>
  </r>
  <r>
    <n v="154923423"/>
    <d v="2022-09-06T00:00:00"/>
    <s v="Active"/>
    <x v="0"/>
    <n v="39"/>
    <s v="month"/>
    <s v="Active"/>
    <s v="Tuesday"/>
  </r>
  <r>
    <n v="134664128"/>
    <d v="2022-09-06T00:00:00"/>
    <s v="Active"/>
    <x v="0"/>
    <n v="39"/>
    <s v="month"/>
    <s v="Active"/>
    <s v="Tuesday"/>
  </r>
  <r>
    <n v="154828806"/>
    <d v="2022-09-06T00:00:00"/>
    <d v="2022-11-20T00:00:00"/>
    <x v="0"/>
    <n v="39"/>
    <s v="month"/>
    <n v="75"/>
    <s v="Tuesday"/>
  </r>
  <r>
    <n v="154934030"/>
    <d v="2022-09-06T00:00:00"/>
    <d v="2022-11-13T00:00:00"/>
    <x v="0"/>
    <n v="39"/>
    <s v="month"/>
    <n v="68"/>
    <s v="Tuesday"/>
  </r>
  <r>
    <n v="153671424"/>
    <d v="2022-09-06T00:00:00"/>
    <d v="2022-10-13T00:00:00"/>
    <x v="0"/>
    <n v="39"/>
    <s v="month"/>
    <n v="37"/>
    <s v="Tuesday"/>
  </r>
  <r>
    <n v="154693818"/>
    <d v="2022-09-06T00:00:00"/>
    <d v="2022-10-13T00:00:00"/>
    <x v="0"/>
    <n v="39"/>
    <s v="month"/>
    <n v="37"/>
    <s v="Tuesday"/>
  </r>
  <r>
    <n v="154110938"/>
    <d v="2022-09-06T00:00:00"/>
    <d v="2022-09-26T00:00:00"/>
    <x v="0"/>
    <n v="39"/>
    <s v="month"/>
    <n v="20"/>
    <s v="Tuesday"/>
  </r>
  <r>
    <n v="154809306"/>
    <d v="2022-09-06T00:00:00"/>
    <d v="2022-09-28T00:00:00"/>
    <x v="0"/>
    <n v="39"/>
    <s v="month"/>
    <n v="22"/>
    <s v="Tuesday"/>
  </r>
  <r>
    <n v="154537244"/>
    <d v="2022-09-07T00:00:00"/>
    <s v="Active"/>
    <x v="0"/>
    <n v="39"/>
    <s v="month"/>
    <s v="Active"/>
    <s v="Wednesday"/>
  </r>
  <r>
    <n v="154163218"/>
    <d v="2022-09-07T00:00:00"/>
    <s v="Active"/>
    <x v="0"/>
    <n v="39"/>
    <s v="month"/>
    <s v="Active"/>
    <s v="Wednesday"/>
  </r>
  <r>
    <n v="129467426"/>
    <d v="2022-09-07T00:00:00"/>
    <d v="2023-05-25T00:00:00"/>
    <x v="0"/>
    <n v="39"/>
    <s v="month"/>
    <n v="260"/>
    <s v="Wednesday"/>
  </r>
  <r>
    <n v="152498330"/>
    <d v="2022-09-07T00:00:00"/>
    <d v="2023-02-22T00:00:00"/>
    <x v="0"/>
    <n v="39"/>
    <s v="month"/>
    <n v="168"/>
    <s v="Wednesday"/>
  </r>
  <r>
    <n v="125335731"/>
    <d v="2022-09-07T00:00:00"/>
    <d v="2022-09-14T00:00:00"/>
    <x v="0"/>
    <n v="39"/>
    <s v="month"/>
    <n v="7"/>
    <s v="Wednesday"/>
  </r>
  <r>
    <n v="155113805"/>
    <d v="2022-09-08T00:00:00"/>
    <s v="Active"/>
    <x v="0"/>
    <n v="39"/>
    <s v="month"/>
    <s v="Active"/>
    <s v="Thursday"/>
  </r>
  <r>
    <n v="148864769"/>
    <d v="2022-09-08T00:00:00"/>
    <d v="2022-10-28T00:00:00"/>
    <x v="0"/>
    <n v="39"/>
    <s v="month"/>
    <n v="50"/>
    <s v="Thursday"/>
  </r>
  <r>
    <n v="123850281"/>
    <d v="2022-09-08T00:00:00"/>
    <d v="2022-10-15T00:00:00"/>
    <x v="0"/>
    <n v="39"/>
    <s v="month"/>
    <n v="37"/>
    <s v="Thursday"/>
  </r>
  <r>
    <n v="155167073"/>
    <d v="2022-09-08T00:00:00"/>
    <d v="2022-10-06T00:00:00"/>
    <x v="0"/>
    <n v="39"/>
    <s v="month"/>
    <n v="28"/>
    <s v="Thursday"/>
  </r>
  <r>
    <n v="153684891"/>
    <d v="2022-09-08T00:00:00"/>
    <d v="2022-09-09T00:00:00"/>
    <x v="0"/>
    <n v="39"/>
    <s v="month"/>
    <n v="1"/>
    <s v="Thursday"/>
  </r>
  <r>
    <n v="131277340"/>
    <d v="2022-09-09T00:00:00"/>
    <d v="2023-03-01T00:00:00"/>
    <x v="0"/>
    <n v="39"/>
    <s v="month"/>
    <n v="173"/>
    <s v="Friday"/>
  </r>
  <r>
    <n v="152027172"/>
    <d v="2022-09-09T00:00:00"/>
    <d v="2022-12-02T00:00:00"/>
    <x v="0"/>
    <n v="39"/>
    <s v="month"/>
    <n v="84"/>
    <s v="Friday"/>
  </r>
  <r>
    <n v="155212612"/>
    <d v="2022-09-09T00:00:00"/>
    <d v="2022-11-03T00:00:00"/>
    <x v="0"/>
    <n v="39"/>
    <s v="month"/>
    <n v="55"/>
    <s v="Friday"/>
  </r>
  <r>
    <n v="155188498"/>
    <d v="2022-09-09T00:00:00"/>
    <d v="2022-10-09T00:00:00"/>
    <x v="0"/>
    <n v="39"/>
    <s v="month"/>
    <n v="30"/>
    <s v="Friday"/>
  </r>
  <r>
    <n v="155145336"/>
    <d v="2022-09-09T00:00:00"/>
    <d v="2022-10-03T00:00:00"/>
    <x v="0"/>
    <n v="39"/>
    <s v="month"/>
    <n v="24"/>
    <s v="Friday"/>
  </r>
  <r>
    <n v="152506474"/>
    <d v="2022-09-09T00:00:00"/>
    <d v="2022-10-16T00:00:00"/>
    <x v="0"/>
    <n v="39"/>
    <s v="month"/>
    <n v="37"/>
    <s v="Friday"/>
  </r>
  <r>
    <n v="118029150"/>
    <d v="2022-09-09T00:00:00"/>
    <d v="2023-08-16T00:00:00"/>
    <x v="0"/>
    <n v="39"/>
    <s v="month"/>
    <n v="341"/>
    <s v="Friday"/>
  </r>
  <r>
    <n v="155245796"/>
    <d v="2022-09-10T00:00:00"/>
    <s v="Active"/>
    <x v="0"/>
    <n v="39"/>
    <s v="month"/>
    <s v="Active"/>
    <s v="Saturday"/>
  </r>
  <r>
    <n v="155326259"/>
    <d v="2022-09-10T00:00:00"/>
    <d v="2023-02-21T00:00:00"/>
    <x v="0"/>
    <n v="39"/>
    <s v="month"/>
    <n v="164"/>
    <s v="Saturday"/>
  </r>
  <r>
    <n v="155311918"/>
    <d v="2022-09-10T00:00:00"/>
    <d v="2022-12-12T00:00:00"/>
    <x v="0"/>
    <n v="39"/>
    <s v="month"/>
    <n v="93"/>
    <s v="Saturday"/>
  </r>
  <r>
    <n v="154391473"/>
    <d v="2022-09-10T00:00:00"/>
    <d v="2022-10-12T00:00:00"/>
    <x v="0"/>
    <n v="39"/>
    <s v="month"/>
    <n v="32"/>
    <s v="Saturday"/>
  </r>
  <r>
    <n v="155283495"/>
    <d v="2022-09-10T00:00:00"/>
    <d v="2022-10-08T00:00:00"/>
    <x v="0"/>
    <n v="39"/>
    <s v="month"/>
    <n v="28"/>
    <s v="Saturday"/>
  </r>
  <r>
    <n v="154597373"/>
    <d v="2022-09-10T00:00:00"/>
    <d v="2022-10-06T00:00:00"/>
    <x v="0"/>
    <n v="39"/>
    <s v="month"/>
    <n v="26"/>
    <s v="Saturday"/>
  </r>
  <r>
    <n v="155370310"/>
    <d v="2022-09-11T00:00:00"/>
    <d v="2023-05-16T00:00:00"/>
    <x v="0"/>
    <n v="39"/>
    <s v="month"/>
    <n v="247"/>
    <s v="Sunday"/>
  </r>
  <r>
    <n v="155289120"/>
    <d v="2022-09-11T00:00:00"/>
    <d v="2023-02-15T00:00:00"/>
    <x v="0"/>
    <n v="39"/>
    <s v="month"/>
    <n v="157"/>
    <s v="Sunday"/>
  </r>
  <r>
    <n v="155351408"/>
    <d v="2022-09-11T00:00:00"/>
    <d v="2022-12-11T00:00:00"/>
    <x v="0"/>
    <n v="39"/>
    <s v="month"/>
    <n v="91"/>
    <s v="Sunday"/>
  </r>
  <r>
    <n v="155336773"/>
    <d v="2022-09-11T00:00:00"/>
    <d v="2022-12-24T00:00:00"/>
    <x v="0"/>
    <n v="39"/>
    <s v="month"/>
    <n v="104"/>
    <s v="Sunday"/>
  </r>
  <r>
    <n v="155017581"/>
    <d v="2022-09-11T00:00:00"/>
    <d v="2022-11-02T00:00:00"/>
    <x v="0"/>
    <n v="39"/>
    <s v="month"/>
    <n v="52"/>
    <s v="Sunday"/>
  </r>
  <r>
    <n v="154401329"/>
    <d v="2022-09-11T00:00:00"/>
    <d v="2022-10-15T00:00:00"/>
    <x v="0"/>
    <n v="39"/>
    <s v="month"/>
    <n v="34"/>
    <s v="Sunday"/>
  </r>
  <r>
    <n v="155334828"/>
    <d v="2022-09-11T00:00:00"/>
    <d v="2022-10-11T00:00:00"/>
    <x v="0"/>
    <n v="39"/>
    <s v="month"/>
    <n v="30"/>
    <s v="Sunday"/>
  </r>
  <r>
    <n v="154815431"/>
    <d v="2022-09-11T00:00:00"/>
    <d v="2022-09-11T00:00:00"/>
    <x v="0"/>
    <n v="39"/>
    <s v="month"/>
    <n v="0"/>
    <s v="Sunday"/>
  </r>
  <r>
    <n v="155343938"/>
    <d v="2022-09-11T00:00:00"/>
    <d v="2023-08-18T00:00:00"/>
    <x v="0"/>
    <n v="39"/>
    <s v="month"/>
    <n v="341"/>
    <s v="Sunday"/>
  </r>
  <r>
    <n v="152436458"/>
    <d v="2022-09-12T00:00:00"/>
    <d v="2022-09-12T00:00:00"/>
    <x v="0"/>
    <n v="39"/>
    <s v="month"/>
    <n v="0"/>
    <s v="Monday"/>
  </r>
  <r>
    <n v="154689541"/>
    <d v="2022-09-12T00:00:00"/>
    <d v="2022-09-13T00:00:00"/>
    <x v="1"/>
    <n v="39"/>
    <s v="month"/>
    <n v="1"/>
    <s v="Monday"/>
  </r>
  <r>
    <n v="155425695"/>
    <d v="2022-09-12T00:00:00"/>
    <d v="2022-10-19T00:00:00"/>
    <x v="0"/>
    <n v="39"/>
    <s v="month"/>
    <n v="37"/>
    <s v="Monday"/>
  </r>
  <r>
    <n v="152698255"/>
    <d v="2022-09-12T00:00:00"/>
    <d v="2022-10-12T00:00:00"/>
    <x v="0"/>
    <n v="39"/>
    <s v="month"/>
    <n v="30"/>
    <s v="Monday"/>
  </r>
  <r>
    <n v="155406449"/>
    <d v="2022-09-13T00:00:00"/>
    <d v="2023-08-27T00:00:00"/>
    <x v="0"/>
    <n v="39"/>
    <s v="month"/>
    <n v="348"/>
    <s v="Tuesday"/>
  </r>
  <r>
    <n v="137338480"/>
    <d v="2022-09-13T00:00:00"/>
    <d v="2022-09-14T00:00:00"/>
    <x v="0"/>
    <n v="39"/>
    <s v="month"/>
    <n v="1"/>
    <s v="Tuesday"/>
  </r>
  <r>
    <n v="155508519"/>
    <d v="2022-09-13T00:00:00"/>
    <d v="2022-10-23T00:00:00"/>
    <x v="0"/>
    <n v="39"/>
    <s v="month"/>
    <n v="40"/>
    <s v="Tuesday"/>
  </r>
  <r>
    <n v="155463846"/>
    <d v="2022-09-13T00:00:00"/>
    <d v="2022-10-03T00:00:00"/>
    <x v="0"/>
    <n v="39"/>
    <s v="month"/>
    <n v="20"/>
    <s v="Tuesday"/>
  </r>
  <r>
    <n v="122335220"/>
    <d v="2022-09-13T00:00:00"/>
    <d v="2022-09-17T00:00:00"/>
    <x v="0"/>
    <n v="39"/>
    <s v="month"/>
    <n v="4"/>
    <s v="Tuesday"/>
  </r>
  <r>
    <n v="155460904"/>
    <d v="2022-09-13T00:00:00"/>
    <d v="2023-06-14T00:00:00"/>
    <x v="0"/>
    <n v="39"/>
    <s v="month"/>
    <n v="274"/>
    <s v="Tuesday"/>
  </r>
  <r>
    <n v="155534484"/>
    <d v="2022-09-14T00:00:00"/>
    <d v="2022-09-15T00:00:00"/>
    <x v="1"/>
    <n v="39"/>
    <s v="month"/>
    <n v="1"/>
    <s v="Wednesday"/>
  </r>
  <r>
    <n v="155465332"/>
    <d v="2022-09-14T00:00:00"/>
    <d v="2023-03-06T00:00:00"/>
    <x v="0"/>
    <n v="39"/>
    <s v="month"/>
    <n v="173"/>
    <s v="Wednesday"/>
  </r>
  <r>
    <n v="155562517"/>
    <d v="2022-09-14T00:00:00"/>
    <d v="2022-12-07T00:00:00"/>
    <x v="0"/>
    <n v="39"/>
    <s v="month"/>
    <n v="84"/>
    <s v="Wednesday"/>
  </r>
  <r>
    <n v="153577096"/>
    <d v="2022-09-14T00:00:00"/>
    <d v="2022-10-21T00:00:00"/>
    <x v="0"/>
    <n v="39"/>
    <s v="month"/>
    <n v="37"/>
    <s v="Wednesday"/>
  </r>
  <r>
    <n v="154937101"/>
    <d v="2022-09-15T00:00:00"/>
    <s v="Active"/>
    <x v="0"/>
    <n v="39"/>
    <s v="month"/>
    <s v="Active"/>
    <s v="Thursday"/>
  </r>
  <r>
    <n v="144968444"/>
    <d v="2022-09-15T00:00:00"/>
    <d v="2022-09-15T00:00:00"/>
    <x v="1"/>
    <n v="39"/>
    <s v="month"/>
    <n v="0"/>
    <s v="Thursday"/>
  </r>
  <r>
    <n v="155270889"/>
    <d v="2022-09-15T00:00:00"/>
    <d v="2023-03-06T00:00:00"/>
    <x v="0"/>
    <n v="39"/>
    <s v="month"/>
    <n v="172"/>
    <s v="Thursday"/>
  </r>
  <r>
    <n v="155601465"/>
    <d v="2022-09-15T00:00:00"/>
    <d v="2023-06-01T00:00:00"/>
    <x v="0"/>
    <n v="39"/>
    <s v="month"/>
    <n v="259"/>
    <s v="Thursday"/>
  </r>
  <r>
    <n v="154045370"/>
    <d v="2022-09-15T00:00:00"/>
    <d v="2022-11-28T00:00:00"/>
    <x v="0"/>
    <n v="39"/>
    <s v="month"/>
    <n v="74"/>
    <s v="Thursday"/>
  </r>
  <r>
    <n v="155612742"/>
    <d v="2022-09-15T00:00:00"/>
    <d v="2022-11-08T00:00:00"/>
    <x v="0"/>
    <n v="39"/>
    <s v="month"/>
    <n v="54"/>
    <s v="Thursday"/>
  </r>
  <r>
    <n v="155621162"/>
    <d v="2022-09-15T00:00:00"/>
    <d v="2022-11-14T00:00:00"/>
    <x v="0"/>
    <n v="39"/>
    <s v="month"/>
    <n v="60"/>
    <s v="Thursday"/>
  </r>
  <r>
    <n v="154904040"/>
    <d v="2022-09-15T00:00:00"/>
    <d v="2022-10-22T00:00:00"/>
    <x v="0"/>
    <n v="39"/>
    <s v="month"/>
    <n v="37"/>
    <s v="Thursday"/>
  </r>
  <r>
    <n v="150810434"/>
    <d v="2022-09-15T00:00:00"/>
    <d v="2022-10-12T00:00:00"/>
    <x v="0"/>
    <n v="39"/>
    <s v="month"/>
    <n v="27"/>
    <s v="Thursday"/>
  </r>
  <r>
    <n v="150825802"/>
    <d v="2022-09-15T00:00:00"/>
    <d v="2022-10-13T00:00:00"/>
    <x v="0"/>
    <n v="39"/>
    <s v="month"/>
    <n v="28"/>
    <s v="Thursday"/>
  </r>
  <r>
    <n v="151907203"/>
    <d v="2022-09-15T00:00:00"/>
    <d v="2022-10-11T00:00:00"/>
    <x v="0"/>
    <n v="39"/>
    <s v="month"/>
    <n v="26"/>
    <s v="Thursday"/>
  </r>
  <r>
    <n v="149595273"/>
    <d v="2022-09-15T00:00:00"/>
    <d v="2022-09-29T00:00:00"/>
    <x v="0"/>
    <n v="39"/>
    <s v="month"/>
    <n v="14"/>
    <s v="Thursday"/>
  </r>
  <r>
    <n v="155596960"/>
    <d v="2022-09-15T00:00:00"/>
    <d v="2022-09-23T00:00:00"/>
    <x v="0"/>
    <n v="39"/>
    <s v="month"/>
    <n v="8"/>
    <s v="Thursday"/>
  </r>
  <r>
    <n v="155192606"/>
    <d v="2022-09-16T00:00:00"/>
    <s v="Active"/>
    <x v="0"/>
    <n v="39"/>
    <s v="month"/>
    <s v="Active"/>
    <s v="Friday"/>
  </r>
  <r>
    <n v="129111644"/>
    <d v="2022-09-16T00:00:00"/>
    <d v="2023-03-23T00:00:00"/>
    <x v="0"/>
    <n v="39"/>
    <s v="month"/>
    <n v="188"/>
    <s v="Friday"/>
  </r>
  <r>
    <n v="155426674"/>
    <d v="2022-09-16T00:00:00"/>
    <d v="2023-04-10T00:00:00"/>
    <x v="0"/>
    <n v="39"/>
    <s v="month"/>
    <n v="206"/>
    <s v="Friday"/>
  </r>
  <r>
    <n v="154389303"/>
    <d v="2022-09-16T00:00:00"/>
    <d v="2023-01-05T00:00:00"/>
    <x v="0"/>
    <n v="39"/>
    <s v="month"/>
    <n v="111"/>
    <s v="Friday"/>
  </r>
  <r>
    <n v="155671632"/>
    <d v="2022-09-16T00:00:00"/>
    <d v="2022-12-22T00:00:00"/>
    <x v="0"/>
    <n v="39"/>
    <s v="month"/>
    <n v="97"/>
    <s v="Friday"/>
  </r>
  <r>
    <n v="155663101"/>
    <d v="2022-09-16T00:00:00"/>
    <d v="2022-10-04T00:00:00"/>
    <x v="0"/>
    <n v="39"/>
    <s v="month"/>
    <n v="18"/>
    <s v="Friday"/>
  </r>
  <r>
    <n v="152084572"/>
    <d v="2022-09-17T00:00:00"/>
    <s v="Active"/>
    <x v="0"/>
    <n v="39"/>
    <s v="month"/>
    <s v="Active"/>
    <s v="Saturday"/>
  </r>
  <r>
    <n v="155783230"/>
    <d v="2022-09-17T00:00:00"/>
    <d v="2023-05-12T00:00:00"/>
    <x v="0"/>
    <n v="39"/>
    <s v="month"/>
    <n v="237"/>
    <s v="Saturday"/>
  </r>
  <r>
    <n v="155714315"/>
    <d v="2022-09-17T00:00:00"/>
    <d v="2023-01-14T00:00:00"/>
    <x v="0"/>
    <n v="39"/>
    <s v="month"/>
    <n v="119"/>
    <s v="Saturday"/>
  </r>
  <r>
    <n v="155774393"/>
    <d v="2022-09-17T00:00:00"/>
    <d v="2022-10-18T00:00:00"/>
    <x v="0"/>
    <n v="39"/>
    <s v="month"/>
    <n v="31"/>
    <s v="Saturday"/>
  </r>
  <r>
    <n v="152901090"/>
    <d v="2022-09-18T00:00:00"/>
    <d v="2023-01-25T00:00:00"/>
    <x v="0"/>
    <n v="39"/>
    <s v="month"/>
    <n v="129"/>
    <s v="Sunday"/>
  </r>
  <r>
    <n v="147029752"/>
    <d v="2022-09-18T00:00:00"/>
    <d v="2022-11-21T00:00:00"/>
    <x v="0"/>
    <n v="39"/>
    <s v="month"/>
    <n v="64"/>
    <s v="Sunday"/>
  </r>
  <r>
    <n v="155809043"/>
    <d v="2022-09-18T00:00:00"/>
    <d v="2022-12-08T00:00:00"/>
    <x v="0"/>
    <n v="39"/>
    <s v="month"/>
    <n v="81"/>
    <s v="Sunday"/>
  </r>
  <r>
    <n v="155180991"/>
    <d v="2022-09-18T00:00:00"/>
    <d v="2022-11-12T00:00:00"/>
    <x v="0"/>
    <n v="39"/>
    <s v="month"/>
    <n v="55"/>
    <s v="Sunday"/>
  </r>
  <r>
    <n v="155713732"/>
    <d v="2022-09-18T00:00:00"/>
    <d v="2022-09-30T00:00:00"/>
    <x v="0"/>
    <n v="39"/>
    <s v="month"/>
    <n v="12"/>
    <s v="Sunday"/>
  </r>
  <r>
    <n v="155204060"/>
    <d v="2022-09-18T00:00:00"/>
    <d v="2022-10-17T00:00:00"/>
    <x v="0"/>
    <n v="39"/>
    <s v="month"/>
    <n v="29"/>
    <s v="Sunday"/>
  </r>
  <r>
    <n v="136817161"/>
    <d v="2022-09-19T00:00:00"/>
    <d v="2022-10-17T00:00:00"/>
    <x v="1"/>
    <n v="39"/>
    <s v="month"/>
    <n v="28"/>
    <s v="Monday"/>
  </r>
  <r>
    <n v="126212861"/>
    <d v="2022-09-19T00:00:00"/>
    <d v="2022-09-19T00:00:00"/>
    <x v="0"/>
    <n v="39"/>
    <s v="month"/>
    <n v="0"/>
    <s v="Monday"/>
  </r>
  <r>
    <n v="155265877"/>
    <d v="2022-09-19T00:00:00"/>
    <d v="2023-02-10T00:00:00"/>
    <x v="0"/>
    <n v="39"/>
    <s v="month"/>
    <n v="144"/>
    <s v="Monday"/>
  </r>
  <r>
    <n v="155916753"/>
    <d v="2022-09-19T00:00:00"/>
    <d v="2023-02-19T00:00:00"/>
    <x v="0"/>
    <n v="39"/>
    <s v="month"/>
    <n v="153"/>
    <s v="Monday"/>
  </r>
  <r>
    <n v="155927984"/>
    <d v="2022-09-19T00:00:00"/>
    <d v="2022-12-17T00:00:00"/>
    <x v="0"/>
    <n v="39"/>
    <s v="month"/>
    <n v="89"/>
    <s v="Monday"/>
  </r>
  <r>
    <n v="155876104"/>
    <d v="2022-09-19T00:00:00"/>
    <d v="2022-12-14T00:00:00"/>
    <x v="0"/>
    <n v="39"/>
    <s v="month"/>
    <n v="86"/>
    <s v="Monday"/>
  </r>
  <r>
    <n v="155733164"/>
    <d v="2022-09-19T00:00:00"/>
    <d v="2022-09-19T00:00:00"/>
    <x v="0"/>
    <n v="39"/>
    <s v="month"/>
    <n v="0"/>
    <s v="Monday"/>
  </r>
  <r>
    <n v="153832728"/>
    <d v="2022-09-19T00:00:00"/>
    <d v="2022-10-18T00:00:00"/>
    <x v="0"/>
    <n v="39"/>
    <s v="month"/>
    <n v="29"/>
    <s v="Monday"/>
  </r>
  <r>
    <n v="155876188"/>
    <d v="2022-09-19T00:00:00"/>
    <d v="2022-10-20T00:00:00"/>
    <x v="0"/>
    <n v="39"/>
    <s v="month"/>
    <n v="31"/>
    <s v="Monday"/>
  </r>
  <r>
    <n v="150687940"/>
    <d v="2022-09-19T00:00:00"/>
    <d v="2022-10-18T00:00:00"/>
    <x v="0"/>
    <n v="39"/>
    <s v="month"/>
    <n v="29"/>
    <s v="Monday"/>
  </r>
  <r>
    <n v="155967446"/>
    <d v="2022-09-20T00:00:00"/>
    <s v="Active"/>
    <x v="0"/>
    <n v="39"/>
    <s v="month"/>
    <s v="Active"/>
    <s v="Tuesday"/>
  </r>
  <r>
    <n v="155687378"/>
    <d v="2022-09-20T00:00:00"/>
    <d v="2023-03-27T00:00:00"/>
    <x v="0"/>
    <n v="39"/>
    <s v="month"/>
    <n v="188"/>
    <s v="Tuesday"/>
  </r>
  <r>
    <n v="156020667"/>
    <d v="2022-09-20T00:00:00"/>
    <d v="2023-05-09T00:00:00"/>
    <x v="0"/>
    <n v="39"/>
    <s v="month"/>
    <n v="231"/>
    <s v="Tuesday"/>
  </r>
  <r>
    <n v="155869412"/>
    <d v="2022-09-20T00:00:00"/>
    <d v="2022-12-21T00:00:00"/>
    <x v="0"/>
    <n v="39"/>
    <s v="month"/>
    <n v="92"/>
    <s v="Tuesday"/>
  </r>
  <r>
    <n v="156042204"/>
    <d v="2022-09-20T00:00:00"/>
    <d v="2022-11-08T00:00:00"/>
    <x v="0"/>
    <n v="39"/>
    <s v="month"/>
    <n v="49"/>
    <s v="Tuesday"/>
  </r>
  <r>
    <n v="153568990"/>
    <d v="2022-09-20T00:00:00"/>
    <d v="2022-09-30T00:00:00"/>
    <x v="0"/>
    <n v="39"/>
    <s v="month"/>
    <n v="10"/>
    <s v="Tuesday"/>
  </r>
  <r>
    <n v="155327111"/>
    <d v="2022-09-20T00:00:00"/>
    <d v="2022-10-31T00:00:00"/>
    <x v="0"/>
    <n v="39"/>
    <s v="month"/>
    <n v="41"/>
    <s v="Tuesday"/>
  </r>
  <r>
    <n v="155270521"/>
    <d v="2022-09-20T00:00:00"/>
    <d v="2023-08-08T00:00:00"/>
    <x v="0"/>
    <n v="39"/>
    <s v="month"/>
    <n v="322"/>
    <s v="Tuesday"/>
  </r>
  <r>
    <n v="155991618"/>
    <d v="2022-09-21T00:00:00"/>
    <d v="2023-06-28T00:00:00"/>
    <x v="0"/>
    <n v="39"/>
    <s v="month"/>
    <n v="280"/>
    <s v="Wednesday"/>
  </r>
  <r>
    <n v="156045144"/>
    <d v="2022-09-21T00:00:00"/>
    <d v="2022-12-06T00:00:00"/>
    <x v="0"/>
    <n v="39"/>
    <s v="month"/>
    <n v="76"/>
    <s v="Wednesday"/>
  </r>
  <r>
    <n v="155439932"/>
    <d v="2022-09-21T00:00:00"/>
    <d v="2022-11-14T00:00:00"/>
    <x v="0"/>
    <n v="39"/>
    <s v="month"/>
    <n v="54"/>
    <s v="Wednesday"/>
  </r>
  <r>
    <n v="152674430"/>
    <d v="2022-09-21T00:00:00"/>
    <d v="2022-10-03T00:00:00"/>
    <x v="0"/>
    <n v="39"/>
    <s v="month"/>
    <n v="12"/>
    <s v="Wednesday"/>
  </r>
  <r>
    <n v="156135106"/>
    <d v="2022-09-22T00:00:00"/>
    <s v="Active"/>
    <x v="0"/>
    <n v="39"/>
    <s v="month"/>
    <s v="Active"/>
    <s v="Thursday"/>
  </r>
  <r>
    <n v="156185490"/>
    <d v="2022-09-22T00:00:00"/>
    <d v="2023-05-02T00:00:00"/>
    <x v="0"/>
    <n v="39"/>
    <s v="month"/>
    <n v="222"/>
    <s v="Thursday"/>
  </r>
  <r>
    <n v="156180312"/>
    <d v="2022-09-22T00:00:00"/>
    <d v="2022-11-15T00:00:00"/>
    <x v="0"/>
    <n v="39"/>
    <s v="month"/>
    <n v="54"/>
    <s v="Thursday"/>
  </r>
  <r>
    <n v="151263484"/>
    <d v="2022-09-22T00:00:00"/>
    <d v="2022-10-29T00:00:00"/>
    <x v="0"/>
    <n v="39"/>
    <s v="month"/>
    <n v="37"/>
    <s v="Thursday"/>
  </r>
  <r>
    <n v="156008989"/>
    <d v="2022-09-22T00:00:00"/>
    <d v="2022-10-21T00:00:00"/>
    <x v="0"/>
    <n v="39"/>
    <s v="month"/>
    <n v="29"/>
    <s v="Thursday"/>
  </r>
  <r>
    <n v="147687218"/>
    <d v="2022-09-22T00:00:00"/>
    <d v="2022-10-29T00:00:00"/>
    <x v="0"/>
    <n v="39"/>
    <s v="month"/>
    <n v="37"/>
    <s v="Thursday"/>
  </r>
  <r>
    <n v="156235650"/>
    <d v="2022-09-23T00:00:00"/>
    <s v="Active"/>
    <x v="0"/>
    <n v="39"/>
    <s v="month"/>
    <s v="Active"/>
    <s v="Friday"/>
  </r>
  <r>
    <n v="131128612"/>
    <d v="2022-09-23T00:00:00"/>
    <d v="2023-01-16T00:00:00"/>
    <x v="0"/>
    <n v="39"/>
    <s v="month"/>
    <n v="115"/>
    <s v="Friday"/>
  </r>
  <r>
    <n v="156198840"/>
    <d v="2022-09-23T00:00:00"/>
    <d v="2023-01-21T00:00:00"/>
    <x v="0"/>
    <n v="39"/>
    <s v="month"/>
    <n v="120"/>
    <s v="Friday"/>
  </r>
  <r>
    <n v="144166296"/>
    <d v="2022-09-23T00:00:00"/>
    <d v="2022-10-19T00:00:00"/>
    <x v="0"/>
    <n v="39"/>
    <s v="month"/>
    <n v="26"/>
    <s v="Friday"/>
  </r>
  <r>
    <n v="136108848"/>
    <d v="2022-09-23T00:00:00"/>
    <d v="2022-11-30T00:00:00"/>
    <x v="0"/>
    <n v="39"/>
    <s v="month"/>
    <n v="68"/>
    <s v="Friday"/>
  </r>
  <r>
    <n v="156225482"/>
    <d v="2022-09-23T00:00:00"/>
    <d v="2022-10-14T00:00:00"/>
    <x v="0"/>
    <n v="39"/>
    <s v="month"/>
    <n v="21"/>
    <s v="Friday"/>
  </r>
  <r>
    <n v="156209360"/>
    <d v="2022-09-23T00:00:00"/>
    <d v="2022-10-30T00:00:00"/>
    <x v="0"/>
    <n v="39"/>
    <s v="month"/>
    <n v="37"/>
    <s v="Friday"/>
  </r>
  <r>
    <n v="153492199"/>
    <d v="2022-09-24T00:00:00"/>
    <d v="2022-12-01T00:00:00"/>
    <x v="0"/>
    <n v="39"/>
    <s v="month"/>
    <n v="68"/>
    <s v="Saturday"/>
  </r>
  <r>
    <n v="156127439"/>
    <d v="2022-09-24T00:00:00"/>
    <d v="2022-11-01T00:00:00"/>
    <x v="0"/>
    <n v="39"/>
    <s v="month"/>
    <n v="38"/>
    <s v="Saturday"/>
  </r>
  <r>
    <n v="156197748"/>
    <d v="2022-09-24T00:00:00"/>
    <d v="2022-10-26T00:00:00"/>
    <x v="0"/>
    <n v="39"/>
    <s v="month"/>
    <n v="32"/>
    <s v="Saturday"/>
  </r>
  <r>
    <n v="156292980"/>
    <d v="2022-09-25T00:00:00"/>
    <s v="Active"/>
    <x v="0"/>
    <n v="39"/>
    <s v="month"/>
    <s v="Active"/>
    <s v="Sunday"/>
  </r>
  <r>
    <n v="129284681"/>
    <d v="2022-09-25T00:00:00"/>
    <d v="2022-11-01T00:00:00"/>
    <x v="0"/>
    <n v="39"/>
    <s v="month"/>
    <n v="37"/>
    <s v="Sunday"/>
  </r>
  <r>
    <n v="156249750"/>
    <d v="2022-09-25T00:00:00"/>
    <d v="2022-11-02T00:00:00"/>
    <x v="0"/>
    <n v="39"/>
    <s v="month"/>
    <n v="38"/>
    <s v="Sunday"/>
  </r>
  <r>
    <n v="155143974"/>
    <d v="2022-09-25T00:00:00"/>
    <d v="2022-11-18T00:00:00"/>
    <x v="0"/>
    <n v="39"/>
    <s v="month"/>
    <n v="54"/>
    <s v="Sunday"/>
  </r>
  <r>
    <n v="151354965"/>
    <d v="2022-09-25T00:00:00"/>
    <d v="2022-10-29T00:00:00"/>
    <x v="0"/>
    <n v="39"/>
    <s v="month"/>
    <n v="34"/>
    <s v="Sunday"/>
  </r>
  <r>
    <n v="156178486"/>
    <d v="2022-09-25T00:00:00"/>
    <d v="2022-10-24T00:00:00"/>
    <x v="0"/>
    <n v="39"/>
    <s v="month"/>
    <n v="29"/>
    <s v="Sunday"/>
  </r>
  <r>
    <n v="132314522"/>
    <d v="2022-09-26T00:00:00"/>
    <d v="2022-12-04T00:00:00"/>
    <x v="0"/>
    <n v="39"/>
    <s v="month"/>
    <n v="69"/>
    <s v="Monday"/>
  </r>
  <r>
    <n v="152505897"/>
    <d v="2022-09-26T00:00:00"/>
    <d v="2023-04-07T00:00:00"/>
    <x v="0"/>
    <n v="39"/>
    <s v="month"/>
    <n v="193"/>
    <s v="Monday"/>
  </r>
  <r>
    <n v="151086770"/>
    <d v="2022-09-26T00:00:00"/>
    <d v="2023-01-23T00:00:00"/>
    <x v="0"/>
    <n v="39"/>
    <s v="month"/>
    <n v="119"/>
    <s v="Monday"/>
  </r>
  <r>
    <n v="148713821"/>
    <d v="2022-09-26T00:00:00"/>
    <d v="2023-02-10T00:00:00"/>
    <x v="0"/>
    <n v="39"/>
    <s v="month"/>
    <n v="137"/>
    <s v="Monday"/>
  </r>
  <r>
    <n v="146422602"/>
    <d v="2022-09-26T00:00:00"/>
    <d v="2022-11-03T00:00:00"/>
    <x v="0"/>
    <n v="39"/>
    <s v="month"/>
    <n v="38"/>
    <s v="Monday"/>
  </r>
  <r>
    <n v="156460574"/>
    <d v="2022-09-26T00:00:00"/>
    <d v="2022-11-17T00:00:00"/>
    <x v="0"/>
    <n v="39"/>
    <s v="month"/>
    <n v="52"/>
    <s v="Monday"/>
  </r>
  <r>
    <n v="156364063"/>
    <d v="2022-09-26T00:00:00"/>
    <d v="2022-11-14T00:00:00"/>
    <x v="0"/>
    <n v="39"/>
    <s v="month"/>
    <n v="49"/>
    <s v="Monday"/>
  </r>
  <r>
    <n v="149139298"/>
    <d v="2022-09-26T00:00:00"/>
    <d v="2022-10-26T00:00:00"/>
    <x v="0"/>
    <n v="39"/>
    <s v="month"/>
    <n v="30"/>
    <s v="Monday"/>
  </r>
  <r>
    <n v="156371514"/>
    <d v="2022-09-26T00:00:00"/>
    <d v="2022-10-24T00:00:00"/>
    <x v="0"/>
    <n v="39"/>
    <s v="month"/>
    <n v="28"/>
    <s v="Monday"/>
  </r>
  <r>
    <n v="156423167"/>
    <d v="2022-09-27T00:00:00"/>
    <d v="2023-01-18T00:00:00"/>
    <x v="0"/>
    <n v="39"/>
    <s v="month"/>
    <n v="113"/>
    <s v="Tuesday"/>
  </r>
  <r>
    <n v="155199164"/>
    <d v="2022-09-27T00:00:00"/>
    <d v="2023-01-03T00:00:00"/>
    <x v="0"/>
    <n v="39"/>
    <s v="month"/>
    <n v="98"/>
    <s v="Tuesday"/>
  </r>
  <r>
    <n v="156373191"/>
    <d v="2022-09-27T00:00:00"/>
    <d v="2022-12-28T00:00:00"/>
    <x v="0"/>
    <n v="39"/>
    <s v="month"/>
    <n v="92"/>
    <s v="Tuesday"/>
  </r>
  <r>
    <n v="156517374"/>
    <d v="2022-09-27T00:00:00"/>
    <d v="2022-09-27T00:00:00"/>
    <x v="0"/>
    <n v="39"/>
    <s v="month"/>
    <n v="0"/>
    <s v="Tuesday"/>
  </r>
  <r>
    <n v="156032089"/>
    <d v="2022-09-28T00:00:00"/>
    <s v="Active"/>
    <x v="0"/>
    <n v="39"/>
    <s v="month"/>
    <s v="Active"/>
    <s v="Wednesday"/>
  </r>
  <r>
    <n v="154563706"/>
    <d v="2022-09-28T00:00:00"/>
    <d v="2023-03-25T00:00:00"/>
    <x v="0"/>
    <n v="39"/>
    <s v="month"/>
    <n v="178"/>
    <s v="Wednesday"/>
  </r>
  <r>
    <n v="124481723"/>
    <d v="2022-09-28T00:00:00"/>
    <d v="2022-11-22T00:00:00"/>
    <x v="0"/>
    <n v="39"/>
    <s v="month"/>
    <n v="55"/>
    <s v="Wednesday"/>
  </r>
  <r>
    <n v="146861757"/>
    <d v="2022-09-28T00:00:00"/>
    <d v="2022-12-22T00:00:00"/>
    <x v="0"/>
    <n v="39"/>
    <s v="month"/>
    <n v="85"/>
    <s v="Wednesday"/>
  </r>
  <r>
    <n v="152476124"/>
    <d v="2022-09-28T00:00:00"/>
    <d v="2022-11-28T00:00:00"/>
    <x v="0"/>
    <n v="39"/>
    <s v="month"/>
    <n v="61"/>
    <s v="Wednesday"/>
  </r>
  <r>
    <n v="156192628"/>
    <d v="2022-09-28T00:00:00"/>
    <d v="2022-11-20T00:00:00"/>
    <x v="0"/>
    <n v="39"/>
    <s v="month"/>
    <n v="53"/>
    <s v="Wednesday"/>
  </r>
  <r>
    <n v="152109538"/>
    <d v="2022-09-28T00:00:00"/>
    <d v="2022-10-19T00:00:00"/>
    <x v="0"/>
    <n v="39"/>
    <s v="month"/>
    <n v="21"/>
    <s v="Wednesday"/>
  </r>
  <r>
    <n v="156659071"/>
    <d v="2022-09-28T00:00:00"/>
    <d v="2022-09-29T00:00:00"/>
    <x v="0"/>
    <n v="39"/>
    <s v="month"/>
    <n v="1"/>
    <s v="Wednesday"/>
  </r>
  <r>
    <n v="156717075"/>
    <d v="2022-09-29T00:00:00"/>
    <d v="2023-04-14T00:00:00"/>
    <x v="0"/>
    <n v="39"/>
    <s v="month"/>
    <n v="197"/>
    <s v="Thursday"/>
  </r>
  <r>
    <n v="156715443"/>
    <d v="2022-09-29T00:00:00"/>
    <d v="2022-12-29T00:00:00"/>
    <x v="0"/>
    <n v="39"/>
    <s v="month"/>
    <n v="91"/>
    <s v="Thursday"/>
  </r>
  <r>
    <n v="147656952"/>
    <d v="2022-09-29T00:00:00"/>
    <d v="2022-12-28T00:00:00"/>
    <x v="0"/>
    <n v="39"/>
    <s v="month"/>
    <n v="90"/>
    <s v="Thursday"/>
  </r>
  <r>
    <n v="152918862"/>
    <d v="2022-09-29T00:00:00"/>
    <d v="2022-11-20T00:00:00"/>
    <x v="0"/>
    <n v="39"/>
    <s v="month"/>
    <n v="52"/>
    <s v="Thursday"/>
  </r>
  <r>
    <n v="146866890"/>
    <d v="2022-09-29T00:00:00"/>
    <d v="2022-10-24T00:00:00"/>
    <x v="0"/>
    <n v="39"/>
    <s v="month"/>
    <n v="25"/>
    <s v="Thursday"/>
  </r>
  <r>
    <n v="151735444"/>
    <d v="2022-09-30T00:00:00"/>
    <s v="Active"/>
    <x v="0"/>
    <n v="39"/>
    <s v="month"/>
    <s v="Active"/>
    <s v="Friday"/>
  </r>
  <r>
    <n v="155608371"/>
    <d v="2022-09-30T00:00:00"/>
    <d v="2022-10-01T00:00:00"/>
    <x v="1"/>
    <n v="39"/>
    <s v="month"/>
    <n v="1"/>
    <s v="Friday"/>
  </r>
  <r>
    <n v="156809544"/>
    <d v="2022-09-30T00:00:00"/>
    <d v="2023-03-28T00:00:00"/>
    <x v="0"/>
    <n v="39"/>
    <s v="month"/>
    <n v="179"/>
    <s v="Friday"/>
  </r>
  <r>
    <n v="156813288"/>
    <d v="2022-09-30T00:00:00"/>
    <d v="2023-05-20T00:00:00"/>
    <x v="0"/>
    <n v="39"/>
    <s v="month"/>
    <n v="232"/>
    <s v="Friday"/>
  </r>
  <r>
    <n v="156817946"/>
    <d v="2022-09-30T00:00:00"/>
    <d v="2023-06-03T00:00:00"/>
    <x v="0"/>
    <n v="39"/>
    <s v="month"/>
    <n v="246"/>
    <s v="Friday"/>
  </r>
  <r>
    <n v="156194905"/>
    <d v="2022-09-30T00:00:00"/>
    <d v="2023-04-06T00:00:00"/>
    <x v="0"/>
    <n v="39"/>
    <s v="month"/>
    <n v="188"/>
    <s v="Friday"/>
  </r>
  <r>
    <n v="148568942"/>
    <d v="2022-09-30T00:00:00"/>
    <d v="2023-01-06T00:00:00"/>
    <x v="0"/>
    <n v="39"/>
    <s v="month"/>
    <n v="98"/>
    <s v="Friday"/>
  </r>
  <r>
    <n v="151154171"/>
    <d v="2022-09-30T00:00:00"/>
    <d v="2022-11-29T00:00:00"/>
    <x v="0"/>
    <n v="39"/>
    <s v="month"/>
    <n v="60"/>
    <s v="Friday"/>
  </r>
  <r>
    <n v="122921842"/>
    <d v="2022-09-30T00:00:00"/>
    <d v="2022-11-06T00:00:00"/>
    <x v="0"/>
    <n v="39"/>
    <s v="month"/>
    <n v="37"/>
    <s v="Friday"/>
  </r>
  <r>
    <n v="156754286"/>
    <d v="2022-10-01T00:00:00"/>
    <s v="Active"/>
    <x v="0"/>
    <n v="39"/>
    <s v="month"/>
    <s v="Active"/>
    <s v="Saturday"/>
  </r>
  <r>
    <n v="144160302"/>
    <d v="2022-10-01T00:00:00"/>
    <d v="2022-10-02T00:00:00"/>
    <x v="0"/>
    <n v="39"/>
    <s v="month"/>
    <n v="1"/>
    <s v="Saturday"/>
  </r>
  <r>
    <n v="155045053"/>
    <d v="2022-10-01T00:00:00"/>
    <d v="2023-01-01T00:00:00"/>
    <x v="0"/>
    <n v="39"/>
    <s v="month"/>
    <n v="92"/>
    <s v="Saturday"/>
  </r>
  <r>
    <n v="133869989"/>
    <d v="2022-10-01T00:00:00"/>
    <d v="2022-11-02T00:00:00"/>
    <x v="0"/>
    <n v="39"/>
    <s v="month"/>
    <n v="32"/>
    <s v="Saturday"/>
  </r>
  <r>
    <n v="156863940"/>
    <d v="2022-10-01T00:00:00"/>
    <d v="2022-11-02T00:00:00"/>
    <x v="0"/>
    <n v="39"/>
    <s v="month"/>
    <n v="32"/>
    <s v="Saturday"/>
  </r>
  <r>
    <n v="156884323"/>
    <d v="2022-10-01T00:00:00"/>
    <d v="2022-10-25T00:00:00"/>
    <x v="0"/>
    <n v="39"/>
    <s v="month"/>
    <n v="24"/>
    <s v="Saturday"/>
  </r>
  <r>
    <n v="156365410"/>
    <d v="2022-10-01T00:00:00"/>
    <d v="2022-10-29T00:00:00"/>
    <x v="0"/>
    <n v="39"/>
    <s v="month"/>
    <n v="28"/>
    <s v="Saturday"/>
  </r>
  <r>
    <n v="153957162"/>
    <d v="2022-10-02T00:00:00"/>
    <s v="Active"/>
    <x v="0"/>
    <n v="39"/>
    <s v="month"/>
    <s v="Active"/>
    <s v="Sunday"/>
  </r>
  <r>
    <n v="152436949"/>
    <d v="2022-10-02T00:00:00"/>
    <d v="2022-10-03T00:00:00"/>
    <x v="1"/>
    <n v="39"/>
    <s v="month"/>
    <n v="1"/>
    <s v="Sunday"/>
  </r>
  <r>
    <n v="156403612"/>
    <d v="2022-10-02T00:00:00"/>
    <d v="2023-01-26T00:00:00"/>
    <x v="0"/>
    <n v="39"/>
    <s v="month"/>
    <n v="116"/>
    <s v="Sunday"/>
  </r>
  <r>
    <n v="154198756"/>
    <d v="2022-10-02T00:00:00"/>
    <d v="2022-11-14T00:00:00"/>
    <x v="0"/>
    <n v="39"/>
    <s v="month"/>
    <n v="43"/>
    <s v="Sunday"/>
  </r>
  <r>
    <n v="156917754"/>
    <d v="2022-10-02T00:00:00"/>
    <d v="2022-10-28T00:00:00"/>
    <x v="0"/>
    <n v="39"/>
    <s v="month"/>
    <n v="26"/>
    <s v="Sunday"/>
  </r>
  <r>
    <n v="134975906"/>
    <d v="2022-10-03T00:00:00"/>
    <d v="2022-10-27T00:00:00"/>
    <x v="0"/>
    <n v="39"/>
    <s v="month"/>
    <n v="24"/>
    <s v="Monday"/>
  </r>
  <r>
    <n v="156955735"/>
    <d v="2022-10-03T00:00:00"/>
    <d v="2023-07-02T00:00:00"/>
    <x v="0"/>
    <n v="39"/>
    <s v="month"/>
    <n v="272"/>
    <s v="Monday"/>
  </r>
  <r>
    <n v="156982750"/>
    <d v="2022-10-03T00:00:00"/>
    <d v="2023-02-06T00:00:00"/>
    <x v="0"/>
    <n v="39"/>
    <s v="month"/>
    <n v="126"/>
    <s v="Monday"/>
  </r>
  <r>
    <n v="156953312"/>
    <d v="2022-10-03T00:00:00"/>
    <d v="2023-03-17T00:00:00"/>
    <x v="0"/>
    <n v="39"/>
    <s v="month"/>
    <n v="165"/>
    <s v="Monday"/>
  </r>
  <r>
    <n v="124642102"/>
    <d v="2022-10-03T00:00:00"/>
    <d v="2023-01-03T00:00:00"/>
    <x v="0"/>
    <n v="39"/>
    <s v="month"/>
    <n v="92"/>
    <s v="Monday"/>
  </r>
  <r>
    <n v="156940530"/>
    <d v="2022-10-03T00:00:00"/>
    <d v="2023-01-10T00:00:00"/>
    <x v="0"/>
    <n v="39"/>
    <s v="month"/>
    <n v="99"/>
    <s v="Monday"/>
  </r>
  <r>
    <n v="155602780"/>
    <d v="2022-10-03T00:00:00"/>
    <d v="2023-01-20T00:00:00"/>
    <x v="0"/>
    <n v="39"/>
    <s v="month"/>
    <n v="109"/>
    <s v="Monday"/>
  </r>
  <r>
    <n v="149635726"/>
    <d v="2022-10-03T00:00:00"/>
    <d v="2022-11-08T00:00:00"/>
    <x v="0"/>
    <n v="39"/>
    <s v="month"/>
    <n v="36"/>
    <s v="Monday"/>
  </r>
  <r>
    <n v="152660102"/>
    <d v="2022-10-03T00:00:00"/>
    <d v="2022-11-28T00:00:00"/>
    <x v="0"/>
    <n v="39"/>
    <s v="month"/>
    <n v="56"/>
    <s v="Monday"/>
  </r>
  <r>
    <n v="153620734"/>
    <d v="2022-10-03T00:00:00"/>
    <d v="2022-11-29T00:00:00"/>
    <x v="0"/>
    <n v="39"/>
    <s v="month"/>
    <n v="57"/>
    <s v="Monday"/>
  </r>
  <r>
    <n v="156940254"/>
    <d v="2022-10-03T00:00:00"/>
    <d v="2022-10-03T00:00:00"/>
    <x v="0"/>
    <n v="39"/>
    <s v="month"/>
    <n v="0"/>
    <s v="Monday"/>
  </r>
  <r>
    <n v="156940060"/>
    <d v="2022-10-03T00:00:00"/>
    <d v="2022-10-10T00:00:00"/>
    <x v="0"/>
    <n v="39"/>
    <s v="month"/>
    <n v="7"/>
    <s v="Monday"/>
  </r>
  <r>
    <n v="156938938"/>
    <d v="2022-10-03T00:00:00"/>
    <d v="2022-10-03T00:00:00"/>
    <x v="0"/>
    <n v="39"/>
    <s v="month"/>
    <n v="0"/>
    <s v="Monday"/>
  </r>
  <r>
    <n v="156955272"/>
    <d v="2022-10-04T00:00:00"/>
    <d v="2023-04-21T00:00:00"/>
    <x v="0"/>
    <n v="39"/>
    <s v="month"/>
    <n v="199"/>
    <s v="Tuesday"/>
  </r>
  <r>
    <n v="156941638"/>
    <d v="2022-10-04T00:00:00"/>
    <d v="2023-03-15T00:00:00"/>
    <x v="0"/>
    <n v="39"/>
    <s v="month"/>
    <n v="162"/>
    <s v="Tuesday"/>
  </r>
  <r>
    <n v="157154624"/>
    <d v="2022-10-04T00:00:00"/>
    <d v="2023-01-30T00:00:00"/>
    <x v="0"/>
    <n v="39"/>
    <s v="month"/>
    <n v="118"/>
    <s v="Tuesday"/>
  </r>
  <r>
    <n v="151677119"/>
    <d v="2022-10-04T00:00:00"/>
    <d v="2022-12-14T00:00:00"/>
    <x v="0"/>
    <n v="39"/>
    <s v="month"/>
    <n v="71"/>
    <s v="Tuesday"/>
  </r>
  <r>
    <n v="139465940"/>
    <d v="2022-10-04T00:00:00"/>
    <d v="2022-11-05T00:00:00"/>
    <x v="0"/>
    <n v="39"/>
    <s v="month"/>
    <n v="32"/>
    <s v="Tuesday"/>
  </r>
  <r>
    <n v="156895692"/>
    <d v="2022-10-05T00:00:00"/>
    <s v="Active"/>
    <x v="0"/>
    <n v="39"/>
    <s v="month"/>
    <s v="Active"/>
    <s v="Wednesday"/>
  </r>
  <r>
    <n v="153587226"/>
    <d v="2022-10-05T00:00:00"/>
    <s v="Active"/>
    <x v="0"/>
    <n v="39"/>
    <s v="month"/>
    <s v="Active"/>
    <s v="Wednesday"/>
  </r>
  <r>
    <n v="157295262"/>
    <d v="2022-10-05T00:00:00"/>
    <d v="2023-04-03T00:00:00"/>
    <x v="0"/>
    <n v="39"/>
    <s v="month"/>
    <n v="180"/>
    <s v="Wednesday"/>
  </r>
  <r>
    <n v="157284386"/>
    <d v="2022-10-05T00:00:00"/>
    <d v="2023-04-02T00:00:00"/>
    <x v="0"/>
    <n v="39"/>
    <s v="month"/>
    <n v="179"/>
    <s v="Wednesday"/>
  </r>
  <r>
    <n v="148762867"/>
    <d v="2022-10-05T00:00:00"/>
    <d v="2023-06-23T00:00:00"/>
    <x v="0"/>
    <n v="39"/>
    <s v="month"/>
    <n v="261"/>
    <s v="Wednesday"/>
  </r>
  <r>
    <n v="150433978"/>
    <d v="2022-10-05T00:00:00"/>
    <d v="2022-11-05T00:00:00"/>
    <x v="0"/>
    <n v="39"/>
    <s v="month"/>
    <n v="31"/>
    <s v="Wednesday"/>
  </r>
  <r>
    <n v="157272487"/>
    <d v="2022-10-05T00:00:00"/>
    <d v="2022-12-07T00:00:00"/>
    <x v="0"/>
    <n v="39"/>
    <s v="month"/>
    <n v="63"/>
    <s v="Wednesday"/>
  </r>
  <r>
    <n v="153776370"/>
    <d v="2022-10-06T00:00:00"/>
    <d v="2022-12-06T00:00:00"/>
    <x v="0"/>
    <n v="39"/>
    <s v="month"/>
    <n v="61"/>
    <s v="Thursday"/>
  </r>
  <r>
    <n v="157371444"/>
    <d v="2022-10-06T00:00:00"/>
    <d v="2022-12-08T00:00:00"/>
    <x v="0"/>
    <n v="39"/>
    <s v="month"/>
    <n v="63"/>
    <s v="Thursday"/>
  </r>
  <r>
    <n v="157095464"/>
    <d v="2022-10-06T00:00:00"/>
    <d v="2023-07-13T00:00:00"/>
    <x v="0"/>
    <n v="39"/>
    <s v="month"/>
    <n v="280"/>
    <s v="Thursday"/>
  </r>
  <r>
    <n v="153554190"/>
    <d v="2022-10-07T00:00:00"/>
    <s v="Active"/>
    <x v="0"/>
    <n v="39"/>
    <s v="month"/>
    <s v="Active"/>
    <s v="Friday"/>
  </r>
  <r>
    <n v="157411994"/>
    <d v="2022-10-07T00:00:00"/>
    <s v="Active"/>
    <x v="0"/>
    <n v="39"/>
    <s v="month"/>
    <s v="Active"/>
    <s v="Friday"/>
  </r>
  <r>
    <n v="157374056"/>
    <d v="2022-10-07T00:00:00"/>
    <d v="2022-11-07T00:00:00"/>
    <x v="0"/>
    <n v="39"/>
    <s v="month"/>
    <n v="31"/>
    <s v="Friday"/>
  </r>
  <r>
    <n v="157397941"/>
    <d v="2022-10-07T00:00:00"/>
    <d v="2022-11-03T00:00:00"/>
    <x v="0"/>
    <n v="39"/>
    <s v="month"/>
    <n v="27"/>
    <s v="Friday"/>
  </r>
  <r>
    <n v="157234944"/>
    <d v="2022-10-07T00:00:00"/>
    <d v="2022-10-24T00:00:00"/>
    <x v="0"/>
    <n v="39"/>
    <s v="month"/>
    <n v="17"/>
    <s v="Friday"/>
  </r>
  <r>
    <n v="157490039"/>
    <d v="2022-10-08T00:00:00"/>
    <d v="2023-03-15T00:00:00"/>
    <x v="0"/>
    <n v="39"/>
    <s v="month"/>
    <n v="158"/>
    <s v="Saturday"/>
  </r>
  <r>
    <n v="157484010"/>
    <d v="2022-10-08T00:00:00"/>
    <d v="2023-03-15T00:00:00"/>
    <x v="0"/>
    <n v="39"/>
    <s v="month"/>
    <n v="158"/>
    <s v="Saturday"/>
  </r>
  <r>
    <n v="125038257"/>
    <d v="2022-10-08T00:00:00"/>
    <d v="2022-11-17T00:00:00"/>
    <x v="0"/>
    <n v="39"/>
    <s v="month"/>
    <n v="40"/>
    <s v="Saturday"/>
  </r>
  <r>
    <n v="157400730"/>
    <d v="2022-10-08T00:00:00"/>
    <d v="2022-10-26T00:00:00"/>
    <x v="0"/>
    <n v="39"/>
    <s v="month"/>
    <n v="18"/>
    <s v="Saturday"/>
  </r>
  <r>
    <n v="157450645"/>
    <d v="2022-10-08T00:00:00"/>
    <d v="2022-10-18T00:00:00"/>
    <x v="0"/>
    <n v="39"/>
    <s v="month"/>
    <n v="10"/>
    <s v="Saturday"/>
  </r>
  <r>
    <n v="156943008"/>
    <d v="2022-10-09T00:00:00"/>
    <d v="2022-10-10T00:00:00"/>
    <x v="0"/>
    <n v="39"/>
    <s v="month"/>
    <n v="1"/>
    <s v="Sunday"/>
  </r>
  <r>
    <n v="127328047"/>
    <d v="2022-10-09T00:00:00"/>
    <d v="2023-01-16T00:00:00"/>
    <x v="0"/>
    <n v="39"/>
    <s v="month"/>
    <n v="99"/>
    <s v="Sunday"/>
  </r>
  <r>
    <n v="157506842"/>
    <d v="2022-10-09T00:00:00"/>
    <d v="2022-11-15T00:00:00"/>
    <x v="0"/>
    <n v="39"/>
    <s v="month"/>
    <n v="37"/>
    <s v="Sunday"/>
  </r>
  <r>
    <n v="150924853"/>
    <d v="2022-10-09T00:00:00"/>
    <d v="2022-11-23T00:00:00"/>
    <x v="0"/>
    <n v="39"/>
    <s v="month"/>
    <n v="45"/>
    <s v="Sunday"/>
  </r>
  <r>
    <n v="156996568"/>
    <d v="2022-10-10T00:00:00"/>
    <s v="Active"/>
    <x v="0"/>
    <n v="39"/>
    <s v="month"/>
    <s v="Active"/>
    <s v="Monday"/>
  </r>
  <r>
    <n v="157627904"/>
    <d v="2022-10-10T00:00:00"/>
    <d v="2023-01-11T00:00:00"/>
    <x v="0"/>
    <n v="39"/>
    <s v="month"/>
    <n v="93"/>
    <s v="Monday"/>
  </r>
  <r>
    <n v="157058101"/>
    <d v="2022-10-10T00:00:00"/>
    <d v="2022-11-09T00:00:00"/>
    <x v="0"/>
    <n v="39"/>
    <s v="month"/>
    <n v="30"/>
    <s v="Monday"/>
  </r>
  <r>
    <n v="157394598"/>
    <d v="2022-10-11T00:00:00"/>
    <d v="2022-10-12T00:00:00"/>
    <x v="1"/>
    <n v="39"/>
    <s v="month"/>
    <n v="1"/>
    <s v="Tuesday"/>
  </r>
  <r>
    <n v="157765918"/>
    <d v="2022-10-11T00:00:00"/>
    <d v="2022-10-12T00:00:00"/>
    <x v="1"/>
    <n v="39"/>
    <s v="month"/>
    <n v="1"/>
    <s v="Tuesday"/>
  </r>
  <r>
    <n v="157746458"/>
    <d v="2022-10-11T00:00:00"/>
    <d v="2023-04-25T00:00:00"/>
    <x v="0"/>
    <n v="39"/>
    <s v="month"/>
    <n v="196"/>
    <s v="Tuesday"/>
  </r>
  <r>
    <n v="157590918"/>
    <d v="2022-10-11T00:00:00"/>
    <d v="2023-02-12T00:00:00"/>
    <x v="0"/>
    <n v="39"/>
    <s v="month"/>
    <n v="124"/>
    <s v="Tuesday"/>
  </r>
  <r>
    <n v="157290992"/>
    <d v="2022-10-11T00:00:00"/>
    <d v="2023-01-10T00:00:00"/>
    <x v="0"/>
    <n v="39"/>
    <s v="month"/>
    <n v="91"/>
    <s v="Tuesday"/>
  </r>
  <r>
    <n v="156895701"/>
    <d v="2022-10-11T00:00:00"/>
    <d v="2022-12-18T00:00:00"/>
    <x v="0"/>
    <n v="39"/>
    <s v="month"/>
    <n v="68"/>
    <s v="Tuesday"/>
  </r>
  <r>
    <n v="155926313"/>
    <d v="2022-10-11T00:00:00"/>
    <d v="2022-11-28T00:00:00"/>
    <x v="0"/>
    <n v="39"/>
    <s v="month"/>
    <n v="48"/>
    <s v="Tuesday"/>
  </r>
  <r>
    <n v="156110000"/>
    <d v="2022-10-11T00:00:00"/>
    <d v="2022-11-16T00:00:00"/>
    <x v="0"/>
    <n v="39"/>
    <s v="month"/>
    <n v="36"/>
    <s v="Tuesday"/>
  </r>
  <r>
    <n v="157851493"/>
    <d v="2022-10-12T00:00:00"/>
    <d v="2023-04-04T00:00:00"/>
    <x v="0"/>
    <n v="39"/>
    <s v="month"/>
    <n v="174"/>
    <s v="Wednesday"/>
  </r>
  <r>
    <n v="157792408"/>
    <d v="2022-10-12T00:00:00"/>
    <d v="2023-06-10T00:00:00"/>
    <x v="0"/>
    <n v="39"/>
    <s v="month"/>
    <n v="241"/>
    <s v="Wednesday"/>
  </r>
  <r>
    <n v="157868778"/>
    <d v="2022-10-12T00:00:00"/>
    <d v="2022-11-07T00:00:00"/>
    <x v="0"/>
    <n v="39"/>
    <s v="month"/>
    <n v="26"/>
    <s v="Wednesday"/>
  </r>
  <r>
    <n v="157833252"/>
    <d v="2022-10-12T00:00:00"/>
    <d v="2022-10-23T00:00:00"/>
    <x v="0"/>
    <n v="39"/>
    <s v="month"/>
    <n v="11"/>
    <s v="Wednesday"/>
  </r>
  <r>
    <n v="149662340"/>
    <d v="2022-10-13T00:00:00"/>
    <s v="Active"/>
    <x v="0"/>
    <n v="39"/>
    <s v="month"/>
    <s v="Active"/>
    <s v="Thursday"/>
  </r>
  <r>
    <n v="126918448"/>
    <d v="2022-10-13T00:00:00"/>
    <s v="Active"/>
    <x v="0"/>
    <n v="39"/>
    <s v="month"/>
    <s v="Active"/>
    <s v="Thursday"/>
  </r>
  <r>
    <n v="136897370"/>
    <d v="2022-10-13T00:00:00"/>
    <d v="2023-01-17T00:00:00"/>
    <x v="0"/>
    <n v="39"/>
    <s v="month"/>
    <n v="96"/>
    <s v="Thursday"/>
  </r>
  <r>
    <n v="157921307"/>
    <d v="2022-10-13T00:00:00"/>
    <d v="2023-05-30T00:00:00"/>
    <x v="0"/>
    <n v="39"/>
    <s v="month"/>
    <n v="229"/>
    <s v="Thursday"/>
  </r>
  <r>
    <n v="157905868"/>
    <d v="2022-10-13T00:00:00"/>
    <d v="2023-02-06T00:00:00"/>
    <x v="0"/>
    <n v="39"/>
    <s v="month"/>
    <n v="116"/>
    <s v="Thursday"/>
  </r>
  <r>
    <n v="152377785"/>
    <d v="2022-10-13T00:00:00"/>
    <d v="2023-01-11T00:00:00"/>
    <x v="0"/>
    <n v="39"/>
    <s v="month"/>
    <n v="90"/>
    <s v="Thursday"/>
  </r>
  <r>
    <n v="157567612"/>
    <d v="2022-10-13T00:00:00"/>
    <d v="2022-11-03T00:00:00"/>
    <x v="0"/>
    <n v="39"/>
    <s v="month"/>
    <n v="21"/>
    <s v="Thursday"/>
  </r>
  <r>
    <n v="157993772"/>
    <d v="2022-10-15T00:00:00"/>
    <d v="2022-10-15T00:00:00"/>
    <x v="1"/>
    <n v="39"/>
    <s v="month"/>
    <n v="0"/>
    <s v="Saturday"/>
  </r>
  <r>
    <n v="148769034"/>
    <d v="2022-10-15T00:00:00"/>
    <d v="2023-03-13T00:00:00"/>
    <x v="0"/>
    <n v="39"/>
    <s v="month"/>
    <n v="149"/>
    <s v="Saturday"/>
  </r>
  <r>
    <n v="158050283"/>
    <d v="2022-10-15T00:00:00"/>
    <d v="2023-07-07T00:00:00"/>
    <x v="0"/>
    <n v="39"/>
    <s v="month"/>
    <n v="265"/>
    <s v="Saturday"/>
  </r>
  <r>
    <n v="157436507"/>
    <d v="2022-10-16T00:00:00"/>
    <s v="Active"/>
    <x v="0"/>
    <n v="39"/>
    <s v="month"/>
    <s v="Active"/>
    <s v="Sunday"/>
  </r>
  <r>
    <n v="123808301"/>
    <d v="2022-10-16T00:00:00"/>
    <d v="2022-10-27T00:00:00"/>
    <x v="0"/>
    <n v="39"/>
    <s v="month"/>
    <n v="11"/>
    <s v="Sunday"/>
  </r>
  <r>
    <n v="158033452"/>
    <d v="2022-10-16T00:00:00"/>
    <d v="2023-03-02T00:00:00"/>
    <x v="0"/>
    <n v="39"/>
    <s v="month"/>
    <n v="137"/>
    <s v="Sunday"/>
  </r>
  <r>
    <n v="156796659"/>
    <d v="2022-10-16T00:00:00"/>
    <d v="2023-03-09T00:00:00"/>
    <x v="0"/>
    <n v="39"/>
    <s v="month"/>
    <n v="144"/>
    <s v="Sunday"/>
  </r>
  <r>
    <n v="158093021"/>
    <d v="2022-10-16T00:00:00"/>
    <d v="2022-12-27T00:00:00"/>
    <x v="0"/>
    <n v="39"/>
    <s v="month"/>
    <n v="72"/>
    <s v="Sunday"/>
  </r>
  <r>
    <n v="157900412"/>
    <d v="2022-10-16T00:00:00"/>
    <d v="2022-11-09T00:00:00"/>
    <x v="0"/>
    <n v="39"/>
    <s v="month"/>
    <n v="24"/>
    <s v="Sunday"/>
  </r>
  <r>
    <n v="152892719"/>
    <d v="2022-10-16T00:00:00"/>
    <d v="2022-10-16T00:00:00"/>
    <x v="0"/>
    <n v="39"/>
    <s v="month"/>
    <n v="0"/>
    <s v="Sunday"/>
  </r>
  <r>
    <n v="158009130"/>
    <d v="2022-10-17T00:00:00"/>
    <s v="Active"/>
    <x v="0"/>
    <n v="39"/>
    <s v="month"/>
    <s v="Active"/>
    <s v="Monday"/>
  </r>
  <r>
    <n v="157904656"/>
    <d v="2022-10-17T00:00:00"/>
    <d v="2022-12-15T00:00:00"/>
    <x v="0"/>
    <n v="39"/>
    <s v="month"/>
    <n v="59"/>
    <s v="Monday"/>
  </r>
  <r>
    <n v="157838980"/>
    <d v="2022-10-17T00:00:00"/>
    <d v="2023-02-16T00:00:00"/>
    <x v="0"/>
    <n v="39"/>
    <s v="month"/>
    <n v="122"/>
    <s v="Monday"/>
  </r>
  <r>
    <n v="123402996"/>
    <d v="2022-10-17T00:00:00"/>
    <d v="2023-01-04T00:00:00"/>
    <x v="0"/>
    <n v="39"/>
    <s v="month"/>
    <n v="79"/>
    <s v="Monday"/>
  </r>
  <r>
    <n v="158112356"/>
    <d v="2022-10-17T00:00:00"/>
    <d v="2022-12-30T00:00:00"/>
    <x v="0"/>
    <n v="39"/>
    <s v="month"/>
    <n v="74"/>
    <s v="Monday"/>
  </r>
  <r>
    <n v="152410420"/>
    <d v="2022-10-17T00:00:00"/>
    <d v="2022-11-18T00:00:00"/>
    <x v="0"/>
    <n v="39"/>
    <s v="month"/>
    <n v="32"/>
    <s v="Monday"/>
  </r>
  <r>
    <n v="158164441"/>
    <d v="2022-10-17T00:00:00"/>
    <d v="2022-11-17T00:00:00"/>
    <x v="0"/>
    <n v="39"/>
    <s v="month"/>
    <n v="31"/>
    <s v="Monday"/>
  </r>
  <r>
    <n v="153956466"/>
    <d v="2022-10-17T00:00:00"/>
    <d v="2022-11-17T00:00:00"/>
    <x v="0"/>
    <n v="39"/>
    <s v="month"/>
    <n v="31"/>
    <s v="Monday"/>
  </r>
  <r>
    <n v="158100990"/>
    <d v="2022-10-17T00:00:00"/>
    <d v="2022-11-14T00:00:00"/>
    <x v="0"/>
    <n v="39"/>
    <s v="month"/>
    <n v="28"/>
    <s v="Monday"/>
  </r>
  <r>
    <n v="158096894"/>
    <d v="2022-10-17T00:00:00"/>
    <d v="2022-11-14T00:00:00"/>
    <x v="0"/>
    <n v="39"/>
    <s v="month"/>
    <n v="28"/>
    <s v="Monday"/>
  </r>
  <r>
    <n v="158066376"/>
    <d v="2022-10-17T00:00:00"/>
    <d v="2022-11-08T00:00:00"/>
    <x v="0"/>
    <n v="39"/>
    <s v="month"/>
    <n v="22"/>
    <s v="Monday"/>
  </r>
  <r>
    <n v="158220808"/>
    <d v="2022-10-18T00:00:00"/>
    <s v="Active"/>
    <x v="1"/>
    <n v="39"/>
    <s v="month"/>
    <s v="Active"/>
    <s v="Tuesday"/>
  </r>
  <r>
    <n v="131779624"/>
    <d v="2022-10-18T00:00:00"/>
    <d v="2022-11-25T00:00:00"/>
    <x v="0"/>
    <n v="39"/>
    <s v="month"/>
    <n v="38"/>
    <s v="Tuesday"/>
  </r>
  <r>
    <n v="158267390"/>
    <d v="2022-10-18T00:00:00"/>
    <d v="2022-12-25T00:00:00"/>
    <x v="0"/>
    <n v="39"/>
    <s v="month"/>
    <n v="68"/>
    <s v="Tuesday"/>
  </r>
  <r>
    <n v="152354478"/>
    <d v="2022-10-18T00:00:00"/>
    <d v="2023-02-02T00:00:00"/>
    <x v="0"/>
    <n v="39"/>
    <s v="month"/>
    <n v="107"/>
    <s v="Tuesday"/>
  </r>
  <r>
    <n v="146376235"/>
    <d v="2022-10-18T00:00:00"/>
    <d v="2022-12-07T00:00:00"/>
    <x v="0"/>
    <n v="39"/>
    <s v="month"/>
    <n v="50"/>
    <s v="Tuesday"/>
  </r>
  <r>
    <n v="153953296"/>
    <d v="2022-10-18T00:00:00"/>
    <d v="2022-11-02T00:00:00"/>
    <x v="0"/>
    <n v="39"/>
    <s v="month"/>
    <n v="15"/>
    <s v="Tuesday"/>
  </r>
  <r>
    <n v="154659594"/>
    <d v="2022-10-18T00:00:00"/>
    <d v="2022-11-14T00:00:00"/>
    <x v="0"/>
    <n v="39"/>
    <s v="month"/>
    <n v="27"/>
    <s v="Tuesday"/>
  </r>
  <r>
    <n v="157998778"/>
    <d v="2022-10-18T00:00:00"/>
    <d v="2022-11-25T00:00:00"/>
    <x v="0"/>
    <n v="39"/>
    <s v="month"/>
    <n v="38"/>
    <s v="Tuesday"/>
  </r>
  <r>
    <n v="150668840"/>
    <d v="2022-10-18T00:00:00"/>
    <d v="2022-11-01T00:00:00"/>
    <x v="0"/>
    <n v="39"/>
    <s v="month"/>
    <n v="14"/>
    <s v="Tuesday"/>
  </r>
  <r>
    <n v="158184958"/>
    <d v="2022-10-18T00:00:00"/>
    <d v="2022-11-02T00:00:00"/>
    <x v="0"/>
    <n v="39"/>
    <s v="month"/>
    <n v="15"/>
    <s v="Tuesday"/>
  </r>
  <r>
    <n v="158362440"/>
    <d v="2022-10-19T00:00:00"/>
    <d v="2023-05-19T00:00:00"/>
    <x v="0"/>
    <n v="39"/>
    <s v="month"/>
    <n v="212"/>
    <s v="Wednesday"/>
  </r>
  <r>
    <n v="158477370"/>
    <d v="2022-10-19T00:00:00"/>
    <d v="2023-02-21T00:00:00"/>
    <x v="0"/>
    <n v="39"/>
    <s v="month"/>
    <n v="125"/>
    <s v="Wednesday"/>
  </r>
  <r>
    <n v="158047538"/>
    <d v="2022-10-19T00:00:00"/>
    <d v="2023-01-22T00:00:00"/>
    <x v="0"/>
    <n v="39"/>
    <s v="month"/>
    <n v="95"/>
    <s v="Wednesday"/>
  </r>
  <r>
    <n v="157910445"/>
    <d v="2022-10-19T00:00:00"/>
    <d v="2023-01-15T00:00:00"/>
    <x v="0"/>
    <n v="39"/>
    <s v="month"/>
    <n v="88"/>
    <s v="Wednesday"/>
  </r>
  <r>
    <n v="154091460"/>
    <d v="2022-10-19T00:00:00"/>
    <d v="2023-06-21T00:00:00"/>
    <x v="0"/>
    <n v="39"/>
    <s v="month"/>
    <n v="245"/>
    <s v="Wednesday"/>
  </r>
  <r>
    <n v="158532103"/>
    <d v="2022-10-20T00:00:00"/>
    <d v="2023-05-13T00:00:00"/>
    <x v="0"/>
    <n v="39"/>
    <s v="month"/>
    <n v="205"/>
    <s v="Thursday"/>
  </r>
  <r>
    <n v="158591698"/>
    <d v="2022-10-20T00:00:00"/>
    <d v="2023-03-17T00:00:00"/>
    <x v="0"/>
    <n v="39"/>
    <s v="month"/>
    <n v="148"/>
    <s v="Thursday"/>
  </r>
  <r>
    <n v="158533909"/>
    <d v="2022-10-20T00:00:00"/>
    <d v="2023-01-27T00:00:00"/>
    <x v="0"/>
    <n v="39"/>
    <s v="month"/>
    <n v="99"/>
    <s v="Thursday"/>
  </r>
  <r>
    <n v="156372496"/>
    <d v="2022-10-20T00:00:00"/>
    <d v="2022-12-15T00:00:00"/>
    <x v="0"/>
    <n v="39"/>
    <s v="month"/>
    <n v="56"/>
    <s v="Thursday"/>
  </r>
  <r>
    <n v="158620475"/>
    <d v="2022-10-20T00:00:00"/>
    <d v="2023-07-28T00:00:00"/>
    <x v="0"/>
    <n v="39"/>
    <s v="month"/>
    <n v="281"/>
    <s v="Thursday"/>
  </r>
  <r>
    <n v="158539824"/>
    <d v="2022-10-20T00:00:00"/>
    <d v="2023-06-20T00:00:00"/>
    <x v="0"/>
    <n v="39"/>
    <s v="month"/>
    <n v="243"/>
    <s v="Thursday"/>
  </r>
  <r>
    <n v="158499042"/>
    <d v="2022-10-21T00:00:00"/>
    <s v="Active"/>
    <x v="0"/>
    <n v="39"/>
    <s v="month"/>
    <s v="Active"/>
    <s v="Friday"/>
  </r>
  <r>
    <n v="158755464"/>
    <d v="2022-10-21T00:00:00"/>
    <d v="2022-11-28T00:00:00"/>
    <x v="0"/>
    <n v="39"/>
    <s v="month"/>
    <n v="38"/>
    <s v="Friday"/>
  </r>
  <r>
    <n v="149112756"/>
    <d v="2022-10-21T00:00:00"/>
    <d v="2023-05-28T00:00:00"/>
    <x v="0"/>
    <n v="39"/>
    <s v="month"/>
    <n v="219"/>
    <s v="Friday"/>
  </r>
  <r>
    <n v="149065622"/>
    <d v="2022-10-21T00:00:00"/>
    <d v="2022-12-28T00:00:00"/>
    <x v="0"/>
    <n v="39"/>
    <s v="month"/>
    <n v="68"/>
    <s v="Friday"/>
  </r>
  <r>
    <n v="158656065"/>
    <d v="2022-10-21T00:00:00"/>
    <d v="2022-12-30T00:00:00"/>
    <x v="0"/>
    <n v="39"/>
    <s v="month"/>
    <n v="70"/>
    <s v="Friday"/>
  </r>
  <r>
    <n v="158756090"/>
    <d v="2022-10-21T00:00:00"/>
    <d v="2022-11-02T00:00:00"/>
    <x v="0"/>
    <n v="39"/>
    <s v="month"/>
    <n v="12"/>
    <s v="Friday"/>
  </r>
  <r>
    <n v="158447710"/>
    <d v="2022-10-21T00:00:00"/>
    <d v="2022-11-18T00:00:00"/>
    <x v="0"/>
    <n v="39"/>
    <s v="month"/>
    <n v="28"/>
    <s v="Friday"/>
  </r>
  <r>
    <n v="157568391"/>
    <d v="2022-10-21T00:00:00"/>
    <d v="2022-11-21T00:00:00"/>
    <x v="0"/>
    <n v="39"/>
    <s v="month"/>
    <n v="31"/>
    <s v="Friday"/>
  </r>
  <r>
    <n v="157505106"/>
    <d v="2022-10-22T00:00:00"/>
    <s v="Active"/>
    <x v="0"/>
    <n v="39"/>
    <s v="month"/>
    <s v="Active"/>
    <s v="Saturday"/>
  </r>
  <r>
    <n v="158761363"/>
    <d v="2022-10-22T00:00:00"/>
    <d v="2023-02-26T00:00:00"/>
    <x v="0"/>
    <n v="39"/>
    <s v="month"/>
    <n v="127"/>
    <s v="Saturday"/>
  </r>
  <r>
    <n v="144858980"/>
    <d v="2022-10-22T00:00:00"/>
    <d v="2022-12-22T00:00:00"/>
    <x v="0"/>
    <n v="39"/>
    <s v="month"/>
    <n v="61"/>
    <s v="Saturday"/>
  </r>
  <r>
    <n v="151000288"/>
    <d v="2022-10-22T00:00:00"/>
    <d v="2022-12-22T00:00:00"/>
    <x v="0"/>
    <n v="39"/>
    <s v="month"/>
    <n v="61"/>
    <s v="Saturday"/>
  </r>
  <r>
    <n v="136276852"/>
    <d v="2022-10-22T00:00:00"/>
    <d v="2022-11-22T00:00:00"/>
    <x v="0"/>
    <n v="39"/>
    <s v="month"/>
    <n v="31"/>
    <s v="Saturday"/>
  </r>
  <r>
    <n v="158767852"/>
    <d v="2022-10-22T00:00:00"/>
    <d v="2022-11-29T00:00:00"/>
    <x v="0"/>
    <n v="39"/>
    <s v="month"/>
    <n v="38"/>
    <s v="Saturday"/>
  </r>
  <r>
    <n v="158849640"/>
    <d v="2022-10-23T00:00:00"/>
    <s v="Active"/>
    <x v="0"/>
    <n v="39"/>
    <s v="month"/>
    <s v="Active"/>
    <s v="Sunday"/>
  </r>
  <r>
    <n v="151491892"/>
    <d v="2022-10-23T00:00:00"/>
    <d v="2022-10-24T00:00:00"/>
    <x v="0"/>
    <n v="39"/>
    <s v="month"/>
    <n v="1"/>
    <s v="Sunday"/>
  </r>
  <r>
    <n v="157474087"/>
    <d v="2022-10-23T00:00:00"/>
    <d v="2022-12-30T00:00:00"/>
    <x v="0"/>
    <n v="39"/>
    <s v="month"/>
    <n v="68"/>
    <s v="Sunday"/>
  </r>
  <r>
    <n v="157997679"/>
    <d v="2022-10-23T00:00:00"/>
    <d v="2023-06-18T00:00:00"/>
    <x v="0"/>
    <n v="39"/>
    <s v="month"/>
    <n v="238"/>
    <s v="Sunday"/>
  </r>
  <r>
    <n v="158566772"/>
    <d v="2022-10-23T00:00:00"/>
    <d v="2023-02-21T00:00:00"/>
    <x v="0"/>
    <n v="39"/>
    <s v="month"/>
    <n v="121"/>
    <s v="Sunday"/>
  </r>
  <r>
    <n v="157788656"/>
    <d v="2022-10-23T00:00:00"/>
    <d v="2022-12-20T00:00:00"/>
    <x v="0"/>
    <n v="39"/>
    <s v="month"/>
    <n v="58"/>
    <s v="Sunday"/>
  </r>
  <r>
    <n v="158832658"/>
    <d v="2022-10-23T00:00:00"/>
    <d v="2022-11-02T00:00:00"/>
    <x v="0"/>
    <n v="39"/>
    <s v="month"/>
    <n v="10"/>
    <s v="Sunday"/>
  </r>
  <r>
    <n v="130837976"/>
    <d v="2022-10-23T00:00:00"/>
    <d v="2022-11-23T00:00:00"/>
    <x v="0"/>
    <n v="39"/>
    <s v="month"/>
    <n v="31"/>
    <s v="Sunday"/>
  </r>
  <r>
    <n v="159095030"/>
    <d v="2022-10-24T00:00:00"/>
    <d v="2023-02-16T00:00:00"/>
    <x v="0"/>
    <n v="39"/>
    <s v="month"/>
    <n v="115"/>
    <s v="Monday"/>
  </r>
  <r>
    <n v="159028041"/>
    <d v="2022-10-24T00:00:00"/>
    <d v="2022-12-01T00:00:00"/>
    <x v="0"/>
    <n v="39"/>
    <s v="month"/>
    <n v="38"/>
    <s v="Monday"/>
  </r>
  <r>
    <n v="159018168"/>
    <d v="2022-10-24T00:00:00"/>
    <d v="2022-12-01T00:00:00"/>
    <x v="0"/>
    <n v="39"/>
    <s v="month"/>
    <n v="38"/>
    <s v="Monday"/>
  </r>
  <r>
    <n v="157981870"/>
    <d v="2022-10-24T00:00:00"/>
    <d v="2022-11-07T00:00:00"/>
    <x v="0"/>
    <n v="39"/>
    <s v="month"/>
    <n v="14"/>
    <s v="Monday"/>
  </r>
  <r>
    <n v="153061698"/>
    <d v="2022-10-24T00:00:00"/>
    <d v="2022-11-24T00:00:00"/>
    <x v="0"/>
    <n v="39"/>
    <s v="month"/>
    <n v="31"/>
    <s v="Monday"/>
  </r>
  <r>
    <n v="159204523"/>
    <d v="2022-10-25T00:00:00"/>
    <s v="Active"/>
    <x v="0"/>
    <n v="39"/>
    <s v="month"/>
    <s v="Active"/>
    <s v="Tuesday"/>
  </r>
  <r>
    <n v="159236268"/>
    <d v="2022-10-25T00:00:00"/>
    <s v="Active"/>
    <x v="1"/>
    <n v="39"/>
    <s v="month"/>
    <s v="Active"/>
    <s v="Tuesday"/>
  </r>
  <r>
    <n v="159256553"/>
    <d v="2022-10-25T00:00:00"/>
    <d v="2023-01-10T00:00:00"/>
    <x v="0"/>
    <n v="39"/>
    <s v="month"/>
    <n v="77"/>
    <s v="Tuesday"/>
  </r>
  <r>
    <n v="159211568"/>
    <d v="2022-10-25T00:00:00"/>
    <d v="2023-01-02T00:00:00"/>
    <x v="0"/>
    <n v="39"/>
    <s v="month"/>
    <n v="69"/>
    <s v="Tuesday"/>
  </r>
  <r>
    <n v="154778395"/>
    <d v="2022-10-25T00:00:00"/>
    <d v="2022-11-28T00:00:00"/>
    <x v="0"/>
    <n v="39"/>
    <s v="month"/>
    <n v="34"/>
    <s v="Tuesday"/>
  </r>
  <r>
    <n v="157961180"/>
    <d v="2022-10-25T00:00:00"/>
    <d v="2022-11-24T00:00:00"/>
    <x v="0"/>
    <n v="39"/>
    <s v="month"/>
    <n v="30"/>
    <s v="Tuesday"/>
  </r>
  <r>
    <n v="159281338"/>
    <d v="2022-10-26T00:00:00"/>
    <s v="Active"/>
    <x v="0"/>
    <n v="39"/>
    <s v="month"/>
    <s v="Active"/>
    <s v="Wednesday"/>
  </r>
  <r>
    <n v="159364232"/>
    <d v="2022-10-26T00:00:00"/>
    <s v="Active"/>
    <x v="0"/>
    <n v="39"/>
    <s v="month"/>
    <s v="Active"/>
    <s v="Wednesday"/>
  </r>
  <r>
    <n v="159276280"/>
    <d v="2022-10-26T00:00:00"/>
    <s v="Active"/>
    <x v="0"/>
    <n v="39"/>
    <s v="month"/>
    <s v="Active"/>
    <s v="Wednesday"/>
  </r>
  <r>
    <n v="159326830"/>
    <d v="2022-10-26T00:00:00"/>
    <d v="2022-10-27T00:00:00"/>
    <x v="0"/>
    <n v="39"/>
    <s v="month"/>
    <n v="1"/>
    <s v="Wednesday"/>
  </r>
  <r>
    <n v="158144924"/>
    <d v="2022-10-26T00:00:00"/>
    <d v="2023-02-23T00:00:00"/>
    <x v="0"/>
    <n v="39"/>
    <s v="month"/>
    <n v="120"/>
    <s v="Wednesday"/>
  </r>
  <r>
    <n v="159239867"/>
    <d v="2022-10-26T00:00:00"/>
    <d v="2022-12-15T00:00:00"/>
    <x v="0"/>
    <n v="39"/>
    <s v="month"/>
    <n v="50"/>
    <s v="Wednesday"/>
  </r>
  <r>
    <n v="159108970"/>
    <d v="2022-10-26T00:00:00"/>
    <d v="2022-12-20T00:00:00"/>
    <x v="0"/>
    <n v="39"/>
    <s v="month"/>
    <n v="55"/>
    <s v="Wednesday"/>
  </r>
  <r>
    <n v="158644133"/>
    <d v="2022-10-26T00:00:00"/>
    <d v="2022-11-26T00:00:00"/>
    <x v="0"/>
    <n v="39"/>
    <s v="month"/>
    <n v="31"/>
    <s v="Wednesday"/>
  </r>
  <r>
    <n v="153830193"/>
    <d v="2022-10-26T00:00:00"/>
    <d v="2022-10-27T00:00:00"/>
    <x v="0"/>
    <n v="39"/>
    <s v="month"/>
    <n v="1"/>
    <s v="Wednesday"/>
  </r>
  <r>
    <n v="159664292"/>
    <d v="2022-10-27T00:00:00"/>
    <s v="Active"/>
    <x v="0"/>
    <n v="39"/>
    <s v="month"/>
    <s v="Active"/>
    <s v="Thursday"/>
  </r>
  <r>
    <n v="152937944"/>
    <d v="2022-10-27T00:00:00"/>
    <d v="2022-10-28T00:00:00"/>
    <x v="1"/>
    <n v="39"/>
    <s v="month"/>
    <n v="1"/>
    <s v="Thursday"/>
  </r>
  <r>
    <n v="159446393"/>
    <d v="2022-10-27T00:00:00"/>
    <d v="2023-04-19T00:00:00"/>
    <x v="0"/>
    <n v="39"/>
    <s v="month"/>
    <n v="174"/>
    <s v="Thursday"/>
  </r>
  <r>
    <n v="156837717"/>
    <d v="2022-10-27T00:00:00"/>
    <d v="2023-06-11T00:00:00"/>
    <x v="0"/>
    <n v="39"/>
    <s v="month"/>
    <n v="227"/>
    <s v="Thursday"/>
  </r>
  <r>
    <n v="149000400"/>
    <d v="2022-10-27T00:00:00"/>
    <d v="2023-02-26T00:00:00"/>
    <x v="0"/>
    <n v="39"/>
    <s v="month"/>
    <n v="122"/>
    <s v="Thursday"/>
  </r>
  <r>
    <n v="157923615"/>
    <d v="2022-10-27T00:00:00"/>
    <d v="2023-01-03T00:00:00"/>
    <x v="0"/>
    <n v="39"/>
    <s v="month"/>
    <n v="68"/>
    <s v="Thursday"/>
  </r>
  <r>
    <n v="159699736"/>
    <d v="2022-10-27T00:00:00"/>
    <d v="2022-11-25T00:00:00"/>
    <x v="0"/>
    <n v="39"/>
    <s v="month"/>
    <n v="29"/>
    <s v="Thursday"/>
  </r>
  <r>
    <n v="150816815"/>
    <d v="2022-10-27T00:00:00"/>
    <d v="2022-11-16T00:00:00"/>
    <x v="0"/>
    <n v="39"/>
    <s v="month"/>
    <n v="20"/>
    <s v="Thursday"/>
  </r>
  <r>
    <n v="159634168"/>
    <d v="2022-10-27T00:00:00"/>
    <d v="2023-06-30T00:00:00"/>
    <x v="0"/>
    <n v="39"/>
    <s v="month"/>
    <n v="246"/>
    <s v="Thursday"/>
  </r>
  <r>
    <n v="158114418"/>
    <d v="2022-10-28T00:00:00"/>
    <s v="Active"/>
    <x v="0"/>
    <n v="39"/>
    <s v="month"/>
    <s v="Active"/>
    <s v="Friday"/>
  </r>
  <r>
    <n v="159706104"/>
    <d v="2022-10-28T00:00:00"/>
    <s v="Active"/>
    <x v="0"/>
    <n v="39"/>
    <s v="month"/>
    <s v="Active"/>
    <s v="Friday"/>
  </r>
  <r>
    <n v="150704581"/>
    <d v="2022-10-28T00:00:00"/>
    <d v="2023-05-10T00:00:00"/>
    <x v="0"/>
    <n v="39"/>
    <s v="month"/>
    <n v="194"/>
    <s v="Friday"/>
  </r>
  <r>
    <n v="159733207"/>
    <d v="2022-10-28T00:00:00"/>
    <d v="2023-02-27T00:00:00"/>
    <x v="0"/>
    <n v="39"/>
    <s v="month"/>
    <n v="122"/>
    <s v="Friday"/>
  </r>
  <r>
    <n v="159775056"/>
    <d v="2022-10-28T00:00:00"/>
    <d v="2023-03-31T00:00:00"/>
    <x v="0"/>
    <n v="39"/>
    <s v="month"/>
    <n v="154"/>
    <s v="Friday"/>
  </r>
  <r>
    <n v="144328609"/>
    <d v="2022-10-28T00:00:00"/>
    <d v="2022-12-25T00:00:00"/>
    <x v="0"/>
    <n v="39"/>
    <s v="month"/>
    <n v="58"/>
    <s v="Friday"/>
  </r>
  <r>
    <n v="153172687"/>
    <d v="2022-10-28T00:00:00"/>
    <d v="2023-08-21T00:00:00"/>
    <x v="0"/>
    <n v="39"/>
    <s v="month"/>
    <n v="297"/>
    <s v="Friday"/>
  </r>
  <r>
    <n v="159861170"/>
    <d v="2022-10-29T00:00:00"/>
    <s v="Active"/>
    <x v="0"/>
    <n v="39"/>
    <s v="month"/>
    <s v="Active"/>
    <s v="Saturday"/>
  </r>
  <r>
    <n v="133474642"/>
    <d v="2022-10-29T00:00:00"/>
    <d v="2022-12-20T00:00:00"/>
    <x v="0"/>
    <n v="39"/>
    <s v="month"/>
    <n v="52"/>
    <s v="Saturday"/>
  </r>
  <r>
    <n v="159817608"/>
    <d v="2022-10-29T00:00:00"/>
    <d v="2023-03-23T00:00:00"/>
    <x v="0"/>
    <n v="39"/>
    <s v="month"/>
    <n v="145"/>
    <s v="Saturday"/>
  </r>
  <r>
    <n v="159867686"/>
    <d v="2022-10-29T00:00:00"/>
    <d v="2023-01-05T00:00:00"/>
    <x v="0"/>
    <n v="39"/>
    <s v="month"/>
    <n v="68"/>
    <s v="Saturday"/>
  </r>
  <r>
    <n v="158484064"/>
    <d v="2022-10-29T00:00:00"/>
    <d v="2023-01-05T00:00:00"/>
    <x v="0"/>
    <n v="39"/>
    <s v="month"/>
    <n v="68"/>
    <s v="Saturday"/>
  </r>
  <r>
    <n v="159829834"/>
    <d v="2022-10-30T00:00:00"/>
    <s v="Active"/>
    <x v="0"/>
    <n v="39"/>
    <s v="month"/>
    <s v="Active"/>
    <s v="Sunday"/>
  </r>
  <r>
    <n v="159875790"/>
    <d v="2022-10-30T00:00:00"/>
    <d v="2023-03-07T00:00:00"/>
    <x v="0"/>
    <n v="39"/>
    <s v="month"/>
    <n v="128"/>
    <s v="Sunday"/>
  </r>
  <r>
    <n v="155520280"/>
    <d v="2022-10-30T00:00:00"/>
    <d v="2022-12-07T00:00:00"/>
    <x v="0"/>
    <n v="39"/>
    <s v="month"/>
    <n v="38"/>
    <s v="Sunday"/>
  </r>
  <r>
    <n v="159783942"/>
    <d v="2022-10-30T00:00:00"/>
    <d v="2022-12-28T00:00:00"/>
    <x v="0"/>
    <n v="39"/>
    <s v="month"/>
    <n v="59"/>
    <s v="Sunday"/>
  </r>
  <r>
    <n v="149696432"/>
    <d v="2022-10-30T00:00:00"/>
    <d v="2022-11-26T00:00:00"/>
    <x v="0"/>
    <n v="39"/>
    <s v="month"/>
    <n v="27"/>
    <s v="Sunday"/>
  </r>
  <r>
    <n v="159979372"/>
    <d v="2022-10-31T00:00:00"/>
    <s v="Active"/>
    <x v="0"/>
    <n v="39"/>
    <s v="month"/>
    <s v="Active"/>
    <s v="Monday"/>
  </r>
  <r>
    <n v="153814649"/>
    <d v="2022-10-31T00:00:00"/>
    <s v="Active"/>
    <x v="0"/>
    <n v="39"/>
    <s v="month"/>
    <s v="Active"/>
    <s v="Monday"/>
  </r>
  <r>
    <n v="159931469"/>
    <d v="2022-10-31T00:00:00"/>
    <s v="Active"/>
    <x v="0"/>
    <n v="39"/>
    <s v="month"/>
    <s v="Active"/>
    <s v="Monday"/>
  </r>
  <r>
    <n v="138061210"/>
    <d v="2022-10-31T00:00:00"/>
    <d v="2022-10-31T00:00:00"/>
    <x v="0"/>
    <n v="39"/>
    <s v="month"/>
    <n v="0"/>
    <s v="Monday"/>
  </r>
  <r>
    <n v="141403460"/>
    <d v="2022-10-31T00:00:00"/>
    <d v="2023-01-16T00:00:00"/>
    <x v="0"/>
    <n v="39"/>
    <s v="month"/>
    <n v="77"/>
    <s v="Monday"/>
  </r>
  <r>
    <n v="159991922"/>
    <d v="2022-10-31T00:00:00"/>
    <d v="2022-12-17T00:00:00"/>
    <x v="0"/>
    <n v="39"/>
    <s v="month"/>
    <n v="47"/>
    <s v="Monday"/>
  </r>
  <r>
    <n v="159241648"/>
    <d v="2022-10-31T00:00:00"/>
    <d v="2022-12-14T00:00:00"/>
    <x v="0"/>
    <n v="39"/>
    <s v="month"/>
    <n v="44"/>
    <s v="Monday"/>
  </r>
  <r>
    <n v="150703411"/>
    <d v="2022-10-31T00:00:00"/>
    <d v="2022-12-01T00:00:00"/>
    <x v="0"/>
    <n v="39"/>
    <s v="month"/>
    <n v="31"/>
    <s v="Monday"/>
  </r>
  <r>
    <n v="159773641"/>
    <d v="2022-10-31T00:00:00"/>
    <d v="2022-11-15T00:00:00"/>
    <x v="0"/>
    <n v="39"/>
    <s v="month"/>
    <n v="15"/>
    <s v="Monday"/>
  </r>
  <r>
    <n v="128002797"/>
    <d v="2022-10-31T00:00:00"/>
    <d v="2022-11-30T00:00:00"/>
    <x v="0"/>
    <n v="39"/>
    <s v="month"/>
    <n v="30"/>
    <s v="Monday"/>
  </r>
  <r>
    <n v="155807489"/>
    <d v="2022-11-01T00:00:00"/>
    <d v="2022-11-02T00:00:00"/>
    <x v="1"/>
    <n v="39"/>
    <s v="month"/>
    <n v="1"/>
    <s v="Tuesday"/>
  </r>
  <r>
    <n v="143077712"/>
    <d v="2022-11-01T00:00:00"/>
    <d v="2022-11-02T00:00:00"/>
    <x v="1"/>
    <n v="39"/>
    <s v="month"/>
    <n v="1"/>
    <s v="Tuesday"/>
  </r>
  <r>
    <n v="159745646"/>
    <d v="2022-11-01T00:00:00"/>
    <d v="2023-04-14T00:00:00"/>
    <x v="0"/>
    <n v="39"/>
    <s v="month"/>
    <n v="164"/>
    <s v="Tuesday"/>
  </r>
  <r>
    <n v="139004918"/>
    <d v="2022-11-01T00:00:00"/>
    <d v="2022-12-01T00:00:00"/>
    <x v="0"/>
    <n v="39"/>
    <s v="month"/>
    <n v="30"/>
    <s v="Tuesday"/>
  </r>
  <r>
    <n v="153255183"/>
    <d v="2022-11-01T00:00:00"/>
    <d v="2023-02-16T00:00:00"/>
    <x v="0"/>
    <n v="39"/>
    <s v="month"/>
    <n v="107"/>
    <s v="Tuesday"/>
  </r>
  <r>
    <n v="157708746"/>
    <d v="2022-11-01T00:00:00"/>
    <d v="2023-01-31T00:00:00"/>
    <x v="0"/>
    <n v="39"/>
    <s v="month"/>
    <n v="91"/>
    <s v="Tuesday"/>
  </r>
  <r>
    <n v="155652993"/>
    <d v="2022-11-01T00:00:00"/>
    <d v="2023-01-08T00:00:00"/>
    <x v="0"/>
    <n v="39"/>
    <s v="month"/>
    <n v="68"/>
    <s v="Tuesday"/>
  </r>
  <r>
    <n v="159977918"/>
    <d v="2022-11-01T00:00:00"/>
    <d v="2023-01-24T00:00:00"/>
    <x v="0"/>
    <n v="39"/>
    <s v="month"/>
    <n v="84"/>
    <s v="Tuesday"/>
  </r>
  <r>
    <n v="160108159"/>
    <d v="2022-11-01T00:00:00"/>
    <d v="2022-12-04T00:00:00"/>
    <x v="0"/>
    <n v="39"/>
    <s v="month"/>
    <n v="33"/>
    <s v="Tuesday"/>
  </r>
  <r>
    <n v="160051910"/>
    <d v="2022-11-01T00:00:00"/>
    <d v="2022-11-09T00:00:00"/>
    <x v="0"/>
    <n v="39"/>
    <s v="month"/>
    <n v="8"/>
    <s v="Tuesday"/>
  </r>
  <r>
    <n v="146169043"/>
    <d v="2022-11-01T00:00:00"/>
    <d v="2023-08-10T00:00:00"/>
    <x v="0"/>
    <n v="39"/>
    <s v="month"/>
    <n v="282"/>
    <s v="Tuesday"/>
  </r>
  <r>
    <n v="159927090"/>
    <d v="2022-11-02T00:00:00"/>
    <s v="Active"/>
    <x v="0"/>
    <n v="39"/>
    <s v="month"/>
    <s v="Active"/>
    <s v="Wednesday"/>
  </r>
  <r>
    <n v="149188028"/>
    <d v="2022-11-02T00:00:00"/>
    <s v="Active"/>
    <x v="0"/>
    <n v="39"/>
    <s v="month"/>
    <s v="Active"/>
    <s v="Wednesday"/>
  </r>
  <r>
    <n v="138535334"/>
    <d v="2022-11-02T00:00:00"/>
    <d v="2022-12-15T00:00:00"/>
    <x v="0"/>
    <n v="39"/>
    <s v="month"/>
    <n v="43"/>
    <s v="Wednesday"/>
  </r>
  <r>
    <n v="159901871"/>
    <d v="2022-11-02T00:00:00"/>
    <d v="2022-12-09T00:00:00"/>
    <x v="0"/>
    <n v="39"/>
    <s v="month"/>
    <n v="37"/>
    <s v="Wednesday"/>
  </r>
  <r>
    <n v="159620660"/>
    <d v="2022-11-02T00:00:00"/>
    <d v="2022-12-12T00:00:00"/>
    <x v="0"/>
    <n v="39"/>
    <s v="month"/>
    <n v="40"/>
    <s v="Wednesday"/>
  </r>
  <r>
    <n v="160199525"/>
    <d v="2022-11-02T00:00:00"/>
    <d v="2022-11-23T00:00:00"/>
    <x v="0"/>
    <n v="39"/>
    <s v="month"/>
    <n v="21"/>
    <s v="Wednesday"/>
  </r>
  <r>
    <n v="160183686"/>
    <d v="2022-11-03T00:00:00"/>
    <d v="2022-11-04T00:00:00"/>
    <x v="1"/>
    <n v="39"/>
    <s v="month"/>
    <n v="1"/>
    <s v="Thursday"/>
  </r>
  <r>
    <n v="152504354"/>
    <d v="2022-11-03T00:00:00"/>
    <d v="2023-03-03T00:00:00"/>
    <x v="0"/>
    <n v="39"/>
    <s v="month"/>
    <n v="120"/>
    <s v="Thursday"/>
  </r>
  <r>
    <n v="143164854"/>
    <d v="2022-11-03T00:00:00"/>
    <d v="2023-02-18T00:00:00"/>
    <x v="0"/>
    <n v="39"/>
    <s v="month"/>
    <n v="107"/>
    <s v="Thursday"/>
  </r>
  <r>
    <n v="160366020"/>
    <d v="2022-11-03T00:00:00"/>
    <d v="2022-12-03T00:00:00"/>
    <x v="0"/>
    <n v="39"/>
    <s v="month"/>
    <n v="30"/>
    <s v="Thursday"/>
  </r>
  <r>
    <n v="160298168"/>
    <d v="2022-11-03T00:00:00"/>
    <d v="2022-12-02T00:00:00"/>
    <x v="0"/>
    <n v="39"/>
    <s v="month"/>
    <n v="29"/>
    <s v="Thursday"/>
  </r>
  <r>
    <n v="160243008"/>
    <d v="2022-11-03T00:00:00"/>
    <d v="2022-12-29T00:00:00"/>
    <x v="0"/>
    <n v="39"/>
    <s v="month"/>
    <n v="56"/>
    <s v="Thursday"/>
  </r>
  <r>
    <n v="150878120"/>
    <d v="2022-11-03T00:00:00"/>
    <d v="2022-12-10T00:00:00"/>
    <x v="0"/>
    <n v="39"/>
    <s v="month"/>
    <n v="37"/>
    <s v="Thursday"/>
  </r>
  <r>
    <n v="160208723"/>
    <d v="2022-11-04T00:00:00"/>
    <s v="Active"/>
    <x v="0"/>
    <n v="39"/>
    <s v="month"/>
    <s v="Active"/>
    <s v="Friday"/>
  </r>
  <r>
    <n v="153539322"/>
    <d v="2022-11-04T00:00:00"/>
    <d v="2023-02-07T00:00:00"/>
    <x v="0"/>
    <n v="39"/>
    <s v="month"/>
    <n v="95"/>
    <s v="Friday"/>
  </r>
  <r>
    <n v="160164472"/>
    <d v="2022-11-04T00:00:00"/>
    <d v="2023-02-24T00:00:00"/>
    <x v="0"/>
    <n v="39"/>
    <s v="month"/>
    <n v="112"/>
    <s v="Friday"/>
  </r>
  <r>
    <n v="160193644"/>
    <d v="2022-11-04T00:00:00"/>
    <d v="2023-01-11T00:00:00"/>
    <x v="0"/>
    <n v="39"/>
    <s v="month"/>
    <n v="68"/>
    <s v="Friday"/>
  </r>
  <r>
    <n v="156294098"/>
    <d v="2022-11-04T00:00:00"/>
    <d v="2022-12-03T00:00:00"/>
    <x v="0"/>
    <n v="39"/>
    <s v="month"/>
    <n v="29"/>
    <s v="Friday"/>
  </r>
  <r>
    <n v="146625866"/>
    <d v="2022-11-04T00:00:00"/>
    <d v="2022-11-19T00:00:00"/>
    <x v="0"/>
    <n v="39"/>
    <s v="month"/>
    <n v="15"/>
    <s v="Friday"/>
  </r>
  <r>
    <n v="157663870"/>
    <d v="2022-11-05T00:00:00"/>
    <d v="2022-11-06T00:00:00"/>
    <x v="0"/>
    <n v="39"/>
    <s v="month"/>
    <n v="1"/>
    <s v="Saturday"/>
  </r>
  <r>
    <n v="159679042"/>
    <d v="2022-11-05T00:00:00"/>
    <d v="2022-11-06T00:00:00"/>
    <x v="1"/>
    <n v="39"/>
    <s v="month"/>
    <n v="1"/>
    <s v="Saturday"/>
  </r>
  <r>
    <n v="160558904"/>
    <d v="2022-11-05T00:00:00"/>
    <d v="2023-01-24T00:00:00"/>
    <x v="0"/>
    <n v="39"/>
    <s v="month"/>
    <n v="80"/>
    <s v="Saturday"/>
  </r>
  <r>
    <n v="127836197"/>
    <d v="2022-11-05T00:00:00"/>
    <d v="2022-11-05T00:00:00"/>
    <x v="0"/>
    <n v="39"/>
    <s v="month"/>
    <n v="0"/>
    <s v="Saturday"/>
  </r>
  <r>
    <n v="155334332"/>
    <d v="2022-11-05T00:00:00"/>
    <d v="2022-12-04T00:00:00"/>
    <x v="0"/>
    <n v="39"/>
    <s v="month"/>
    <n v="29"/>
    <s v="Saturday"/>
  </r>
  <r>
    <n v="160523170"/>
    <d v="2022-11-05T00:00:00"/>
    <d v="2022-12-12T00:00:00"/>
    <x v="0"/>
    <n v="39"/>
    <s v="month"/>
    <n v="37"/>
    <s v="Saturday"/>
  </r>
  <r>
    <n v="156907890"/>
    <d v="2022-11-05T00:00:00"/>
    <d v="2022-11-05T00:00:00"/>
    <x v="0"/>
    <n v="39"/>
    <s v="month"/>
    <n v="0"/>
    <s v="Saturday"/>
  </r>
  <r>
    <n v="160608516"/>
    <d v="2022-11-05T00:00:00"/>
    <d v="2023-08-03T00:00:00"/>
    <x v="0"/>
    <n v="39"/>
    <s v="month"/>
    <n v="271"/>
    <s v="Saturday"/>
  </r>
  <r>
    <n v="113181220"/>
    <d v="2022-11-05T00:00:00"/>
    <d v="2023-07-23T00:00:00"/>
    <x v="0"/>
    <n v="39"/>
    <s v="month"/>
    <n v="260"/>
    <s v="Saturday"/>
  </r>
  <r>
    <n v="159790393"/>
    <d v="2022-11-06T00:00:00"/>
    <d v="2023-02-13T00:00:00"/>
    <x v="0"/>
    <n v="39"/>
    <s v="month"/>
    <n v="99"/>
    <s v="Sunday"/>
  </r>
  <r>
    <n v="147813476"/>
    <d v="2022-11-06T00:00:00"/>
    <d v="2023-01-27T00:00:00"/>
    <x v="0"/>
    <n v="39"/>
    <s v="month"/>
    <n v="82"/>
    <s v="Sunday"/>
  </r>
  <r>
    <n v="156078158"/>
    <d v="2022-11-06T00:00:00"/>
    <d v="2023-01-25T00:00:00"/>
    <x v="0"/>
    <n v="39"/>
    <s v="month"/>
    <n v="80"/>
    <s v="Sunday"/>
  </r>
  <r>
    <n v="154879898"/>
    <d v="2022-11-06T00:00:00"/>
    <d v="2022-11-17T00:00:00"/>
    <x v="0"/>
    <n v="39"/>
    <s v="month"/>
    <n v="11"/>
    <s v="Sunday"/>
  </r>
  <r>
    <n v="136157937"/>
    <d v="2022-11-06T00:00:00"/>
    <d v="2022-12-13T00:00:00"/>
    <x v="0"/>
    <n v="39"/>
    <s v="month"/>
    <n v="37"/>
    <s v="Sunday"/>
  </r>
  <r>
    <n v="160176868"/>
    <d v="2022-11-06T00:00:00"/>
    <d v="2022-12-01T00:00:00"/>
    <x v="0"/>
    <n v="39"/>
    <s v="month"/>
    <n v="25"/>
    <s v="Sunday"/>
  </r>
  <r>
    <n v="160622888"/>
    <d v="2022-11-06T00:00:00"/>
    <d v="2022-11-06T00:00:00"/>
    <x v="0"/>
    <n v="39"/>
    <s v="month"/>
    <n v="0"/>
    <s v="Sunday"/>
  </r>
  <r>
    <n v="158736659"/>
    <d v="2022-11-07T00:00:00"/>
    <s v="Active"/>
    <x v="0"/>
    <n v="39"/>
    <s v="month"/>
    <s v="Active"/>
    <s v="Monday"/>
  </r>
  <r>
    <n v="160813660"/>
    <d v="2022-11-07T00:00:00"/>
    <s v="Active"/>
    <x v="0"/>
    <n v="39"/>
    <s v="month"/>
    <s v="Active"/>
    <s v="Monday"/>
  </r>
  <r>
    <n v="158524240"/>
    <d v="2022-11-07T00:00:00"/>
    <s v="Active"/>
    <x v="0"/>
    <n v="39"/>
    <s v="month"/>
    <s v="Active"/>
    <s v="Monday"/>
  </r>
  <r>
    <n v="160702738"/>
    <d v="2022-11-07T00:00:00"/>
    <s v="Active"/>
    <x v="0"/>
    <n v="39"/>
    <s v="month"/>
    <s v="Active"/>
    <s v="Monday"/>
  </r>
  <r>
    <n v="138919619"/>
    <d v="2022-11-07T00:00:00"/>
    <d v="2022-12-06T00:00:00"/>
    <x v="0"/>
    <n v="39"/>
    <s v="month"/>
    <n v="29"/>
    <s v="Monday"/>
  </r>
  <r>
    <n v="121571816"/>
    <d v="2022-11-07T00:00:00"/>
    <d v="2023-03-26T00:00:00"/>
    <x v="0"/>
    <n v="39"/>
    <s v="month"/>
    <n v="139"/>
    <s v="Monday"/>
  </r>
  <r>
    <n v="160623955"/>
    <d v="2022-11-07T00:00:00"/>
    <d v="2023-07-05T00:00:00"/>
    <x v="0"/>
    <n v="39"/>
    <s v="month"/>
    <n v="240"/>
    <s v="Monday"/>
  </r>
  <r>
    <n v="160010850"/>
    <d v="2022-11-07T00:00:00"/>
    <d v="2023-03-09T00:00:00"/>
    <x v="0"/>
    <n v="39"/>
    <s v="month"/>
    <n v="122"/>
    <s v="Monday"/>
  </r>
  <r>
    <n v="160823268"/>
    <d v="2022-11-07T00:00:00"/>
    <d v="2023-02-06T00:00:00"/>
    <x v="0"/>
    <n v="39"/>
    <s v="month"/>
    <n v="91"/>
    <s v="Monday"/>
  </r>
  <r>
    <n v="158992873"/>
    <d v="2022-11-07T00:00:00"/>
    <d v="2023-02-14T00:00:00"/>
    <x v="0"/>
    <n v="39"/>
    <s v="month"/>
    <n v="99"/>
    <s v="Monday"/>
  </r>
  <r>
    <n v="159878556"/>
    <d v="2022-11-07T00:00:00"/>
    <d v="2022-12-07T00:00:00"/>
    <x v="0"/>
    <n v="39"/>
    <s v="month"/>
    <n v="30"/>
    <s v="Monday"/>
  </r>
  <r>
    <n v="160833652"/>
    <d v="2022-11-07T00:00:00"/>
    <d v="2022-12-14T00:00:00"/>
    <x v="0"/>
    <n v="39"/>
    <s v="month"/>
    <n v="37"/>
    <s v="Monday"/>
  </r>
  <r>
    <n v="157663870"/>
    <d v="2022-11-07T00:00:00"/>
    <d v="2022-12-08T00:00:00"/>
    <x v="0"/>
    <n v="39"/>
    <s v="month"/>
    <n v="31"/>
    <s v="Monday"/>
  </r>
  <r>
    <n v="160615413"/>
    <d v="2022-11-07T00:00:00"/>
    <d v="2022-12-25T00:00:00"/>
    <x v="0"/>
    <n v="39"/>
    <s v="month"/>
    <n v="48"/>
    <s v="Monday"/>
  </r>
  <r>
    <n v="156207052"/>
    <d v="2022-11-07T00:00:00"/>
    <d v="2022-12-04T00:00:00"/>
    <x v="0"/>
    <n v="39"/>
    <s v="month"/>
    <n v="27"/>
    <s v="Monday"/>
  </r>
  <r>
    <n v="160103792"/>
    <d v="2022-11-07T00:00:00"/>
    <d v="2022-11-07T00:00:00"/>
    <x v="0"/>
    <n v="39"/>
    <s v="month"/>
    <n v="0"/>
    <s v="Monday"/>
  </r>
  <r>
    <n v="160969302"/>
    <d v="2022-11-09T00:00:00"/>
    <d v="2023-08-30T00:00:00"/>
    <x v="0"/>
    <n v="39"/>
    <s v="month"/>
    <n v="294"/>
    <s v="Wednesday"/>
  </r>
  <r>
    <n v="149648746"/>
    <d v="2022-11-09T00:00:00"/>
    <d v="2023-06-02T00:00:00"/>
    <x v="0"/>
    <n v="39"/>
    <s v="month"/>
    <n v="205"/>
    <s v="Wednesday"/>
  </r>
  <r>
    <n v="155643390"/>
    <d v="2022-11-09T00:00:00"/>
    <d v="2023-03-31T00:00:00"/>
    <x v="0"/>
    <n v="39"/>
    <s v="month"/>
    <n v="142"/>
    <s v="Wednesday"/>
  </r>
  <r>
    <n v="119294384"/>
    <d v="2022-11-09T00:00:00"/>
    <d v="2023-03-02T00:00:00"/>
    <x v="0"/>
    <n v="39"/>
    <s v="month"/>
    <n v="113"/>
    <s v="Wednesday"/>
  </r>
  <r>
    <n v="160171541"/>
    <d v="2022-11-09T00:00:00"/>
    <d v="2023-01-03T00:00:00"/>
    <x v="0"/>
    <n v="39"/>
    <s v="month"/>
    <n v="55"/>
    <s v="Wednesday"/>
  </r>
  <r>
    <n v="150569213"/>
    <d v="2022-11-09T00:00:00"/>
    <d v="2022-12-16T00:00:00"/>
    <x v="0"/>
    <n v="39"/>
    <s v="month"/>
    <n v="37"/>
    <s v="Wednesday"/>
  </r>
  <r>
    <n v="156710028"/>
    <d v="2022-11-10T00:00:00"/>
    <d v="2023-03-07T00:00:00"/>
    <x v="0"/>
    <n v="39"/>
    <s v="month"/>
    <n v="117"/>
    <s v="Thursday"/>
  </r>
  <r>
    <n v="157670310"/>
    <d v="2022-11-10T00:00:00"/>
    <d v="2023-02-01T00:00:00"/>
    <x v="0"/>
    <n v="39"/>
    <s v="month"/>
    <n v="83"/>
    <s v="Thursday"/>
  </r>
  <r>
    <n v="157091067"/>
    <d v="2022-11-10T00:00:00"/>
    <d v="2023-02-12T00:00:00"/>
    <x v="0"/>
    <n v="39"/>
    <s v="month"/>
    <n v="94"/>
    <s v="Thursday"/>
  </r>
  <r>
    <n v="159639128"/>
    <d v="2022-11-10T00:00:00"/>
    <d v="2022-11-10T00:00:00"/>
    <x v="0"/>
    <n v="39"/>
    <s v="month"/>
    <n v="0"/>
    <s v="Thursday"/>
  </r>
  <r>
    <n v="149728468"/>
    <d v="2022-11-11T00:00:00"/>
    <d v="2022-11-12T00:00:00"/>
    <x v="0"/>
    <n v="39"/>
    <s v="month"/>
    <n v="1"/>
    <s v="Friday"/>
  </r>
  <r>
    <n v="160714172"/>
    <d v="2022-11-11T00:00:00"/>
    <d v="2022-12-31T00:00:00"/>
    <x v="0"/>
    <n v="39"/>
    <s v="month"/>
    <n v="50"/>
    <s v="Friday"/>
  </r>
  <r>
    <n v="161464205"/>
    <d v="2022-11-11T00:00:00"/>
    <d v="2022-12-16T00:00:00"/>
    <x v="0"/>
    <n v="39"/>
    <s v="month"/>
    <n v="35"/>
    <s v="Friday"/>
  </r>
  <r>
    <n v="141084753"/>
    <d v="2022-11-12T00:00:00"/>
    <d v="2023-04-19T00:00:00"/>
    <x v="0"/>
    <n v="39"/>
    <s v="month"/>
    <n v="158"/>
    <s v="Saturday"/>
  </r>
  <r>
    <n v="161768948"/>
    <d v="2022-11-12T00:00:00"/>
    <d v="2023-04-05T00:00:00"/>
    <x v="0"/>
    <n v="39"/>
    <s v="month"/>
    <n v="144"/>
    <s v="Saturday"/>
  </r>
  <r>
    <n v="161692109"/>
    <d v="2022-11-12T00:00:00"/>
    <d v="2023-02-19T00:00:00"/>
    <x v="0"/>
    <n v="39"/>
    <s v="month"/>
    <n v="99"/>
    <s v="Saturday"/>
  </r>
  <r>
    <n v="161424706"/>
    <d v="2022-11-12T00:00:00"/>
    <d v="2022-12-09T00:00:00"/>
    <x v="0"/>
    <n v="39"/>
    <s v="month"/>
    <n v="27"/>
    <s v="Saturday"/>
  </r>
  <r>
    <n v="153186137"/>
    <d v="2022-11-12T00:00:00"/>
    <d v="2022-11-12T00:00:00"/>
    <x v="0"/>
    <n v="39"/>
    <s v="month"/>
    <n v="0"/>
    <s v="Saturday"/>
  </r>
  <r>
    <n v="158906669"/>
    <d v="2022-11-13T00:00:00"/>
    <d v="2023-02-12T00:00:00"/>
    <x v="0"/>
    <n v="39"/>
    <s v="month"/>
    <n v="91"/>
    <s v="Sunday"/>
  </r>
  <r>
    <n v="154085972"/>
    <d v="2022-11-13T00:00:00"/>
    <d v="2022-12-05T00:00:00"/>
    <x v="0"/>
    <n v="39"/>
    <s v="month"/>
    <n v="22"/>
    <s v="Sunday"/>
  </r>
  <r>
    <n v="162409676"/>
    <d v="2022-11-14T00:00:00"/>
    <s v="Active"/>
    <x v="0"/>
    <n v="39"/>
    <s v="month"/>
    <s v="Active"/>
    <s v="Monday"/>
  </r>
  <r>
    <n v="157438261"/>
    <d v="2022-11-14T00:00:00"/>
    <s v="Active"/>
    <x v="0"/>
    <n v="39"/>
    <s v="month"/>
    <s v="Active"/>
    <s v="Monday"/>
  </r>
  <r>
    <n v="132579012"/>
    <d v="2022-11-14T00:00:00"/>
    <d v="2023-03-14T00:00:00"/>
    <x v="0"/>
    <n v="39"/>
    <s v="month"/>
    <n v="120"/>
    <s v="Monday"/>
  </r>
  <r>
    <n v="129140042"/>
    <d v="2022-11-14T00:00:00"/>
    <d v="2023-02-09T00:00:00"/>
    <x v="0"/>
    <n v="39"/>
    <s v="month"/>
    <n v="87"/>
    <s v="Monday"/>
  </r>
  <r>
    <n v="147100996"/>
    <d v="2022-11-14T00:00:00"/>
    <d v="2023-01-15T00:00:00"/>
    <x v="0"/>
    <n v="39"/>
    <s v="month"/>
    <n v="62"/>
    <s v="Monday"/>
  </r>
  <r>
    <n v="158437198"/>
    <d v="2022-11-14T00:00:00"/>
    <d v="2023-03-26T00:00:00"/>
    <x v="0"/>
    <n v="39"/>
    <s v="month"/>
    <n v="132"/>
    <s v="Monday"/>
  </r>
  <r>
    <n v="162343403"/>
    <d v="2022-11-14T00:00:00"/>
    <d v="2023-03-16T00:00:00"/>
    <x v="0"/>
    <n v="39"/>
    <s v="month"/>
    <n v="122"/>
    <s v="Monday"/>
  </r>
  <r>
    <n v="162218672"/>
    <d v="2022-11-14T00:00:00"/>
    <d v="2023-03-09T00:00:00"/>
    <x v="0"/>
    <n v="39"/>
    <s v="month"/>
    <n v="115"/>
    <s v="Monday"/>
  </r>
  <r>
    <n v="120738319"/>
    <d v="2022-11-14T00:00:00"/>
    <d v="2023-04-03T00:00:00"/>
    <x v="0"/>
    <n v="39"/>
    <s v="month"/>
    <n v="140"/>
    <s v="Monday"/>
  </r>
  <r>
    <n v="162147786"/>
    <d v="2022-11-14T00:00:00"/>
    <d v="2023-04-14T00:00:00"/>
    <x v="0"/>
    <n v="39"/>
    <s v="month"/>
    <n v="151"/>
    <s v="Monday"/>
  </r>
  <r>
    <n v="153165084"/>
    <d v="2022-11-14T00:00:00"/>
    <d v="2023-02-08T00:00:00"/>
    <x v="0"/>
    <n v="39"/>
    <s v="month"/>
    <n v="86"/>
    <s v="Monday"/>
  </r>
  <r>
    <n v="161815335"/>
    <d v="2022-11-14T00:00:00"/>
    <d v="2023-02-19T00:00:00"/>
    <x v="0"/>
    <n v="39"/>
    <s v="month"/>
    <n v="97"/>
    <s v="Monday"/>
  </r>
  <r>
    <n v="162294529"/>
    <d v="2022-11-14T00:00:00"/>
    <d v="2023-02-07T00:00:00"/>
    <x v="0"/>
    <n v="39"/>
    <s v="month"/>
    <n v="85"/>
    <s v="Monday"/>
  </r>
  <r>
    <n v="162176080"/>
    <d v="2022-11-14T00:00:00"/>
    <d v="2023-02-05T00:00:00"/>
    <x v="0"/>
    <n v="39"/>
    <s v="month"/>
    <n v="83"/>
    <s v="Monday"/>
  </r>
  <r>
    <n v="162412232"/>
    <d v="2022-11-14T00:00:00"/>
    <d v="2022-12-21T00:00:00"/>
    <x v="0"/>
    <n v="39"/>
    <s v="month"/>
    <n v="37"/>
    <s v="Monday"/>
  </r>
  <r>
    <n v="158575772"/>
    <d v="2022-11-14T00:00:00"/>
    <d v="2022-12-16T00:00:00"/>
    <x v="0"/>
    <n v="39"/>
    <s v="month"/>
    <n v="32"/>
    <s v="Monday"/>
  </r>
  <r>
    <n v="162247173"/>
    <d v="2022-11-14T00:00:00"/>
    <d v="2022-12-11T00:00:00"/>
    <x v="0"/>
    <n v="39"/>
    <s v="month"/>
    <n v="27"/>
    <s v="Monday"/>
  </r>
  <r>
    <n v="153630282"/>
    <d v="2022-11-14T00:00:00"/>
    <d v="2022-12-08T00:00:00"/>
    <x v="0"/>
    <n v="39"/>
    <s v="month"/>
    <n v="24"/>
    <s v="Monday"/>
  </r>
  <r>
    <n v="156699431"/>
    <d v="2022-11-14T00:00:00"/>
    <d v="2022-11-23T00:00:00"/>
    <x v="0"/>
    <n v="39"/>
    <s v="month"/>
    <n v="9"/>
    <s v="Monday"/>
  </r>
  <r>
    <n v="148018000"/>
    <d v="2022-11-14T00:00:00"/>
    <d v="2023-08-01T00:00:00"/>
    <x v="0"/>
    <n v="39"/>
    <s v="month"/>
    <n v="260"/>
    <s v="Monday"/>
  </r>
  <r>
    <n v="161623906"/>
    <d v="2022-11-15T00:00:00"/>
    <s v="Active"/>
    <x v="0"/>
    <n v="39"/>
    <s v="month"/>
    <s v="Active"/>
    <s v="Tuesday"/>
  </r>
  <r>
    <n v="145664226"/>
    <d v="2022-11-15T00:00:00"/>
    <s v="Active"/>
    <x v="0"/>
    <n v="39"/>
    <s v="month"/>
    <s v="Active"/>
    <s v="Tuesday"/>
  </r>
  <r>
    <n v="162529715"/>
    <d v="2022-11-15T00:00:00"/>
    <d v="2023-03-22T00:00:00"/>
    <x v="0"/>
    <n v="39"/>
    <s v="month"/>
    <n v="127"/>
    <s v="Tuesday"/>
  </r>
  <r>
    <n v="162581284"/>
    <d v="2022-11-15T00:00:00"/>
    <d v="2022-12-11T00:00:00"/>
    <x v="0"/>
    <n v="39"/>
    <s v="month"/>
    <n v="26"/>
    <s v="Tuesday"/>
  </r>
  <r>
    <n v="152655443"/>
    <d v="2022-11-15T00:00:00"/>
    <d v="2023-01-24T00:00:00"/>
    <x v="0"/>
    <n v="39"/>
    <s v="month"/>
    <n v="70"/>
    <s v="Tuesday"/>
  </r>
  <r>
    <n v="162443327"/>
    <d v="2022-11-15T00:00:00"/>
    <d v="2023-01-12T00:00:00"/>
    <x v="0"/>
    <n v="39"/>
    <s v="month"/>
    <n v="58"/>
    <s v="Tuesday"/>
  </r>
  <r>
    <n v="148348600"/>
    <d v="2022-11-15T00:00:00"/>
    <d v="2022-12-13T00:00:00"/>
    <x v="0"/>
    <n v="39"/>
    <s v="month"/>
    <n v="28"/>
    <s v="Tuesday"/>
  </r>
  <r>
    <n v="162992590"/>
    <d v="2022-11-16T00:00:00"/>
    <s v="Active"/>
    <x v="0"/>
    <n v="39"/>
    <s v="month"/>
    <s v="Active"/>
    <s v="Wednesday"/>
  </r>
  <r>
    <n v="156633222"/>
    <d v="2022-11-16T00:00:00"/>
    <d v="2022-11-16T00:00:00"/>
    <x v="1"/>
    <n v="39"/>
    <s v="month"/>
    <n v="0"/>
    <s v="Wednesday"/>
  </r>
  <r>
    <n v="133595094"/>
    <d v="2022-11-16T00:00:00"/>
    <d v="2023-03-03T00:00:00"/>
    <x v="0"/>
    <n v="39"/>
    <s v="month"/>
    <n v="107"/>
    <s v="Wednesday"/>
  </r>
  <r>
    <n v="147770763"/>
    <d v="2022-11-16T00:00:00"/>
    <d v="2023-03-03T00:00:00"/>
    <x v="0"/>
    <n v="39"/>
    <s v="month"/>
    <n v="107"/>
    <s v="Wednesday"/>
  </r>
  <r>
    <n v="155370139"/>
    <d v="2022-11-16T00:00:00"/>
    <d v="2023-03-23T00:00:00"/>
    <x v="0"/>
    <n v="39"/>
    <s v="month"/>
    <n v="127"/>
    <s v="Wednesday"/>
  </r>
  <r>
    <n v="151890876"/>
    <d v="2022-11-16T00:00:00"/>
    <d v="2023-02-23T00:00:00"/>
    <x v="0"/>
    <n v="39"/>
    <s v="month"/>
    <n v="99"/>
    <s v="Wednesday"/>
  </r>
  <r>
    <n v="162920304"/>
    <d v="2022-11-16T00:00:00"/>
    <d v="2023-01-15T00:00:00"/>
    <x v="0"/>
    <n v="39"/>
    <s v="month"/>
    <n v="60"/>
    <s v="Wednesday"/>
  </r>
  <r>
    <n v="148838269"/>
    <d v="2022-11-16T00:00:00"/>
    <d v="2022-11-16T00:00:00"/>
    <x v="0"/>
    <n v="39"/>
    <s v="month"/>
    <n v="0"/>
    <s v="Wednesday"/>
  </r>
  <r>
    <n v="162913792"/>
    <d v="2022-11-16T00:00:00"/>
    <d v="2023-08-23T00:00:00"/>
    <x v="0"/>
    <n v="39"/>
    <s v="month"/>
    <n v="280"/>
    <s v="Wednesday"/>
  </r>
  <r>
    <n v="152316740"/>
    <d v="2022-11-17T00:00:00"/>
    <s v="Active"/>
    <x v="0"/>
    <n v="39"/>
    <s v="month"/>
    <s v="Active"/>
    <s v="Thursday"/>
  </r>
  <r>
    <n v="135480868"/>
    <d v="2022-11-17T00:00:00"/>
    <d v="2023-01-26T00:00:00"/>
    <x v="0"/>
    <n v="39"/>
    <s v="month"/>
    <n v="70"/>
    <s v="Thursday"/>
  </r>
  <r>
    <n v="136315690"/>
    <d v="2022-11-17T00:00:00"/>
    <d v="2023-02-24T00:00:00"/>
    <x v="0"/>
    <n v="39"/>
    <s v="month"/>
    <n v="99"/>
    <s v="Thursday"/>
  </r>
  <r>
    <n v="163224262"/>
    <d v="2022-11-17T00:00:00"/>
    <d v="2023-02-12T00:00:00"/>
    <x v="0"/>
    <n v="39"/>
    <s v="month"/>
    <n v="87"/>
    <s v="Thursday"/>
  </r>
  <r>
    <n v="163330072"/>
    <d v="2022-11-17T00:00:00"/>
    <d v="2023-01-24T00:00:00"/>
    <x v="0"/>
    <n v="39"/>
    <s v="month"/>
    <n v="68"/>
    <s v="Thursday"/>
  </r>
  <r>
    <n v="134646164"/>
    <d v="2022-11-17T00:00:00"/>
    <d v="2022-12-24T00:00:00"/>
    <x v="0"/>
    <n v="39"/>
    <s v="month"/>
    <n v="37"/>
    <s v="Thursday"/>
  </r>
  <r>
    <n v="163282336"/>
    <d v="2022-11-17T00:00:00"/>
    <d v="2023-08-10T00:00:00"/>
    <x v="0"/>
    <n v="39"/>
    <s v="month"/>
    <n v="266"/>
    <s v="Thursday"/>
  </r>
  <r>
    <n v="162490128"/>
    <d v="2022-11-18T00:00:00"/>
    <s v="Active"/>
    <x v="0"/>
    <n v="39"/>
    <s v="month"/>
    <s v="Active"/>
    <s v="Friday"/>
  </r>
  <r>
    <n v="147122277"/>
    <d v="2022-11-18T00:00:00"/>
    <d v="2022-11-19T00:00:00"/>
    <x v="1"/>
    <n v="39"/>
    <s v="month"/>
    <n v="1"/>
    <s v="Friday"/>
  </r>
  <r>
    <n v="163623375"/>
    <d v="2022-11-18T00:00:00"/>
    <d v="2022-11-19T00:00:00"/>
    <x v="1"/>
    <n v="39"/>
    <s v="month"/>
    <n v="1"/>
    <s v="Friday"/>
  </r>
  <r>
    <n v="132918654"/>
    <d v="2022-11-18T00:00:00"/>
    <d v="2023-01-18T00:00:00"/>
    <x v="0"/>
    <n v="39"/>
    <s v="month"/>
    <n v="61"/>
    <s v="Friday"/>
  </r>
  <r>
    <n v="160601062"/>
    <d v="2022-11-18T00:00:00"/>
    <d v="2023-01-09T00:00:00"/>
    <x v="0"/>
    <n v="39"/>
    <s v="month"/>
    <n v="52"/>
    <s v="Friday"/>
  </r>
  <r>
    <n v="144573808"/>
    <d v="2022-11-18T00:00:00"/>
    <d v="2023-01-18T00:00:00"/>
    <x v="0"/>
    <n v="39"/>
    <s v="month"/>
    <n v="61"/>
    <s v="Friday"/>
  </r>
  <r>
    <n v="114435366"/>
    <d v="2022-11-18T00:00:00"/>
    <d v="2022-11-18T00:00:00"/>
    <x v="0"/>
    <n v="39"/>
    <s v="month"/>
    <n v="0"/>
    <s v="Friday"/>
  </r>
  <r>
    <n v="163399934"/>
    <d v="2022-11-18T00:00:00"/>
    <d v="2022-11-18T00:00:00"/>
    <x v="0"/>
    <n v="39"/>
    <s v="month"/>
    <n v="0"/>
    <s v="Friday"/>
  </r>
  <r>
    <n v="133599090"/>
    <d v="2022-11-19T00:00:00"/>
    <d v="2023-03-11T00:00:00"/>
    <x v="0"/>
    <n v="39"/>
    <s v="month"/>
    <n v="112"/>
    <s v="Saturday"/>
  </r>
  <r>
    <n v="154767246"/>
    <d v="2022-11-19T00:00:00"/>
    <d v="2022-12-20T00:00:00"/>
    <x v="0"/>
    <n v="39"/>
    <s v="month"/>
    <n v="31"/>
    <s v="Saturday"/>
  </r>
  <r>
    <n v="164085988"/>
    <d v="2022-11-19T00:00:00"/>
    <d v="2022-12-20T00:00:00"/>
    <x v="0"/>
    <n v="39"/>
    <s v="month"/>
    <n v="31"/>
    <s v="Saturday"/>
  </r>
  <r>
    <n v="164255751"/>
    <d v="2022-11-20T00:00:00"/>
    <d v="2023-08-21T00:00:00"/>
    <x v="0"/>
    <n v="39"/>
    <s v="month"/>
    <n v="274"/>
    <s v="Sunday"/>
  </r>
  <r>
    <n v="150663530"/>
    <d v="2022-11-20T00:00:00"/>
    <d v="2023-04-27T00:00:00"/>
    <x v="0"/>
    <n v="39"/>
    <s v="month"/>
    <n v="158"/>
    <s v="Sunday"/>
  </r>
  <r>
    <n v="155333508"/>
    <d v="2022-11-20T00:00:00"/>
    <d v="2023-01-19T00:00:00"/>
    <x v="0"/>
    <n v="39"/>
    <s v="month"/>
    <n v="60"/>
    <s v="Sunday"/>
  </r>
  <r>
    <n v="163178244"/>
    <d v="2022-11-21T00:00:00"/>
    <s v="Active"/>
    <x v="1"/>
    <n v="39"/>
    <s v="month"/>
    <s v="Active"/>
    <s v="Monday"/>
  </r>
  <r>
    <n v="130245484"/>
    <d v="2022-11-21T00:00:00"/>
    <d v="2023-02-20T00:00:00"/>
    <x v="0"/>
    <n v="39"/>
    <s v="month"/>
    <n v="91"/>
    <s v="Monday"/>
  </r>
  <r>
    <n v="164578320"/>
    <d v="2022-11-21T00:00:00"/>
    <d v="2022-12-21T00:00:00"/>
    <x v="0"/>
    <n v="39"/>
    <s v="month"/>
    <n v="30"/>
    <s v="Monday"/>
  </r>
  <r>
    <n v="164542692"/>
    <d v="2022-11-21T00:00:00"/>
    <d v="2022-12-28T00:00:00"/>
    <x v="0"/>
    <n v="39"/>
    <s v="month"/>
    <n v="37"/>
    <s v="Monday"/>
  </r>
  <r>
    <n v="164087136"/>
    <d v="2022-11-22T00:00:00"/>
    <s v="Active"/>
    <x v="0"/>
    <n v="39"/>
    <s v="month"/>
    <s v="Active"/>
    <s v="Tuesday"/>
  </r>
  <r>
    <n v="155414052"/>
    <d v="2022-11-22T00:00:00"/>
    <d v="2022-11-23T00:00:00"/>
    <x v="1"/>
    <n v="39"/>
    <s v="month"/>
    <n v="1"/>
    <s v="Tuesday"/>
  </r>
  <r>
    <n v="152253972"/>
    <d v="2022-11-22T00:00:00"/>
    <d v="2023-03-29T00:00:00"/>
    <x v="0"/>
    <n v="39"/>
    <s v="month"/>
    <n v="127"/>
    <s v="Tuesday"/>
  </r>
  <r>
    <n v="152754329"/>
    <d v="2022-11-22T00:00:00"/>
    <d v="2023-01-23T00:00:00"/>
    <x v="0"/>
    <n v="39"/>
    <s v="month"/>
    <n v="62"/>
    <s v="Tuesday"/>
  </r>
  <r>
    <n v="159724071"/>
    <d v="2022-11-23T00:00:00"/>
    <d v="2023-01-19T00:00:00"/>
    <x v="0"/>
    <n v="39"/>
    <s v="month"/>
    <n v="57"/>
    <s v="Wednesday"/>
  </r>
  <r>
    <n v="165164673"/>
    <d v="2022-11-23T00:00:00"/>
    <d v="2022-11-26T00:00:00"/>
    <x v="0"/>
    <n v="39"/>
    <s v="month"/>
    <n v="3"/>
    <s v="Wednesday"/>
  </r>
  <r>
    <n v="165529460"/>
    <d v="2022-11-24T00:00:00"/>
    <d v="2023-04-21T00:00:00"/>
    <x v="0"/>
    <n v="39"/>
    <s v="month"/>
    <n v="148"/>
    <s v="Thursday"/>
  </r>
  <r>
    <n v="163362190"/>
    <d v="2022-11-25T00:00:00"/>
    <s v="Active"/>
    <x v="0"/>
    <n v="39"/>
    <s v="month"/>
    <s v="Active"/>
    <s v="Friday"/>
  </r>
  <r>
    <n v="155810350"/>
    <d v="2022-11-25T00:00:00"/>
    <d v="2022-12-22T00:00:00"/>
    <x v="0"/>
    <n v="39"/>
    <s v="month"/>
    <n v="27"/>
    <s v="Friday"/>
  </r>
  <r>
    <n v="161793136"/>
    <d v="2022-11-25T00:00:00"/>
    <d v="2023-06-13T00:00:00"/>
    <x v="0"/>
    <n v="39"/>
    <s v="month"/>
    <n v="200"/>
    <s v="Friday"/>
  </r>
  <r>
    <n v="159255776"/>
    <d v="2022-11-25T00:00:00"/>
    <d v="2023-03-21T00:00:00"/>
    <x v="0"/>
    <n v="39"/>
    <s v="month"/>
    <n v="116"/>
    <s v="Friday"/>
  </r>
  <r>
    <n v="165807144"/>
    <d v="2022-11-25T00:00:00"/>
    <d v="2023-02-01T00:00:00"/>
    <x v="0"/>
    <n v="39"/>
    <s v="month"/>
    <n v="68"/>
    <s v="Friday"/>
  </r>
  <r>
    <n v="165788743"/>
    <d v="2022-11-25T00:00:00"/>
    <d v="2023-02-18T00:00:00"/>
    <x v="0"/>
    <n v="39"/>
    <s v="month"/>
    <n v="85"/>
    <s v="Friday"/>
  </r>
  <r>
    <n v="162513776"/>
    <d v="2022-11-25T00:00:00"/>
    <d v="2023-01-30T00:00:00"/>
    <x v="0"/>
    <n v="39"/>
    <s v="month"/>
    <n v="66"/>
    <s v="Friday"/>
  </r>
  <r>
    <n v="161841028"/>
    <d v="2022-11-25T00:00:00"/>
    <d v="2023-01-25T00:00:00"/>
    <x v="0"/>
    <n v="39"/>
    <s v="month"/>
    <n v="61"/>
    <s v="Friday"/>
  </r>
  <r>
    <n v="160597612"/>
    <d v="2022-11-25T00:00:00"/>
    <d v="2022-12-11T00:00:00"/>
    <x v="0"/>
    <n v="39"/>
    <s v="month"/>
    <n v="16"/>
    <s v="Friday"/>
  </r>
  <r>
    <n v="165937140"/>
    <d v="2022-11-26T00:00:00"/>
    <d v="2022-11-27T00:00:00"/>
    <x v="1"/>
    <n v="39"/>
    <s v="month"/>
    <n v="1"/>
    <s v="Saturday"/>
  </r>
  <r>
    <n v="165613975"/>
    <d v="2022-11-26T00:00:00"/>
    <d v="2023-05-07T00:00:00"/>
    <x v="0"/>
    <n v="39"/>
    <s v="month"/>
    <n v="162"/>
    <s v="Saturday"/>
  </r>
  <r>
    <n v="164662173"/>
    <d v="2022-11-26T00:00:00"/>
    <d v="2023-01-26T00:00:00"/>
    <x v="0"/>
    <n v="39"/>
    <s v="month"/>
    <n v="61"/>
    <s v="Saturday"/>
  </r>
  <r>
    <n v="162411394"/>
    <d v="2022-11-26T00:00:00"/>
    <d v="2023-01-04T00:00:00"/>
    <x v="0"/>
    <n v="39"/>
    <s v="month"/>
    <n v="39"/>
    <s v="Saturday"/>
  </r>
  <r>
    <n v="121439836"/>
    <d v="2022-11-27T00:00:00"/>
    <s v="Active"/>
    <x v="0"/>
    <n v="39"/>
    <s v="month"/>
    <s v="Active"/>
    <s v="Sunday"/>
  </r>
  <r>
    <n v="157353623"/>
    <d v="2022-11-27T00:00:00"/>
    <d v="2022-11-27T00:00:00"/>
    <x v="1"/>
    <n v="39"/>
    <s v="month"/>
    <n v="0"/>
    <s v="Sunday"/>
  </r>
  <r>
    <n v="165953219"/>
    <d v="2022-11-27T00:00:00"/>
    <d v="2023-01-03T00:00:00"/>
    <x v="0"/>
    <n v="39"/>
    <s v="month"/>
    <n v="37"/>
    <s v="Sunday"/>
  </r>
  <r>
    <n v="154710805"/>
    <d v="2022-11-28T00:00:00"/>
    <s v="Active"/>
    <x v="0"/>
    <n v="39"/>
    <s v="month"/>
    <s v="Active"/>
    <s v="Monday"/>
  </r>
  <r>
    <n v="164084318"/>
    <d v="2022-11-28T00:00:00"/>
    <s v="Active"/>
    <x v="0"/>
    <n v="39"/>
    <s v="month"/>
    <s v="Active"/>
    <s v="Monday"/>
  </r>
  <r>
    <n v="160043327"/>
    <d v="2022-11-28T00:00:00"/>
    <d v="2022-11-29T00:00:00"/>
    <x v="1"/>
    <n v="39"/>
    <s v="month"/>
    <n v="1"/>
    <s v="Monday"/>
  </r>
  <r>
    <n v="131166579"/>
    <d v="2022-11-28T00:00:00"/>
    <d v="2023-01-04T00:00:00"/>
    <x v="0"/>
    <n v="39"/>
    <s v="month"/>
    <n v="37"/>
    <s v="Monday"/>
  </r>
  <r>
    <n v="166109726"/>
    <d v="2022-11-28T00:00:00"/>
    <d v="2023-01-12T00:00:00"/>
    <x v="0"/>
    <n v="39"/>
    <s v="month"/>
    <n v="45"/>
    <s v="Monday"/>
  </r>
  <r>
    <n v="155446081"/>
    <d v="2022-11-28T00:00:00"/>
    <d v="2023-01-01T00:00:00"/>
    <x v="0"/>
    <n v="39"/>
    <s v="month"/>
    <n v="34"/>
    <s v="Monday"/>
  </r>
  <r>
    <n v="166342075"/>
    <d v="2022-11-28T00:00:00"/>
    <d v="2022-12-28T00:00:00"/>
    <x v="0"/>
    <n v="39"/>
    <s v="month"/>
    <n v="30"/>
    <s v="Monday"/>
  </r>
  <r>
    <n v="154063985"/>
    <d v="2022-11-28T00:00:00"/>
    <d v="2023-08-04T00:00:00"/>
    <x v="0"/>
    <n v="39"/>
    <s v="month"/>
    <n v="249"/>
    <s v="Monday"/>
  </r>
  <r>
    <n v="164141888"/>
    <d v="2022-11-29T00:00:00"/>
    <s v="Active"/>
    <x v="0"/>
    <n v="39"/>
    <s v="month"/>
    <s v="Active"/>
    <s v="Tuesday"/>
  </r>
  <r>
    <n v="165244044"/>
    <d v="2022-11-29T00:00:00"/>
    <d v="2023-05-15T00:00:00"/>
    <x v="0"/>
    <n v="39"/>
    <s v="month"/>
    <n v="167"/>
    <s v="Tuesday"/>
  </r>
  <r>
    <n v="136149379"/>
    <d v="2022-11-29T00:00:00"/>
    <d v="2023-04-02T00:00:00"/>
    <x v="0"/>
    <n v="39"/>
    <s v="month"/>
    <n v="124"/>
    <s v="Tuesday"/>
  </r>
  <r>
    <n v="158227426"/>
    <d v="2022-11-29T00:00:00"/>
    <d v="2023-03-01T00:00:00"/>
    <x v="0"/>
    <n v="39"/>
    <s v="month"/>
    <n v="92"/>
    <s v="Tuesday"/>
  </r>
  <r>
    <n v="166366125"/>
    <d v="2022-11-29T00:00:00"/>
    <d v="2023-03-09T00:00:00"/>
    <x v="0"/>
    <n v="39"/>
    <s v="month"/>
    <n v="100"/>
    <s v="Tuesday"/>
  </r>
  <r>
    <n v="166753946"/>
    <d v="2022-11-29T00:00:00"/>
    <d v="2023-02-05T00:00:00"/>
    <x v="0"/>
    <n v="39"/>
    <s v="month"/>
    <n v="68"/>
    <s v="Tuesday"/>
  </r>
  <r>
    <n v="157883110"/>
    <d v="2022-11-29T00:00:00"/>
    <d v="2023-01-23T00:00:00"/>
    <x v="0"/>
    <n v="39"/>
    <s v="month"/>
    <n v="55"/>
    <s v="Tuesday"/>
  </r>
  <r>
    <n v="138475621"/>
    <d v="2022-11-29T00:00:00"/>
    <d v="2022-12-15T00:00:00"/>
    <x v="0"/>
    <n v="39"/>
    <s v="month"/>
    <n v="16"/>
    <s v="Tuesday"/>
  </r>
  <r>
    <n v="166529240"/>
    <d v="2022-11-30T00:00:00"/>
    <s v="Active"/>
    <x v="0"/>
    <n v="39"/>
    <s v="month"/>
    <s v="Active"/>
    <s v="Wednesday"/>
  </r>
  <r>
    <n v="125828506"/>
    <d v="2022-11-30T00:00:00"/>
    <d v="2023-02-14T00:00:00"/>
    <x v="0"/>
    <n v="39"/>
    <s v="month"/>
    <n v="76"/>
    <s v="Wednesday"/>
  </r>
  <r>
    <n v="148869381"/>
    <d v="2022-11-30T00:00:00"/>
    <d v="2023-01-31T00:00:00"/>
    <x v="0"/>
    <n v="39"/>
    <s v="month"/>
    <n v="62"/>
    <s v="Wednesday"/>
  </r>
  <r>
    <n v="134825962"/>
    <d v="2022-11-30T00:00:00"/>
    <d v="2023-01-01T00:00:00"/>
    <x v="0"/>
    <n v="39"/>
    <s v="month"/>
    <n v="32"/>
    <s v="Wednesday"/>
  </r>
  <r>
    <n v="151163143"/>
    <d v="2022-11-30T00:00:00"/>
    <d v="2023-01-06T00:00:00"/>
    <x v="0"/>
    <n v="39"/>
    <s v="month"/>
    <n v="37"/>
    <s v="Wednesday"/>
  </r>
  <r>
    <n v="156111982"/>
    <d v="2022-11-30T00:00:00"/>
    <d v="2022-12-23T00:00:00"/>
    <x v="0"/>
    <n v="39"/>
    <s v="month"/>
    <n v="23"/>
    <s v="Wednesday"/>
  </r>
  <r>
    <n v="166546201"/>
    <d v="2022-11-30T00:00:00"/>
    <d v="2022-12-11T00:00:00"/>
    <x v="0"/>
    <n v="39"/>
    <s v="month"/>
    <n v="11"/>
    <s v="Wednesday"/>
  </r>
  <r>
    <n v="162126074"/>
    <d v="2022-12-01T00:00:00"/>
    <s v="Active"/>
    <x v="0"/>
    <n v="39"/>
    <s v="month"/>
    <s v="Active"/>
    <s v="Thursday"/>
  </r>
  <r>
    <n v="162640429"/>
    <d v="2022-12-01T00:00:00"/>
    <s v="Active"/>
    <x v="0"/>
    <n v="39"/>
    <s v="month"/>
    <s v="Active"/>
    <s v="Thursday"/>
  </r>
  <r>
    <n v="164413682"/>
    <d v="2022-12-01T00:00:00"/>
    <s v="Active"/>
    <x v="0"/>
    <n v="39"/>
    <s v="month"/>
    <s v="Active"/>
    <s v="Thursday"/>
  </r>
  <r>
    <n v="162850052"/>
    <d v="2022-12-01T00:00:00"/>
    <s v="Active"/>
    <x v="0"/>
    <n v="39"/>
    <s v="month"/>
    <s v="Active"/>
    <s v="Thursday"/>
  </r>
  <r>
    <n v="162177746"/>
    <d v="2022-12-01T00:00:00"/>
    <d v="2022-12-29T00:00:00"/>
    <x v="0"/>
    <n v="39"/>
    <s v="month"/>
    <n v="28"/>
    <s v="Thursday"/>
  </r>
  <r>
    <n v="135587508"/>
    <d v="2022-12-01T00:00:00"/>
    <d v="2023-02-09T00:00:00"/>
    <x v="0"/>
    <n v="39"/>
    <s v="month"/>
    <n v="70"/>
    <s v="Thursday"/>
  </r>
  <r>
    <n v="161428649"/>
    <d v="2022-12-01T00:00:00"/>
    <d v="2023-04-08T00:00:00"/>
    <x v="0"/>
    <n v="39"/>
    <s v="month"/>
    <n v="128"/>
    <s v="Thursday"/>
  </r>
  <r>
    <n v="166977144"/>
    <d v="2022-12-01T00:00:00"/>
    <d v="2023-04-08T00:00:00"/>
    <x v="0"/>
    <n v="39"/>
    <s v="month"/>
    <n v="128"/>
    <s v="Thursday"/>
  </r>
  <r>
    <n v="161640666"/>
    <d v="2022-12-01T00:00:00"/>
    <d v="2023-03-01T00:00:00"/>
    <x v="0"/>
    <n v="39"/>
    <s v="month"/>
    <n v="90"/>
    <s v="Thursday"/>
  </r>
  <r>
    <n v="165932696"/>
    <d v="2022-12-01T00:00:00"/>
    <d v="2023-03-01T00:00:00"/>
    <x v="0"/>
    <n v="39"/>
    <s v="month"/>
    <n v="90"/>
    <s v="Thursday"/>
  </r>
  <r>
    <n v="165204032"/>
    <d v="2022-12-01T00:00:00"/>
    <d v="2023-02-14T00:00:00"/>
    <x v="0"/>
    <n v="39"/>
    <s v="month"/>
    <n v="75"/>
    <s v="Thursday"/>
  </r>
  <r>
    <n v="162469903"/>
    <d v="2022-12-01T00:00:00"/>
    <d v="2023-02-08T00:00:00"/>
    <x v="0"/>
    <n v="39"/>
    <s v="month"/>
    <n v="69"/>
    <s v="Thursday"/>
  </r>
  <r>
    <n v="166515564"/>
    <d v="2022-12-01T00:00:00"/>
    <d v="2023-01-19T00:00:00"/>
    <x v="0"/>
    <n v="39"/>
    <s v="month"/>
    <n v="49"/>
    <s v="Thursday"/>
  </r>
  <r>
    <n v="139323228"/>
    <d v="2022-12-01T00:00:00"/>
    <d v="2023-01-24T00:00:00"/>
    <x v="0"/>
    <n v="39"/>
    <s v="month"/>
    <n v="54"/>
    <s v="Thursday"/>
  </r>
  <r>
    <n v="162569750"/>
    <d v="2022-12-01T00:00:00"/>
    <d v="2022-12-04T00:00:00"/>
    <x v="0"/>
    <n v="39"/>
    <s v="month"/>
    <n v="3"/>
    <s v="Thursday"/>
  </r>
  <r>
    <n v="165959602"/>
    <d v="2022-12-01T00:00:00"/>
    <d v="2022-12-23T00:00:00"/>
    <x v="0"/>
    <n v="39"/>
    <s v="month"/>
    <n v="22"/>
    <s v="Thursday"/>
  </r>
  <r>
    <n v="160968524"/>
    <d v="2022-12-01T00:00:00"/>
    <d v="2023-07-20T00:00:00"/>
    <x v="0"/>
    <n v="39"/>
    <s v="month"/>
    <n v="231"/>
    <s v="Thursday"/>
  </r>
  <r>
    <n v="163258260"/>
    <d v="2022-12-02T00:00:00"/>
    <s v="Active"/>
    <x v="0"/>
    <n v="39"/>
    <s v="month"/>
    <s v="Active"/>
    <s v="Friday"/>
  </r>
  <r>
    <n v="167051046"/>
    <d v="2022-12-02T00:00:00"/>
    <s v="Active"/>
    <x v="0"/>
    <n v="39"/>
    <s v="month"/>
    <s v="Active"/>
    <s v="Friday"/>
  </r>
  <r>
    <n v="161182367"/>
    <d v="2022-12-02T00:00:00"/>
    <d v="2022-12-03T00:00:00"/>
    <x v="0"/>
    <n v="39"/>
    <s v="month"/>
    <n v="1"/>
    <s v="Friday"/>
  </r>
  <r>
    <n v="167292985"/>
    <d v="2022-12-02T00:00:00"/>
    <d v="2022-12-03T00:00:00"/>
    <x v="1"/>
    <n v="39"/>
    <s v="month"/>
    <n v="1"/>
    <s v="Friday"/>
  </r>
  <r>
    <n v="166183014"/>
    <d v="2022-12-02T00:00:00"/>
    <d v="2022-12-03T00:00:00"/>
    <x v="1"/>
    <n v="39"/>
    <s v="month"/>
    <n v="1"/>
    <s v="Friday"/>
  </r>
  <r>
    <n v="165143920"/>
    <d v="2022-12-02T00:00:00"/>
    <d v="2023-06-02T00:00:00"/>
    <x v="0"/>
    <n v="39"/>
    <s v="month"/>
    <n v="182"/>
    <s v="Friday"/>
  </r>
  <r>
    <n v="165958089"/>
    <d v="2022-12-02T00:00:00"/>
    <d v="2023-02-09T00:00:00"/>
    <x v="0"/>
    <n v="39"/>
    <s v="month"/>
    <n v="69"/>
    <s v="Friday"/>
  </r>
  <r>
    <n v="165431576"/>
    <d v="2022-12-02T00:00:00"/>
    <d v="2023-02-01T00:00:00"/>
    <x v="0"/>
    <n v="39"/>
    <s v="month"/>
    <n v="61"/>
    <s v="Friday"/>
  </r>
  <r>
    <n v="163708513"/>
    <d v="2022-12-02T00:00:00"/>
    <d v="2022-12-30T00:00:00"/>
    <x v="0"/>
    <n v="39"/>
    <s v="month"/>
    <n v="28"/>
    <s v="Friday"/>
  </r>
  <r>
    <n v="164521419"/>
    <d v="2022-12-02T00:00:00"/>
    <d v="2022-12-29T00:00:00"/>
    <x v="0"/>
    <n v="39"/>
    <s v="month"/>
    <n v="27"/>
    <s v="Friday"/>
  </r>
  <r>
    <n v="166257164"/>
    <d v="2022-12-02T00:00:00"/>
    <d v="2022-12-21T00:00:00"/>
    <x v="0"/>
    <n v="39"/>
    <s v="month"/>
    <n v="19"/>
    <s v="Friday"/>
  </r>
  <r>
    <n v="121348156"/>
    <d v="2022-12-02T00:00:00"/>
    <d v="2022-12-06T00:00:00"/>
    <x v="0"/>
    <n v="39"/>
    <s v="month"/>
    <n v="4"/>
    <s v="Friday"/>
  </r>
  <r>
    <n v="167280894"/>
    <d v="2022-12-02T00:00:00"/>
    <d v="2023-07-06T00:00:00"/>
    <x v="0"/>
    <n v="39"/>
    <s v="month"/>
    <n v="216"/>
    <s v="Friday"/>
  </r>
  <r>
    <n v="160980795"/>
    <d v="2022-12-03T00:00:00"/>
    <s v="Active"/>
    <x v="0"/>
    <n v="39"/>
    <s v="month"/>
    <s v="Active"/>
    <s v="Saturday"/>
  </r>
  <r>
    <n v="167544686"/>
    <d v="2022-12-03T00:00:00"/>
    <s v="Active"/>
    <x v="0"/>
    <n v="39"/>
    <s v="month"/>
    <s v="Active"/>
    <s v="Saturday"/>
  </r>
  <r>
    <n v="161968719"/>
    <d v="2022-12-03T00:00:00"/>
    <s v="Active"/>
    <x v="0"/>
    <n v="39"/>
    <s v="month"/>
    <s v="Active"/>
    <s v="Saturday"/>
  </r>
  <r>
    <n v="159070152"/>
    <d v="2022-12-03T00:00:00"/>
    <s v="Active"/>
    <x v="0"/>
    <n v="39"/>
    <s v="month"/>
    <s v="Active"/>
    <s v="Saturday"/>
  </r>
  <r>
    <n v="167445788"/>
    <d v="2022-12-03T00:00:00"/>
    <d v="2022-12-04T00:00:00"/>
    <x v="1"/>
    <n v="39"/>
    <s v="month"/>
    <n v="1"/>
    <s v="Saturday"/>
  </r>
  <r>
    <n v="167441263"/>
    <d v="2022-12-03T00:00:00"/>
    <d v="2023-06-10T00:00:00"/>
    <x v="0"/>
    <n v="39"/>
    <s v="month"/>
    <n v="189"/>
    <s v="Saturday"/>
  </r>
  <r>
    <n v="167586100"/>
    <d v="2022-12-03T00:00:00"/>
    <d v="2023-03-02T00:00:00"/>
    <x v="0"/>
    <n v="39"/>
    <s v="month"/>
    <n v="89"/>
    <s v="Saturday"/>
  </r>
  <r>
    <n v="139789436"/>
    <d v="2022-12-03T00:00:00"/>
    <d v="2023-01-29T00:00:00"/>
    <x v="0"/>
    <n v="39"/>
    <s v="month"/>
    <n v="57"/>
    <s v="Saturday"/>
  </r>
  <r>
    <n v="116319450"/>
    <d v="2022-12-04T00:00:00"/>
    <d v="2023-04-19T00:00:00"/>
    <x v="0"/>
    <n v="39"/>
    <s v="month"/>
    <n v="136"/>
    <s v="Sunday"/>
  </r>
  <r>
    <n v="162939264"/>
    <d v="2022-12-04T00:00:00"/>
    <d v="2023-05-04T00:00:00"/>
    <x v="0"/>
    <n v="39"/>
    <s v="month"/>
    <n v="151"/>
    <s v="Sunday"/>
  </r>
  <r>
    <n v="167711417"/>
    <d v="2022-12-04T00:00:00"/>
    <d v="2023-03-25T00:00:00"/>
    <x v="0"/>
    <n v="39"/>
    <s v="month"/>
    <n v="111"/>
    <s v="Sunday"/>
  </r>
  <r>
    <n v="157381517"/>
    <d v="2022-12-05T00:00:00"/>
    <s v="Active"/>
    <x v="0"/>
    <n v="39"/>
    <s v="month"/>
    <s v="Active"/>
    <s v="Monday"/>
  </r>
  <r>
    <n v="162912102"/>
    <d v="2022-12-05T00:00:00"/>
    <d v="2022-12-06T00:00:00"/>
    <x v="0"/>
    <n v="39"/>
    <s v="month"/>
    <n v="1"/>
    <s v="Monday"/>
  </r>
  <r>
    <n v="167833210"/>
    <d v="2022-12-05T00:00:00"/>
    <d v="2023-07-03T00:00:00"/>
    <x v="0"/>
    <n v="39"/>
    <s v="month"/>
    <n v="210"/>
    <s v="Monday"/>
  </r>
  <r>
    <n v="165676999"/>
    <d v="2022-12-05T00:00:00"/>
    <d v="2023-02-05T00:00:00"/>
    <x v="0"/>
    <n v="39"/>
    <s v="month"/>
    <n v="62"/>
    <s v="Monday"/>
  </r>
  <r>
    <n v="167253106"/>
    <d v="2022-12-05T00:00:00"/>
    <d v="2023-02-06T00:00:00"/>
    <x v="0"/>
    <n v="39"/>
    <s v="month"/>
    <n v="63"/>
    <s v="Monday"/>
  </r>
  <r>
    <n v="168022972"/>
    <d v="2022-12-05T00:00:00"/>
    <d v="2023-01-13T00:00:00"/>
    <x v="0"/>
    <n v="39"/>
    <s v="month"/>
    <n v="39"/>
    <s v="Monday"/>
  </r>
  <r>
    <n v="167315920"/>
    <d v="2022-12-05T00:00:00"/>
    <d v="2023-01-05T00:00:00"/>
    <x v="0"/>
    <n v="39"/>
    <s v="month"/>
    <n v="31"/>
    <s v="Monday"/>
  </r>
  <r>
    <n v="167928962"/>
    <d v="2022-12-05T00:00:00"/>
    <d v="2022-12-29T00:00:00"/>
    <x v="0"/>
    <n v="39"/>
    <s v="month"/>
    <n v="24"/>
    <s v="Monday"/>
  </r>
  <r>
    <n v="166211741"/>
    <d v="2022-12-06T00:00:00"/>
    <d v="2023-04-11T00:00:00"/>
    <x v="0"/>
    <n v="39"/>
    <s v="month"/>
    <n v="126"/>
    <s v="Tuesday"/>
  </r>
  <r>
    <n v="161450418"/>
    <d v="2022-12-06T00:00:00"/>
    <d v="2023-05-04T00:00:00"/>
    <x v="0"/>
    <n v="39"/>
    <s v="month"/>
    <n v="149"/>
    <s v="Tuesday"/>
  </r>
  <r>
    <n v="144961802"/>
    <d v="2022-12-06T00:00:00"/>
    <d v="2023-03-02T00:00:00"/>
    <x v="0"/>
    <n v="39"/>
    <s v="month"/>
    <n v="86"/>
    <s v="Tuesday"/>
  </r>
  <r>
    <n v="168137404"/>
    <d v="2022-12-06T00:00:00"/>
    <d v="2023-02-01T00:00:00"/>
    <x v="0"/>
    <n v="39"/>
    <s v="month"/>
    <n v="57"/>
    <s v="Tuesday"/>
  </r>
  <r>
    <n v="153441732"/>
    <d v="2022-12-06T00:00:00"/>
    <d v="2023-02-13T00:00:00"/>
    <x v="0"/>
    <n v="39"/>
    <s v="month"/>
    <n v="69"/>
    <s v="Tuesday"/>
  </r>
  <r>
    <n v="167649041"/>
    <d v="2022-12-06T00:00:00"/>
    <d v="2023-01-31T00:00:00"/>
    <x v="0"/>
    <n v="39"/>
    <s v="month"/>
    <n v="56"/>
    <s v="Tuesday"/>
  </r>
  <r>
    <n v="168089746"/>
    <d v="2022-12-06T00:00:00"/>
    <d v="2023-01-13T00:00:00"/>
    <x v="0"/>
    <n v="39"/>
    <s v="month"/>
    <n v="38"/>
    <s v="Tuesday"/>
  </r>
  <r>
    <n v="158177274"/>
    <d v="2022-12-06T00:00:00"/>
    <d v="2023-01-26T00:00:00"/>
    <x v="0"/>
    <n v="39"/>
    <s v="month"/>
    <n v="51"/>
    <s v="Tuesday"/>
  </r>
  <r>
    <n v="168061628"/>
    <d v="2022-12-06T00:00:00"/>
    <d v="2023-01-13T00:00:00"/>
    <x v="0"/>
    <n v="39"/>
    <s v="month"/>
    <n v="38"/>
    <s v="Tuesday"/>
  </r>
  <r>
    <n v="168436401"/>
    <d v="2022-12-07T00:00:00"/>
    <s v="Active"/>
    <x v="0"/>
    <n v="39"/>
    <s v="month"/>
    <s v="Active"/>
    <s v="Wednesday"/>
  </r>
  <r>
    <n v="126770376"/>
    <d v="2022-12-07T00:00:00"/>
    <d v="2023-01-02T00:00:00"/>
    <x v="0"/>
    <n v="39"/>
    <s v="month"/>
    <n v="26"/>
    <s v="Wednesday"/>
  </r>
  <r>
    <n v="153468957"/>
    <d v="2022-12-07T00:00:00"/>
    <d v="2023-02-14T00:00:00"/>
    <x v="0"/>
    <n v="39"/>
    <s v="month"/>
    <n v="69"/>
    <s v="Wednesday"/>
  </r>
  <r>
    <n v="168336474"/>
    <d v="2022-12-07T00:00:00"/>
    <d v="2023-02-27T00:00:00"/>
    <x v="0"/>
    <n v="39"/>
    <s v="month"/>
    <n v="82"/>
    <s v="Wednesday"/>
  </r>
  <r>
    <n v="166929423"/>
    <d v="2022-12-07T00:00:00"/>
    <d v="2022-12-28T00:00:00"/>
    <x v="0"/>
    <n v="39"/>
    <s v="month"/>
    <n v="21"/>
    <s v="Wednesday"/>
  </r>
  <r>
    <n v="163990458"/>
    <d v="2022-12-07T00:00:00"/>
    <d v="2022-12-22T00:00:00"/>
    <x v="0"/>
    <n v="39"/>
    <s v="month"/>
    <n v="15"/>
    <s v="Wednesday"/>
  </r>
  <r>
    <n v="166411463"/>
    <d v="2022-12-08T00:00:00"/>
    <s v="Active"/>
    <x v="0"/>
    <n v="39"/>
    <s v="month"/>
    <s v="Active"/>
    <s v="Thursday"/>
  </r>
  <r>
    <n v="168433088"/>
    <d v="2022-12-08T00:00:00"/>
    <s v="Active"/>
    <x v="0"/>
    <n v="39"/>
    <s v="month"/>
    <s v="Active"/>
    <s v="Thursday"/>
  </r>
  <r>
    <n v="155426075"/>
    <d v="2022-12-08T00:00:00"/>
    <s v="Active"/>
    <x v="0"/>
    <n v="39"/>
    <s v="month"/>
    <s v="Active"/>
    <s v="Thursday"/>
  </r>
  <r>
    <n v="168555694"/>
    <d v="2022-12-08T00:00:00"/>
    <d v="2022-12-09T00:00:00"/>
    <x v="1"/>
    <n v="39"/>
    <s v="month"/>
    <n v="1"/>
    <s v="Thursday"/>
  </r>
  <r>
    <n v="162912102"/>
    <d v="2022-12-08T00:00:00"/>
    <d v="2023-05-15T00:00:00"/>
    <x v="0"/>
    <n v="39"/>
    <s v="month"/>
    <n v="158"/>
    <s v="Thursday"/>
  </r>
  <r>
    <n v="168471192"/>
    <d v="2022-12-08T00:00:00"/>
    <d v="2023-02-03T00:00:00"/>
    <x v="0"/>
    <n v="39"/>
    <s v="month"/>
    <n v="57"/>
    <s v="Thursday"/>
  </r>
  <r>
    <n v="168825734"/>
    <d v="2022-12-08T00:00:00"/>
    <d v="2023-01-15T00:00:00"/>
    <x v="0"/>
    <n v="39"/>
    <s v="month"/>
    <n v="38"/>
    <s v="Thursday"/>
  </r>
  <r>
    <n v="163852568"/>
    <d v="2022-12-08T00:00:00"/>
    <d v="2022-12-12T00:00:00"/>
    <x v="0"/>
    <n v="39"/>
    <s v="month"/>
    <n v="4"/>
    <s v="Thursday"/>
  </r>
  <r>
    <n v="168460834"/>
    <d v="2022-12-08T00:00:00"/>
    <d v="2022-12-27T00:00:00"/>
    <x v="0"/>
    <n v="39"/>
    <s v="month"/>
    <n v="19"/>
    <s v="Thursday"/>
  </r>
  <r>
    <n v="169085351"/>
    <d v="2022-12-09T00:00:00"/>
    <d v="2023-07-05T00:00:00"/>
    <x v="0"/>
    <n v="39"/>
    <s v="month"/>
    <n v="208"/>
    <s v="Friday"/>
  </r>
  <r>
    <n v="168456070"/>
    <d v="2022-12-09T00:00:00"/>
    <d v="2023-04-22T00:00:00"/>
    <x v="0"/>
    <n v="39"/>
    <s v="month"/>
    <n v="134"/>
    <s v="Friday"/>
  </r>
  <r>
    <n v="168900021"/>
    <d v="2022-12-09T00:00:00"/>
    <d v="2023-02-06T00:00:00"/>
    <x v="0"/>
    <n v="39"/>
    <s v="month"/>
    <n v="59"/>
    <s v="Friday"/>
  </r>
  <r>
    <n v="169113748"/>
    <d v="2022-12-09T00:00:00"/>
    <d v="2023-01-13T00:00:00"/>
    <x v="0"/>
    <n v="39"/>
    <s v="month"/>
    <n v="35"/>
    <s v="Friday"/>
  </r>
  <r>
    <n v="162193491"/>
    <d v="2022-12-09T00:00:00"/>
    <d v="2023-01-20T00:00:00"/>
    <x v="0"/>
    <n v="39"/>
    <s v="month"/>
    <n v="42"/>
    <s v="Friday"/>
  </r>
  <r>
    <n v="167761722"/>
    <d v="2022-12-09T00:00:00"/>
    <d v="2023-07-16T00:00:00"/>
    <x v="0"/>
    <n v="39"/>
    <s v="month"/>
    <n v="219"/>
    <s v="Friday"/>
  </r>
  <r>
    <n v="169244937"/>
    <d v="2022-12-10T00:00:00"/>
    <d v="2023-03-04T00:00:00"/>
    <x v="0"/>
    <n v="39"/>
    <s v="month"/>
    <n v="84"/>
    <s v="Saturday"/>
  </r>
  <r>
    <n v="167923504"/>
    <d v="2022-12-10T00:00:00"/>
    <d v="2023-02-08T00:00:00"/>
    <x v="0"/>
    <n v="39"/>
    <s v="month"/>
    <n v="60"/>
    <s v="Saturday"/>
  </r>
  <r>
    <n v="167459469"/>
    <d v="2022-12-10T00:00:00"/>
    <d v="2023-01-14T00:00:00"/>
    <x v="0"/>
    <n v="39"/>
    <s v="month"/>
    <n v="35"/>
    <s v="Saturday"/>
  </r>
  <r>
    <n v="123169152"/>
    <d v="2022-12-10T00:00:00"/>
    <d v="2023-01-03T00:00:00"/>
    <x v="0"/>
    <n v="39"/>
    <s v="month"/>
    <n v="24"/>
    <s v="Saturday"/>
  </r>
  <r>
    <n v="153157541"/>
    <d v="2022-12-11T00:00:00"/>
    <s v="Active"/>
    <x v="0"/>
    <n v="39"/>
    <s v="month"/>
    <s v="Active"/>
    <s v="Sunday"/>
  </r>
  <r>
    <n v="169133180"/>
    <d v="2022-12-11T00:00:00"/>
    <s v="Active"/>
    <x v="0"/>
    <n v="39"/>
    <s v="month"/>
    <s v="Active"/>
    <s v="Sunday"/>
  </r>
  <r>
    <n v="129447970"/>
    <d v="2022-12-11T00:00:00"/>
    <d v="2022-12-12T00:00:00"/>
    <x v="0"/>
    <n v="39"/>
    <s v="month"/>
    <n v="1"/>
    <s v="Sunday"/>
  </r>
  <r>
    <n v="169388365"/>
    <d v="2022-12-11T00:00:00"/>
    <d v="2023-06-18T00:00:00"/>
    <x v="0"/>
    <n v="39"/>
    <s v="month"/>
    <n v="189"/>
    <s v="Sunday"/>
  </r>
  <r>
    <n v="130872019"/>
    <d v="2022-12-11T00:00:00"/>
    <d v="2023-04-11T00:00:00"/>
    <x v="0"/>
    <n v="39"/>
    <s v="month"/>
    <n v="121"/>
    <s v="Sunday"/>
  </r>
  <r>
    <n v="167674086"/>
    <d v="2022-12-11T00:00:00"/>
    <d v="2023-05-01T00:00:00"/>
    <x v="0"/>
    <n v="39"/>
    <s v="month"/>
    <n v="141"/>
    <s v="Sunday"/>
  </r>
  <r>
    <n v="169590994"/>
    <d v="2022-12-11T00:00:00"/>
    <d v="2023-02-26T00:00:00"/>
    <x v="0"/>
    <n v="39"/>
    <s v="month"/>
    <n v="77"/>
    <s v="Sunday"/>
  </r>
  <r>
    <n v="166199181"/>
    <d v="2022-12-11T00:00:00"/>
    <d v="2023-01-18T00:00:00"/>
    <x v="0"/>
    <n v="39"/>
    <s v="month"/>
    <n v="38"/>
    <s v="Sunday"/>
  </r>
  <r>
    <n v="169895510"/>
    <d v="2022-12-12T00:00:00"/>
    <s v="Active"/>
    <x v="0"/>
    <n v="39"/>
    <s v="month"/>
    <s v="Active"/>
    <s v="Monday"/>
  </r>
  <r>
    <n v="169837410"/>
    <d v="2022-12-12T00:00:00"/>
    <s v="Active"/>
    <x v="0"/>
    <n v="39"/>
    <s v="month"/>
    <s v="Active"/>
    <s v="Monday"/>
  </r>
  <r>
    <n v="169854397"/>
    <d v="2022-12-12T00:00:00"/>
    <s v="Active"/>
    <x v="1"/>
    <n v="39"/>
    <s v="month"/>
    <s v="Active"/>
    <s v="Monday"/>
  </r>
  <r>
    <n v="145987169"/>
    <d v="2022-12-12T00:00:00"/>
    <d v="2023-01-27T00:00:00"/>
    <x v="0"/>
    <n v="39"/>
    <s v="month"/>
    <n v="46"/>
    <s v="Monday"/>
  </r>
  <r>
    <n v="169915574"/>
    <d v="2022-12-12T00:00:00"/>
    <d v="2023-03-13T00:00:00"/>
    <x v="0"/>
    <n v="39"/>
    <s v="month"/>
    <n v="91"/>
    <s v="Monday"/>
  </r>
  <r>
    <n v="164632485"/>
    <d v="2022-12-12T00:00:00"/>
    <d v="2023-03-07T00:00:00"/>
    <x v="0"/>
    <n v="39"/>
    <s v="month"/>
    <n v="85"/>
    <s v="Monday"/>
  </r>
  <r>
    <n v="169830063"/>
    <d v="2022-12-12T00:00:00"/>
    <d v="2023-01-30T00:00:00"/>
    <x v="0"/>
    <n v="39"/>
    <s v="month"/>
    <n v="49"/>
    <s v="Monday"/>
  </r>
  <r>
    <n v="162624984"/>
    <d v="2022-12-12T00:00:00"/>
    <d v="2023-01-23T00:00:00"/>
    <x v="0"/>
    <n v="39"/>
    <s v="month"/>
    <n v="42"/>
    <s v="Monday"/>
  </r>
  <r>
    <n v="169020452"/>
    <d v="2022-12-12T00:00:00"/>
    <d v="2023-08-09T00:00:00"/>
    <x v="0"/>
    <n v="39"/>
    <s v="month"/>
    <n v="240"/>
    <s v="Monday"/>
  </r>
  <r>
    <n v="170037760"/>
    <d v="2022-12-13T00:00:00"/>
    <s v="Active"/>
    <x v="0"/>
    <n v="39"/>
    <s v="month"/>
    <s v="Active"/>
    <s v="Tuesday"/>
  </r>
  <r>
    <n v="116060198"/>
    <d v="2022-12-13T00:00:00"/>
    <d v="2023-03-20T00:00:00"/>
    <x v="0"/>
    <n v="39"/>
    <s v="month"/>
    <n v="97"/>
    <s v="Tuesday"/>
  </r>
  <r>
    <n v="129798657"/>
    <d v="2022-12-13T00:00:00"/>
    <d v="2023-03-13T00:00:00"/>
    <x v="0"/>
    <n v="39"/>
    <s v="month"/>
    <n v="90"/>
    <s v="Tuesday"/>
  </r>
  <r>
    <n v="170426615"/>
    <d v="2022-12-13T00:00:00"/>
    <d v="2023-02-13T00:00:00"/>
    <x v="0"/>
    <n v="39"/>
    <s v="month"/>
    <n v="62"/>
    <s v="Tuesday"/>
  </r>
  <r>
    <n v="161574018"/>
    <d v="2022-12-13T00:00:00"/>
    <d v="2023-02-21T00:00:00"/>
    <x v="0"/>
    <n v="39"/>
    <s v="month"/>
    <n v="70"/>
    <s v="Tuesday"/>
  </r>
  <r>
    <n v="160272364"/>
    <d v="2022-12-14T00:00:00"/>
    <s v="Active"/>
    <x v="0"/>
    <n v="39"/>
    <s v="month"/>
    <s v="Active"/>
    <s v="Wednesday"/>
  </r>
  <r>
    <n v="144938943"/>
    <d v="2022-12-14T00:00:00"/>
    <s v="Active"/>
    <x v="1"/>
    <n v="39"/>
    <s v="month"/>
    <s v="Active"/>
    <s v="Wednesday"/>
  </r>
  <r>
    <n v="170004555"/>
    <d v="2022-12-14T00:00:00"/>
    <d v="2023-02-11T00:00:00"/>
    <x v="0"/>
    <n v="39"/>
    <s v="month"/>
    <n v="59"/>
    <s v="Wednesday"/>
  </r>
  <r>
    <n v="167673987"/>
    <d v="2022-12-14T00:00:00"/>
    <d v="2023-02-21T00:00:00"/>
    <x v="0"/>
    <n v="39"/>
    <s v="month"/>
    <n v="69"/>
    <s v="Wednesday"/>
  </r>
  <r>
    <n v="154448870"/>
    <d v="2022-12-14T00:00:00"/>
    <d v="2023-01-02T00:00:00"/>
    <x v="0"/>
    <n v="39"/>
    <s v="month"/>
    <n v="19"/>
    <s v="Wednesday"/>
  </r>
  <r>
    <n v="153508650"/>
    <d v="2022-12-14T00:00:00"/>
    <d v="2023-01-31T00:00:00"/>
    <x v="0"/>
    <n v="39"/>
    <s v="month"/>
    <n v="48"/>
    <s v="Wednesday"/>
  </r>
  <r>
    <n v="156521981"/>
    <d v="2022-12-14T00:00:00"/>
    <d v="2023-01-14T00:00:00"/>
    <x v="0"/>
    <n v="39"/>
    <s v="month"/>
    <n v="31"/>
    <s v="Wednesday"/>
  </r>
  <r>
    <n v="170897520"/>
    <d v="2022-12-14T00:00:00"/>
    <d v="2023-07-04T00:00:00"/>
    <x v="0"/>
    <n v="39"/>
    <s v="month"/>
    <n v="202"/>
    <s v="Wednesday"/>
  </r>
  <r>
    <n v="167076396"/>
    <d v="2022-12-14T00:00:00"/>
    <d v="2023-08-04T00:00:00"/>
    <x v="0"/>
    <n v="39"/>
    <s v="month"/>
    <n v="233"/>
    <s v="Wednesday"/>
  </r>
  <r>
    <n v="170968987"/>
    <d v="2022-12-15T00:00:00"/>
    <s v="Active"/>
    <x v="0"/>
    <n v="39"/>
    <s v="month"/>
    <s v="Active"/>
    <s v="Thursday"/>
  </r>
  <r>
    <n v="170154956"/>
    <d v="2022-12-15T00:00:00"/>
    <d v="2023-04-18T00:00:00"/>
    <x v="0"/>
    <n v="39"/>
    <s v="month"/>
    <n v="124"/>
    <s v="Thursday"/>
  </r>
  <r>
    <n v="170976924"/>
    <d v="2022-12-15T00:00:00"/>
    <d v="2023-05-30T00:00:00"/>
    <x v="0"/>
    <n v="39"/>
    <s v="month"/>
    <n v="166"/>
    <s v="Thursday"/>
  </r>
  <r>
    <n v="171090027"/>
    <d v="2022-12-15T00:00:00"/>
    <d v="2023-03-14T00:00:00"/>
    <x v="0"/>
    <n v="39"/>
    <s v="month"/>
    <n v="89"/>
    <s v="Thursday"/>
  </r>
  <r>
    <n v="167135160"/>
    <d v="2022-12-15T00:00:00"/>
    <d v="2023-01-18T00:00:00"/>
    <x v="0"/>
    <n v="39"/>
    <s v="month"/>
    <n v="34"/>
    <s v="Thursday"/>
  </r>
  <r>
    <n v="171339244"/>
    <d v="2022-12-15T00:00:00"/>
    <d v="2022-12-15T00:00:00"/>
    <x v="0"/>
    <n v="39"/>
    <s v="month"/>
    <n v="0"/>
    <s v="Thursday"/>
  </r>
  <r>
    <n v="169285280"/>
    <d v="2022-12-16T00:00:00"/>
    <d v="2022-12-17T00:00:00"/>
    <x v="1"/>
    <n v="39"/>
    <s v="month"/>
    <n v="1"/>
    <s v="Friday"/>
  </r>
  <r>
    <n v="137315832"/>
    <d v="2022-12-16T00:00:00"/>
    <d v="2023-03-23T00:00:00"/>
    <x v="0"/>
    <n v="39"/>
    <s v="month"/>
    <n v="97"/>
    <s v="Friday"/>
  </r>
  <r>
    <n v="171286538"/>
    <d v="2022-12-16T00:00:00"/>
    <d v="2023-04-13T00:00:00"/>
    <x v="0"/>
    <n v="39"/>
    <s v="month"/>
    <n v="118"/>
    <s v="Friday"/>
  </r>
  <r>
    <n v="154531106"/>
    <d v="2022-12-16T00:00:00"/>
    <d v="2023-04-14T00:00:00"/>
    <x v="0"/>
    <n v="39"/>
    <s v="month"/>
    <n v="119"/>
    <s v="Friday"/>
  </r>
  <r>
    <n v="169998988"/>
    <d v="2022-12-16T00:00:00"/>
    <d v="2023-05-17T00:00:00"/>
    <x v="0"/>
    <n v="39"/>
    <s v="month"/>
    <n v="152"/>
    <s v="Friday"/>
  </r>
  <r>
    <n v="171860036"/>
    <d v="2022-12-16T00:00:00"/>
    <d v="2023-03-18T00:00:00"/>
    <x v="0"/>
    <n v="39"/>
    <s v="month"/>
    <n v="92"/>
    <s v="Friday"/>
  </r>
  <r>
    <n v="169906376"/>
    <d v="2022-12-16T00:00:00"/>
    <d v="2023-02-13T00:00:00"/>
    <x v="0"/>
    <n v="39"/>
    <s v="month"/>
    <n v="59"/>
    <s v="Friday"/>
  </r>
  <r>
    <n v="171681744"/>
    <d v="2022-12-16T00:00:00"/>
    <d v="2023-02-22T00:00:00"/>
    <x v="0"/>
    <n v="39"/>
    <s v="month"/>
    <n v="68"/>
    <s v="Friday"/>
  </r>
  <r>
    <n v="171375108"/>
    <d v="2022-12-16T00:00:00"/>
    <d v="2023-01-16T00:00:00"/>
    <x v="0"/>
    <n v="39"/>
    <s v="month"/>
    <n v="31"/>
    <s v="Friday"/>
  </r>
  <r>
    <n v="166358674"/>
    <d v="2022-12-16T00:00:00"/>
    <d v="2023-01-23T00:00:00"/>
    <x v="0"/>
    <n v="39"/>
    <s v="month"/>
    <n v="38"/>
    <s v="Friday"/>
  </r>
  <r>
    <n v="168696864"/>
    <d v="2022-12-17T00:00:00"/>
    <d v="2022-12-18T00:00:00"/>
    <x v="0"/>
    <n v="39"/>
    <s v="month"/>
    <n v="1"/>
    <s v="Saturday"/>
  </r>
  <r>
    <n v="149303812"/>
    <d v="2022-12-17T00:00:00"/>
    <d v="2023-02-20T00:00:00"/>
    <x v="0"/>
    <n v="39"/>
    <s v="month"/>
    <n v="65"/>
    <s v="Saturday"/>
  </r>
  <r>
    <n v="145969392"/>
    <d v="2022-12-17T00:00:00"/>
    <d v="2023-02-01T00:00:00"/>
    <x v="0"/>
    <n v="39"/>
    <s v="month"/>
    <n v="46"/>
    <s v="Saturday"/>
  </r>
  <r>
    <n v="169399624"/>
    <d v="2022-12-17T00:00:00"/>
    <d v="2023-02-10T00:00:00"/>
    <x v="0"/>
    <n v="39"/>
    <s v="month"/>
    <n v="55"/>
    <s v="Saturday"/>
  </r>
  <r>
    <n v="162423643"/>
    <d v="2022-12-17T00:00:00"/>
    <d v="2022-12-17T00:00:00"/>
    <x v="0"/>
    <n v="39"/>
    <s v="month"/>
    <n v="0"/>
    <s v="Saturday"/>
  </r>
  <r>
    <n v="171131528"/>
    <d v="2022-12-18T00:00:00"/>
    <s v="Active"/>
    <x v="0"/>
    <n v="39"/>
    <s v="month"/>
    <s v="Active"/>
    <s v="Sunday"/>
  </r>
  <r>
    <n v="172370430"/>
    <d v="2022-12-18T00:00:00"/>
    <d v="2022-12-19T00:00:00"/>
    <x v="1"/>
    <n v="39"/>
    <s v="month"/>
    <n v="1"/>
    <s v="Sunday"/>
  </r>
  <r>
    <n v="122646091"/>
    <d v="2022-12-18T00:00:00"/>
    <d v="2023-03-21T00:00:00"/>
    <x v="0"/>
    <n v="39"/>
    <s v="month"/>
    <n v="93"/>
    <s v="Sunday"/>
  </r>
  <r>
    <n v="171688728"/>
    <d v="2022-12-18T00:00:00"/>
    <d v="2023-01-13T00:00:00"/>
    <x v="0"/>
    <n v="39"/>
    <s v="month"/>
    <n v="26"/>
    <s v="Sunday"/>
  </r>
  <r>
    <n v="173037778"/>
    <d v="2022-12-18T00:00:00"/>
    <d v="2023-01-27T00:00:00"/>
    <x v="0"/>
    <n v="39"/>
    <s v="month"/>
    <n v="40"/>
    <s v="Sunday"/>
  </r>
  <r>
    <n v="139247241"/>
    <d v="2022-12-18T00:00:00"/>
    <d v="2023-01-07T00:00:00"/>
    <x v="0"/>
    <n v="39"/>
    <s v="month"/>
    <n v="20"/>
    <s v="Sunday"/>
  </r>
  <r>
    <n v="138235674"/>
    <d v="2022-12-19T00:00:00"/>
    <s v="Active"/>
    <x v="0"/>
    <n v="39"/>
    <s v="month"/>
    <s v="Active"/>
    <s v="Monday"/>
  </r>
  <r>
    <n v="173832314"/>
    <d v="2022-12-19T00:00:00"/>
    <d v="2023-02-26T00:00:00"/>
    <x v="0"/>
    <n v="39"/>
    <s v="month"/>
    <n v="69"/>
    <s v="Monday"/>
  </r>
  <r>
    <n v="170752898"/>
    <d v="2022-12-19T00:00:00"/>
    <d v="2023-02-23T00:00:00"/>
    <x v="0"/>
    <n v="39"/>
    <s v="month"/>
    <n v="66"/>
    <s v="Monday"/>
  </r>
  <r>
    <n v="172517999"/>
    <d v="2022-12-19T00:00:00"/>
    <d v="2023-01-26T00:00:00"/>
    <x v="0"/>
    <n v="39"/>
    <s v="month"/>
    <n v="38"/>
    <s v="Monday"/>
  </r>
  <r>
    <n v="150779000"/>
    <d v="2022-12-19T00:00:00"/>
    <d v="2023-01-02T00:00:00"/>
    <x v="0"/>
    <n v="39"/>
    <s v="month"/>
    <n v="14"/>
    <s v="Monday"/>
  </r>
  <r>
    <n v="171304646"/>
    <d v="2022-12-19T00:00:00"/>
    <d v="2023-08-26T00:00:00"/>
    <x v="0"/>
    <n v="39"/>
    <s v="month"/>
    <n v="250"/>
    <s v="Monday"/>
  </r>
  <r>
    <n v="168696864"/>
    <d v="2022-12-20T00:00:00"/>
    <s v="Active"/>
    <x v="0"/>
    <n v="39"/>
    <s v="month"/>
    <s v="Active"/>
    <s v="Tuesday"/>
  </r>
  <r>
    <n v="174268714"/>
    <d v="2022-12-20T00:00:00"/>
    <s v="Active"/>
    <x v="0"/>
    <n v="39"/>
    <s v="month"/>
    <s v="Active"/>
    <s v="Tuesday"/>
  </r>
  <r>
    <n v="147022677"/>
    <d v="2022-12-20T00:00:00"/>
    <s v="Active"/>
    <x v="0"/>
    <n v="39"/>
    <s v="month"/>
    <s v="Active"/>
    <s v="Tuesday"/>
  </r>
  <r>
    <n v="156864062"/>
    <d v="2022-12-20T00:00:00"/>
    <d v="2022-12-21T00:00:00"/>
    <x v="1"/>
    <n v="39"/>
    <s v="month"/>
    <n v="1"/>
    <s v="Tuesday"/>
  </r>
  <r>
    <n v="123065349"/>
    <d v="2022-12-20T00:00:00"/>
    <d v="2023-03-27T00:00:00"/>
    <x v="0"/>
    <n v="39"/>
    <s v="month"/>
    <n v="97"/>
    <s v="Tuesday"/>
  </r>
  <r>
    <n v="174258180"/>
    <d v="2022-12-20T00:00:00"/>
    <d v="2023-04-29T00:00:00"/>
    <x v="0"/>
    <n v="39"/>
    <s v="month"/>
    <n v="130"/>
    <s v="Tuesday"/>
  </r>
  <r>
    <n v="174269667"/>
    <d v="2022-12-20T00:00:00"/>
    <d v="2023-03-03T00:00:00"/>
    <x v="0"/>
    <n v="39"/>
    <s v="month"/>
    <n v="73"/>
    <s v="Tuesday"/>
  </r>
  <r>
    <n v="171889946"/>
    <d v="2022-12-20T00:00:00"/>
    <d v="2023-02-10T00:00:00"/>
    <x v="0"/>
    <n v="39"/>
    <s v="month"/>
    <n v="52"/>
    <s v="Tuesday"/>
  </r>
  <r>
    <n v="171613468"/>
    <d v="2022-12-20T00:00:00"/>
    <d v="2023-02-22T00:00:00"/>
    <x v="0"/>
    <n v="39"/>
    <s v="month"/>
    <n v="64"/>
    <s v="Tuesday"/>
  </r>
  <r>
    <n v="122922737"/>
    <d v="2022-12-21T00:00:00"/>
    <s v="Active"/>
    <x v="0"/>
    <n v="39"/>
    <s v="month"/>
    <s v="Active"/>
    <s v="Wednesday"/>
  </r>
  <r>
    <n v="174646924"/>
    <d v="2022-12-21T00:00:00"/>
    <d v="2023-03-28T00:00:00"/>
    <x v="0"/>
    <n v="39"/>
    <s v="month"/>
    <n v="97"/>
    <s v="Wednesday"/>
  </r>
  <r>
    <n v="174264280"/>
    <d v="2022-12-21T00:00:00"/>
    <d v="2023-03-28T00:00:00"/>
    <x v="0"/>
    <n v="39"/>
    <s v="month"/>
    <n v="97"/>
    <s v="Wednesday"/>
  </r>
  <r>
    <n v="174609120"/>
    <d v="2022-12-21T00:00:00"/>
    <d v="2023-03-18T00:00:00"/>
    <x v="0"/>
    <n v="39"/>
    <s v="month"/>
    <n v="87"/>
    <s v="Wednesday"/>
  </r>
  <r>
    <n v="174158995"/>
    <d v="2022-12-21T00:00:00"/>
    <d v="2023-02-25T00:00:00"/>
    <x v="0"/>
    <n v="39"/>
    <s v="month"/>
    <n v="66"/>
    <s v="Wednesday"/>
  </r>
  <r>
    <n v="174484311"/>
    <d v="2022-12-21T00:00:00"/>
    <d v="2023-02-25T00:00:00"/>
    <x v="0"/>
    <n v="39"/>
    <s v="month"/>
    <n v="66"/>
    <s v="Wednesday"/>
  </r>
  <r>
    <n v="169556175"/>
    <d v="2022-12-21T00:00:00"/>
    <d v="2023-01-22T00:00:00"/>
    <x v="0"/>
    <n v="39"/>
    <s v="month"/>
    <n v="32"/>
    <s v="Wednesday"/>
  </r>
  <r>
    <n v="153122282"/>
    <d v="2022-12-21T00:00:00"/>
    <d v="2022-12-21T00:00:00"/>
    <x v="0"/>
    <n v="39"/>
    <s v="month"/>
    <n v="0"/>
    <s v="Wednesday"/>
  </r>
  <r>
    <n v="174576654"/>
    <d v="2022-12-21T00:00:00"/>
    <d v="2023-07-07T00:00:00"/>
    <x v="0"/>
    <n v="39"/>
    <s v="month"/>
    <n v="198"/>
    <s v="Wednesday"/>
  </r>
  <r>
    <n v="154711077"/>
    <d v="2022-12-22T00:00:00"/>
    <s v="Active"/>
    <x v="0"/>
    <n v="39"/>
    <s v="month"/>
    <s v="Active"/>
    <s v="Thursday"/>
  </r>
  <r>
    <n v="163619032"/>
    <d v="2022-12-22T00:00:00"/>
    <s v="Active"/>
    <x v="0"/>
    <n v="39"/>
    <s v="month"/>
    <s v="Active"/>
    <s v="Thursday"/>
  </r>
  <r>
    <n v="171001864"/>
    <d v="2022-12-22T00:00:00"/>
    <s v="Active"/>
    <x v="0"/>
    <n v="39"/>
    <s v="month"/>
    <s v="Active"/>
    <s v="Thursday"/>
  </r>
  <r>
    <n v="151890014"/>
    <d v="2022-12-22T00:00:00"/>
    <s v="Active"/>
    <x v="0"/>
    <n v="39"/>
    <s v="month"/>
    <s v="Active"/>
    <s v="Thursday"/>
  </r>
  <r>
    <n v="158575772"/>
    <d v="2022-12-22T00:00:00"/>
    <d v="2022-12-23T00:00:00"/>
    <x v="0"/>
    <n v="39"/>
    <s v="month"/>
    <n v="1"/>
    <s v="Thursday"/>
  </r>
  <r>
    <n v="164462665"/>
    <d v="2022-12-22T00:00:00"/>
    <d v="2022-12-23T00:00:00"/>
    <x v="1"/>
    <n v="39"/>
    <s v="month"/>
    <n v="1"/>
    <s v="Thursday"/>
  </r>
  <r>
    <n v="121830768"/>
    <d v="2022-12-22T00:00:00"/>
    <d v="2023-01-24T00:00:00"/>
    <x v="0"/>
    <n v="39"/>
    <s v="month"/>
    <n v="33"/>
    <s v="Thursday"/>
  </r>
  <r>
    <n v="174605216"/>
    <d v="2022-12-22T00:00:00"/>
    <d v="2023-05-12T00:00:00"/>
    <x v="0"/>
    <n v="39"/>
    <s v="month"/>
    <n v="141"/>
    <s v="Thursday"/>
  </r>
  <r>
    <n v="174655316"/>
    <d v="2022-12-22T00:00:00"/>
    <d v="2023-03-15T00:00:00"/>
    <x v="0"/>
    <n v="39"/>
    <s v="month"/>
    <n v="83"/>
    <s v="Thursday"/>
  </r>
  <r>
    <n v="174622570"/>
    <d v="2022-12-22T00:00:00"/>
    <d v="2023-01-01T00:00:00"/>
    <x v="0"/>
    <n v="39"/>
    <s v="month"/>
    <n v="10"/>
    <s v="Thursday"/>
  </r>
  <r>
    <n v="174720005"/>
    <d v="2022-12-22T00:00:00"/>
    <d v="2022-12-23T00:00:00"/>
    <x v="0"/>
    <n v="39"/>
    <s v="month"/>
    <n v="1"/>
    <s v="Thursday"/>
  </r>
  <r>
    <n v="174696512"/>
    <d v="2022-12-23T00:00:00"/>
    <s v="Active"/>
    <x v="0"/>
    <n v="39"/>
    <s v="month"/>
    <s v="Active"/>
    <s v="Friday"/>
  </r>
  <r>
    <n v="175314293"/>
    <d v="2022-12-23T00:00:00"/>
    <s v="Active"/>
    <x v="0"/>
    <n v="39"/>
    <s v="month"/>
    <s v="Active"/>
    <s v="Friday"/>
  </r>
  <r>
    <n v="175451863"/>
    <d v="2022-12-23T00:00:00"/>
    <d v="2023-03-20T00:00:00"/>
    <x v="0"/>
    <n v="39"/>
    <s v="month"/>
    <n v="87"/>
    <s v="Friday"/>
  </r>
  <r>
    <n v="174752844"/>
    <d v="2022-12-23T00:00:00"/>
    <d v="2023-01-30T00:00:00"/>
    <x v="0"/>
    <n v="39"/>
    <s v="month"/>
    <n v="38"/>
    <s v="Friday"/>
  </r>
  <r>
    <n v="175431141"/>
    <d v="2022-12-24T00:00:00"/>
    <s v="Active"/>
    <x v="0"/>
    <n v="39"/>
    <s v="month"/>
    <s v="Active"/>
    <s v="Saturday"/>
  </r>
  <r>
    <n v="132228678"/>
    <d v="2022-12-24T00:00:00"/>
    <d v="2022-12-24T00:00:00"/>
    <x v="0"/>
    <n v="39"/>
    <s v="month"/>
    <n v="0"/>
    <s v="Saturday"/>
  </r>
  <r>
    <n v="161151062"/>
    <d v="2022-12-24T00:00:00"/>
    <d v="2023-04-19T00:00:00"/>
    <x v="0"/>
    <n v="39"/>
    <s v="month"/>
    <n v="116"/>
    <s v="Saturday"/>
  </r>
  <r>
    <n v="167653319"/>
    <d v="2022-12-24T00:00:00"/>
    <d v="2023-03-13T00:00:00"/>
    <x v="0"/>
    <n v="39"/>
    <s v="month"/>
    <n v="79"/>
    <s v="Saturday"/>
  </r>
  <r>
    <n v="171659515"/>
    <d v="2022-12-24T00:00:00"/>
    <d v="2023-01-23T00:00:00"/>
    <x v="0"/>
    <n v="39"/>
    <s v="month"/>
    <n v="30"/>
    <s v="Saturday"/>
  </r>
  <r>
    <n v="175720159"/>
    <d v="2022-12-24T00:00:00"/>
    <d v="2023-01-09T00:00:00"/>
    <x v="0"/>
    <n v="39"/>
    <s v="month"/>
    <n v="16"/>
    <s v="Saturday"/>
  </r>
  <r>
    <n v="170593141"/>
    <d v="2022-12-24T00:00:00"/>
    <d v="2023-01-08T00:00:00"/>
    <x v="0"/>
    <n v="39"/>
    <s v="month"/>
    <n v="15"/>
    <s v="Saturday"/>
  </r>
  <r>
    <n v="173981170"/>
    <d v="2022-12-24T00:00:00"/>
    <d v="2022-12-25T00:00:00"/>
    <x v="0"/>
    <n v="39"/>
    <s v="month"/>
    <n v="1"/>
    <s v="Saturday"/>
  </r>
  <r>
    <n v="175166391"/>
    <d v="2022-12-25T00:00:00"/>
    <s v="Active"/>
    <x v="0"/>
    <n v="39"/>
    <s v="month"/>
    <s v="Active"/>
    <s v="Sunday"/>
  </r>
  <r>
    <n v="161175048"/>
    <d v="2022-12-25T00:00:00"/>
    <d v="2023-02-22T00:00:00"/>
    <x v="0"/>
    <n v="39"/>
    <s v="month"/>
    <n v="59"/>
    <s v="Sunday"/>
  </r>
  <r>
    <n v="164254865"/>
    <d v="2022-12-25T00:00:00"/>
    <d v="2023-01-24T00:00:00"/>
    <x v="0"/>
    <n v="39"/>
    <s v="month"/>
    <n v="30"/>
    <s v="Sunday"/>
  </r>
  <r>
    <n v="143248615"/>
    <d v="2022-12-26T00:00:00"/>
    <s v="Active"/>
    <x v="0"/>
    <n v="39"/>
    <s v="month"/>
    <s v="Active"/>
    <s v="Monday"/>
  </r>
  <r>
    <n v="176032070"/>
    <d v="2022-12-26T00:00:00"/>
    <d v="2023-01-14T00:00:00"/>
    <x v="0"/>
    <n v="39"/>
    <s v="month"/>
    <n v="19"/>
    <s v="Monday"/>
  </r>
  <r>
    <n v="174132333"/>
    <d v="2022-12-27T00:00:00"/>
    <s v="Active"/>
    <x v="0"/>
    <n v="39"/>
    <s v="month"/>
    <s v="Active"/>
    <s v="Tuesday"/>
  </r>
  <r>
    <n v="177051147"/>
    <d v="2022-12-27T00:00:00"/>
    <d v="2022-12-28T00:00:00"/>
    <x v="0"/>
    <n v="39"/>
    <s v="month"/>
    <n v="1"/>
    <s v="Tuesday"/>
  </r>
  <r>
    <n v="176571319"/>
    <d v="2022-12-27T00:00:00"/>
    <d v="2023-04-01T00:00:00"/>
    <x v="0"/>
    <n v="39"/>
    <s v="month"/>
    <n v="95"/>
    <s v="Tuesday"/>
  </r>
  <r>
    <n v="166932902"/>
    <d v="2022-12-27T00:00:00"/>
    <d v="2023-03-06T00:00:00"/>
    <x v="0"/>
    <n v="39"/>
    <s v="month"/>
    <n v="69"/>
    <s v="Tuesday"/>
  </r>
  <r>
    <n v="175851244"/>
    <d v="2022-12-27T00:00:00"/>
    <d v="2023-02-03T00:00:00"/>
    <x v="0"/>
    <n v="39"/>
    <s v="month"/>
    <n v="38"/>
    <s v="Tuesday"/>
  </r>
  <r>
    <n v="155613371"/>
    <d v="2022-12-27T00:00:00"/>
    <d v="2023-02-03T00:00:00"/>
    <x v="0"/>
    <n v="39"/>
    <s v="month"/>
    <n v="38"/>
    <s v="Tuesday"/>
  </r>
  <r>
    <n v="167678290"/>
    <d v="2022-12-27T00:00:00"/>
    <d v="2023-01-27T00:00:00"/>
    <x v="0"/>
    <n v="39"/>
    <s v="month"/>
    <n v="31"/>
    <s v="Tuesday"/>
  </r>
  <r>
    <n v="176995917"/>
    <d v="2022-12-27T00:00:00"/>
    <d v="2023-06-29T00:00:00"/>
    <x v="0"/>
    <n v="39"/>
    <s v="month"/>
    <n v="184"/>
    <s v="Tuesday"/>
  </r>
  <r>
    <n v="161187523"/>
    <d v="2022-12-27T00:00:00"/>
    <d v="2023-07-19T00:00:00"/>
    <x v="0"/>
    <n v="39"/>
    <s v="month"/>
    <n v="204"/>
    <s v="Tuesday"/>
  </r>
  <r>
    <n v="175884318"/>
    <d v="2022-12-28T00:00:00"/>
    <d v="2023-01-14T00:00:00"/>
    <x v="0"/>
    <n v="39"/>
    <s v="month"/>
    <n v="17"/>
    <s v="Wednesday"/>
  </r>
  <r>
    <n v="173911972"/>
    <d v="2022-12-28T00:00:00"/>
    <d v="2023-04-24T00:00:00"/>
    <x v="0"/>
    <n v="39"/>
    <s v="month"/>
    <n v="117"/>
    <s v="Wednesday"/>
  </r>
  <r>
    <n v="177696301"/>
    <d v="2022-12-28T00:00:00"/>
    <d v="2023-05-27T00:00:00"/>
    <x v="0"/>
    <n v="39"/>
    <s v="month"/>
    <n v="150"/>
    <s v="Wednesday"/>
  </r>
  <r>
    <n v="165744582"/>
    <d v="2022-12-28T00:00:00"/>
    <d v="2023-02-12T00:00:00"/>
    <x v="0"/>
    <n v="39"/>
    <s v="month"/>
    <n v="46"/>
    <s v="Wednesday"/>
  </r>
  <r>
    <n v="177323966"/>
    <d v="2022-12-28T00:00:00"/>
    <d v="2022-12-28T00:00:00"/>
    <x v="0"/>
    <n v="39"/>
    <s v="month"/>
    <n v="0"/>
    <s v="Wednesday"/>
  </r>
  <r>
    <n v="178355844"/>
    <d v="2022-12-29T00:00:00"/>
    <s v="Active"/>
    <x v="0"/>
    <n v="39"/>
    <s v="month"/>
    <s v="Active"/>
    <s v="Thursday"/>
  </r>
  <r>
    <n v="176989743"/>
    <d v="2022-12-29T00:00:00"/>
    <s v="Active"/>
    <x v="0"/>
    <n v="39"/>
    <s v="month"/>
    <s v="Active"/>
    <s v="Thursday"/>
  </r>
  <r>
    <n v="177971827"/>
    <d v="2022-12-29T00:00:00"/>
    <s v="Active"/>
    <x v="0"/>
    <n v="39"/>
    <s v="month"/>
    <s v="Active"/>
    <s v="Thursday"/>
  </r>
  <r>
    <n v="131147038"/>
    <d v="2022-12-29T00:00:00"/>
    <d v="2023-02-13T00:00:00"/>
    <x v="0"/>
    <n v="39"/>
    <s v="month"/>
    <n v="46"/>
    <s v="Thursday"/>
  </r>
  <r>
    <n v="152142457"/>
    <d v="2022-12-29T00:00:00"/>
    <d v="2023-02-12T00:00:00"/>
    <x v="0"/>
    <n v="39"/>
    <s v="month"/>
    <n v="45"/>
    <s v="Thursday"/>
  </r>
  <r>
    <n v="174293226"/>
    <d v="2022-12-29T00:00:00"/>
    <d v="2023-06-06T00:00:00"/>
    <x v="0"/>
    <n v="39"/>
    <s v="month"/>
    <n v="159"/>
    <s v="Thursday"/>
  </r>
  <r>
    <n v="177051147"/>
    <d v="2022-12-29T00:00:00"/>
    <d v="2023-03-27T00:00:00"/>
    <x v="0"/>
    <n v="39"/>
    <s v="month"/>
    <n v="88"/>
    <s v="Thursday"/>
  </r>
  <r>
    <n v="177963240"/>
    <d v="2022-12-29T00:00:00"/>
    <d v="2023-01-27T00:00:00"/>
    <x v="0"/>
    <n v="39"/>
    <s v="month"/>
    <n v="29"/>
    <s v="Thursday"/>
  </r>
  <r>
    <n v="176639972"/>
    <d v="2022-12-29T00:00:00"/>
    <d v="2023-01-28T00:00:00"/>
    <x v="0"/>
    <n v="39"/>
    <s v="month"/>
    <n v="30"/>
    <s v="Thursday"/>
  </r>
  <r>
    <n v="175818000"/>
    <d v="2022-12-30T00:00:00"/>
    <d v="2023-06-09T00:00:00"/>
    <x v="0"/>
    <n v="39"/>
    <s v="month"/>
    <n v="161"/>
    <s v="Friday"/>
  </r>
  <r>
    <n v="117856836"/>
    <d v="2022-12-30T00:00:00"/>
    <d v="2023-02-02T00:00:00"/>
    <x v="0"/>
    <n v="39"/>
    <s v="month"/>
    <n v="34"/>
    <s v="Friday"/>
  </r>
  <r>
    <n v="177266058"/>
    <d v="2022-12-30T00:00:00"/>
    <d v="2023-04-06T00:00:00"/>
    <x v="0"/>
    <n v="39"/>
    <s v="month"/>
    <n v="97"/>
    <s v="Friday"/>
  </r>
  <r>
    <n v="174203866"/>
    <d v="2022-12-30T00:00:00"/>
    <d v="2023-02-28T00:00:00"/>
    <x v="0"/>
    <n v="39"/>
    <s v="month"/>
    <n v="60"/>
    <s v="Friday"/>
  </r>
  <r>
    <n v="174991614"/>
    <d v="2022-12-30T00:00:00"/>
    <d v="2023-01-30T00:00:00"/>
    <x v="0"/>
    <n v="39"/>
    <s v="month"/>
    <n v="31"/>
    <s v="Friday"/>
  </r>
  <r>
    <n v="175354348"/>
    <d v="2022-12-30T00:00:00"/>
    <d v="2023-01-21T00:00:00"/>
    <x v="0"/>
    <n v="39"/>
    <s v="month"/>
    <n v="22"/>
    <s v="Friday"/>
  </r>
  <r>
    <n v="176573512"/>
    <d v="2022-12-30T00:00:00"/>
    <d v="2023-07-03T00:00:00"/>
    <x v="0"/>
    <n v="39"/>
    <s v="month"/>
    <n v="185"/>
    <s v="Friday"/>
  </r>
  <r>
    <n v="178379352"/>
    <d v="2022-12-31T00:00:00"/>
    <d v="2023-01-02T00:00:00"/>
    <x v="0"/>
    <n v="39"/>
    <s v="month"/>
    <n v="2"/>
    <s v="Saturday"/>
  </r>
  <r>
    <n v="152980676"/>
    <d v="2022-12-31T00:00:00"/>
    <d v="2023-01-21T00:00:00"/>
    <x v="0"/>
    <n v="39"/>
    <s v="month"/>
    <n v="21"/>
    <s v="Saturday"/>
  </r>
  <r>
    <n v="179551652"/>
    <d v="2022-12-31T00:00:00"/>
    <d v="2023-05-07T00:00:00"/>
    <x v="0"/>
    <n v="39"/>
    <s v="month"/>
    <n v="127"/>
    <s v="Saturday"/>
  </r>
  <r>
    <n v="175899028"/>
    <d v="2022-12-31T00:00:00"/>
    <d v="2023-03-24T00:00:00"/>
    <x v="0"/>
    <n v="39"/>
    <s v="month"/>
    <n v="83"/>
    <s v="Saturday"/>
  </r>
  <r>
    <n v="148427368"/>
    <d v="2022-12-31T00:00:00"/>
    <d v="2023-02-07T00:00:00"/>
    <x v="0"/>
    <n v="39"/>
    <s v="month"/>
    <n v="38"/>
    <s v="Saturday"/>
  </r>
  <r>
    <n v="149335749"/>
    <d v="2022-12-31T00:00:00"/>
    <d v="2023-01-30T00:00:00"/>
    <x v="0"/>
    <n v="39"/>
    <s v="month"/>
    <n v="30"/>
    <s v="Saturday"/>
  </r>
  <r>
    <n v="179395204"/>
    <d v="2022-12-31T00:00:00"/>
    <d v="2023-01-16T00:00:00"/>
    <x v="0"/>
    <n v="39"/>
    <s v="month"/>
    <n v="16"/>
    <s v="Saturday"/>
  </r>
  <r>
    <n v="150870576"/>
    <d v="2023-01-01T00:00:00"/>
    <d v="2023-06-15T00:00:00"/>
    <x v="0"/>
    <n v="39"/>
    <s v="month"/>
    <n v="165"/>
    <s v="Sunday"/>
  </r>
  <r>
    <n v="176200716"/>
    <d v="2023-01-01T00:00:00"/>
    <d v="2023-04-24T00:00:00"/>
    <x v="0"/>
    <n v="39"/>
    <s v="month"/>
    <n v="113"/>
    <s v="Sunday"/>
  </r>
  <r>
    <n v="178097351"/>
    <d v="2023-01-01T00:00:00"/>
    <d v="2023-02-08T00:00:00"/>
    <x v="0"/>
    <n v="39"/>
    <s v="month"/>
    <n v="38"/>
    <s v="Sunday"/>
  </r>
  <r>
    <n v="177238262"/>
    <d v="2023-01-02T00:00:00"/>
    <s v="Active"/>
    <x v="0"/>
    <n v="39"/>
    <s v="month"/>
    <s v="Active"/>
    <s v="Monday"/>
  </r>
  <r>
    <n v="173131478"/>
    <d v="2023-01-02T00:00:00"/>
    <s v="Active"/>
    <x v="0"/>
    <n v="39"/>
    <s v="month"/>
    <s v="Active"/>
    <s v="Monday"/>
  </r>
  <r>
    <n v="180123121"/>
    <d v="2023-01-02T00:00:00"/>
    <d v="2023-01-02T00:00:00"/>
    <x v="1"/>
    <n v="39"/>
    <s v="month"/>
    <n v="0"/>
    <s v="Monday"/>
  </r>
  <r>
    <n v="139136640"/>
    <d v="2023-01-02T00:00:00"/>
    <d v="2023-03-09T00:00:00"/>
    <x v="0"/>
    <n v="39"/>
    <s v="month"/>
    <n v="66"/>
    <s v="Monday"/>
  </r>
  <r>
    <n v="172951272"/>
    <d v="2023-01-02T00:00:00"/>
    <d v="2023-05-06T00:00:00"/>
    <x v="0"/>
    <n v="39"/>
    <s v="month"/>
    <n v="124"/>
    <s v="Monday"/>
  </r>
  <r>
    <n v="175473611"/>
    <d v="2023-01-02T00:00:00"/>
    <d v="2023-04-23T00:00:00"/>
    <x v="0"/>
    <n v="39"/>
    <s v="month"/>
    <n v="111"/>
    <s v="Monday"/>
  </r>
  <r>
    <n v="170776130"/>
    <d v="2023-01-02T00:00:00"/>
    <d v="2023-04-18T00:00:00"/>
    <x v="0"/>
    <n v="39"/>
    <s v="month"/>
    <n v="106"/>
    <s v="Monday"/>
  </r>
  <r>
    <n v="180558466"/>
    <d v="2023-01-02T00:00:00"/>
    <d v="2023-03-24T00:00:00"/>
    <x v="0"/>
    <n v="39"/>
    <s v="month"/>
    <n v="81"/>
    <s v="Monday"/>
  </r>
  <r>
    <n v="171398636"/>
    <d v="2023-01-02T00:00:00"/>
    <d v="2023-03-10T00:00:00"/>
    <x v="0"/>
    <n v="39"/>
    <s v="month"/>
    <n v="67"/>
    <s v="Monday"/>
  </r>
  <r>
    <n v="180424776"/>
    <d v="2023-01-02T00:00:00"/>
    <d v="2023-03-19T00:00:00"/>
    <x v="0"/>
    <n v="39"/>
    <s v="month"/>
    <n v="76"/>
    <s v="Monday"/>
  </r>
  <r>
    <n v="180198528"/>
    <d v="2023-01-02T00:00:00"/>
    <d v="2023-02-09T00:00:00"/>
    <x v="0"/>
    <n v="39"/>
    <s v="month"/>
    <n v="38"/>
    <s v="Monday"/>
  </r>
  <r>
    <n v="124634385"/>
    <d v="2023-01-03T00:00:00"/>
    <s v="Active"/>
    <x v="0"/>
    <n v="39"/>
    <s v="month"/>
    <s v="Active"/>
    <s v="Tuesday"/>
  </r>
  <r>
    <n v="180740092"/>
    <d v="2023-01-03T00:00:00"/>
    <s v="Active"/>
    <x v="0"/>
    <n v="39"/>
    <s v="month"/>
    <s v="Active"/>
    <s v="Tuesday"/>
  </r>
  <r>
    <n v="144385898"/>
    <d v="2023-01-03T00:00:00"/>
    <d v="2023-07-03T00:00:00"/>
    <x v="0"/>
    <n v="39"/>
    <s v="month"/>
    <n v="181"/>
    <s v="Tuesday"/>
  </r>
  <r>
    <n v="175138132"/>
    <d v="2023-01-03T00:00:00"/>
    <d v="2023-04-23T00:00:00"/>
    <x v="0"/>
    <n v="39"/>
    <s v="month"/>
    <n v="110"/>
    <s v="Tuesday"/>
  </r>
  <r>
    <n v="180968287"/>
    <d v="2023-01-03T00:00:00"/>
    <d v="2023-03-27T00:00:00"/>
    <x v="0"/>
    <n v="39"/>
    <s v="month"/>
    <n v="83"/>
    <s v="Tuesday"/>
  </r>
  <r>
    <n v="180959934"/>
    <d v="2023-01-03T00:00:00"/>
    <d v="2023-03-08T00:00:00"/>
    <x v="0"/>
    <n v="39"/>
    <s v="month"/>
    <n v="64"/>
    <s v="Tuesday"/>
  </r>
  <r>
    <n v="176445635"/>
    <d v="2023-01-03T00:00:00"/>
    <d v="2023-02-18T00:00:00"/>
    <x v="0"/>
    <n v="39"/>
    <s v="month"/>
    <n v="46"/>
    <s v="Tuesday"/>
  </r>
  <r>
    <n v="180798046"/>
    <d v="2023-01-03T00:00:00"/>
    <d v="2023-01-31T00:00:00"/>
    <x v="0"/>
    <n v="39"/>
    <s v="month"/>
    <n v="28"/>
    <s v="Tuesday"/>
  </r>
  <r>
    <n v="180718702"/>
    <d v="2023-01-03T00:00:00"/>
    <d v="2023-01-25T00:00:00"/>
    <x v="0"/>
    <n v="39"/>
    <s v="month"/>
    <n v="22"/>
    <s v="Tuesday"/>
  </r>
  <r>
    <n v="181052392"/>
    <d v="2023-01-03T00:00:00"/>
    <d v="2023-08-23T00:00:00"/>
    <x v="0"/>
    <n v="39"/>
    <s v="month"/>
    <n v="232"/>
    <s v="Tuesday"/>
  </r>
  <r>
    <n v="181717508"/>
    <d v="2023-01-04T00:00:00"/>
    <s v="Active"/>
    <x v="0"/>
    <n v="39"/>
    <s v="month"/>
    <s v="Active"/>
    <s v="Wednesday"/>
  </r>
  <r>
    <n v="163103592"/>
    <d v="2023-01-04T00:00:00"/>
    <d v="2023-01-05T00:00:00"/>
    <x v="1"/>
    <n v="39"/>
    <s v="month"/>
    <n v="1"/>
    <s v="Wednesday"/>
  </r>
  <r>
    <n v="146860806"/>
    <d v="2023-01-04T00:00:00"/>
    <d v="2023-03-04T00:00:00"/>
    <x v="0"/>
    <n v="39"/>
    <s v="month"/>
    <n v="59"/>
    <s v="Wednesday"/>
  </r>
  <r>
    <n v="160532210"/>
    <d v="2023-01-04T00:00:00"/>
    <d v="2023-02-12T00:00:00"/>
    <x v="0"/>
    <n v="39"/>
    <s v="month"/>
    <n v="39"/>
    <s v="Wednesday"/>
  </r>
  <r>
    <n v="181003342"/>
    <d v="2023-01-04T00:00:00"/>
    <d v="2023-02-28T00:00:00"/>
    <x v="0"/>
    <n v="39"/>
    <s v="month"/>
    <n v="55"/>
    <s v="Wednesday"/>
  </r>
  <r>
    <n v="178661698"/>
    <d v="2023-01-04T00:00:00"/>
    <d v="2023-07-11T00:00:00"/>
    <x v="0"/>
    <n v="39"/>
    <s v="month"/>
    <n v="188"/>
    <s v="Wednesday"/>
  </r>
  <r>
    <n v="178928897"/>
    <d v="2023-01-05T00:00:00"/>
    <s v="Active"/>
    <x v="0"/>
    <n v="39"/>
    <s v="month"/>
    <s v="Active"/>
    <s v="Thursday"/>
  </r>
  <r>
    <n v="181840814"/>
    <d v="2023-01-05T00:00:00"/>
    <s v="Active"/>
    <x v="0"/>
    <n v="39"/>
    <s v="month"/>
    <s v="Active"/>
    <s v="Thursday"/>
  </r>
  <r>
    <n v="166930287"/>
    <d v="2023-01-05T00:00:00"/>
    <d v="2023-01-06T00:00:00"/>
    <x v="1"/>
    <n v="39"/>
    <s v="month"/>
    <n v="1"/>
    <s v="Thursday"/>
  </r>
  <r>
    <n v="155956314"/>
    <d v="2023-01-05T00:00:00"/>
    <d v="2023-01-05T00:00:00"/>
    <x v="1"/>
    <n v="39"/>
    <s v="month"/>
    <n v="0"/>
    <s v="Thursday"/>
  </r>
  <r>
    <n v="182408564"/>
    <d v="2023-01-05T00:00:00"/>
    <d v="2023-05-04T00:00:00"/>
    <x v="0"/>
    <n v="39"/>
    <s v="month"/>
    <n v="119"/>
    <s v="Thursday"/>
  </r>
  <r>
    <n v="182295766"/>
    <d v="2023-01-05T00:00:00"/>
    <d v="2023-03-12T00:00:00"/>
    <x v="0"/>
    <n v="39"/>
    <s v="month"/>
    <n v="66"/>
    <s v="Thursday"/>
  </r>
  <r>
    <n v="155881023"/>
    <d v="2023-01-05T00:00:00"/>
    <d v="2023-03-02T00:00:00"/>
    <x v="0"/>
    <n v="39"/>
    <s v="month"/>
    <n v="56"/>
    <s v="Thursday"/>
  </r>
  <r>
    <n v="152750569"/>
    <d v="2023-01-05T00:00:00"/>
    <d v="2023-02-12T00:00:00"/>
    <x v="0"/>
    <n v="39"/>
    <s v="month"/>
    <n v="38"/>
    <s v="Thursday"/>
  </r>
  <r>
    <n v="178345451"/>
    <d v="2023-01-05T00:00:00"/>
    <d v="2023-02-12T00:00:00"/>
    <x v="0"/>
    <n v="39"/>
    <s v="month"/>
    <n v="38"/>
    <s v="Thursday"/>
  </r>
  <r>
    <n v="179758181"/>
    <d v="2023-01-06T00:00:00"/>
    <s v="Active"/>
    <x v="0"/>
    <n v="39"/>
    <s v="month"/>
    <s v="Active"/>
    <s v="Friday"/>
  </r>
  <r>
    <n v="167266048"/>
    <d v="2023-01-06T00:00:00"/>
    <s v="Active"/>
    <x v="0"/>
    <n v="39"/>
    <s v="month"/>
    <s v="Active"/>
    <s v="Friday"/>
  </r>
  <r>
    <n v="182719870"/>
    <d v="2023-01-06T00:00:00"/>
    <d v="2023-05-04T00:00:00"/>
    <x v="0"/>
    <n v="39"/>
    <s v="month"/>
    <n v="118"/>
    <s v="Friday"/>
  </r>
  <r>
    <n v="182408430"/>
    <d v="2023-01-06T00:00:00"/>
    <d v="2023-05-10T00:00:00"/>
    <x v="0"/>
    <n v="39"/>
    <s v="month"/>
    <n v="124"/>
    <s v="Friday"/>
  </r>
  <r>
    <n v="181072524"/>
    <d v="2023-01-06T00:00:00"/>
    <d v="2023-06-30T00:00:00"/>
    <x v="0"/>
    <n v="39"/>
    <s v="month"/>
    <n v="175"/>
    <s v="Friday"/>
  </r>
  <r>
    <n v="182747824"/>
    <d v="2023-01-06T00:00:00"/>
    <d v="2023-04-13T00:00:00"/>
    <x v="0"/>
    <n v="39"/>
    <s v="month"/>
    <n v="97"/>
    <s v="Friday"/>
  </r>
  <r>
    <n v="182700534"/>
    <d v="2023-01-06T00:00:00"/>
    <d v="2023-03-26T00:00:00"/>
    <x v="0"/>
    <n v="39"/>
    <s v="month"/>
    <n v="79"/>
    <s v="Friday"/>
  </r>
  <r>
    <n v="182727349"/>
    <d v="2023-01-06T00:00:00"/>
    <d v="2023-02-06T00:00:00"/>
    <x v="0"/>
    <n v="39"/>
    <s v="month"/>
    <n v="31"/>
    <s v="Friday"/>
  </r>
  <r>
    <n v="182636324"/>
    <d v="2023-01-06T00:00:00"/>
    <d v="2023-02-03T00:00:00"/>
    <x v="0"/>
    <n v="39"/>
    <s v="month"/>
    <n v="28"/>
    <s v="Friday"/>
  </r>
  <r>
    <n v="170485769"/>
    <d v="2023-01-06T00:00:00"/>
    <d v="2023-01-06T00:00:00"/>
    <x v="0"/>
    <n v="39"/>
    <s v="month"/>
    <n v="0"/>
    <s v="Friday"/>
  </r>
  <r>
    <n v="182627508"/>
    <d v="2023-01-06T00:00:00"/>
    <d v="2023-01-06T00:00:00"/>
    <x v="0"/>
    <n v="39"/>
    <s v="month"/>
    <n v="0"/>
    <s v="Friday"/>
  </r>
  <r>
    <n v="182834016"/>
    <d v="2023-01-07T00:00:00"/>
    <d v="2023-06-14T00:00:00"/>
    <x v="0"/>
    <n v="39"/>
    <s v="month"/>
    <n v="158"/>
    <s v="Saturday"/>
  </r>
  <r>
    <n v="163535855"/>
    <d v="2023-01-07T00:00:00"/>
    <d v="2023-06-21T00:00:00"/>
    <x v="0"/>
    <n v="39"/>
    <s v="month"/>
    <n v="165"/>
    <s v="Saturday"/>
  </r>
  <r>
    <n v="183002853"/>
    <d v="2023-01-07T00:00:00"/>
    <d v="2023-04-08T00:00:00"/>
    <x v="0"/>
    <n v="39"/>
    <s v="month"/>
    <n v="91"/>
    <s v="Saturday"/>
  </r>
  <r>
    <n v="148338824"/>
    <d v="2023-01-07T00:00:00"/>
    <d v="2023-02-07T00:00:00"/>
    <x v="0"/>
    <n v="39"/>
    <s v="month"/>
    <n v="31"/>
    <s v="Saturday"/>
  </r>
  <r>
    <n v="181712692"/>
    <d v="2023-01-07T00:00:00"/>
    <d v="2023-01-07T00:00:00"/>
    <x v="0"/>
    <n v="39"/>
    <s v="month"/>
    <n v="0"/>
    <s v="Saturday"/>
  </r>
  <r>
    <n v="181770777"/>
    <d v="2023-01-08T00:00:00"/>
    <s v="Active"/>
    <x v="0"/>
    <n v="39"/>
    <s v="month"/>
    <s v="Active"/>
    <s v="Sunday"/>
  </r>
  <r>
    <n v="161269602"/>
    <d v="2023-01-08T00:00:00"/>
    <d v="2023-01-08T00:00:00"/>
    <x v="0"/>
    <n v="39"/>
    <s v="month"/>
    <n v="0"/>
    <s v="Sunday"/>
  </r>
  <r>
    <n v="145799416"/>
    <d v="2023-01-08T00:00:00"/>
    <d v="2023-02-10T00:00:00"/>
    <x v="0"/>
    <n v="39"/>
    <s v="month"/>
    <n v="33"/>
    <s v="Sunday"/>
  </r>
  <r>
    <n v="182753953"/>
    <d v="2023-01-08T00:00:00"/>
    <d v="2023-04-03T00:00:00"/>
    <x v="0"/>
    <n v="39"/>
    <s v="month"/>
    <n v="85"/>
    <s v="Sunday"/>
  </r>
  <r>
    <n v="162944728"/>
    <d v="2023-01-08T00:00:00"/>
    <d v="2023-03-01T00:00:00"/>
    <x v="0"/>
    <n v="39"/>
    <s v="month"/>
    <n v="52"/>
    <s v="Sunday"/>
  </r>
  <r>
    <n v="161249852"/>
    <d v="2023-01-08T00:00:00"/>
    <d v="2023-01-15T00:00:00"/>
    <x v="0"/>
    <n v="39"/>
    <s v="month"/>
    <n v="7"/>
    <s v="Sunday"/>
  </r>
  <r>
    <n v="183916833"/>
    <d v="2023-01-09T00:00:00"/>
    <s v="Active"/>
    <x v="0"/>
    <n v="39"/>
    <s v="month"/>
    <s v="Active"/>
    <s v="Monday"/>
  </r>
  <r>
    <n v="169141612"/>
    <d v="2023-01-09T00:00:00"/>
    <d v="2023-01-10T00:00:00"/>
    <x v="1"/>
    <n v="39"/>
    <s v="month"/>
    <n v="1"/>
    <s v="Monday"/>
  </r>
  <r>
    <n v="128768010"/>
    <d v="2023-01-09T00:00:00"/>
    <d v="2023-01-12T00:00:00"/>
    <x v="0"/>
    <n v="39"/>
    <s v="month"/>
    <n v="3"/>
    <s v="Monday"/>
  </r>
  <r>
    <n v="138520918"/>
    <d v="2023-01-09T00:00:00"/>
    <d v="2023-01-09T00:00:00"/>
    <x v="0"/>
    <n v="39"/>
    <s v="month"/>
    <n v="0"/>
    <s v="Monday"/>
  </r>
  <r>
    <n v="162946328"/>
    <d v="2023-01-09T00:00:00"/>
    <d v="2023-05-08T00:00:00"/>
    <x v="0"/>
    <n v="39"/>
    <s v="month"/>
    <n v="119"/>
    <s v="Monday"/>
  </r>
  <r>
    <n v="182929556"/>
    <d v="2023-01-09T00:00:00"/>
    <d v="2023-04-10T00:00:00"/>
    <x v="0"/>
    <n v="39"/>
    <s v="month"/>
    <n v="91"/>
    <s v="Monday"/>
  </r>
  <r>
    <n v="153704184"/>
    <d v="2023-01-09T00:00:00"/>
    <d v="2023-04-08T00:00:00"/>
    <x v="0"/>
    <n v="39"/>
    <s v="month"/>
    <n v="89"/>
    <s v="Monday"/>
  </r>
  <r>
    <n v="136326172"/>
    <d v="2023-01-09T00:00:00"/>
    <d v="2023-03-08T00:00:00"/>
    <x v="0"/>
    <n v="39"/>
    <s v="month"/>
    <n v="58"/>
    <s v="Monday"/>
  </r>
  <r>
    <n v="182505210"/>
    <d v="2023-01-09T00:00:00"/>
    <d v="2023-02-08T00:00:00"/>
    <x v="0"/>
    <n v="39"/>
    <s v="month"/>
    <n v="30"/>
    <s v="Monday"/>
  </r>
  <r>
    <n v="184370857"/>
    <d v="2023-01-10T00:00:00"/>
    <s v="Active"/>
    <x v="0"/>
    <n v="39"/>
    <s v="month"/>
    <s v="Active"/>
    <s v="Tuesday"/>
  </r>
  <r>
    <n v="184310344"/>
    <d v="2023-01-10T00:00:00"/>
    <d v="2023-04-11T00:00:00"/>
    <x v="0"/>
    <n v="39"/>
    <s v="month"/>
    <n v="91"/>
    <s v="Tuesday"/>
  </r>
  <r>
    <n v="183346055"/>
    <d v="2023-01-10T00:00:00"/>
    <d v="2023-03-17T00:00:00"/>
    <x v="0"/>
    <n v="39"/>
    <s v="month"/>
    <n v="66"/>
    <s v="Tuesday"/>
  </r>
  <r>
    <n v="178952278"/>
    <d v="2023-01-10T00:00:00"/>
    <d v="2023-03-11T00:00:00"/>
    <x v="0"/>
    <n v="39"/>
    <s v="month"/>
    <n v="60"/>
    <s v="Tuesday"/>
  </r>
  <r>
    <n v="184345202"/>
    <d v="2023-01-10T00:00:00"/>
    <d v="2023-02-23T00:00:00"/>
    <x v="0"/>
    <n v="39"/>
    <s v="month"/>
    <n v="44"/>
    <s v="Tuesday"/>
  </r>
  <r>
    <n v="182837162"/>
    <d v="2023-01-10T00:00:00"/>
    <d v="2023-02-05T00:00:00"/>
    <x v="0"/>
    <n v="39"/>
    <s v="month"/>
    <n v="26"/>
    <s v="Tuesday"/>
  </r>
  <r>
    <n v="182927038"/>
    <d v="2023-01-10T00:00:00"/>
    <d v="2023-02-18T00:00:00"/>
    <x v="0"/>
    <n v="39"/>
    <s v="month"/>
    <n v="39"/>
    <s v="Tuesday"/>
  </r>
  <r>
    <n v="181739784"/>
    <d v="2023-01-10T00:00:00"/>
    <d v="2023-02-08T00:00:00"/>
    <x v="0"/>
    <n v="39"/>
    <s v="month"/>
    <n v="29"/>
    <s v="Tuesday"/>
  </r>
  <r>
    <n v="178605410"/>
    <d v="2023-01-10T00:00:00"/>
    <d v="2023-02-17T00:00:00"/>
    <x v="0"/>
    <n v="39"/>
    <s v="month"/>
    <n v="38"/>
    <s v="Tuesday"/>
  </r>
  <r>
    <n v="184334484"/>
    <d v="2023-01-11T00:00:00"/>
    <s v="Active"/>
    <x v="0"/>
    <n v="39"/>
    <s v="month"/>
    <s v="Active"/>
    <s v="Wednesday"/>
  </r>
  <r>
    <n v="181576265"/>
    <d v="2023-01-11T00:00:00"/>
    <s v="Active"/>
    <x v="0"/>
    <n v="39"/>
    <s v="month"/>
    <s v="Active"/>
    <s v="Wednesday"/>
  </r>
  <r>
    <n v="183645116"/>
    <d v="2023-01-11T00:00:00"/>
    <s v="Active"/>
    <x v="0"/>
    <n v="39"/>
    <s v="month"/>
    <s v="Active"/>
    <s v="Wednesday"/>
  </r>
  <r>
    <n v="184812094"/>
    <d v="2023-01-11T00:00:00"/>
    <d v="2023-04-07T00:00:00"/>
    <x v="0"/>
    <n v="39"/>
    <s v="month"/>
    <n v="86"/>
    <s v="Wednesday"/>
  </r>
  <r>
    <n v="152089648"/>
    <d v="2023-01-11T00:00:00"/>
    <d v="2023-03-18T00:00:00"/>
    <x v="0"/>
    <n v="39"/>
    <s v="month"/>
    <n v="66"/>
    <s v="Wednesday"/>
  </r>
  <r>
    <n v="148710968"/>
    <d v="2023-01-11T00:00:00"/>
    <d v="2023-02-07T00:00:00"/>
    <x v="0"/>
    <n v="39"/>
    <s v="month"/>
    <n v="27"/>
    <s v="Wednesday"/>
  </r>
  <r>
    <n v="183197132"/>
    <d v="2023-01-12T00:00:00"/>
    <s v="Active"/>
    <x v="0"/>
    <n v="39"/>
    <s v="month"/>
    <s v="Active"/>
    <s v="Thursday"/>
  </r>
  <r>
    <n v="156239744"/>
    <d v="2023-01-12T00:00:00"/>
    <s v="Active"/>
    <x v="0"/>
    <n v="39"/>
    <s v="month"/>
    <s v="Active"/>
    <s v="Thursday"/>
  </r>
  <r>
    <n v="184481262"/>
    <d v="2023-01-12T00:00:00"/>
    <s v="Active"/>
    <x v="0"/>
    <n v="39"/>
    <s v="month"/>
    <s v="Active"/>
    <s v="Thursday"/>
  </r>
  <r>
    <n v="153186137"/>
    <d v="2023-01-12T00:00:00"/>
    <d v="2023-01-13T00:00:00"/>
    <x v="0"/>
    <n v="39"/>
    <s v="month"/>
    <n v="1"/>
    <s v="Thursday"/>
  </r>
  <r>
    <n v="185374268"/>
    <d v="2023-01-12T00:00:00"/>
    <d v="2023-01-13T00:00:00"/>
    <x v="1"/>
    <n v="39"/>
    <s v="month"/>
    <n v="1"/>
    <s v="Thursday"/>
  </r>
  <r>
    <n v="185367349"/>
    <d v="2023-01-12T00:00:00"/>
    <d v="2023-01-13T00:00:00"/>
    <x v="1"/>
    <n v="39"/>
    <s v="month"/>
    <n v="1"/>
    <s v="Thursday"/>
  </r>
  <r>
    <n v="150793080"/>
    <d v="2023-01-12T00:00:00"/>
    <d v="2023-03-01T00:00:00"/>
    <x v="0"/>
    <n v="39"/>
    <s v="month"/>
    <n v="48"/>
    <s v="Thursday"/>
  </r>
  <r>
    <n v="183406772"/>
    <d v="2023-01-12T00:00:00"/>
    <d v="2023-03-05T00:00:00"/>
    <x v="0"/>
    <n v="39"/>
    <s v="month"/>
    <n v="52"/>
    <s v="Thursday"/>
  </r>
  <r>
    <n v="175760281"/>
    <d v="2023-01-12T00:00:00"/>
    <d v="2023-02-12T00:00:00"/>
    <x v="0"/>
    <n v="39"/>
    <s v="month"/>
    <n v="31"/>
    <s v="Thursday"/>
  </r>
  <r>
    <n v="162095012"/>
    <d v="2023-01-12T00:00:00"/>
    <d v="2023-01-25T00:00:00"/>
    <x v="0"/>
    <n v="39"/>
    <s v="month"/>
    <n v="13"/>
    <s v="Thursday"/>
  </r>
  <r>
    <n v="179356036"/>
    <d v="2023-01-12T00:00:00"/>
    <d v="2023-01-12T00:00:00"/>
    <x v="0"/>
    <n v="39"/>
    <s v="month"/>
    <n v="0"/>
    <s v="Thursday"/>
  </r>
  <r>
    <n v="184567432"/>
    <d v="2023-01-12T00:00:00"/>
    <d v="2023-01-23T00:00:00"/>
    <x v="0"/>
    <n v="39"/>
    <s v="month"/>
    <n v="11"/>
    <s v="Thursday"/>
  </r>
  <r>
    <n v="185503171"/>
    <d v="2023-01-12T00:00:00"/>
    <d v="2023-07-05T00:00:00"/>
    <x v="0"/>
    <n v="39"/>
    <s v="month"/>
    <n v="174"/>
    <s v="Thursday"/>
  </r>
  <r>
    <n v="171922477"/>
    <d v="2023-01-12T00:00:00"/>
    <d v="2023-06-28T00:00:00"/>
    <x v="0"/>
    <n v="39"/>
    <s v="month"/>
    <n v="167"/>
    <s v="Thursday"/>
  </r>
  <r>
    <n v="144830936"/>
    <d v="2023-01-12T00:00:00"/>
    <d v="2023-07-27T00:00:00"/>
    <x v="0"/>
    <n v="39"/>
    <s v="month"/>
    <n v="196"/>
    <s v="Thursday"/>
  </r>
  <r>
    <n v="157474087"/>
    <d v="2023-01-13T00:00:00"/>
    <s v="Active"/>
    <x v="0"/>
    <n v="39"/>
    <s v="month"/>
    <s v="Active"/>
    <s v="Friday"/>
  </r>
  <r>
    <n v="182350116"/>
    <d v="2023-01-13T00:00:00"/>
    <s v="Active"/>
    <x v="0"/>
    <n v="39"/>
    <s v="month"/>
    <s v="Active"/>
    <s v="Friday"/>
  </r>
  <r>
    <n v="132867770"/>
    <d v="2023-01-13T00:00:00"/>
    <d v="2023-01-14T00:00:00"/>
    <x v="0"/>
    <n v="39"/>
    <s v="month"/>
    <n v="1"/>
    <s v="Friday"/>
  </r>
  <r>
    <n v="185561880"/>
    <d v="2023-01-13T00:00:00"/>
    <d v="2023-01-14T00:00:00"/>
    <x v="1"/>
    <n v="39"/>
    <s v="month"/>
    <n v="1"/>
    <s v="Friday"/>
  </r>
  <r>
    <n v="168884196"/>
    <d v="2023-01-13T00:00:00"/>
    <d v="2023-04-06T00:00:00"/>
    <x v="0"/>
    <n v="39"/>
    <s v="month"/>
    <n v="83"/>
    <s v="Friday"/>
  </r>
  <r>
    <n v="161269602"/>
    <d v="2023-01-13T00:00:00"/>
    <d v="2023-02-20T00:00:00"/>
    <x v="0"/>
    <n v="39"/>
    <s v="month"/>
    <n v="38"/>
    <s v="Friday"/>
  </r>
  <r>
    <n v="185729058"/>
    <d v="2023-01-14T00:00:00"/>
    <d v="2023-05-06T00:00:00"/>
    <x v="0"/>
    <n v="39"/>
    <s v="month"/>
    <n v="112"/>
    <s v="Saturday"/>
  </r>
  <r>
    <n v="182527446"/>
    <d v="2023-01-14T00:00:00"/>
    <d v="2023-05-04T00:00:00"/>
    <x v="0"/>
    <n v="39"/>
    <s v="month"/>
    <n v="110"/>
    <s v="Saturday"/>
  </r>
  <r>
    <n v="151217806"/>
    <d v="2023-01-14T00:00:00"/>
    <d v="2023-03-05T00:00:00"/>
    <x v="0"/>
    <n v="39"/>
    <s v="month"/>
    <n v="50"/>
    <s v="Saturday"/>
  </r>
  <r>
    <n v="181789030"/>
    <d v="2023-01-14T00:00:00"/>
    <d v="2023-02-05T00:00:00"/>
    <x v="0"/>
    <n v="39"/>
    <s v="month"/>
    <n v="22"/>
    <s v="Saturday"/>
  </r>
  <r>
    <n v="167939138"/>
    <d v="2023-01-14T00:00:00"/>
    <d v="2023-07-11T00:00:00"/>
    <x v="0"/>
    <n v="39"/>
    <s v="month"/>
    <n v="178"/>
    <s v="Saturday"/>
  </r>
  <r>
    <n v="168531226"/>
    <d v="2023-01-14T00:00:00"/>
    <d v="2023-08-13T00:00:00"/>
    <x v="0"/>
    <n v="39"/>
    <s v="month"/>
    <n v="211"/>
    <s v="Saturday"/>
  </r>
  <r>
    <n v="183965840"/>
    <d v="2023-01-15T00:00:00"/>
    <s v="Active"/>
    <x v="0"/>
    <n v="39"/>
    <s v="month"/>
    <s v="Active"/>
    <s v="Sunday"/>
  </r>
  <r>
    <n v="185522938"/>
    <d v="2023-01-15T00:00:00"/>
    <d v="2023-05-03T00:00:00"/>
    <x v="0"/>
    <n v="39"/>
    <s v="month"/>
    <n v="108"/>
    <s v="Sunday"/>
  </r>
  <r>
    <n v="186413122"/>
    <d v="2023-01-15T00:00:00"/>
    <d v="2023-05-02T00:00:00"/>
    <x v="0"/>
    <n v="39"/>
    <s v="month"/>
    <n v="107"/>
    <s v="Sunday"/>
  </r>
  <r>
    <n v="186481916"/>
    <d v="2023-01-15T00:00:00"/>
    <d v="2023-04-16T00:00:00"/>
    <x v="0"/>
    <n v="39"/>
    <s v="month"/>
    <n v="91"/>
    <s v="Sunday"/>
  </r>
  <r>
    <n v="186177212"/>
    <d v="2023-01-15T00:00:00"/>
    <d v="2023-03-07T00:00:00"/>
    <x v="0"/>
    <n v="39"/>
    <s v="month"/>
    <n v="51"/>
    <s v="Sunday"/>
  </r>
  <r>
    <n v="184809175"/>
    <d v="2023-01-15T00:00:00"/>
    <d v="2023-03-07T00:00:00"/>
    <x v="0"/>
    <n v="39"/>
    <s v="month"/>
    <n v="51"/>
    <s v="Sunday"/>
  </r>
  <r>
    <n v="186690790"/>
    <d v="2023-01-15T00:00:00"/>
    <d v="2023-03-12T00:00:00"/>
    <x v="0"/>
    <n v="39"/>
    <s v="month"/>
    <n v="56"/>
    <s v="Sunday"/>
  </r>
  <r>
    <n v="185711685"/>
    <d v="2023-01-15T00:00:00"/>
    <d v="2023-02-06T00:00:00"/>
    <x v="0"/>
    <n v="39"/>
    <s v="month"/>
    <n v="22"/>
    <s v="Sunday"/>
  </r>
  <r>
    <n v="179509273"/>
    <d v="2023-01-15T00:00:00"/>
    <d v="2023-06-30T00:00:00"/>
    <x v="0"/>
    <n v="39"/>
    <s v="month"/>
    <n v="166"/>
    <s v="Sunday"/>
  </r>
  <r>
    <n v="186770408"/>
    <d v="2023-01-16T00:00:00"/>
    <s v="Active"/>
    <x v="0"/>
    <n v="39"/>
    <s v="month"/>
    <s v="Active"/>
    <s v="Monday"/>
  </r>
  <r>
    <n v="181025165"/>
    <d v="2023-01-16T00:00:00"/>
    <s v="Active"/>
    <x v="0"/>
    <n v="39"/>
    <s v="month"/>
    <s v="Active"/>
    <s v="Monday"/>
  </r>
  <r>
    <n v="157919304"/>
    <d v="2023-01-16T00:00:00"/>
    <d v="2023-05-16T00:00:00"/>
    <x v="0"/>
    <n v="39"/>
    <s v="month"/>
    <n v="120"/>
    <s v="Monday"/>
  </r>
  <r>
    <n v="187051266"/>
    <d v="2023-01-16T00:00:00"/>
    <d v="2023-05-31T00:00:00"/>
    <x v="0"/>
    <n v="39"/>
    <s v="month"/>
    <n v="135"/>
    <s v="Monday"/>
  </r>
  <r>
    <n v="179713052"/>
    <d v="2023-01-16T00:00:00"/>
    <d v="2023-04-15T00:00:00"/>
    <x v="0"/>
    <n v="39"/>
    <s v="month"/>
    <n v="89"/>
    <s v="Monday"/>
  </r>
  <r>
    <n v="185431487"/>
    <d v="2023-01-16T00:00:00"/>
    <d v="2023-04-26T00:00:00"/>
    <x v="0"/>
    <n v="39"/>
    <s v="month"/>
    <n v="100"/>
    <s v="Monday"/>
  </r>
  <r>
    <n v="157929345"/>
    <d v="2023-01-16T00:00:00"/>
    <d v="2023-04-07T00:00:00"/>
    <x v="0"/>
    <n v="39"/>
    <s v="month"/>
    <n v="81"/>
    <s v="Monday"/>
  </r>
  <r>
    <n v="154087095"/>
    <d v="2023-01-16T00:00:00"/>
    <d v="2023-03-13T00:00:00"/>
    <x v="0"/>
    <n v="39"/>
    <s v="month"/>
    <n v="56"/>
    <s v="Monday"/>
  </r>
  <r>
    <n v="186674235"/>
    <d v="2023-01-16T00:00:00"/>
    <d v="2023-03-14T00:00:00"/>
    <x v="0"/>
    <n v="39"/>
    <s v="month"/>
    <n v="57"/>
    <s v="Monday"/>
  </r>
  <r>
    <n v="182656156"/>
    <d v="2023-01-16T00:00:00"/>
    <d v="2023-02-15T00:00:00"/>
    <x v="0"/>
    <n v="39"/>
    <s v="month"/>
    <n v="30"/>
    <s v="Monday"/>
  </r>
  <r>
    <n v="170319875"/>
    <d v="2023-01-16T00:00:00"/>
    <d v="2023-01-16T00:00:00"/>
    <x v="0"/>
    <n v="39"/>
    <s v="month"/>
    <n v="0"/>
    <s v="Monday"/>
  </r>
  <r>
    <n v="188226033"/>
    <d v="2023-01-17T00:00:00"/>
    <s v="Active"/>
    <x v="1"/>
    <n v="39"/>
    <s v="month"/>
    <s v="Active"/>
    <s v="Tuesday"/>
  </r>
  <r>
    <n v="188137320"/>
    <d v="2023-01-17T00:00:00"/>
    <s v="Active"/>
    <x v="1"/>
    <n v="39"/>
    <s v="month"/>
    <s v="Active"/>
    <s v="Tuesday"/>
  </r>
  <r>
    <n v="163220556"/>
    <d v="2023-01-17T00:00:00"/>
    <d v="2023-01-18T00:00:00"/>
    <x v="0"/>
    <n v="39"/>
    <s v="month"/>
    <n v="1"/>
    <s v="Tuesday"/>
  </r>
  <r>
    <n v="182960960"/>
    <d v="2023-01-17T00:00:00"/>
    <d v="2023-03-24T00:00:00"/>
    <x v="0"/>
    <n v="39"/>
    <s v="month"/>
    <n v="66"/>
    <s v="Tuesday"/>
  </r>
  <r>
    <n v="188175982"/>
    <d v="2023-01-17T00:00:00"/>
    <d v="2023-02-17T00:00:00"/>
    <x v="0"/>
    <n v="39"/>
    <s v="month"/>
    <n v="31"/>
    <s v="Tuesday"/>
  </r>
  <r>
    <n v="169729060"/>
    <d v="2023-01-17T00:00:00"/>
    <d v="2023-02-19T00:00:00"/>
    <x v="0"/>
    <n v="39"/>
    <s v="month"/>
    <n v="33"/>
    <s v="Tuesday"/>
  </r>
  <r>
    <n v="186841270"/>
    <d v="2023-01-17T00:00:00"/>
    <d v="2023-02-24T00:00:00"/>
    <x v="0"/>
    <n v="39"/>
    <s v="month"/>
    <n v="38"/>
    <s v="Tuesday"/>
  </r>
  <r>
    <n v="154563993"/>
    <d v="2023-01-17T00:00:00"/>
    <d v="2023-02-25T00:00:00"/>
    <x v="0"/>
    <n v="39"/>
    <s v="month"/>
    <n v="39"/>
    <s v="Tuesday"/>
  </r>
  <r>
    <n v="159767828"/>
    <d v="2023-01-17T00:00:00"/>
    <d v="2023-02-24T00:00:00"/>
    <x v="0"/>
    <n v="39"/>
    <s v="month"/>
    <n v="38"/>
    <s v="Tuesday"/>
  </r>
  <r>
    <n v="183186612"/>
    <d v="2023-01-17T00:00:00"/>
    <d v="2023-07-28T00:00:00"/>
    <x v="0"/>
    <n v="39"/>
    <s v="month"/>
    <n v="192"/>
    <s v="Tuesday"/>
  </r>
  <r>
    <n v="128603349"/>
    <d v="2023-01-18T00:00:00"/>
    <s v="Active"/>
    <x v="0"/>
    <n v="39"/>
    <s v="month"/>
    <s v="Active"/>
    <s v="Wednesday"/>
  </r>
  <r>
    <n v="183736457"/>
    <d v="2023-01-18T00:00:00"/>
    <d v="2023-01-19T00:00:00"/>
    <x v="1"/>
    <n v="39"/>
    <s v="month"/>
    <n v="1"/>
    <s v="Wednesday"/>
  </r>
  <r>
    <n v="188115641"/>
    <d v="2023-01-18T00:00:00"/>
    <d v="2023-01-18T00:00:00"/>
    <x v="1"/>
    <n v="39"/>
    <s v="month"/>
    <n v="0"/>
    <s v="Wednesday"/>
  </r>
  <r>
    <n v="188460699"/>
    <d v="2023-01-18T00:00:00"/>
    <d v="2023-01-18T00:00:00"/>
    <x v="1"/>
    <n v="39"/>
    <s v="month"/>
    <n v="0"/>
    <s v="Wednesday"/>
  </r>
  <r>
    <n v="138228332"/>
    <d v="2023-01-18T00:00:00"/>
    <d v="2023-02-25T00:00:00"/>
    <x v="0"/>
    <n v="39"/>
    <s v="month"/>
    <n v="38"/>
    <s v="Wednesday"/>
  </r>
  <r>
    <n v="184143564"/>
    <d v="2023-01-18T00:00:00"/>
    <d v="2023-05-22T00:00:00"/>
    <x v="0"/>
    <n v="39"/>
    <s v="month"/>
    <n v="124"/>
    <s v="Wednesday"/>
  </r>
  <r>
    <n v="179508142"/>
    <d v="2023-01-18T00:00:00"/>
    <d v="2023-06-13T00:00:00"/>
    <x v="0"/>
    <n v="39"/>
    <s v="month"/>
    <n v="146"/>
    <s v="Wednesday"/>
  </r>
  <r>
    <n v="188269607"/>
    <d v="2023-01-18T00:00:00"/>
    <d v="2023-04-16T00:00:00"/>
    <x v="0"/>
    <n v="39"/>
    <s v="month"/>
    <n v="88"/>
    <s v="Wednesday"/>
  </r>
  <r>
    <n v="181890100"/>
    <d v="2023-01-18T00:00:00"/>
    <d v="2023-03-26T00:00:00"/>
    <x v="0"/>
    <n v="39"/>
    <s v="month"/>
    <n v="67"/>
    <s v="Wednesday"/>
  </r>
  <r>
    <n v="185642830"/>
    <d v="2023-01-18T00:00:00"/>
    <d v="2023-03-14T00:00:00"/>
    <x v="0"/>
    <n v="39"/>
    <s v="month"/>
    <n v="55"/>
    <s v="Wednesday"/>
  </r>
  <r>
    <n v="152223051"/>
    <d v="2023-01-18T00:00:00"/>
    <d v="2023-02-25T00:00:00"/>
    <x v="0"/>
    <n v="39"/>
    <s v="month"/>
    <n v="38"/>
    <s v="Wednesday"/>
  </r>
  <r>
    <n v="156067850"/>
    <d v="2023-01-18T00:00:00"/>
    <d v="2023-02-18T00:00:00"/>
    <x v="0"/>
    <n v="39"/>
    <s v="month"/>
    <n v="31"/>
    <s v="Wednesday"/>
  </r>
  <r>
    <n v="188701816"/>
    <d v="2023-01-18T00:00:00"/>
    <d v="2023-02-17T00:00:00"/>
    <x v="0"/>
    <n v="39"/>
    <s v="month"/>
    <n v="30"/>
    <s v="Wednesday"/>
  </r>
  <r>
    <n v="188133192"/>
    <d v="2023-01-18T00:00:00"/>
    <d v="2023-02-19T00:00:00"/>
    <x v="0"/>
    <n v="39"/>
    <s v="month"/>
    <n v="32"/>
    <s v="Wednesday"/>
  </r>
  <r>
    <n v="183936068"/>
    <d v="2023-01-18T00:00:00"/>
    <d v="2023-07-03T00:00:00"/>
    <x v="0"/>
    <n v="39"/>
    <s v="month"/>
    <n v="166"/>
    <s v="Wednesday"/>
  </r>
  <r>
    <n v="188119778"/>
    <d v="2023-01-18T00:00:00"/>
    <d v="2023-06-18T00:00:00"/>
    <x v="0"/>
    <n v="39"/>
    <s v="month"/>
    <n v="151"/>
    <s v="Wednesday"/>
  </r>
  <r>
    <n v="189410056"/>
    <d v="2023-01-19T00:00:00"/>
    <s v="Active"/>
    <x v="0"/>
    <n v="39"/>
    <s v="month"/>
    <s v="Active"/>
    <s v="Thursday"/>
  </r>
  <r>
    <n v="184970659"/>
    <d v="2023-01-19T00:00:00"/>
    <s v="Active"/>
    <x v="0"/>
    <n v="39"/>
    <s v="month"/>
    <s v="Active"/>
    <s v="Thursday"/>
  </r>
  <r>
    <n v="148476648"/>
    <d v="2023-01-19T00:00:00"/>
    <d v="2023-05-12T00:00:00"/>
    <x v="0"/>
    <n v="39"/>
    <s v="month"/>
    <n v="113"/>
    <s v="Thursday"/>
  </r>
  <r>
    <n v="189289885"/>
    <d v="2023-01-19T00:00:00"/>
    <d v="2023-04-20T00:00:00"/>
    <x v="0"/>
    <n v="39"/>
    <s v="month"/>
    <n v="91"/>
    <s v="Thursday"/>
  </r>
  <r>
    <n v="150442182"/>
    <d v="2023-01-19T00:00:00"/>
    <d v="2023-03-19T00:00:00"/>
    <x v="0"/>
    <n v="39"/>
    <s v="month"/>
    <n v="59"/>
    <s v="Thursday"/>
  </r>
  <r>
    <n v="184826230"/>
    <d v="2023-01-19T00:00:00"/>
    <d v="2023-02-15T00:00:00"/>
    <x v="0"/>
    <n v="39"/>
    <s v="month"/>
    <n v="27"/>
    <s v="Thursday"/>
  </r>
  <r>
    <n v="184786342"/>
    <d v="2023-01-19T00:00:00"/>
    <d v="2023-01-19T00:00:00"/>
    <x v="0"/>
    <n v="39"/>
    <s v="month"/>
    <n v="0"/>
    <s v="Thursday"/>
  </r>
  <r>
    <n v="181565760"/>
    <d v="2023-01-19T00:00:00"/>
    <d v="2023-01-26T00:00:00"/>
    <x v="0"/>
    <n v="39"/>
    <s v="month"/>
    <n v="7"/>
    <s v="Thursday"/>
  </r>
  <r>
    <n v="189278478"/>
    <d v="2023-01-20T00:00:00"/>
    <s v="Active"/>
    <x v="0"/>
    <n v="39"/>
    <s v="month"/>
    <s v="Active"/>
    <s v="Friday"/>
  </r>
  <r>
    <n v="184066428"/>
    <d v="2023-01-20T00:00:00"/>
    <s v="Active"/>
    <x v="0"/>
    <n v="39"/>
    <s v="month"/>
    <s v="Active"/>
    <s v="Friday"/>
  </r>
  <r>
    <n v="135771077"/>
    <d v="2023-01-20T00:00:00"/>
    <s v="Active"/>
    <x v="0"/>
    <n v="39"/>
    <s v="month"/>
    <s v="Active"/>
    <s v="Friday"/>
  </r>
  <r>
    <n v="184831280"/>
    <d v="2023-01-20T00:00:00"/>
    <d v="2023-05-09T00:00:00"/>
    <x v="0"/>
    <n v="39"/>
    <s v="month"/>
    <n v="109"/>
    <s v="Friday"/>
  </r>
  <r>
    <n v="188828652"/>
    <d v="2023-01-20T00:00:00"/>
    <d v="2023-05-01T00:00:00"/>
    <x v="0"/>
    <n v="39"/>
    <s v="month"/>
    <n v="101"/>
    <s v="Friday"/>
  </r>
  <r>
    <n v="188666673"/>
    <d v="2023-01-20T00:00:00"/>
    <d v="2023-03-08T00:00:00"/>
    <x v="0"/>
    <n v="39"/>
    <s v="month"/>
    <n v="47"/>
    <s v="Friday"/>
  </r>
  <r>
    <n v="189880452"/>
    <d v="2023-01-20T00:00:00"/>
    <d v="2023-02-19T00:00:00"/>
    <x v="0"/>
    <n v="39"/>
    <s v="month"/>
    <n v="30"/>
    <s v="Friday"/>
  </r>
  <r>
    <n v="160986271"/>
    <d v="2023-01-20T00:00:00"/>
    <d v="2023-02-27T00:00:00"/>
    <x v="0"/>
    <n v="39"/>
    <s v="month"/>
    <n v="38"/>
    <s v="Friday"/>
  </r>
  <r>
    <n v="187895888"/>
    <d v="2023-01-20T00:00:00"/>
    <d v="2023-02-13T00:00:00"/>
    <x v="0"/>
    <n v="39"/>
    <s v="month"/>
    <n v="24"/>
    <s v="Friday"/>
  </r>
  <r>
    <n v="190871376"/>
    <d v="2023-01-21T00:00:00"/>
    <s v="Active"/>
    <x v="0"/>
    <n v="39"/>
    <s v="month"/>
    <s v="Active"/>
    <s v="Saturday"/>
  </r>
  <r>
    <n v="166750222"/>
    <d v="2023-01-21T00:00:00"/>
    <d v="2023-05-02T00:00:00"/>
    <x v="0"/>
    <n v="39"/>
    <s v="month"/>
    <n v="101"/>
    <s v="Saturday"/>
  </r>
  <r>
    <n v="189360536"/>
    <d v="2023-01-21T00:00:00"/>
    <d v="2023-04-25T00:00:00"/>
    <x v="0"/>
    <n v="39"/>
    <s v="month"/>
    <n v="94"/>
    <s v="Saturday"/>
  </r>
  <r>
    <n v="188197564"/>
    <d v="2023-01-21T00:00:00"/>
    <d v="2023-04-20T00:00:00"/>
    <x v="0"/>
    <n v="39"/>
    <s v="month"/>
    <n v="89"/>
    <s v="Saturday"/>
  </r>
  <r>
    <n v="191034251"/>
    <d v="2023-01-21T00:00:00"/>
    <d v="2023-02-15T00:00:00"/>
    <x v="0"/>
    <n v="39"/>
    <s v="month"/>
    <n v="25"/>
    <s v="Saturday"/>
  </r>
  <r>
    <n v="182972593"/>
    <d v="2023-01-21T00:00:00"/>
    <d v="2023-02-03T00:00:00"/>
    <x v="0"/>
    <n v="39"/>
    <s v="month"/>
    <n v="13"/>
    <s v="Saturday"/>
  </r>
  <r>
    <n v="182958960"/>
    <d v="2023-01-22T00:00:00"/>
    <d v="2023-01-23T00:00:00"/>
    <x v="0"/>
    <n v="39"/>
    <s v="month"/>
    <n v="1"/>
    <s v="Sunday"/>
  </r>
  <r>
    <n v="163220556"/>
    <d v="2023-01-22T00:00:00"/>
    <d v="2023-03-09T00:00:00"/>
    <x v="0"/>
    <n v="39"/>
    <s v="month"/>
    <n v="46"/>
    <s v="Sunday"/>
  </r>
  <r>
    <n v="191730833"/>
    <d v="2023-01-22T00:00:00"/>
    <d v="2023-03-21T00:00:00"/>
    <x v="0"/>
    <n v="39"/>
    <s v="month"/>
    <n v="58"/>
    <s v="Sunday"/>
  </r>
  <r>
    <n v="189680563"/>
    <d v="2023-01-22T00:00:00"/>
    <d v="2023-03-21T00:00:00"/>
    <x v="0"/>
    <n v="39"/>
    <s v="month"/>
    <n v="58"/>
    <s v="Sunday"/>
  </r>
  <r>
    <n v="190666110"/>
    <d v="2023-01-23T00:00:00"/>
    <s v="Active"/>
    <x v="0"/>
    <n v="39"/>
    <s v="month"/>
    <s v="Active"/>
    <s v="Monday"/>
  </r>
  <r>
    <n v="180622613"/>
    <d v="2023-01-23T00:00:00"/>
    <s v="Active"/>
    <x v="0"/>
    <n v="39"/>
    <s v="month"/>
    <s v="Active"/>
    <s v="Monday"/>
  </r>
  <r>
    <n v="188827172"/>
    <d v="2023-01-23T00:00:00"/>
    <s v="Active"/>
    <x v="0"/>
    <n v="39"/>
    <s v="month"/>
    <s v="Active"/>
    <s v="Monday"/>
  </r>
  <r>
    <n v="188068965"/>
    <d v="2023-01-23T00:00:00"/>
    <d v="2023-05-30T00:00:00"/>
    <x v="0"/>
    <n v="39"/>
    <s v="month"/>
    <n v="127"/>
    <s v="Monday"/>
  </r>
  <r>
    <n v="182958960"/>
    <d v="2023-01-23T00:00:00"/>
    <d v="2023-03-02T00:00:00"/>
    <x v="0"/>
    <n v="39"/>
    <s v="month"/>
    <n v="38"/>
    <s v="Monday"/>
  </r>
  <r>
    <n v="191999674"/>
    <d v="2023-01-23T00:00:00"/>
    <d v="2023-02-13T00:00:00"/>
    <x v="0"/>
    <n v="39"/>
    <s v="month"/>
    <n v="21"/>
    <s v="Monday"/>
  </r>
  <r>
    <n v="183451114"/>
    <d v="2023-01-23T00:00:00"/>
    <d v="2023-08-30T00:00:00"/>
    <x v="0"/>
    <n v="39"/>
    <s v="month"/>
    <n v="219"/>
    <s v="Monday"/>
  </r>
  <r>
    <n v="191807491"/>
    <d v="2023-01-24T00:00:00"/>
    <s v="Active"/>
    <x v="0"/>
    <n v="39"/>
    <s v="month"/>
    <s v="Active"/>
    <s v="Tuesday"/>
  </r>
  <r>
    <n v="157833252"/>
    <d v="2023-01-24T00:00:00"/>
    <d v="2023-09-07T00:00:00"/>
    <x v="0"/>
    <n v="39"/>
    <s v="month"/>
    <n v="226"/>
    <s v="Tuesday"/>
  </r>
  <r>
    <n v="188162430"/>
    <d v="2023-01-24T00:00:00"/>
    <d v="2023-06-16T00:00:00"/>
    <x v="0"/>
    <n v="39"/>
    <s v="month"/>
    <n v="143"/>
    <s v="Tuesday"/>
  </r>
  <r>
    <n v="190733249"/>
    <d v="2023-01-24T00:00:00"/>
    <d v="2023-03-20T00:00:00"/>
    <x v="0"/>
    <n v="39"/>
    <s v="month"/>
    <n v="55"/>
    <s v="Tuesday"/>
  </r>
  <r>
    <n v="192539054"/>
    <d v="2023-01-24T00:00:00"/>
    <d v="2023-02-28T00:00:00"/>
    <x v="0"/>
    <n v="39"/>
    <s v="month"/>
    <n v="35"/>
    <s v="Tuesday"/>
  </r>
  <r>
    <n v="193572822"/>
    <d v="2023-01-24T00:00:00"/>
    <d v="2023-02-20T00:00:00"/>
    <x v="0"/>
    <n v="39"/>
    <s v="month"/>
    <n v="27"/>
    <s v="Tuesday"/>
  </r>
  <r>
    <n v="141399368"/>
    <d v="2023-01-25T00:00:00"/>
    <s v="Active"/>
    <x v="0"/>
    <n v="39"/>
    <s v="month"/>
    <s v="Active"/>
    <s v="Wednesday"/>
  </r>
  <r>
    <n v="193285633"/>
    <d v="2023-01-25T00:00:00"/>
    <s v="Active"/>
    <x v="0"/>
    <n v="39"/>
    <s v="month"/>
    <s v="Active"/>
    <s v="Wednesday"/>
  </r>
  <r>
    <n v="193891378"/>
    <d v="2023-01-25T00:00:00"/>
    <s v="Active"/>
    <x v="0"/>
    <n v="39"/>
    <s v="month"/>
    <s v="Active"/>
    <s v="Wednesday"/>
  </r>
  <r>
    <n v="153628260"/>
    <d v="2023-01-25T00:00:00"/>
    <d v="2023-01-26T00:00:00"/>
    <x v="0"/>
    <n v="39"/>
    <s v="month"/>
    <n v="1"/>
    <s v="Wednesday"/>
  </r>
  <r>
    <n v="194719566"/>
    <d v="2023-01-25T00:00:00"/>
    <d v="2023-01-25T00:00:00"/>
    <x v="1"/>
    <n v="39"/>
    <s v="month"/>
    <n v="0"/>
    <s v="Wednesday"/>
  </r>
  <r>
    <n v="176559401"/>
    <d v="2023-01-25T00:00:00"/>
    <d v="2023-01-25T00:00:00"/>
    <x v="1"/>
    <n v="39"/>
    <s v="month"/>
    <n v="0"/>
    <s v="Wednesday"/>
  </r>
  <r>
    <n v="150178354"/>
    <d v="2023-01-25T00:00:00"/>
    <d v="2023-05-25T00:00:00"/>
    <x v="0"/>
    <n v="39"/>
    <s v="month"/>
    <n v="120"/>
    <s v="Wednesday"/>
  </r>
  <r>
    <n v="192395073"/>
    <d v="2023-01-25T00:00:00"/>
    <d v="2023-04-06T00:00:00"/>
    <x v="0"/>
    <n v="39"/>
    <s v="month"/>
    <n v="71"/>
    <s v="Wednesday"/>
  </r>
  <r>
    <n v="152690237"/>
    <d v="2023-01-25T00:00:00"/>
    <d v="2023-03-22T00:00:00"/>
    <x v="0"/>
    <n v="39"/>
    <s v="month"/>
    <n v="56"/>
    <s v="Wednesday"/>
  </r>
  <r>
    <n v="151572886"/>
    <d v="2023-01-25T00:00:00"/>
    <d v="2023-03-12T00:00:00"/>
    <x v="0"/>
    <n v="39"/>
    <s v="month"/>
    <n v="46"/>
    <s v="Wednesday"/>
  </r>
  <r>
    <n v="193869975"/>
    <d v="2023-01-25T00:00:00"/>
    <d v="2023-03-15T00:00:00"/>
    <x v="0"/>
    <n v="39"/>
    <s v="month"/>
    <n v="49"/>
    <s v="Wednesday"/>
  </r>
  <r>
    <n v="175077871"/>
    <d v="2023-01-25T00:00:00"/>
    <d v="2023-03-15T00:00:00"/>
    <x v="0"/>
    <n v="39"/>
    <s v="month"/>
    <n v="49"/>
    <s v="Wednesday"/>
  </r>
  <r>
    <n v="193229869"/>
    <d v="2023-01-25T00:00:00"/>
    <d v="2023-03-01T00:00:00"/>
    <x v="0"/>
    <n v="39"/>
    <s v="month"/>
    <n v="35"/>
    <s v="Wednesday"/>
  </r>
  <r>
    <n v="189257579"/>
    <d v="2023-01-26T00:00:00"/>
    <s v="Active"/>
    <x v="0"/>
    <n v="39"/>
    <s v="month"/>
    <s v="Active"/>
    <s v="Thursday"/>
  </r>
  <r>
    <n v="184333409"/>
    <d v="2023-01-26T00:00:00"/>
    <s v="Active"/>
    <x v="0"/>
    <n v="39"/>
    <s v="month"/>
    <s v="Active"/>
    <s v="Thursday"/>
  </r>
  <r>
    <n v="144719454"/>
    <d v="2023-01-26T00:00:00"/>
    <s v="Active"/>
    <x v="0"/>
    <n v="39"/>
    <s v="month"/>
    <s v="Active"/>
    <s v="Thursday"/>
  </r>
  <r>
    <n v="195759475"/>
    <d v="2023-01-26T00:00:00"/>
    <s v="Active"/>
    <x v="0"/>
    <n v="39"/>
    <s v="month"/>
    <s v="Active"/>
    <s v="Thursday"/>
  </r>
  <r>
    <n v="167602454"/>
    <d v="2023-01-26T00:00:00"/>
    <s v="Active"/>
    <x v="0"/>
    <n v="39"/>
    <s v="month"/>
    <s v="Active"/>
    <s v="Thursday"/>
  </r>
  <r>
    <n v="148838269"/>
    <d v="2023-01-26T00:00:00"/>
    <s v="Active"/>
    <x v="0"/>
    <n v="39"/>
    <s v="month"/>
    <s v="Active"/>
    <s v="Thursday"/>
  </r>
  <r>
    <n v="195938394"/>
    <d v="2023-01-26T00:00:00"/>
    <d v="2023-06-23T00:00:00"/>
    <x v="0"/>
    <n v="39"/>
    <s v="month"/>
    <n v="148"/>
    <s v="Thursday"/>
  </r>
  <r>
    <n v="194091086"/>
    <d v="2023-01-26T00:00:00"/>
    <d v="2023-04-04T00:00:00"/>
    <x v="0"/>
    <n v="39"/>
    <s v="month"/>
    <n v="68"/>
    <s v="Thursday"/>
  </r>
  <r>
    <n v="181456580"/>
    <d v="2023-01-26T00:00:00"/>
    <d v="2023-04-23T00:00:00"/>
    <x v="0"/>
    <n v="39"/>
    <s v="month"/>
    <n v="87"/>
    <s v="Thursday"/>
  </r>
  <r>
    <n v="169302100"/>
    <d v="2023-01-26T00:00:00"/>
    <d v="2023-03-30T00:00:00"/>
    <x v="0"/>
    <n v="39"/>
    <s v="month"/>
    <n v="63"/>
    <s v="Thursday"/>
  </r>
  <r>
    <n v="180997025"/>
    <d v="2023-01-26T00:00:00"/>
    <d v="2023-03-05T00:00:00"/>
    <x v="0"/>
    <n v="39"/>
    <s v="month"/>
    <n v="38"/>
    <s v="Thursday"/>
  </r>
  <r>
    <n v="196091620"/>
    <d v="2023-01-26T00:00:00"/>
    <d v="2023-02-02T00:00:00"/>
    <x v="0"/>
    <n v="39"/>
    <s v="month"/>
    <n v="7"/>
    <s v="Thursday"/>
  </r>
  <r>
    <n v="189277140"/>
    <d v="2023-01-26T00:00:00"/>
    <d v="2023-02-23T00:00:00"/>
    <x v="0"/>
    <n v="39"/>
    <s v="month"/>
    <n v="28"/>
    <s v="Thursday"/>
  </r>
  <r>
    <n v="195279352"/>
    <d v="2023-01-26T00:00:00"/>
    <d v="2023-02-23T00:00:00"/>
    <x v="0"/>
    <n v="39"/>
    <s v="month"/>
    <n v="28"/>
    <s v="Thursday"/>
  </r>
  <r>
    <n v="191113428"/>
    <d v="2023-01-26T00:00:00"/>
    <d v="2023-01-26T00:00:00"/>
    <x v="0"/>
    <n v="39"/>
    <s v="month"/>
    <n v="0"/>
    <s v="Thursday"/>
  </r>
  <r>
    <n v="193802414"/>
    <d v="2023-01-26T00:00:00"/>
    <d v="2023-06-27T00:00:00"/>
    <x v="0"/>
    <n v="39"/>
    <s v="month"/>
    <n v="152"/>
    <s v="Thursday"/>
  </r>
  <r>
    <n v="115735280"/>
    <d v="2023-01-27T00:00:00"/>
    <s v="Active"/>
    <x v="0"/>
    <n v="39"/>
    <s v="month"/>
    <s v="Active"/>
    <s v="Friday"/>
  </r>
  <r>
    <n v="153026024"/>
    <d v="2023-01-27T00:00:00"/>
    <s v="Active"/>
    <x v="0"/>
    <n v="39"/>
    <s v="month"/>
    <s v="Active"/>
    <s v="Friday"/>
  </r>
  <r>
    <n v="196069557"/>
    <d v="2023-01-27T00:00:00"/>
    <s v="Active"/>
    <x v="0"/>
    <n v="39"/>
    <s v="month"/>
    <s v="Active"/>
    <s v="Friday"/>
  </r>
  <r>
    <n v="193666586"/>
    <d v="2023-01-27T00:00:00"/>
    <s v="Active"/>
    <x v="0"/>
    <n v="39"/>
    <s v="month"/>
    <s v="Active"/>
    <s v="Friday"/>
  </r>
  <r>
    <n v="192550222"/>
    <d v="2023-01-27T00:00:00"/>
    <s v="Active"/>
    <x v="0"/>
    <n v="39"/>
    <s v="month"/>
    <s v="Active"/>
    <s v="Friday"/>
  </r>
  <r>
    <n v="196022560"/>
    <d v="2023-01-27T00:00:00"/>
    <d v="2023-09-05T00:00:00"/>
    <x v="0"/>
    <n v="39"/>
    <s v="month"/>
    <n v="221"/>
    <s v="Friday"/>
  </r>
  <r>
    <n v="196715854"/>
    <d v="2023-01-27T00:00:00"/>
    <d v="2023-01-28T00:00:00"/>
    <x v="1"/>
    <n v="39"/>
    <s v="month"/>
    <n v="1"/>
    <s v="Friday"/>
  </r>
  <r>
    <n v="196969212"/>
    <d v="2023-01-27T00:00:00"/>
    <d v="2023-04-24T00:00:00"/>
    <x v="0"/>
    <n v="39"/>
    <s v="month"/>
    <n v="87"/>
    <s v="Friday"/>
  </r>
  <r>
    <n v="196308725"/>
    <d v="2023-01-27T00:00:00"/>
    <d v="2023-03-31T00:00:00"/>
    <x v="0"/>
    <n v="39"/>
    <s v="month"/>
    <n v="63"/>
    <s v="Friday"/>
  </r>
  <r>
    <n v="196245690"/>
    <d v="2023-01-27T00:00:00"/>
    <d v="2023-03-27T00:00:00"/>
    <x v="0"/>
    <n v="39"/>
    <s v="month"/>
    <n v="59"/>
    <s v="Friday"/>
  </r>
  <r>
    <n v="195988242"/>
    <d v="2023-01-27T00:00:00"/>
    <d v="2023-03-06T00:00:00"/>
    <x v="0"/>
    <n v="39"/>
    <s v="month"/>
    <n v="38"/>
    <s v="Friday"/>
  </r>
  <r>
    <n v="192068317"/>
    <d v="2023-01-27T00:00:00"/>
    <d v="2023-03-28T00:00:00"/>
    <x v="0"/>
    <n v="39"/>
    <s v="month"/>
    <n v="60"/>
    <s v="Friday"/>
  </r>
  <r>
    <n v="195039185"/>
    <d v="2023-01-27T00:00:00"/>
    <d v="2023-02-23T00:00:00"/>
    <x v="0"/>
    <n v="39"/>
    <s v="month"/>
    <n v="27"/>
    <s v="Friday"/>
  </r>
  <r>
    <n v="188563149"/>
    <d v="2023-01-27T00:00:00"/>
    <d v="2023-08-16T00:00:00"/>
    <x v="0"/>
    <n v="39"/>
    <s v="month"/>
    <n v="201"/>
    <s v="Friday"/>
  </r>
  <r>
    <n v="188748439"/>
    <d v="2023-01-27T00:00:00"/>
    <d v="2023-08-19T00:00:00"/>
    <x v="0"/>
    <n v="39"/>
    <s v="month"/>
    <n v="204"/>
    <s v="Friday"/>
  </r>
  <r>
    <n v="160873880"/>
    <d v="2023-01-28T00:00:00"/>
    <s v="Active"/>
    <x v="0"/>
    <n v="39"/>
    <s v="month"/>
    <s v="Active"/>
    <s v="Saturday"/>
  </r>
  <r>
    <n v="160379194"/>
    <d v="2023-01-28T00:00:00"/>
    <d v="2023-01-28T00:00:00"/>
    <x v="0"/>
    <n v="39"/>
    <s v="month"/>
    <n v="0"/>
    <s v="Saturday"/>
  </r>
  <r>
    <n v="194169961"/>
    <d v="2023-01-28T00:00:00"/>
    <d v="2023-03-24T00:00:00"/>
    <x v="0"/>
    <n v="39"/>
    <s v="month"/>
    <n v="55"/>
    <s v="Saturday"/>
  </r>
  <r>
    <n v="184209232"/>
    <d v="2023-01-28T00:00:00"/>
    <d v="2023-03-07T00:00:00"/>
    <x v="0"/>
    <n v="39"/>
    <s v="month"/>
    <n v="38"/>
    <s v="Saturday"/>
  </r>
  <r>
    <n v="195198228"/>
    <d v="2023-01-28T00:00:00"/>
    <d v="2023-02-17T00:00:00"/>
    <x v="0"/>
    <n v="39"/>
    <s v="month"/>
    <n v="20"/>
    <s v="Saturday"/>
  </r>
  <r>
    <n v="153657568"/>
    <d v="2023-01-29T00:00:00"/>
    <s v="Active"/>
    <x v="0"/>
    <n v="39"/>
    <s v="month"/>
    <s v="Active"/>
    <s v="Sunday"/>
  </r>
  <r>
    <n v="127697219"/>
    <d v="2023-01-29T00:00:00"/>
    <d v="2023-05-25T00:00:00"/>
    <x v="0"/>
    <n v="39"/>
    <s v="month"/>
    <n v="116"/>
    <s v="Sunday"/>
  </r>
  <r>
    <n v="198448283"/>
    <d v="2023-01-29T00:00:00"/>
    <d v="2023-07-06T00:00:00"/>
    <x v="0"/>
    <n v="39"/>
    <s v="month"/>
    <n v="158"/>
    <s v="Sunday"/>
  </r>
  <r>
    <n v="159483118"/>
    <d v="2023-01-29T00:00:00"/>
    <d v="2023-03-01T00:00:00"/>
    <x v="0"/>
    <n v="39"/>
    <s v="month"/>
    <n v="31"/>
    <s v="Sunday"/>
  </r>
  <r>
    <n v="152433647"/>
    <d v="2023-01-29T00:00:00"/>
    <d v="2023-03-13T00:00:00"/>
    <x v="0"/>
    <n v="39"/>
    <s v="month"/>
    <n v="43"/>
    <s v="Sunday"/>
  </r>
  <r>
    <n v="154790198"/>
    <d v="2023-01-29T00:00:00"/>
    <d v="2023-02-15T00:00:00"/>
    <x v="0"/>
    <n v="39"/>
    <s v="month"/>
    <n v="17"/>
    <s v="Sunday"/>
  </r>
  <r>
    <n v="191896242"/>
    <d v="2023-01-30T00:00:00"/>
    <s v="Active"/>
    <x v="0"/>
    <n v="39"/>
    <s v="month"/>
    <s v="Active"/>
    <s v="Monday"/>
  </r>
  <r>
    <n v="136407072"/>
    <d v="2023-01-30T00:00:00"/>
    <d v="2023-07-31T00:00:00"/>
    <x v="0"/>
    <n v="39"/>
    <s v="month"/>
    <n v="182"/>
    <s v="Monday"/>
  </r>
  <r>
    <n v="199439964"/>
    <d v="2023-01-30T00:00:00"/>
    <d v="2023-06-06T00:00:00"/>
    <x v="0"/>
    <n v="39"/>
    <s v="month"/>
    <n v="127"/>
    <s v="Monday"/>
  </r>
  <r>
    <n v="199255574"/>
    <d v="2023-01-30T00:00:00"/>
    <d v="2023-06-21T00:00:00"/>
    <x v="0"/>
    <n v="39"/>
    <s v="month"/>
    <n v="142"/>
    <s v="Monday"/>
  </r>
  <r>
    <n v="167938302"/>
    <d v="2023-01-30T00:00:00"/>
    <d v="2023-04-06T00:00:00"/>
    <x v="0"/>
    <n v="39"/>
    <s v="month"/>
    <n v="66"/>
    <s v="Monday"/>
  </r>
  <r>
    <n v="154173057"/>
    <d v="2023-01-30T00:00:00"/>
    <d v="2023-02-04T00:00:00"/>
    <x v="0"/>
    <n v="39"/>
    <s v="month"/>
    <n v="5"/>
    <s v="Monday"/>
  </r>
  <r>
    <n v="153199550"/>
    <d v="2023-01-30T00:00:00"/>
    <d v="2023-02-02T00:00:00"/>
    <x v="0"/>
    <n v="39"/>
    <s v="month"/>
    <n v="3"/>
    <s v="Monday"/>
  </r>
  <r>
    <n v="199302158"/>
    <d v="2023-01-30T00:00:00"/>
    <d v="2023-02-02T00:00:00"/>
    <x v="0"/>
    <n v="39"/>
    <s v="month"/>
    <n v="3"/>
    <s v="Monday"/>
  </r>
  <r>
    <n v="187482966"/>
    <d v="2023-01-30T00:00:00"/>
    <d v="2023-08-09T00:00:00"/>
    <x v="0"/>
    <n v="39"/>
    <s v="month"/>
    <n v="191"/>
    <s v="Monday"/>
  </r>
  <r>
    <n v="168436547"/>
    <d v="2023-01-30T00:00:00"/>
    <d v="2023-07-20T00:00:00"/>
    <x v="0"/>
    <n v="39"/>
    <s v="month"/>
    <n v="171"/>
    <s v="Monday"/>
  </r>
  <r>
    <n v="195007481"/>
    <d v="2023-01-31T00:00:00"/>
    <s v="Active"/>
    <x v="0"/>
    <n v="39"/>
    <s v="month"/>
    <s v="Active"/>
    <s v="Tuesday"/>
  </r>
  <r>
    <n v="181830574"/>
    <d v="2023-01-31T00:00:00"/>
    <s v="Active"/>
    <x v="0"/>
    <n v="39"/>
    <s v="month"/>
    <s v="Active"/>
    <s v="Tuesday"/>
  </r>
  <r>
    <n v="198691553"/>
    <d v="2023-01-31T00:00:00"/>
    <s v="Active"/>
    <x v="0"/>
    <n v="39"/>
    <s v="month"/>
    <s v="Active"/>
    <s v="Tuesday"/>
  </r>
  <r>
    <n v="200001674"/>
    <d v="2023-01-31T00:00:00"/>
    <d v="2023-05-28T00:00:00"/>
    <x v="0"/>
    <n v="39"/>
    <s v="month"/>
    <n v="117"/>
    <s v="Tuesday"/>
  </r>
  <r>
    <n v="200252155"/>
    <d v="2023-01-31T00:00:00"/>
    <d v="2023-06-07T00:00:00"/>
    <x v="0"/>
    <n v="39"/>
    <s v="month"/>
    <n v="127"/>
    <s v="Tuesday"/>
  </r>
  <r>
    <n v="188206991"/>
    <d v="2023-01-31T00:00:00"/>
    <d v="2023-04-17T00:00:00"/>
    <x v="0"/>
    <n v="39"/>
    <s v="month"/>
    <n v="76"/>
    <s v="Tuesday"/>
  </r>
  <r>
    <n v="184330352"/>
    <d v="2023-01-31T00:00:00"/>
    <d v="2023-04-30T00:00:00"/>
    <x v="0"/>
    <n v="39"/>
    <s v="month"/>
    <n v="89"/>
    <s v="Tuesday"/>
  </r>
  <r>
    <n v="198701510"/>
    <d v="2023-01-31T00:00:00"/>
    <d v="2023-04-15T00:00:00"/>
    <x v="0"/>
    <n v="39"/>
    <s v="month"/>
    <n v="74"/>
    <s v="Tuesday"/>
  </r>
  <r>
    <n v="164909402"/>
    <d v="2023-01-31T00:00:00"/>
    <d v="2023-02-27T00:00:00"/>
    <x v="0"/>
    <n v="39"/>
    <s v="month"/>
    <n v="27"/>
    <s v="Tuesday"/>
  </r>
  <r>
    <n v="126737063"/>
    <d v="2023-01-31T00:00:00"/>
    <d v="2023-08-18T00:00:00"/>
    <x v="0"/>
    <n v="39"/>
    <s v="month"/>
    <n v="199"/>
    <s v="Tuesday"/>
  </r>
  <r>
    <n v="194472898"/>
    <d v="2023-02-01T00:00:00"/>
    <s v="Active"/>
    <x v="0"/>
    <n v="39"/>
    <s v="month"/>
    <s v="Active"/>
    <s v="Wednesday"/>
  </r>
  <r>
    <n v="200962065"/>
    <d v="2023-02-01T00:00:00"/>
    <s v="Active"/>
    <x v="0"/>
    <n v="39"/>
    <s v="month"/>
    <s v="Active"/>
    <s v="Wednesday"/>
  </r>
  <r>
    <n v="196821289"/>
    <d v="2023-02-01T00:00:00"/>
    <s v="Active"/>
    <x v="0"/>
    <n v="39"/>
    <s v="month"/>
    <s v="Active"/>
    <s v="Wednesday"/>
  </r>
  <r>
    <n v="200867442"/>
    <d v="2023-02-01T00:00:00"/>
    <s v="Active"/>
    <x v="0"/>
    <n v="39"/>
    <s v="month"/>
    <s v="Active"/>
    <s v="Wednesday"/>
  </r>
  <r>
    <n v="187855576"/>
    <d v="2023-02-01T00:00:00"/>
    <s v="Active"/>
    <x v="0"/>
    <n v="39"/>
    <s v="month"/>
    <s v="Active"/>
    <s v="Wednesday"/>
  </r>
  <r>
    <n v="198475060"/>
    <d v="2023-02-01T00:00:00"/>
    <d v="2023-02-02T00:00:00"/>
    <x v="1"/>
    <n v="39"/>
    <s v="month"/>
    <n v="1"/>
    <s v="Wednesday"/>
  </r>
  <r>
    <n v="137201021"/>
    <d v="2023-02-01T00:00:00"/>
    <d v="2023-06-29T00:00:00"/>
    <x v="0"/>
    <n v="39"/>
    <s v="month"/>
    <n v="148"/>
    <s v="Wednesday"/>
  </r>
  <r>
    <n v="192942271"/>
    <d v="2023-02-01T00:00:00"/>
    <d v="2023-06-27T00:00:00"/>
    <x v="0"/>
    <n v="39"/>
    <s v="month"/>
    <n v="146"/>
    <s v="Wednesday"/>
  </r>
  <r>
    <n v="155088727"/>
    <d v="2023-02-01T00:00:00"/>
    <d v="2023-05-25T00:00:00"/>
    <x v="0"/>
    <n v="39"/>
    <s v="month"/>
    <n v="113"/>
    <s v="Wednesday"/>
  </r>
  <r>
    <n v="145416349"/>
    <d v="2023-02-01T00:00:00"/>
    <d v="2023-05-01T00:00:00"/>
    <x v="0"/>
    <n v="39"/>
    <s v="month"/>
    <n v="89"/>
    <s v="Wednesday"/>
  </r>
  <r>
    <n v="154064672"/>
    <d v="2023-02-01T00:00:00"/>
    <d v="2023-04-25T00:00:00"/>
    <x v="0"/>
    <n v="39"/>
    <s v="month"/>
    <n v="83"/>
    <s v="Wednesday"/>
  </r>
  <r>
    <n v="174670793"/>
    <d v="2023-02-01T00:00:00"/>
    <d v="2023-04-23T00:00:00"/>
    <x v="0"/>
    <n v="39"/>
    <s v="month"/>
    <n v="81"/>
    <s v="Wednesday"/>
  </r>
  <r>
    <n v="200600365"/>
    <d v="2023-02-01T00:00:00"/>
    <d v="2023-04-13T00:00:00"/>
    <x v="0"/>
    <n v="39"/>
    <s v="month"/>
    <n v="71"/>
    <s v="Wednesday"/>
  </r>
  <r>
    <n v="196253752"/>
    <d v="2023-02-01T00:00:00"/>
    <d v="2023-02-19T00:00:00"/>
    <x v="0"/>
    <n v="39"/>
    <s v="month"/>
    <n v="18"/>
    <s v="Wednesday"/>
  </r>
  <r>
    <n v="148710722"/>
    <d v="2023-02-01T00:00:00"/>
    <d v="2023-02-03T00:00:00"/>
    <x v="0"/>
    <n v="39"/>
    <s v="month"/>
    <n v="2"/>
    <s v="Wednesday"/>
  </r>
  <r>
    <n v="201015936"/>
    <d v="2023-02-01T00:00:00"/>
    <d v="2023-02-14T00:00:00"/>
    <x v="0"/>
    <n v="39"/>
    <s v="month"/>
    <n v="13"/>
    <s v="Wednesday"/>
  </r>
  <r>
    <n v="200766423"/>
    <d v="2023-02-01T00:00:00"/>
    <d v="2023-02-06T00:00:00"/>
    <x v="0"/>
    <n v="39"/>
    <s v="month"/>
    <n v="5"/>
    <s v="Wednesday"/>
  </r>
  <r>
    <n v="188152753"/>
    <d v="2023-02-01T00:00:00"/>
    <d v="2023-03-10T00:00:00"/>
    <x v="0"/>
    <n v="39"/>
    <s v="month"/>
    <n v="37"/>
    <s v="Wednesday"/>
  </r>
  <r>
    <n v="194406214"/>
    <d v="2023-02-01T00:00:00"/>
    <d v="2023-08-11T00:00:00"/>
    <x v="0"/>
    <n v="39"/>
    <s v="month"/>
    <n v="191"/>
    <s v="Wednesday"/>
  </r>
  <r>
    <n v="199388324"/>
    <d v="2023-02-02T00:00:00"/>
    <s v="Active"/>
    <x v="0"/>
    <n v="39"/>
    <s v="month"/>
    <s v="Active"/>
    <s v="Thursday"/>
  </r>
  <r>
    <n v="202030516"/>
    <d v="2023-02-02T00:00:00"/>
    <s v="Active"/>
    <x v="0"/>
    <n v="39"/>
    <s v="month"/>
    <s v="Active"/>
    <s v="Thursday"/>
  </r>
  <r>
    <n v="196926212"/>
    <d v="2023-02-02T00:00:00"/>
    <s v="Active"/>
    <x v="0"/>
    <n v="39"/>
    <s v="month"/>
    <s v="Active"/>
    <s v="Thursday"/>
  </r>
  <r>
    <n v="199374328"/>
    <d v="2023-02-02T00:00:00"/>
    <d v="2023-07-06T00:00:00"/>
    <x v="0"/>
    <n v="39"/>
    <s v="month"/>
    <n v="154"/>
    <s v="Thursday"/>
  </r>
  <r>
    <n v="201313318"/>
    <d v="2023-02-02T00:00:00"/>
    <d v="2023-05-30T00:00:00"/>
    <x v="0"/>
    <n v="39"/>
    <s v="month"/>
    <n v="117"/>
    <s v="Thursday"/>
  </r>
  <r>
    <n v="200960179"/>
    <d v="2023-02-02T00:00:00"/>
    <d v="2023-05-31T00:00:00"/>
    <x v="0"/>
    <n v="39"/>
    <s v="month"/>
    <n v="118"/>
    <s v="Thursday"/>
  </r>
  <r>
    <n v="180890046"/>
    <d v="2023-02-02T00:00:00"/>
    <d v="2023-05-27T00:00:00"/>
    <x v="0"/>
    <n v="39"/>
    <s v="month"/>
    <n v="114"/>
    <s v="Thursday"/>
  </r>
  <r>
    <n v="159227956"/>
    <d v="2023-02-02T00:00:00"/>
    <d v="2023-05-09T00:00:00"/>
    <x v="0"/>
    <n v="39"/>
    <s v="month"/>
    <n v="96"/>
    <s v="Thursday"/>
  </r>
  <r>
    <n v="182325407"/>
    <d v="2023-02-02T00:00:00"/>
    <d v="2023-04-03T00:00:00"/>
    <x v="0"/>
    <n v="39"/>
    <s v="month"/>
    <n v="60"/>
    <s v="Thursday"/>
  </r>
  <r>
    <n v="194828965"/>
    <d v="2023-02-02T00:00:00"/>
    <d v="2023-04-02T00:00:00"/>
    <x v="0"/>
    <n v="39"/>
    <s v="month"/>
    <n v="59"/>
    <s v="Thursday"/>
  </r>
  <r>
    <n v="202139613"/>
    <d v="2023-02-02T00:00:00"/>
    <d v="2023-03-06T00:00:00"/>
    <x v="0"/>
    <n v="39"/>
    <s v="month"/>
    <n v="32"/>
    <s v="Thursday"/>
  </r>
  <r>
    <n v="202137510"/>
    <d v="2023-02-02T00:00:00"/>
    <d v="2023-03-10T00:00:00"/>
    <x v="0"/>
    <n v="39"/>
    <s v="month"/>
    <n v="36"/>
    <s v="Thursday"/>
  </r>
  <r>
    <n v="201182176"/>
    <d v="2023-02-02T00:00:00"/>
    <d v="2023-03-02T00:00:00"/>
    <x v="0"/>
    <n v="39"/>
    <s v="month"/>
    <n v="28"/>
    <s v="Thursday"/>
  </r>
  <r>
    <n v="202010803"/>
    <d v="2023-02-02T00:00:00"/>
    <d v="2023-03-01T00:00:00"/>
    <x v="0"/>
    <n v="39"/>
    <s v="month"/>
    <n v="27"/>
    <s v="Thursday"/>
  </r>
  <r>
    <n v="131734107"/>
    <d v="2023-02-03T00:00:00"/>
    <d v="2023-09-03T00:00:00"/>
    <x v="0"/>
    <n v="39"/>
    <s v="month"/>
    <n v="212"/>
    <s v="Friday"/>
  </r>
  <r>
    <n v="202277130"/>
    <d v="2023-02-03T00:00:00"/>
    <d v="2023-04-01T00:00:00"/>
    <x v="0"/>
    <n v="39"/>
    <s v="month"/>
    <n v="57"/>
    <s v="Friday"/>
  </r>
  <r>
    <n v="137196428"/>
    <d v="2023-02-03T00:00:00"/>
    <d v="2023-03-09T00:00:00"/>
    <x v="0"/>
    <n v="39"/>
    <s v="month"/>
    <n v="34"/>
    <s v="Friday"/>
  </r>
  <r>
    <n v="153568282"/>
    <d v="2023-02-03T00:00:00"/>
    <d v="2023-02-16T00:00:00"/>
    <x v="0"/>
    <n v="39"/>
    <s v="month"/>
    <n v="13"/>
    <s v="Friday"/>
  </r>
  <r>
    <n v="199895190"/>
    <d v="2023-02-03T00:00:00"/>
    <d v="2023-03-13T00:00:00"/>
    <x v="0"/>
    <n v="39"/>
    <s v="month"/>
    <n v="38"/>
    <s v="Friday"/>
  </r>
  <r>
    <n v="200894076"/>
    <d v="2023-02-03T00:00:00"/>
    <d v="2023-03-30T00:00:00"/>
    <x v="0"/>
    <n v="39"/>
    <s v="month"/>
    <n v="55"/>
    <s v="Friday"/>
  </r>
  <r>
    <n v="201162862"/>
    <d v="2023-02-03T00:00:00"/>
    <d v="2023-03-10T00:00:00"/>
    <x v="0"/>
    <n v="39"/>
    <s v="month"/>
    <n v="35"/>
    <s v="Friday"/>
  </r>
  <r>
    <n v="198748705"/>
    <d v="2023-02-03T00:00:00"/>
    <d v="2023-03-26T00:00:00"/>
    <x v="0"/>
    <n v="39"/>
    <s v="month"/>
    <n v="51"/>
    <s v="Friday"/>
  </r>
  <r>
    <n v="202308735"/>
    <d v="2023-02-03T00:00:00"/>
    <d v="2023-08-21T00:00:00"/>
    <x v="0"/>
    <n v="39"/>
    <s v="month"/>
    <n v="199"/>
    <s v="Friday"/>
  </r>
  <r>
    <n v="202276540"/>
    <d v="2023-02-03T00:00:00"/>
    <d v="2023-07-03T00:00:00"/>
    <x v="0"/>
    <n v="39"/>
    <s v="month"/>
    <n v="150"/>
    <s v="Friday"/>
  </r>
  <r>
    <n v="202401357"/>
    <d v="2023-02-04T00:00:00"/>
    <s v="Active"/>
    <x v="0"/>
    <n v="39"/>
    <s v="month"/>
    <s v="Active"/>
    <s v="Saturday"/>
  </r>
  <r>
    <n v="184539258"/>
    <d v="2023-02-04T00:00:00"/>
    <d v="2023-05-02T00:00:00"/>
    <x v="0"/>
    <n v="39"/>
    <s v="month"/>
    <n v="87"/>
    <s v="Saturday"/>
  </r>
  <r>
    <n v="202349754"/>
    <d v="2023-02-04T00:00:00"/>
    <d v="2023-05-08T00:00:00"/>
    <x v="0"/>
    <n v="39"/>
    <s v="month"/>
    <n v="93"/>
    <s v="Saturday"/>
  </r>
  <r>
    <n v="202410436"/>
    <d v="2023-02-04T00:00:00"/>
    <d v="2023-02-25T00:00:00"/>
    <x v="0"/>
    <n v="39"/>
    <s v="month"/>
    <n v="21"/>
    <s v="Saturday"/>
  </r>
  <r>
    <n v="197151544"/>
    <d v="2023-02-04T00:00:00"/>
    <d v="2023-03-21T00:00:00"/>
    <x v="0"/>
    <n v="39"/>
    <s v="month"/>
    <n v="45"/>
    <s v="Saturday"/>
  </r>
  <r>
    <n v="202305934"/>
    <d v="2023-02-04T00:00:00"/>
    <d v="2023-03-19T00:00:00"/>
    <x v="0"/>
    <n v="39"/>
    <s v="month"/>
    <n v="43"/>
    <s v="Saturday"/>
  </r>
  <r>
    <n v="202304812"/>
    <d v="2023-02-05T00:00:00"/>
    <s v="Active"/>
    <x v="0"/>
    <n v="39"/>
    <s v="month"/>
    <s v="Active"/>
    <s v="Sunday"/>
  </r>
  <r>
    <n v="160030890"/>
    <d v="2023-02-05T00:00:00"/>
    <s v="Active"/>
    <x v="0"/>
    <n v="39"/>
    <s v="month"/>
    <s v="Active"/>
    <s v="Sunday"/>
  </r>
  <r>
    <n v="202524608"/>
    <d v="2023-02-05T00:00:00"/>
    <s v="Active"/>
    <x v="0"/>
    <n v="39"/>
    <s v="month"/>
    <s v="Active"/>
    <s v="Sunday"/>
  </r>
  <r>
    <n v="198447368"/>
    <d v="2023-02-05T00:00:00"/>
    <s v="Active"/>
    <x v="0"/>
    <n v="39"/>
    <s v="month"/>
    <s v="Active"/>
    <s v="Sunday"/>
  </r>
  <r>
    <n v="202458624"/>
    <d v="2023-02-05T00:00:00"/>
    <s v="Active"/>
    <x v="0"/>
    <n v="39"/>
    <s v="month"/>
    <s v="Active"/>
    <s v="Sunday"/>
  </r>
  <r>
    <n v="132256211"/>
    <d v="2023-02-05T00:00:00"/>
    <d v="2023-03-12T00:00:00"/>
    <x v="0"/>
    <n v="39"/>
    <s v="month"/>
    <n v="35"/>
    <s v="Sunday"/>
  </r>
  <r>
    <n v="202504135"/>
    <d v="2023-02-05T00:00:00"/>
    <d v="2023-06-12T00:00:00"/>
    <x v="0"/>
    <n v="39"/>
    <s v="month"/>
    <n v="127"/>
    <s v="Sunday"/>
  </r>
  <r>
    <n v="192182455"/>
    <d v="2023-02-05T00:00:00"/>
    <d v="2023-05-06T00:00:00"/>
    <x v="0"/>
    <n v="39"/>
    <s v="month"/>
    <n v="90"/>
    <s v="Sunday"/>
  </r>
  <r>
    <n v="202505276"/>
    <d v="2023-02-05T00:00:00"/>
    <d v="2023-03-14T00:00:00"/>
    <x v="0"/>
    <n v="39"/>
    <s v="month"/>
    <n v="37"/>
    <s v="Sunday"/>
  </r>
  <r>
    <n v="152050632"/>
    <d v="2023-02-06T00:00:00"/>
    <s v="Active"/>
    <x v="0"/>
    <n v="39"/>
    <s v="month"/>
    <s v="Active"/>
    <s v="Monday"/>
  </r>
  <r>
    <n v="201313284"/>
    <d v="2023-02-06T00:00:00"/>
    <s v="Active"/>
    <x v="0"/>
    <n v="39"/>
    <s v="month"/>
    <s v="Active"/>
    <s v="Monday"/>
  </r>
  <r>
    <n v="202118292"/>
    <d v="2023-02-06T00:00:00"/>
    <s v="Active"/>
    <x v="0"/>
    <n v="39"/>
    <s v="month"/>
    <s v="Active"/>
    <s v="Monday"/>
  </r>
  <r>
    <n v="202298964"/>
    <d v="2023-02-06T00:00:00"/>
    <s v="Active"/>
    <x v="0"/>
    <n v="39"/>
    <s v="month"/>
    <s v="Active"/>
    <s v="Monday"/>
  </r>
  <r>
    <n v="202496216"/>
    <d v="2023-02-06T00:00:00"/>
    <s v="Active"/>
    <x v="0"/>
    <n v="39"/>
    <s v="month"/>
    <s v="Active"/>
    <s v="Monday"/>
  </r>
  <r>
    <n v="152354478"/>
    <d v="2023-02-06T00:00:00"/>
    <s v="Active"/>
    <x v="0"/>
    <n v="39"/>
    <s v="month"/>
    <s v="Active"/>
    <s v="Monday"/>
  </r>
  <r>
    <n v="200490112"/>
    <d v="2023-02-06T00:00:00"/>
    <d v="2023-02-07T00:00:00"/>
    <x v="1"/>
    <n v="39"/>
    <s v="month"/>
    <n v="1"/>
    <s v="Monday"/>
  </r>
  <r>
    <n v="131310280"/>
    <d v="2023-02-06T00:00:00"/>
    <d v="2023-02-17T00:00:00"/>
    <x v="0"/>
    <n v="39"/>
    <s v="month"/>
    <n v="11"/>
    <s v="Monday"/>
  </r>
  <r>
    <n v="154161250"/>
    <d v="2023-02-06T00:00:00"/>
    <d v="2023-03-21T00:00:00"/>
    <x v="0"/>
    <n v="39"/>
    <s v="month"/>
    <n v="43"/>
    <s v="Monday"/>
  </r>
  <r>
    <n v="150521180"/>
    <d v="2023-02-06T00:00:00"/>
    <d v="2023-06-05T00:00:00"/>
    <x v="0"/>
    <n v="39"/>
    <s v="month"/>
    <n v="119"/>
    <s v="Monday"/>
  </r>
  <r>
    <n v="195280988"/>
    <d v="2023-02-06T00:00:00"/>
    <d v="2023-06-21T00:00:00"/>
    <x v="0"/>
    <n v="39"/>
    <s v="month"/>
    <n v="135"/>
    <s v="Monday"/>
  </r>
  <r>
    <n v="201231494"/>
    <d v="2023-02-06T00:00:00"/>
    <d v="2023-05-09T00:00:00"/>
    <x v="0"/>
    <n v="39"/>
    <s v="month"/>
    <n v="92"/>
    <s v="Monday"/>
  </r>
  <r>
    <n v="199554496"/>
    <d v="2023-02-06T00:00:00"/>
    <d v="2023-02-08T00:00:00"/>
    <x v="0"/>
    <n v="39"/>
    <s v="month"/>
    <n v="2"/>
    <s v="Monday"/>
  </r>
  <r>
    <n v="125747106"/>
    <d v="2023-02-06T00:00:00"/>
    <d v="2023-03-04T00:00:00"/>
    <x v="0"/>
    <n v="39"/>
    <s v="month"/>
    <n v="26"/>
    <s v="Monday"/>
  </r>
  <r>
    <n v="195345030"/>
    <d v="2023-02-06T00:00:00"/>
    <d v="2023-03-04T00:00:00"/>
    <x v="0"/>
    <n v="39"/>
    <s v="month"/>
    <n v="26"/>
    <s v="Monday"/>
  </r>
  <r>
    <n v="202269874"/>
    <d v="2023-02-06T00:00:00"/>
    <d v="2023-03-25T00:00:00"/>
    <x v="0"/>
    <n v="39"/>
    <s v="month"/>
    <n v="47"/>
    <s v="Monday"/>
  </r>
  <r>
    <n v="191036527"/>
    <d v="2023-02-06T00:00:00"/>
    <d v="2023-03-07T00:00:00"/>
    <x v="0"/>
    <n v="39"/>
    <s v="month"/>
    <n v="29"/>
    <s v="Monday"/>
  </r>
  <r>
    <n v="202633556"/>
    <d v="2023-02-06T00:00:00"/>
    <d v="2023-02-22T00:00:00"/>
    <x v="0"/>
    <n v="39"/>
    <s v="month"/>
    <n v="16"/>
    <s v="Monday"/>
  </r>
  <r>
    <n v="202750328"/>
    <d v="2023-02-06T00:00:00"/>
    <d v="2023-08-02T00:00:00"/>
    <x v="0"/>
    <n v="39"/>
    <s v="month"/>
    <n v="177"/>
    <s v="Monday"/>
  </r>
  <r>
    <n v="192781688"/>
    <d v="2023-02-07T00:00:00"/>
    <s v="Active"/>
    <x v="0"/>
    <n v="39"/>
    <s v="month"/>
    <s v="Active"/>
    <s v="Tuesday"/>
  </r>
  <r>
    <n v="196859472"/>
    <d v="2023-02-07T00:00:00"/>
    <s v="Active"/>
    <x v="0"/>
    <n v="39"/>
    <s v="month"/>
    <s v="Active"/>
    <s v="Tuesday"/>
  </r>
  <r>
    <n v="200333728"/>
    <d v="2023-02-07T00:00:00"/>
    <s v="Active"/>
    <x v="0"/>
    <n v="39"/>
    <s v="month"/>
    <s v="Active"/>
    <s v="Tuesday"/>
  </r>
  <r>
    <n v="129896329"/>
    <d v="2023-02-07T00:00:00"/>
    <s v="Active"/>
    <x v="0"/>
    <n v="39"/>
    <s v="month"/>
    <s v="Active"/>
    <s v="Tuesday"/>
  </r>
  <r>
    <n v="168202891"/>
    <d v="2023-02-07T00:00:00"/>
    <d v="2023-02-07T00:00:00"/>
    <x v="1"/>
    <n v="39"/>
    <s v="month"/>
    <n v="0"/>
    <s v="Tuesday"/>
  </r>
  <r>
    <n v="202924219"/>
    <d v="2023-02-07T00:00:00"/>
    <d v="2023-06-20T00:00:00"/>
    <x v="0"/>
    <n v="39"/>
    <s v="month"/>
    <n v="133"/>
    <s v="Tuesday"/>
  </r>
  <r>
    <n v="202863670"/>
    <d v="2023-02-07T00:00:00"/>
    <d v="2023-04-14T00:00:00"/>
    <x v="0"/>
    <n v="39"/>
    <s v="month"/>
    <n v="66"/>
    <s v="Tuesday"/>
  </r>
  <r>
    <n v="202398629"/>
    <d v="2023-02-07T00:00:00"/>
    <d v="2023-03-06T00:00:00"/>
    <x v="0"/>
    <n v="39"/>
    <s v="month"/>
    <n v="27"/>
    <s v="Tuesday"/>
  </r>
  <r>
    <n v="188448878"/>
    <d v="2023-02-07T00:00:00"/>
    <d v="2023-02-07T00:00:00"/>
    <x v="0"/>
    <n v="39"/>
    <s v="month"/>
    <n v="0"/>
    <s v="Tuesday"/>
  </r>
  <r>
    <n v="203254948"/>
    <d v="2023-02-08T00:00:00"/>
    <s v="Active"/>
    <x v="0"/>
    <n v="39"/>
    <s v="month"/>
    <s v="Active"/>
    <s v="Wednesday"/>
  </r>
  <r>
    <n v="203120229"/>
    <d v="2023-02-08T00:00:00"/>
    <d v="2023-06-17T00:00:00"/>
    <x v="0"/>
    <n v="39"/>
    <s v="month"/>
    <n v="129"/>
    <s v="Wednesday"/>
  </r>
  <r>
    <n v="203225874"/>
    <d v="2023-02-08T00:00:00"/>
    <d v="2023-05-04T00:00:00"/>
    <x v="0"/>
    <n v="39"/>
    <s v="month"/>
    <n v="85"/>
    <s v="Wednesday"/>
  </r>
  <r>
    <n v="203107308"/>
    <d v="2023-02-08T00:00:00"/>
    <d v="2023-05-16T00:00:00"/>
    <x v="0"/>
    <n v="39"/>
    <s v="month"/>
    <n v="97"/>
    <s v="Wednesday"/>
  </r>
  <r>
    <n v="156558244"/>
    <d v="2023-02-08T00:00:00"/>
    <d v="2023-07-31T00:00:00"/>
    <x v="0"/>
    <n v="39"/>
    <s v="month"/>
    <n v="173"/>
    <s v="Wednesday"/>
  </r>
  <r>
    <n v="194306726"/>
    <d v="2023-02-08T00:00:00"/>
    <d v="2023-03-01T00:00:00"/>
    <x v="0"/>
    <n v="39"/>
    <s v="month"/>
    <n v="21"/>
    <s v="Wednesday"/>
  </r>
  <r>
    <n v="202410948"/>
    <d v="2023-02-08T00:00:00"/>
    <d v="2023-03-15T00:00:00"/>
    <x v="0"/>
    <n v="39"/>
    <s v="month"/>
    <n v="35"/>
    <s v="Wednesday"/>
  </r>
  <r>
    <n v="203166018"/>
    <d v="2023-02-08T00:00:00"/>
    <d v="2023-03-08T00:00:00"/>
    <x v="0"/>
    <n v="39"/>
    <s v="month"/>
    <n v="28"/>
    <s v="Wednesday"/>
  </r>
  <r>
    <n v="203116697"/>
    <d v="2023-02-08T00:00:00"/>
    <d v="2023-03-23T00:00:00"/>
    <x v="0"/>
    <n v="39"/>
    <s v="month"/>
    <n v="43"/>
    <s v="Wednesday"/>
  </r>
  <r>
    <n v="202982608"/>
    <d v="2023-02-08T00:00:00"/>
    <d v="2023-03-02T00:00:00"/>
    <x v="0"/>
    <n v="39"/>
    <s v="month"/>
    <n v="22"/>
    <s v="Wednesday"/>
  </r>
  <r>
    <n v="198167700"/>
    <d v="2023-02-08T00:00:00"/>
    <d v="2023-02-11T00:00:00"/>
    <x v="0"/>
    <n v="39"/>
    <s v="month"/>
    <n v="3"/>
    <s v="Wednesday"/>
  </r>
  <r>
    <n v="190567582"/>
    <d v="2023-02-08T00:00:00"/>
    <d v="2023-02-22T00:00:00"/>
    <x v="0"/>
    <n v="39"/>
    <s v="month"/>
    <n v="14"/>
    <s v="Wednesday"/>
  </r>
  <r>
    <n v="202699972"/>
    <d v="2023-02-08T00:00:00"/>
    <d v="2023-08-07T00:00:00"/>
    <x v="0"/>
    <n v="39"/>
    <s v="month"/>
    <n v="180"/>
    <s v="Wednesday"/>
  </r>
  <r>
    <n v="203242766"/>
    <d v="2023-02-09T00:00:00"/>
    <s v="Active"/>
    <x v="0"/>
    <n v="39"/>
    <s v="month"/>
    <s v="Active"/>
    <s v="Thursday"/>
  </r>
  <r>
    <n v="203398103"/>
    <d v="2023-02-09T00:00:00"/>
    <s v="Active"/>
    <x v="0"/>
    <n v="39"/>
    <s v="month"/>
    <s v="Active"/>
    <s v="Thursday"/>
  </r>
  <r>
    <n v="203243685"/>
    <d v="2023-02-09T00:00:00"/>
    <s v="Active"/>
    <x v="0"/>
    <n v="39"/>
    <s v="month"/>
    <s v="Active"/>
    <s v="Thursday"/>
  </r>
  <r>
    <n v="203370322"/>
    <d v="2023-02-09T00:00:00"/>
    <s v="Active"/>
    <x v="0"/>
    <n v="39"/>
    <s v="month"/>
    <s v="Active"/>
    <s v="Thursday"/>
  </r>
  <r>
    <n v="138689458"/>
    <d v="2023-02-09T00:00:00"/>
    <s v="Active"/>
    <x v="0"/>
    <n v="39"/>
    <s v="month"/>
    <s v="Active"/>
    <s v="Thursday"/>
  </r>
  <r>
    <n v="203315186"/>
    <d v="2023-02-09T00:00:00"/>
    <s v="Active"/>
    <x v="0"/>
    <n v="39"/>
    <s v="month"/>
    <s v="Active"/>
    <s v="Thursday"/>
  </r>
  <r>
    <n v="203292575"/>
    <d v="2023-02-09T00:00:00"/>
    <s v="Active"/>
    <x v="0"/>
    <n v="39"/>
    <s v="month"/>
    <s v="Active"/>
    <s v="Thursday"/>
  </r>
  <r>
    <n v="144830936"/>
    <d v="2023-02-09T00:00:00"/>
    <d v="2023-02-10T00:00:00"/>
    <x v="0"/>
    <n v="39"/>
    <s v="month"/>
    <n v="1"/>
    <s v="Thursday"/>
  </r>
  <r>
    <n v="168980588"/>
    <d v="2023-02-09T00:00:00"/>
    <d v="2023-02-09T00:00:00"/>
    <x v="1"/>
    <n v="39"/>
    <s v="month"/>
    <n v="0"/>
    <s v="Thursday"/>
  </r>
  <r>
    <n v="136832520"/>
    <d v="2023-02-09T00:00:00"/>
    <d v="2023-03-10T00:00:00"/>
    <x v="0"/>
    <n v="39"/>
    <s v="month"/>
    <n v="29"/>
    <s v="Thursday"/>
  </r>
  <r>
    <n v="202103959"/>
    <d v="2023-02-09T00:00:00"/>
    <d v="2023-05-27T00:00:00"/>
    <x v="0"/>
    <n v="39"/>
    <s v="month"/>
    <n v="107"/>
    <s v="Thursday"/>
  </r>
  <r>
    <n v="148764147"/>
    <d v="2023-02-09T00:00:00"/>
    <d v="2023-04-08T00:00:00"/>
    <x v="0"/>
    <n v="39"/>
    <s v="month"/>
    <n v="58"/>
    <s v="Thursday"/>
  </r>
  <r>
    <n v="182748610"/>
    <d v="2023-02-09T00:00:00"/>
    <d v="2023-04-11T00:00:00"/>
    <x v="0"/>
    <n v="39"/>
    <s v="month"/>
    <n v="61"/>
    <s v="Thursday"/>
  </r>
  <r>
    <n v="197883626"/>
    <d v="2023-02-09T00:00:00"/>
    <d v="2023-03-16T00:00:00"/>
    <x v="0"/>
    <n v="39"/>
    <s v="month"/>
    <n v="35"/>
    <s v="Thursday"/>
  </r>
  <r>
    <n v="195893842"/>
    <d v="2023-02-09T00:00:00"/>
    <d v="2023-02-28T00:00:00"/>
    <x v="0"/>
    <n v="39"/>
    <s v="month"/>
    <n v="19"/>
    <s v="Thursday"/>
  </r>
  <r>
    <n v="169081778"/>
    <d v="2023-02-09T00:00:00"/>
    <d v="2023-08-16T00:00:00"/>
    <x v="0"/>
    <n v="39"/>
    <s v="month"/>
    <n v="188"/>
    <s v="Thursday"/>
  </r>
  <r>
    <n v="150422738"/>
    <d v="2023-02-10T00:00:00"/>
    <d v="2023-02-11T00:00:00"/>
    <x v="0"/>
    <n v="39"/>
    <s v="month"/>
    <n v="1"/>
    <s v="Friday"/>
  </r>
  <r>
    <n v="190839721"/>
    <d v="2023-02-10T00:00:00"/>
    <d v="2023-03-17T00:00:00"/>
    <x v="0"/>
    <n v="39"/>
    <s v="month"/>
    <n v="35"/>
    <s v="Friday"/>
  </r>
  <r>
    <n v="152193617"/>
    <d v="2023-02-11T00:00:00"/>
    <s v="Active"/>
    <x v="0"/>
    <n v="39"/>
    <s v="month"/>
    <s v="Active"/>
    <s v="Saturday"/>
  </r>
  <r>
    <n v="133869989"/>
    <d v="2023-02-11T00:00:00"/>
    <d v="2023-02-12T00:00:00"/>
    <x v="0"/>
    <n v="39"/>
    <s v="month"/>
    <n v="1"/>
    <s v="Saturday"/>
  </r>
  <r>
    <n v="186843516"/>
    <d v="2023-02-11T00:00:00"/>
    <d v="2023-04-19T00:00:00"/>
    <x v="0"/>
    <n v="39"/>
    <s v="month"/>
    <n v="67"/>
    <s v="Saturday"/>
  </r>
  <r>
    <n v="138913080"/>
    <d v="2023-02-11T00:00:00"/>
    <d v="2023-04-22T00:00:00"/>
    <x v="0"/>
    <n v="39"/>
    <s v="month"/>
    <n v="70"/>
    <s v="Saturday"/>
  </r>
  <r>
    <n v="134879280"/>
    <d v="2023-02-11T00:00:00"/>
    <d v="2023-03-07T00:00:00"/>
    <x v="0"/>
    <n v="39"/>
    <s v="month"/>
    <n v="24"/>
    <s v="Saturday"/>
  </r>
  <r>
    <n v="160878134"/>
    <d v="2023-02-13T00:00:00"/>
    <s v="Active"/>
    <x v="0"/>
    <n v="39"/>
    <s v="month"/>
    <s v="Active"/>
    <s v="Monday"/>
  </r>
  <r>
    <n v="144423338"/>
    <d v="2023-02-13T00:00:00"/>
    <d v="2023-08-21T00:00:00"/>
    <x v="0"/>
    <n v="39"/>
    <s v="month"/>
    <n v="189"/>
    <s v="Monday"/>
  </r>
  <r>
    <n v="136218542"/>
    <d v="2023-02-13T00:00:00"/>
    <d v="2023-05-13T00:00:00"/>
    <x v="0"/>
    <n v="39"/>
    <s v="month"/>
    <n v="89"/>
    <s v="Monday"/>
  </r>
  <r>
    <n v="204121686"/>
    <d v="2023-02-13T00:00:00"/>
    <d v="2023-06-12T00:00:00"/>
    <x v="0"/>
    <n v="39"/>
    <s v="month"/>
    <n v="119"/>
    <s v="Monday"/>
  </r>
  <r>
    <n v="204114138"/>
    <d v="2023-02-13T00:00:00"/>
    <d v="2023-05-10T00:00:00"/>
    <x v="0"/>
    <n v="39"/>
    <s v="month"/>
    <n v="86"/>
    <s v="Monday"/>
  </r>
  <r>
    <n v="152197442"/>
    <d v="2023-02-13T00:00:00"/>
    <d v="2023-03-13T00:00:00"/>
    <x v="0"/>
    <n v="39"/>
    <s v="month"/>
    <n v="28"/>
    <s v="Monday"/>
  </r>
  <r>
    <n v="151695881"/>
    <d v="2023-02-13T00:00:00"/>
    <d v="2023-03-27T00:00:00"/>
    <x v="0"/>
    <n v="39"/>
    <s v="month"/>
    <n v="42"/>
    <s v="Monday"/>
  </r>
  <r>
    <n v="204378294"/>
    <d v="2023-02-14T00:00:00"/>
    <s v="Active"/>
    <x v="0"/>
    <n v="39"/>
    <s v="month"/>
    <s v="Active"/>
    <s v="Tuesday"/>
  </r>
  <r>
    <n v="204376665"/>
    <d v="2023-02-14T00:00:00"/>
    <s v="Active"/>
    <x v="0"/>
    <n v="39"/>
    <s v="month"/>
    <s v="Active"/>
    <s v="Tuesday"/>
  </r>
  <r>
    <n v="204270637"/>
    <d v="2023-02-14T00:00:00"/>
    <s v="Active"/>
    <x v="0"/>
    <n v="39"/>
    <s v="month"/>
    <s v="Active"/>
    <s v="Tuesday"/>
  </r>
  <r>
    <n v="204380751"/>
    <d v="2023-02-14T00:00:00"/>
    <d v="2023-02-14T00:00:00"/>
    <x v="0"/>
    <n v="39"/>
    <s v="month"/>
    <n v="0"/>
    <s v="Tuesday"/>
  </r>
  <r>
    <n v="204402989"/>
    <d v="2023-02-14T00:00:00"/>
    <d v="2023-06-08T00:00:00"/>
    <x v="0"/>
    <n v="39"/>
    <s v="month"/>
    <n v="114"/>
    <s v="Tuesday"/>
  </r>
  <r>
    <n v="203403136"/>
    <d v="2023-02-14T00:00:00"/>
    <d v="2023-06-12T00:00:00"/>
    <x v="0"/>
    <n v="39"/>
    <s v="month"/>
    <n v="118"/>
    <s v="Tuesday"/>
  </r>
  <r>
    <n v="198453918"/>
    <d v="2023-02-14T00:00:00"/>
    <d v="2023-05-15T00:00:00"/>
    <x v="0"/>
    <n v="39"/>
    <s v="month"/>
    <n v="90"/>
    <s v="Tuesday"/>
  </r>
  <r>
    <n v="133514912"/>
    <d v="2023-02-14T00:00:00"/>
    <d v="2023-03-07T00:00:00"/>
    <x v="0"/>
    <n v="39"/>
    <s v="month"/>
    <n v="21"/>
    <s v="Tuesday"/>
  </r>
  <r>
    <n v="203414698"/>
    <d v="2023-02-14T00:00:00"/>
    <d v="2023-03-26T00:00:00"/>
    <x v="0"/>
    <n v="39"/>
    <s v="month"/>
    <n v="40"/>
    <s v="Tuesday"/>
  </r>
  <r>
    <n v="190400854"/>
    <d v="2023-02-14T00:00:00"/>
    <d v="2023-07-20T00:00:00"/>
    <x v="0"/>
    <n v="39"/>
    <s v="month"/>
    <n v="156"/>
    <s v="Tuesday"/>
  </r>
  <r>
    <n v="204114797"/>
    <d v="2023-02-14T00:00:00"/>
    <d v="2023-06-18T00:00:00"/>
    <x v="0"/>
    <n v="39"/>
    <s v="month"/>
    <n v="124"/>
    <s v="Tuesday"/>
  </r>
  <r>
    <n v="202377942"/>
    <d v="2023-02-15T00:00:00"/>
    <s v="Active"/>
    <x v="0"/>
    <n v="39"/>
    <s v="month"/>
    <s v="Active"/>
    <s v="Wednesday"/>
  </r>
  <r>
    <n v="204555612"/>
    <d v="2023-02-15T00:00:00"/>
    <d v="2023-02-15T00:00:00"/>
    <x v="1"/>
    <n v="39"/>
    <s v="month"/>
    <n v="0"/>
    <s v="Wednesday"/>
  </r>
  <r>
    <n v="204556376"/>
    <d v="2023-02-15T00:00:00"/>
    <d v="2023-02-15T00:00:00"/>
    <x v="1"/>
    <n v="39"/>
    <s v="month"/>
    <n v="0"/>
    <s v="Wednesday"/>
  </r>
  <r>
    <n v="204515997"/>
    <d v="2023-02-15T00:00:00"/>
    <d v="2023-06-14T00:00:00"/>
    <x v="0"/>
    <n v="39"/>
    <s v="month"/>
    <n v="119"/>
    <s v="Wednesday"/>
  </r>
  <r>
    <n v="153342734"/>
    <d v="2023-02-15T00:00:00"/>
    <d v="2023-03-22T00:00:00"/>
    <x v="0"/>
    <n v="39"/>
    <s v="month"/>
    <n v="35"/>
    <s v="Wednesday"/>
  </r>
  <r>
    <n v="204650391"/>
    <d v="2023-02-16T00:00:00"/>
    <s v="Active"/>
    <x v="0"/>
    <n v="39"/>
    <s v="month"/>
    <s v="Active"/>
    <s v="Thursday"/>
  </r>
  <r>
    <n v="150906486"/>
    <d v="2023-02-16T00:00:00"/>
    <d v="2023-03-17T00:00:00"/>
    <x v="0"/>
    <n v="39"/>
    <s v="month"/>
    <n v="29"/>
    <s v="Thursday"/>
  </r>
  <r>
    <n v="153961940"/>
    <d v="2023-02-16T00:00:00"/>
    <d v="2023-02-16T00:00:00"/>
    <x v="0"/>
    <n v="39"/>
    <s v="month"/>
    <n v="0"/>
    <s v="Thursday"/>
  </r>
  <r>
    <n v="154175766"/>
    <d v="2023-02-16T00:00:00"/>
    <d v="2023-03-15T00:00:00"/>
    <x v="0"/>
    <n v="39"/>
    <s v="month"/>
    <n v="27"/>
    <s v="Thursday"/>
  </r>
  <r>
    <n v="204631298"/>
    <d v="2023-02-16T00:00:00"/>
    <d v="2023-04-17T00:00:00"/>
    <x v="0"/>
    <n v="39"/>
    <s v="month"/>
    <n v="60"/>
    <s v="Thursday"/>
  </r>
  <r>
    <n v="195534585"/>
    <d v="2023-02-16T00:00:00"/>
    <d v="2023-04-14T00:00:00"/>
    <x v="0"/>
    <n v="39"/>
    <s v="month"/>
    <n v="57"/>
    <s v="Thursday"/>
  </r>
  <r>
    <n v="176421166"/>
    <d v="2023-02-16T00:00:00"/>
    <d v="2023-04-14T00:00:00"/>
    <x v="0"/>
    <n v="39"/>
    <s v="month"/>
    <n v="57"/>
    <s v="Thursday"/>
  </r>
  <r>
    <n v="204679416"/>
    <d v="2023-02-16T00:00:00"/>
    <d v="2023-03-17T00:00:00"/>
    <x v="0"/>
    <n v="39"/>
    <s v="month"/>
    <n v="29"/>
    <s v="Thursday"/>
  </r>
  <r>
    <n v="204448721"/>
    <d v="2023-02-16T00:00:00"/>
    <d v="2023-02-18T00:00:00"/>
    <x v="0"/>
    <n v="39"/>
    <s v="month"/>
    <n v="2"/>
    <s v="Thursday"/>
  </r>
  <r>
    <n v="151908347"/>
    <d v="2023-02-16T00:00:00"/>
    <d v="2023-06-18T00:00:00"/>
    <x v="0"/>
    <n v="39"/>
    <s v="month"/>
    <n v="122"/>
    <s v="Thursday"/>
  </r>
  <r>
    <n v="150652956"/>
    <d v="2023-02-17T00:00:00"/>
    <d v="2023-02-18T00:00:00"/>
    <x v="0"/>
    <n v="39"/>
    <s v="month"/>
    <n v="1"/>
    <s v="Friday"/>
  </r>
  <r>
    <n v="183321644"/>
    <d v="2023-02-17T00:00:00"/>
    <d v="2023-02-17T00:00:00"/>
    <x v="1"/>
    <n v="39"/>
    <s v="month"/>
    <n v="0"/>
    <s v="Friday"/>
  </r>
  <r>
    <n v="204740476"/>
    <d v="2023-02-17T00:00:00"/>
    <d v="2023-03-14T00:00:00"/>
    <x v="1"/>
    <n v="39"/>
    <s v="month"/>
    <n v="25"/>
    <s v="Friday"/>
  </r>
  <r>
    <n v="204439086"/>
    <d v="2023-02-17T00:00:00"/>
    <d v="2023-06-16T00:00:00"/>
    <x v="0"/>
    <n v="39"/>
    <s v="month"/>
    <n v="119"/>
    <s v="Friday"/>
  </r>
  <r>
    <n v="204685109"/>
    <d v="2023-02-17T00:00:00"/>
    <d v="2023-05-23T00:00:00"/>
    <x v="0"/>
    <n v="39"/>
    <s v="month"/>
    <n v="95"/>
    <s v="Friday"/>
  </r>
  <r>
    <n v="175211528"/>
    <d v="2023-02-17T00:00:00"/>
    <d v="2023-02-23T00:00:00"/>
    <x v="0"/>
    <n v="39"/>
    <s v="month"/>
    <n v="6"/>
    <s v="Friday"/>
  </r>
  <r>
    <n v="204646698"/>
    <d v="2023-02-17T00:00:00"/>
    <d v="2023-02-17T00:00:00"/>
    <x v="0"/>
    <n v="39"/>
    <s v="month"/>
    <n v="0"/>
    <s v="Friday"/>
  </r>
  <r>
    <n v="204728203"/>
    <d v="2023-02-17T00:00:00"/>
    <d v="2023-08-06T00:00:00"/>
    <x v="0"/>
    <n v="39"/>
    <s v="month"/>
    <n v="170"/>
    <s v="Friday"/>
  </r>
  <r>
    <n v="166674547"/>
    <d v="2023-02-17T00:00:00"/>
    <d v="2023-06-22T00:00:00"/>
    <x v="0"/>
    <n v="39"/>
    <s v="month"/>
    <n v="125"/>
    <s v="Friday"/>
  </r>
  <r>
    <n v="202459470"/>
    <d v="2023-02-18T00:00:00"/>
    <s v="Active"/>
    <x v="0"/>
    <n v="39"/>
    <s v="month"/>
    <s v="Active"/>
    <s v="Saturday"/>
  </r>
  <r>
    <n v="155508761"/>
    <d v="2023-02-18T00:00:00"/>
    <s v="Active"/>
    <x v="0"/>
    <n v="39"/>
    <s v="month"/>
    <s v="Active"/>
    <s v="Saturday"/>
  </r>
  <r>
    <n v="168484421"/>
    <d v="2023-02-18T00:00:00"/>
    <d v="2023-02-18T00:00:00"/>
    <x v="1"/>
    <n v="39"/>
    <s v="month"/>
    <n v="0"/>
    <s v="Saturday"/>
  </r>
  <r>
    <n v="130864124"/>
    <d v="2023-02-18T00:00:00"/>
    <d v="2023-02-19T00:00:00"/>
    <x v="0"/>
    <n v="39"/>
    <s v="month"/>
    <n v="1"/>
    <s v="Saturday"/>
  </r>
  <r>
    <n v="204752959"/>
    <d v="2023-02-18T00:00:00"/>
    <d v="2023-06-25T00:00:00"/>
    <x v="0"/>
    <n v="39"/>
    <s v="month"/>
    <n v="127"/>
    <s v="Saturday"/>
  </r>
  <r>
    <n v="204761235"/>
    <d v="2023-02-18T00:00:00"/>
    <d v="2023-05-17T00:00:00"/>
    <x v="0"/>
    <n v="39"/>
    <s v="month"/>
    <n v="88"/>
    <s v="Saturday"/>
  </r>
  <r>
    <n v="159142615"/>
    <d v="2023-02-18T00:00:00"/>
    <d v="2023-05-28T00:00:00"/>
    <x v="0"/>
    <n v="39"/>
    <s v="month"/>
    <n v="99"/>
    <s v="Saturday"/>
  </r>
  <r>
    <n v="204753316"/>
    <d v="2023-02-18T00:00:00"/>
    <d v="2023-03-25T00:00:00"/>
    <x v="0"/>
    <n v="39"/>
    <s v="month"/>
    <n v="35"/>
    <s v="Saturday"/>
  </r>
  <r>
    <n v="195188483"/>
    <d v="2023-02-19T00:00:00"/>
    <s v="Active"/>
    <x v="0"/>
    <n v="39"/>
    <s v="month"/>
    <s v="Active"/>
    <s v="Sunday"/>
  </r>
  <r>
    <n v="204773056"/>
    <d v="2023-02-19T00:00:00"/>
    <s v="Active"/>
    <x v="0"/>
    <n v="39"/>
    <s v="month"/>
    <s v="Active"/>
    <s v="Sunday"/>
  </r>
  <r>
    <n v="204814698"/>
    <d v="2023-02-19T00:00:00"/>
    <d v="2023-08-22T00:00:00"/>
    <x v="0"/>
    <n v="39"/>
    <s v="month"/>
    <n v="184"/>
    <s v="Sunday"/>
  </r>
  <r>
    <n v="204732463"/>
    <d v="2023-02-19T00:00:00"/>
    <d v="2023-06-12T00:00:00"/>
    <x v="0"/>
    <n v="39"/>
    <s v="month"/>
    <n v="113"/>
    <s v="Sunday"/>
  </r>
  <r>
    <n v="204772360"/>
    <d v="2023-02-19T00:00:00"/>
    <d v="2023-04-18T00:00:00"/>
    <x v="0"/>
    <n v="39"/>
    <s v="month"/>
    <n v="58"/>
    <s v="Sunday"/>
  </r>
  <r>
    <n v="204812582"/>
    <d v="2023-02-19T00:00:00"/>
    <d v="2023-04-07T00:00:00"/>
    <x v="0"/>
    <n v="39"/>
    <s v="month"/>
    <n v="47"/>
    <s v="Sunday"/>
  </r>
  <r>
    <n v="204662556"/>
    <d v="2023-02-19T00:00:00"/>
    <d v="2023-04-02T00:00:00"/>
    <x v="0"/>
    <n v="39"/>
    <s v="month"/>
    <n v="42"/>
    <s v="Sunday"/>
  </r>
  <r>
    <n v="163781430"/>
    <d v="2023-02-19T00:00:00"/>
    <d v="2023-04-26T00:00:00"/>
    <x v="0"/>
    <n v="39"/>
    <s v="month"/>
    <n v="66"/>
    <s v="Sunday"/>
  </r>
  <r>
    <n v="143963064"/>
    <d v="2023-02-19T00:00:00"/>
    <d v="2023-07-18T00:00:00"/>
    <x v="0"/>
    <n v="39"/>
    <s v="month"/>
    <n v="149"/>
    <s v="Sunday"/>
  </r>
  <r>
    <n v="204797166"/>
    <d v="2023-02-19T00:00:00"/>
    <d v="2023-03-06T00:00:00"/>
    <x v="0"/>
    <n v="39"/>
    <s v="month"/>
    <n v="15"/>
    <s v="Sunday"/>
  </r>
  <r>
    <n v="204774421"/>
    <d v="2023-02-19T00:00:00"/>
    <d v="2023-03-14T00:00:00"/>
    <x v="0"/>
    <n v="39"/>
    <s v="month"/>
    <n v="23"/>
    <s v="Sunday"/>
  </r>
  <r>
    <n v="204801675"/>
    <d v="2023-02-19T00:00:00"/>
    <d v="2023-03-22T00:00:00"/>
    <x v="0"/>
    <n v="39"/>
    <s v="month"/>
    <n v="31"/>
    <s v="Sunday"/>
  </r>
  <r>
    <n v="204518099"/>
    <d v="2023-02-19T00:00:00"/>
    <d v="2023-02-24T00:00:00"/>
    <x v="0"/>
    <n v="39"/>
    <s v="month"/>
    <n v="5"/>
    <s v="Sunday"/>
  </r>
  <r>
    <n v="204814320"/>
    <d v="2023-02-20T00:00:00"/>
    <s v="Active"/>
    <x v="0"/>
    <n v="39"/>
    <s v="month"/>
    <s v="Active"/>
    <s v="Monday"/>
  </r>
  <r>
    <n v="126851221"/>
    <d v="2023-02-20T00:00:00"/>
    <s v="Active"/>
    <x v="0"/>
    <n v="39"/>
    <s v="month"/>
    <s v="Active"/>
    <s v="Monday"/>
  </r>
  <r>
    <n v="204845935"/>
    <d v="2023-02-20T00:00:00"/>
    <s v="Active"/>
    <x v="0"/>
    <n v="39"/>
    <s v="month"/>
    <s v="Active"/>
    <s v="Monday"/>
  </r>
  <r>
    <n v="122215146"/>
    <d v="2023-02-20T00:00:00"/>
    <d v="2023-02-21T00:00:00"/>
    <x v="0"/>
    <n v="39"/>
    <s v="month"/>
    <n v="1"/>
    <s v="Monday"/>
  </r>
  <r>
    <n v="147300748"/>
    <d v="2023-02-20T00:00:00"/>
    <d v="2023-07-12T00:00:00"/>
    <x v="0"/>
    <n v="39"/>
    <s v="month"/>
    <n v="142"/>
    <s v="Monday"/>
  </r>
  <r>
    <n v="162596645"/>
    <d v="2023-02-20T00:00:00"/>
    <d v="2023-06-28T00:00:00"/>
    <x v="0"/>
    <n v="39"/>
    <s v="month"/>
    <n v="128"/>
    <s v="Monday"/>
  </r>
  <r>
    <n v="177666771"/>
    <d v="2023-02-20T00:00:00"/>
    <d v="2023-06-12T00:00:00"/>
    <x v="0"/>
    <n v="39"/>
    <s v="month"/>
    <n v="112"/>
    <s v="Monday"/>
  </r>
  <r>
    <n v="204884248"/>
    <d v="2023-02-20T00:00:00"/>
    <d v="2023-05-02T00:00:00"/>
    <x v="0"/>
    <n v="39"/>
    <s v="month"/>
    <n v="71"/>
    <s v="Monday"/>
  </r>
  <r>
    <n v="204826054"/>
    <d v="2023-02-20T00:00:00"/>
    <d v="2023-05-31T00:00:00"/>
    <x v="0"/>
    <n v="39"/>
    <s v="month"/>
    <n v="100"/>
    <s v="Monday"/>
  </r>
  <r>
    <n v="145096572"/>
    <d v="2023-02-20T00:00:00"/>
    <d v="2023-03-14T00:00:00"/>
    <x v="0"/>
    <n v="39"/>
    <s v="month"/>
    <n v="22"/>
    <s v="Monday"/>
  </r>
  <r>
    <n v="158472404"/>
    <d v="2023-02-20T00:00:00"/>
    <d v="2023-03-10T00:00:00"/>
    <x v="0"/>
    <n v="39"/>
    <s v="month"/>
    <n v="18"/>
    <s v="Monday"/>
  </r>
  <r>
    <n v="204907118"/>
    <d v="2023-02-20T00:00:00"/>
    <d v="2023-04-10T00:00:00"/>
    <x v="0"/>
    <n v="39"/>
    <s v="month"/>
    <n v="49"/>
    <s v="Monday"/>
  </r>
  <r>
    <n v="204602410"/>
    <d v="2023-02-20T00:00:00"/>
    <d v="2023-03-20T00:00:00"/>
    <x v="0"/>
    <n v="39"/>
    <s v="month"/>
    <n v="28"/>
    <s v="Monday"/>
  </r>
  <r>
    <n v="204853460"/>
    <d v="2023-02-20T00:00:00"/>
    <d v="2023-07-19T00:00:00"/>
    <x v="0"/>
    <n v="39"/>
    <s v="month"/>
    <n v="149"/>
    <s v="Monday"/>
  </r>
  <r>
    <n v="194310997"/>
    <d v="2023-02-20T00:00:00"/>
    <d v="2023-07-17T00:00:00"/>
    <x v="0"/>
    <n v="39"/>
    <s v="month"/>
    <n v="147"/>
    <s v="Monday"/>
  </r>
  <r>
    <n v="204902258"/>
    <d v="2023-02-21T00:00:00"/>
    <s v="Active"/>
    <x v="0"/>
    <n v="39"/>
    <s v="month"/>
    <s v="Active"/>
    <s v="Tuesday"/>
  </r>
  <r>
    <n v="162865034"/>
    <d v="2023-02-21T00:00:00"/>
    <d v="2023-03-28T00:00:00"/>
    <x v="0"/>
    <n v="39"/>
    <s v="month"/>
    <n v="35"/>
    <s v="Tuesday"/>
  </r>
  <r>
    <n v="204467695"/>
    <d v="2023-02-21T00:00:00"/>
    <d v="2023-05-09T00:00:00"/>
    <x v="0"/>
    <n v="39"/>
    <s v="month"/>
    <n v="77"/>
    <s v="Tuesday"/>
  </r>
  <r>
    <n v="204774193"/>
    <d v="2023-02-21T00:00:00"/>
    <d v="2023-05-30T00:00:00"/>
    <x v="0"/>
    <n v="39"/>
    <s v="month"/>
    <n v="98"/>
    <s v="Tuesday"/>
  </r>
  <r>
    <n v="189046085"/>
    <d v="2023-02-21T00:00:00"/>
    <d v="2023-05-18T00:00:00"/>
    <x v="0"/>
    <n v="39"/>
    <s v="month"/>
    <n v="86"/>
    <s v="Tuesday"/>
  </r>
  <r>
    <n v="188082436"/>
    <d v="2023-02-21T00:00:00"/>
    <d v="2023-04-04T00:00:00"/>
    <x v="0"/>
    <n v="39"/>
    <s v="month"/>
    <n v="42"/>
    <s v="Tuesday"/>
  </r>
  <r>
    <n v="204947361"/>
    <d v="2023-02-21T00:00:00"/>
    <d v="2023-04-05T00:00:00"/>
    <x v="0"/>
    <n v="39"/>
    <s v="month"/>
    <n v="43"/>
    <s v="Tuesday"/>
  </r>
  <r>
    <n v="158852962"/>
    <d v="2023-02-21T00:00:00"/>
    <d v="2023-04-14T00:00:00"/>
    <x v="0"/>
    <n v="39"/>
    <s v="month"/>
    <n v="52"/>
    <s v="Tuesday"/>
  </r>
  <r>
    <n v="204742960"/>
    <d v="2023-02-21T00:00:00"/>
    <d v="2023-03-06T00:00:00"/>
    <x v="0"/>
    <n v="39"/>
    <s v="month"/>
    <n v="13"/>
    <s v="Tuesday"/>
  </r>
  <r>
    <n v="204726042"/>
    <d v="2023-02-21T00:00:00"/>
    <d v="2023-03-17T00:00:00"/>
    <x v="0"/>
    <n v="39"/>
    <s v="month"/>
    <n v="24"/>
    <s v="Tuesday"/>
  </r>
  <r>
    <n v="204997225"/>
    <d v="2023-02-22T00:00:00"/>
    <s v="Active"/>
    <x v="0"/>
    <n v="39"/>
    <s v="month"/>
    <s v="Active"/>
    <s v="Wednesday"/>
  </r>
  <r>
    <n v="126103612"/>
    <d v="2023-02-22T00:00:00"/>
    <s v="Active"/>
    <x v="0"/>
    <n v="39"/>
    <s v="month"/>
    <s v="Active"/>
    <s v="Wednesday"/>
  </r>
  <r>
    <n v="204934860"/>
    <d v="2023-02-22T00:00:00"/>
    <d v="2023-02-23T00:00:00"/>
    <x v="1"/>
    <n v="39"/>
    <s v="month"/>
    <n v="1"/>
    <s v="Wednesday"/>
  </r>
  <r>
    <n v="197086298"/>
    <d v="2023-02-22T00:00:00"/>
    <d v="2023-05-02T00:00:00"/>
    <x v="0"/>
    <n v="39"/>
    <s v="month"/>
    <n v="69"/>
    <s v="Wednesday"/>
  </r>
  <r>
    <n v="204732760"/>
    <d v="2023-02-22T00:00:00"/>
    <d v="2023-04-21T00:00:00"/>
    <x v="0"/>
    <n v="39"/>
    <s v="month"/>
    <n v="58"/>
    <s v="Wednesday"/>
  </r>
  <r>
    <n v="204985175"/>
    <d v="2023-02-22T00:00:00"/>
    <d v="2023-04-13T00:00:00"/>
    <x v="0"/>
    <n v="39"/>
    <s v="month"/>
    <n v="50"/>
    <s v="Wednesday"/>
  </r>
  <r>
    <n v="189387698"/>
    <d v="2023-02-22T00:00:00"/>
    <d v="2023-04-07T00:00:00"/>
    <x v="0"/>
    <n v="39"/>
    <s v="month"/>
    <n v="44"/>
    <s v="Wednesday"/>
  </r>
  <r>
    <n v="144160302"/>
    <d v="2023-02-22T00:00:00"/>
    <d v="2023-04-06T00:00:00"/>
    <x v="0"/>
    <n v="39"/>
    <s v="month"/>
    <n v="43"/>
    <s v="Wednesday"/>
  </r>
  <r>
    <n v="195774465"/>
    <d v="2023-02-22T00:00:00"/>
    <d v="2023-04-29T00:00:00"/>
    <x v="0"/>
    <n v="39"/>
    <s v="month"/>
    <n v="66"/>
    <s v="Wednesday"/>
  </r>
  <r>
    <n v="204890622"/>
    <d v="2023-02-22T00:00:00"/>
    <d v="2023-03-18T00:00:00"/>
    <x v="0"/>
    <n v="39"/>
    <s v="month"/>
    <n v="24"/>
    <s v="Wednesday"/>
  </r>
  <r>
    <n v="204206841"/>
    <d v="2023-02-22T00:00:00"/>
    <d v="2023-03-08T00:00:00"/>
    <x v="0"/>
    <n v="39"/>
    <s v="month"/>
    <n v="14"/>
    <s v="Wednesday"/>
  </r>
  <r>
    <n v="204955216"/>
    <d v="2023-02-22T00:00:00"/>
    <d v="2023-03-20T00:00:00"/>
    <x v="0"/>
    <n v="39"/>
    <s v="month"/>
    <n v="26"/>
    <s v="Wednesday"/>
  </r>
  <r>
    <n v="204992891"/>
    <d v="2023-02-22T00:00:00"/>
    <d v="2023-08-03T00:00:00"/>
    <x v="0"/>
    <n v="39"/>
    <s v="month"/>
    <n v="162"/>
    <s v="Wednesday"/>
  </r>
  <r>
    <n v="139152786"/>
    <d v="2023-02-23T00:00:00"/>
    <s v="Active"/>
    <x v="0"/>
    <n v="39"/>
    <s v="month"/>
    <s v="Active"/>
    <s v="Thursday"/>
  </r>
  <r>
    <n v="204753108"/>
    <d v="2023-02-23T00:00:00"/>
    <s v="Active"/>
    <x v="0"/>
    <n v="39"/>
    <s v="month"/>
    <s v="Active"/>
    <s v="Thursday"/>
  </r>
  <r>
    <n v="136703646"/>
    <d v="2023-02-23T00:00:00"/>
    <d v="2023-04-07T00:00:00"/>
    <x v="0"/>
    <n v="39"/>
    <s v="month"/>
    <n v="43"/>
    <s v="Thursday"/>
  </r>
  <r>
    <n v="204294672"/>
    <d v="2023-02-23T00:00:00"/>
    <d v="2023-05-31T00:00:00"/>
    <x v="0"/>
    <n v="39"/>
    <s v="month"/>
    <n v="97"/>
    <s v="Thursday"/>
  </r>
  <r>
    <n v="189505981"/>
    <d v="2023-02-23T00:00:00"/>
    <d v="2023-04-30T00:00:00"/>
    <x v="0"/>
    <n v="39"/>
    <s v="month"/>
    <n v="66"/>
    <s v="Thursday"/>
  </r>
  <r>
    <n v="115899168"/>
    <d v="2023-02-23T00:00:00"/>
    <d v="2023-04-03T00:00:00"/>
    <x v="0"/>
    <n v="39"/>
    <s v="month"/>
    <n v="39"/>
    <s v="Thursday"/>
  </r>
  <r>
    <n v="200117920"/>
    <d v="2023-02-23T00:00:00"/>
    <d v="2023-03-22T00:00:00"/>
    <x v="0"/>
    <n v="39"/>
    <s v="month"/>
    <n v="27"/>
    <s v="Thursday"/>
  </r>
  <r>
    <n v="205057455"/>
    <d v="2023-02-23T00:00:00"/>
    <d v="2023-03-26T00:00:00"/>
    <x v="0"/>
    <n v="39"/>
    <s v="month"/>
    <n v="31"/>
    <s v="Thursday"/>
  </r>
  <r>
    <n v="205028691"/>
    <d v="2023-02-23T00:00:00"/>
    <d v="2023-03-10T00:00:00"/>
    <x v="0"/>
    <n v="39"/>
    <s v="month"/>
    <n v="15"/>
    <s v="Thursday"/>
  </r>
  <r>
    <n v="204857146"/>
    <d v="2023-02-23T00:00:00"/>
    <d v="2023-03-10T00:00:00"/>
    <x v="0"/>
    <n v="39"/>
    <s v="month"/>
    <n v="15"/>
    <s v="Thursday"/>
  </r>
  <r>
    <n v="134131772"/>
    <d v="2023-02-24T00:00:00"/>
    <d v="2023-06-16T00:00:00"/>
    <x v="0"/>
    <n v="39"/>
    <s v="month"/>
    <n v="112"/>
    <s v="Friday"/>
  </r>
  <r>
    <n v="148942254"/>
    <d v="2023-02-24T00:00:00"/>
    <d v="2023-06-11T00:00:00"/>
    <x v="0"/>
    <n v="39"/>
    <s v="month"/>
    <n v="107"/>
    <s v="Friday"/>
  </r>
  <r>
    <n v="204512235"/>
    <d v="2023-02-24T00:00:00"/>
    <d v="2023-06-16T00:00:00"/>
    <x v="0"/>
    <n v="39"/>
    <s v="month"/>
    <n v="112"/>
    <s v="Friday"/>
  </r>
  <r>
    <n v="204977028"/>
    <d v="2023-02-24T00:00:00"/>
    <d v="2023-05-01T00:00:00"/>
    <x v="0"/>
    <n v="39"/>
    <s v="month"/>
    <n v="66"/>
    <s v="Friday"/>
  </r>
  <r>
    <n v="205122220"/>
    <d v="2023-02-24T00:00:00"/>
    <d v="2023-04-13T00:00:00"/>
    <x v="0"/>
    <n v="39"/>
    <s v="month"/>
    <n v="48"/>
    <s v="Friday"/>
  </r>
  <r>
    <n v="179578904"/>
    <d v="2023-02-24T00:00:00"/>
    <d v="2023-04-18T00:00:00"/>
    <x v="0"/>
    <n v="39"/>
    <s v="month"/>
    <n v="53"/>
    <s v="Friday"/>
  </r>
  <r>
    <n v="205120086"/>
    <d v="2023-02-24T00:00:00"/>
    <d v="2023-04-04T00:00:00"/>
    <x v="0"/>
    <n v="39"/>
    <s v="month"/>
    <n v="39"/>
    <s v="Friday"/>
  </r>
  <r>
    <n v="158097854"/>
    <d v="2023-02-24T00:00:00"/>
    <d v="2023-03-30T00:00:00"/>
    <x v="0"/>
    <n v="39"/>
    <s v="month"/>
    <n v="34"/>
    <s v="Friday"/>
  </r>
  <r>
    <n v="204760569"/>
    <d v="2023-02-24T00:00:00"/>
    <d v="2023-03-15T00:00:00"/>
    <x v="0"/>
    <n v="39"/>
    <s v="month"/>
    <n v="19"/>
    <s v="Friday"/>
  </r>
  <r>
    <n v="204982432"/>
    <d v="2023-02-24T00:00:00"/>
    <d v="2023-03-31T00:00:00"/>
    <x v="0"/>
    <n v="39"/>
    <s v="month"/>
    <n v="35"/>
    <s v="Friday"/>
  </r>
  <r>
    <n v="158351648"/>
    <d v="2023-02-24T00:00:00"/>
    <d v="2023-09-01T00:00:00"/>
    <x v="0"/>
    <n v="39"/>
    <s v="month"/>
    <n v="189"/>
    <s v="Friday"/>
  </r>
  <r>
    <n v="195325206"/>
    <d v="2023-02-25T00:00:00"/>
    <s v="Active"/>
    <x v="0"/>
    <n v="39"/>
    <s v="month"/>
    <s v="Active"/>
    <s v="Saturday"/>
  </r>
  <r>
    <n v="205102955"/>
    <d v="2023-02-25T00:00:00"/>
    <s v="Active"/>
    <x v="0"/>
    <n v="39"/>
    <s v="month"/>
    <s v="Active"/>
    <s v="Saturday"/>
  </r>
  <r>
    <n v="188092110"/>
    <d v="2023-02-25T00:00:00"/>
    <d v="2023-04-09T00:00:00"/>
    <x v="0"/>
    <n v="39"/>
    <s v="month"/>
    <n v="43"/>
    <s v="Saturday"/>
  </r>
  <r>
    <n v="147615998"/>
    <d v="2023-02-25T00:00:00"/>
    <d v="2023-04-16T00:00:00"/>
    <x v="0"/>
    <n v="39"/>
    <s v="month"/>
    <n v="50"/>
    <s v="Saturday"/>
  </r>
  <r>
    <n v="164751472"/>
    <d v="2023-02-25T00:00:00"/>
    <d v="2023-04-16T00:00:00"/>
    <x v="0"/>
    <n v="39"/>
    <s v="month"/>
    <n v="50"/>
    <s v="Saturday"/>
  </r>
  <r>
    <n v="205215538"/>
    <d v="2023-02-25T00:00:00"/>
    <d v="2023-03-02T00:00:00"/>
    <x v="0"/>
    <n v="39"/>
    <s v="month"/>
    <n v="5"/>
    <s v="Saturday"/>
  </r>
  <r>
    <n v="162962849"/>
    <d v="2023-02-26T00:00:00"/>
    <d v="2023-05-05T00:00:00"/>
    <x v="0"/>
    <n v="39"/>
    <s v="month"/>
    <n v="68"/>
    <s v="Sunday"/>
  </r>
  <r>
    <n v="154229833"/>
    <d v="2023-02-26T00:00:00"/>
    <d v="2023-03-14T00:00:00"/>
    <x v="0"/>
    <n v="39"/>
    <s v="month"/>
    <n v="16"/>
    <s v="Sunday"/>
  </r>
  <r>
    <n v="205338718"/>
    <d v="2023-02-26T00:00:00"/>
    <d v="2023-03-27T00:00:00"/>
    <x v="0"/>
    <n v="39"/>
    <s v="month"/>
    <n v="29"/>
    <s v="Sunday"/>
  </r>
  <r>
    <n v="180798046"/>
    <d v="2023-02-27T00:00:00"/>
    <s v="Active"/>
    <x v="0"/>
    <n v="39"/>
    <s v="month"/>
    <s v="Active"/>
    <s v="Monday"/>
  </r>
  <r>
    <n v="135298992"/>
    <d v="2023-02-27T00:00:00"/>
    <d v="2023-03-19T00:00:00"/>
    <x v="0"/>
    <n v="39"/>
    <s v="month"/>
    <n v="20"/>
    <s v="Monday"/>
  </r>
  <r>
    <n v="153141802"/>
    <d v="2023-02-27T00:00:00"/>
    <d v="2023-06-03T00:00:00"/>
    <x v="0"/>
    <n v="39"/>
    <s v="month"/>
    <n v="96"/>
    <s v="Monday"/>
  </r>
  <r>
    <n v="189149014"/>
    <d v="2023-02-27T00:00:00"/>
    <d v="2023-06-20T00:00:00"/>
    <x v="0"/>
    <n v="39"/>
    <s v="month"/>
    <n v="113"/>
    <s v="Monday"/>
  </r>
  <r>
    <n v="180438277"/>
    <d v="2023-02-27T00:00:00"/>
    <d v="2023-05-19T00:00:00"/>
    <x v="0"/>
    <n v="39"/>
    <s v="month"/>
    <n v="81"/>
    <s v="Monday"/>
  </r>
  <r>
    <n v="205471532"/>
    <d v="2023-02-27T00:00:00"/>
    <d v="2023-04-27T00:00:00"/>
    <x v="0"/>
    <n v="39"/>
    <s v="month"/>
    <n v="59"/>
    <s v="Monday"/>
  </r>
  <r>
    <n v="188065488"/>
    <d v="2023-02-27T00:00:00"/>
    <d v="2023-04-25T00:00:00"/>
    <x v="0"/>
    <n v="39"/>
    <s v="month"/>
    <n v="57"/>
    <s v="Monday"/>
  </r>
  <r>
    <n v="205387672"/>
    <d v="2023-02-27T00:00:00"/>
    <d v="2023-04-09T00:00:00"/>
    <x v="0"/>
    <n v="39"/>
    <s v="month"/>
    <n v="41"/>
    <s v="Monday"/>
  </r>
  <r>
    <n v="196251908"/>
    <d v="2023-02-27T00:00:00"/>
    <d v="2023-02-27T00:00:00"/>
    <x v="0"/>
    <n v="39"/>
    <s v="month"/>
    <n v="0"/>
    <s v="Monday"/>
  </r>
  <r>
    <n v="157884031"/>
    <d v="2023-02-27T00:00:00"/>
    <d v="2023-03-30T00:00:00"/>
    <x v="0"/>
    <n v="39"/>
    <s v="month"/>
    <n v="31"/>
    <s v="Monday"/>
  </r>
  <r>
    <n v="204571386"/>
    <d v="2023-02-27T00:00:00"/>
    <d v="2023-03-23T00:00:00"/>
    <x v="0"/>
    <n v="39"/>
    <s v="month"/>
    <n v="24"/>
    <s v="Monday"/>
  </r>
  <r>
    <n v="162909529"/>
    <d v="2023-02-27T00:00:00"/>
    <d v="2023-08-01T00:00:00"/>
    <x v="0"/>
    <n v="39"/>
    <s v="month"/>
    <n v="155"/>
    <s v="Monday"/>
  </r>
  <r>
    <n v="152043244"/>
    <d v="2023-02-28T00:00:00"/>
    <s v="Active"/>
    <x v="0"/>
    <n v="39"/>
    <s v="month"/>
    <s v="Active"/>
    <s v="Tuesday"/>
  </r>
  <r>
    <n v="204567111"/>
    <d v="2023-02-28T00:00:00"/>
    <s v="Active"/>
    <x v="0"/>
    <n v="39"/>
    <s v="month"/>
    <s v="Active"/>
    <s v="Tuesday"/>
  </r>
  <r>
    <n v="205487880"/>
    <d v="2023-02-28T00:00:00"/>
    <s v="Active"/>
    <x v="0"/>
    <n v="39"/>
    <s v="month"/>
    <s v="Active"/>
    <s v="Tuesday"/>
  </r>
  <r>
    <n v="205489808"/>
    <d v="2023-02-28T00:00:00"/>
    <s v="Active"/>
    <x v="0"/>
    <n v="39"/>
    <s v="month"/>
    <s v="Active"/>
    <s v="Tuesday"/>
  </r>
  <r>
    <n v="125828506"/>
    <d v="2023-02-28T00:00:00"/>
    <d v="2023-03-01T00:00:00"/>
    <x v="0"/>
    <n v="39"/>
    <s v="month"/>
    <n v="1"/>
    <s v="Tuesday"/>
  </r>
  <r>
    <n v="154701159"/>
    <d v="2023-02-28T00:00:00"/>
    <d v="2023-03-27T00:00:00"/>
    <x v="0"/>
    <n v="39"/>
    <s v="month"/>
    <n v="27"/>
    <s v="Tuesday"/>
  </r>
  <r>
    <n v="204865394"/>
    <d v="2023-02-28T00:00:00"/>
    <d v="2023-04-04T00:00:00"/>
    <x v="0"/>
    <n v="39"/>
    <s v="month"/>
    <n v="35"/>
    <s v="Tuesday"/>
  </r>
  <r>
    <n v="205044276"/>
    <d v="2023-02-28T00:00:00"/>
    <d v="2023-04-27T00:00:00"/>
    <x v="0"/>
    <n v="39"/>
    <s v="month"/>
    <n v="58"/>
    <s v="Tuesday"/>
  </r>
  <r>
    <n v="194873337"/>
    <d v="2023-02-28T00:00:00"/>
    <d v="2023-04-18T00:00:00"/>
    <x v="0"/>
    <n v="39"/>
    <s v="month"/>
    <n v="49"/>
    <s v="Tuesday"/>
  </r>
  <r>
    <n v="205492734"/>
    <d v="2023-02-28T00:00:00"/>
    <d v="2023-03-22T00:00:00"/>
    <x v="0"/>
    <n v="39"/>
    <s v="month"/>
    <n v="22"/>
    <s v="Tuesday"/>
  </r>
  <r>
    <n v="205548739"/>
    <d v="2023-03-01T00:00:00"/>
    <s v="Active"/>
    <x v="0"/>
    <n v="39"/>
    <s v="month"/>
    <s v="Active"/>
    <s v="Wednesday"/>
  </r>
  <r>
    <n v="202228372"/>
    <d v="2023-03-01T00:00:00"/>
    <s v="Active"/>
    <x v="0"/>
    <n v="39"/>
    <s v="month"/>
    <s v="Active"/>
    <s v="Wednesday"/>
  </r>
  <r>
    <n v="205034931"/>
    <d v="2023-03-01T00:00:00"/>
    <d v="2023-03-02T00:00:00"/>
    <x v="1"/>
    <n v="39"/>
    <s v="month"/>
    <n v="1"/>
    <s v="Wednesday"/>
  </r>
  <r>
    <n v="205129178"/>
    <d v="2023-03-01T00:00:00"/>
    <d v="2023-06-21T00:00:00"/>
    <x v="0"/>
    <n v="39"/>
    <s v="month"/>
    <n v="112"/>
    <s v="Wednesday"/>
  </r>
  <r>
    <n v="160114911"/>
    <d v="2023-03-01T00:00:00"/>
    <d v="2023-04-08T00:00:00"/>
    <x v="0"/>
    <n v="39"/>
    <s v="month"/>
    <n v="38"/>
    <s v="Wednesday"/>
  </r>
  <r>
    <n v="168200039"/>
    <d v="2023-03-01T00:00:00"/>
    <d v="2023-04-08T00:00:00"/>
    <x v="0"/>
    <n v="39"/>
    <s v="month"/>
    <n v="38"/>
    <s v="Wednesday"/>
  </r>
  <r>
    <n v="190622411"/>
    <d v="2023-03-01T00:00:00"/>
    <d v="2023-04-04T00:00:00"/>
    <x v="0"/>
    <n v="39"/>
    <s v="month"/>
    <n v="34"/>
    <s v="Wednesday"/>
  </r>
  <r>
    <n v="204528713"/>
    <d v="2023-03-01T00:00:00"/>
    <d v="2023-04-18T00:00:00"/>
    <x v="0"/>
    <n v="39"/>
    <s v="month"/>
    <n v="48"/>
    <s v="Wednesday"/>
  </r>
  <r>
    <n v="205573796"/>
    <d v="2023-03-01T00:00:00"/>
    <d v="2023-04-13T00:00:00"/>
    <x v="0"/>
    <n v="39"/>
    <s v="month"/>
    <n v="43"/>
    <s v="Wednesday"/>
  </r>
  <r>
    <n v="182009986"/>
    <d v="2023-03-01T00:00:00"/>
    <d v="2023-03-29T00:00:00"/>
    <x v="0"/>
    <n v="39"/>
    <s v="month"/>
    <n v="28"/>
    <s v="Wednesday"/>
  </r>
  <r>
    <n v="205606022"/>
    <d v="2023-03-01T00:00:00"/>
    <d v="2023-03-21T00:00:00"/>
    <x v="0"/>
    <n v="39"/>
    <s v="month"/>
    <n v="20"/>
    <s v="Wednesday"/>
  </r>
  <r>
    <n v="205580089"/>
    <d v="2023-03-01T00:00:00"/>
    <d v="2023-03-30T00:00:00"/>
    <x v="0"/>
    <n v="39"/>
    <s v="month"/>
    <n v="29"/>
    <s v="Wednesday"/>
  </r>
  <r>
    <n v="192949504"/>
    <d v="2023-03-01T00:00:00"/>
    <d v="2023-03-28T00:00:00"/>
    <x v="0"/>
    <n v="39"/>
    <s v="month"/>
    <n v="27"/>
    <s v="Wednesday"/>
  </r>
  <r>
    <n v="205658636"/>
    <d v="2023-03-02T00:00:00"/>
    <s v="Active"/>
    <x v="0"/>
    <n v="39"/>
    <s v="month"/>
    <s v="Active"/>
    <s v="Thursday"/>
  </r>
  <r>
    <n v="205615727"/>
    <d v="2023-03-02T00:00:00"/>
    <d v="2023-06-26T00:00:00"/>
    <x v="0"/>
    <n v="39"/>
    <s v="month"/>
    <n v="116"/>
    <s v="Thursday"/>
  </r>
  <r>
    <n v="205448424"/>
    <d v="2023-03-02T00:00:00"/>
    <d v="2023-05-30T00:00:00"/>
    <x v="0"/>
    <n v="39"/>
    <s v="month"/>
    <n v="89"/>
    <s v="Thursday"/>
  </r>
  <r>
    <n v="196009696"/>
    <d v="2023-03-02T00:00:00"/>
    <d v="2023-05-02T00:00:00"/>
    <x v="0"/>
    <n v="39"/>
    <s v="month"/>
    <n v="61"/>
    <s v="Thursday"/>
  </r>
  <r>
    <n v="205026372"/>
    <d v="2023-03-02T00:00:00"/>
    <d v="2023-05-02T00:00:00"/>
    <x v="0"/>
    <n v="39"/>
    <s v="month"/>
    <n v="61"/>
    <s v="Thursday"/>
  </r>
  <r>
    <n v="167165752"/>
    <d v="2023-03-02T00:00:00"/>
    <d v="2023-05-30T00:00:00"/>
    <x v="0"/>
    <n v="39"/>
    <s v="month"/>
    <n v="89"/>
    <s v="Thursday"/>
  </r>
  <r>
    <n v="205664425"/>
    <d v="2023-03-02T00:00:00"/>
    <d v="2023-04-25T00:00:00"/>
    <x v="0"/>
    <n v="39"/>
    <s v="month"/>
    <n v="54"/>
    <s v="Thursday"/>
  </r>
  <r>
    <n v="199179611"/>
    <d v="2023-03-02T00:00:00"/>
    <d v="2023-04-23T00:00:00"/>
    <x v="0"/>
    <n v="39"/>
    <s v="month"/>
    <n v="52"/>
    <s v="Thursday"/>
  </r>
  <r>
    <n v="205660933"/>
    <d v="2023-03-02T00:00:00"/>
    <d v="2023-04-02T00:00:00"/>
    <x v="0"/>
    <n v="39"/>
    <s v="month"/>
    <n v="31"/>
    <s v="Thursday"/>
  </r>
  <r>
    <n v="205660195"/>
    <d v="2023-03-02T00:00:00"/>
    <d v="2023-04-03T00:00:00"/>
    <x v="0"/>
    <n v="39"/>
    <s v="month"/>
    <n v="32"/>
    <s v="Thursday"/>
  </r>
  <r>
    <n v="168598418"/>
    <d v="2023-03-02T00:00:00"/>
    <d v="2023-04-22T00:00:00"/>
    <x v="0"/>
    <n v="39"/>
    <s v="month"/>
    <n v="51"/>
    <s v="Thursday"/>
  </r>
  <r>
    <n v="161182367"/>
    <d v="2023-03-02T00:00:00"/>
    <d v="2023-04-09T00:00:00"/>
    <x v="0"/>
    <n v="39"/>
    <s v="month"/>
    <n v="38"/>
    <s v="Thursday"/>
  </r>
  <r>
    <n v="156943008"/>
    <d v="2023-03-02T00:00:00"/>
    <d v="2023-03-02T00:00:00"/>
    <x v="0"/>
    <n v="39"/>
    <s v="month"/>
    <n v="0"/>
    <s v="Thursday"/>
  </r>
  <r>
    <n v="190657026"/>
    <d v="2023-03-02T00:00:00"/>
    <d v="2023-03-29T00:00:00"/>
    <x v="0"/>
    <n v="39"/>
    <s v="month"/>
    <n v="27"/>
    <s v="Thursday"/>
  </r>
  <r>
    <n v="205700946"/>
    <d v="2023-03-03T00:00:00"/>
    <s v="Active"/>
    <x v="0"/>
    <n v="39"/>
    <s v="month"/>
    <s v="Active"/>
    <s v="Friday"/>
  </r>
  <r>
    <n v="165807144"/>
    <d v="2023-03-03T00:00:00"/>
    <s v="Active"/>
    <x v="0"/>
    <n v="39"/>
    <s v="month"/>
    <s v="Active"/>
    <s v="Friday"/>
  </r>
  <r>
    <n v="125635419"/>
    <d v="2023-03-03T00:00:00"/>
    <d v="2023-03-04T00:00:00"/>
    <x v="0"/>
    <n v="39"/>
    <s v="month"/>
    <n v="1"/>
    <s v="Friday"/>
  </r>
  <r>
    <n v="205707486"/>
    <d v="2023-03-03T00:00:00"/>
    <d v="2023-03-04T00:00:00"/>
    <x v="1"/>
    <n v="39"/>
    <s v="month"/>
    <n v="1"/>
    <s v="Friday"/>
  </r>
  <r>
    <n v="150663700"/>
    <d v="2023-03-03T00:00:00"/>
    <d v="2023-03-04T00:00:00"/>
    <x v="1"/>
    <n v="39"/>
    <s v="month"/>
    <n v="1"/>
    <s v="Friday"/>
  </r>
  <r>
    <n v="149157588"/>
    <d v="2023-03-03T00:00:00"/>
    <d v="2023-05-10T00:00:00"/>
    <x v="0"/>
    <n v="39"/>
    <s v="month"/>
    <n v="68"/>
    <s v="Friday"/>
  </r>
  <r>
    <n v="205686881"/>
    <d v="2023-03-03T00:00:00"/>
    <d v="2023-06-10T00:00:00"/>
    <x v="0"/>
    <n v="39"/>
    <s v="month"/>
    <n v="99"/>
    <s v="Friday"/>
  </r>
  <r>
    <n v="138347540"/>
    <d v="2023-03-03T00:00:00"/>
    <d v="2023-05-08T00:00:00"/>
    <x v="0"/>
    <n v="39"/>
    <s v="month"/>
    <n v="66"/>
    <s v="Friday"/>
  </r>
  <r>
    <n v="154344817"/>
    <d v="2023-03-03T00:00:00"/>
    <d v="2023-04-20T00:00:00"/>
    <x v="0"/>
    <n v="39"/>
    <s v="month"/>
    <n v="48"/>
    <s v="Friday"/>
  </r>
  <r>
    <n v="205530810"/>
    <d v="2023-03-03T00:00:00"/>
    <d v="2023-04-10T00:00:00"/>
    <x v="0"/>
    <n v="39"/>
    <s v="month"/>
    <n v="38"/>
    <s v="Friday"/>
  </r>
  <r>
    <n v="205731473"/>
    <d v="2023-03-03T00:00:00"/>
    <d v="2023-03-19T00:00:00"/>
    <x v="0"/>
    <n v="39"/>
    <s v="month"/>
    <n v="16"/>
    <s v="Friday"/>
  </r>
  <r>
    <n v="205692510"/>
    <d v="2023-03-04T00:00:00"/>
    <s v="Active"/>
    <x v="0"/>
    <n v="39"/>
    <s v="month"/>
    <s v="Active"/>
    <s v="Saturday"/>
  </r>
  <r>
    <n v="191670525"/>
    <d v="2023-03-04T00:00:00"/>
    <d v="2023-05-12T00:00:00"/>
    <x v="0"/>
    <n v="39"/>
    <s v="month"/>
    <n v="69"/>
    <s v="Saturday"/>
  </r>
  <r>
    <n v="205492489"/>
    <d v="2023-03-04T00:00:00"/>
    <d v="2023-05-11T00:00:00"/>
    <x v="0"/>
    <n v="39"/>
    <s v="month"/>
    <n v="68"/>
    <s v="Saturday"/>
  </r>
  <r>
    <n v="205026942"/>
    <d v="2023-03-04T00:00:00"/>
    <d v="2023-05-04T00:00:00"/>
    <x v="0"/>
    <n v="39"/>
    <s v="month"/>
    <n v="61"/>
    <s v="Saturday"/>
  </r>
  <r>
    <n v="205768824"/>
    <d v="2023-03-04T00:00:00"/>
    <d v="2023-04-01T00:00:00"/>
    <x v="0"/>
    <n v="39"/>
    <s v="month"/>
    <n v="28"/>
    <s v="Saturday"/>
  </r>
  <r>
    <n v="160824884"/>
    <d v="2023-03-04T00:00:00"/>
    <d v="2023-04-02T00:00:00"/>
    <x v="0"/>
    <n v="39"/>
    <s v="month"/>
    <n v="29"/>
    <s v="Saturday"/>
  </r>
  <r>
    <n v="205742224"/>
    <d v="2023-03-04T00:00:00"/>
    <d v="2023-03-04T00:00:00"/>
    <x v="0"/>
    <n v="39"/>
    <s v="month"/>
    <n v="0"/>
    <s v="Saturday"/>
  </r>
  <r>
    <n v="205804144"/>
    <d v="2023-03-05T00:00:00"/>
    <d v="2023-06-26T00:00:00"/>
    <x v="0"/>
    <n v="39"/>
    <s v="month"/>
    <n v="113"/>
    <s v="Sunday"/>
  </r>
  <r>
    <n v="205703512"/>
    <d v="2023-03-05T00:00:00"/>
    <d v="2023-05-29T00:00:00"/>
    <x v="0"/>
    <n v="39"/>
    <s v="month"/>
    <n v="85"/>
    <s v="Sunday"/>
  </r>
  <r>
    <n v="131181843"/>
    <d v="2023-03-05T00:00:00"/>
    <d v="2023-03-05T00:00:00"/>
    <x v="0"/>
    <n v="39"/>
    <s v="month"/>
    <n v="0"/>
    <s v="Sunday"/>
  </r>
  <r>
    <n v="205713052"/>
    <d v="2023-03-06T00:00:00"/>
    <s v="Active"/>
    <x v="0"/>
    <n v="39"/>
    <s v="month"/>
    <s v="Active"/>
    <s v="Monday"/>
  </r>
  <r>
    <n v="138121122"/>
    <d v="2023-03-06T00:00:00"/>
    <s v="Active"/>
    <x v="0"/>
    <n v="39"/>
    <s v="month"/>
    <s v="Active"/>
    <s v="Monday"/>
  </r>
  <r>
    <n v="191326286"/>
    <d v="2023-03-06T00:00:00"/>
    <s v="Active"/>
    <x v="0"/>
    <n v="39"/>
    <s v="month"/>
    <s v="Active"/>
    <s v="Monday"/>
  </r>
  <r>
    <n v="178838732"/>
    <d v="2023-03-06T00:00:00"/>
    <s v="Active"/>
    <x v="0"/>
    <n v="39"/>
    <s v="month"/>
    <s v="Active"/>
    <s v="Monday"/>
  </r>
  <r>
    <n v="205871342"/>
    <d v="2023-03-06T00:00:00"/>
    <s v="Active"/>
    <x v="0"/>
    <n v="39"/>
    <s v="month"/>
    <s v="Active"/>
    <s v="Monday"/>
  </r>
  <r>
    <n v="202160641"/>
    <d v="2023-03-06T00:00:00"/>
    <d v="2023-06-05T00:00:00"/>
    <x v="0"/>
    <n v="39"/>
    <s v="month"/>
    <n v="91"/>
    <s v="Monday"/>
  </r>
  <r>
    <n v="205786362"/>
    <d v="2023-03-06T00:00:00"/>
    <d v="2023-05-26T00:00:00"/>
    <x v="0"/>
    <n v="39"/>
    <s v="month"/>
    <n v="81"/>
    <s v="Monday"/>
  </r>
  <r>
    <n v="159798906"/>
    <d v="2023-03-06T00:00:00"/>
    <d v="2023-04-07T00:00:00"/>
    <x v="0"/>
    <n v="39"/>
    <s v="month"/>
    <n v="32"/>
    <s v="Monday"/>
  </r>
  <r>
    <n v="166276152"/>
    <d v="2023-03-06T00:00:00"/>
    <d v="2023-04-03T00:00:00"/>
    <x v="0"/>
    <n v="39"/>
    <s v="month"/>
    <n v="28"/>
    <s v="Monday"/>
  </r>
  <r>
    <n v="156353738"/>
    <d v="2023-03-06T00:00:00"/>
    <d v="2023-03-13T00:00:00"/>
    <x v="0"/>
    <n v="39"/>
    <s v="month"/>
    <n v="7"/>
    <s v="Monday"/>
  </r>
  <r>
    <n v="205864612"/>
    <d v="2023-03-06T00:00:00"/>
    <d v="2023-03-18T00:00:00"/>
    <x v="0"/>
    <n v="39"/>
    <s v="month"/>
    <n v="12"/>
    <s v="Monday"/>
  </r>
  <r>
    <n v="142757196"/>
    <d v="2023-03-07T00:00:00"/>
    <d v="2023-07-09T00:00:00"/>
    <x v="0"/>
    <n v="39"/>
    <s v="month"/>
    <n v="124"/>
    <s v="Tuesday"/>
  </r>
  <r>
    <n v="205971108"/>
    <d v="2023-03-07T00:00:00"/>
    <d v="2023-06-22T00:00:00"/>
    <x v="0"/>
    <n v="39"/>
    <s v="month"/>
    <n v="107"/>
    <s v="Tuesday"/>
  </r>
  <r>
    <n v="206001231"/>
    <d v="2023-03-07T00:00:00"/>
    <d v="2023-05-31T00:00:00"/>
    <x v="0"/>
    <n v="39"/>
    <s v="month"/>
    <n v="85"/>
    <s v="Tuesday"/>
  </r>
  <r>
    <n v="205878686"/>
    <d v="2023-03-07T00:00:00"/>
    <d v="2023-03-07T00:00:00"/>
    <x v="0"/>
    <n v="39"/>
    <s v="month"/>
    <n v="0"/>
    <s v="Tuesday"/>
  </r>
  <r>
    <n v="206052140"/>
    <d v="2023-03-08T00:00:00"/>
    <s v="Active"/>
    <x v="0"/>
    <n v="39"/>
    <s v="month"/>
    <s v="Active"/>
    <s v="Wednesday"/>
  </r>
  <r>
    <n v="154082747"/>
    <d v="2023-03-08T00:00:00"/>
    <d v="2023-03-09T00:00:00"/>
    <x v="0"/>
    <n v="39"/>
    <s v="month"/>
    <n v="1"/>
    <s v="Wednesday"/>
  </r>
  <r>
    <n v="206017161"/>
    <d v="2023-03-08T00:00:00"/>
    <d v="2023-03-09T00:00:00"/>
    <x v="1"/>
    <n v="39"/>
    <s v="month"/>
    <n v="1"/>
    <s v="Wednesday"/>
  </r>
  <r>
    <n v="203152686"/>
    <d v="2023-03-08T00:00:00"/>
    <d v="2023-05-21T00:00:00"/>
    <x v="0"/>
    <n v="39"/>
    <s v="month"/>
    <n v="74"/>
    <s v="Wednesday"/>
  </r>
  <r>
    <n v="203320717"/>
    <d v="2023-03-08T00:00:00"/>
    <d v="2023-04-07T00:00:00"/>
    <x v="0"/>
    <n v="39"/>
    <s v="month"/>
    <n v="30"/>
    <s v="Wednesday"/>
  </r>
  <r>
    <n v="206076518"/>
    <d v="2023-03-09T00:00:00"/>
    <s v="Active"/>
    <x v="0"/>
    <n v="39"/>
    <s v="month"/>
    <s v="Active"/>
    <s v="Thursday"/>
  </r>
  <r>
    <n v="205881578"/>
    <d v="2023-03-09T00:00:00"/>
    <d v="2023-08-27T00:00:00"/>
    <x v="0"/>
    <n v="39"/>
    <s v="month"/>
    <n v="171"/>
    <s v="Thursday"/>
  </r>
  <r>
    <n v="152513944"/>
    <d v="2023-03-09T00:00:00"/>
    <d v="2023-03-10T00:00:00"/>
    <x v="0"/>
    <n v="39"/>
    <s v="month"/>
    <n v="1"/>
    <s v="Thursday"/>
  </r>
  <r>
    <n v="132371176"/>
    <d v="2023-03-09T00:00:00"/>
    <d v="2023-03-10T00:00:00"/>
    <x v="1"/>
    <n v="39"/>
    <s v="month"/>
    <n v="1"/>
    <s v="Thursday"/>
  </r>
  <r>
    <n v="135092264"/>
    <d v="2023-03-09T00:00:00"/>
    <d v="2023-07-11T00:00:00"/>
    <x v="0"/>
    <n v="39"/>
    <s v="month"/>
    <n v="124"/>
    <s v="Thursday"/>
  </r>
  <r>
    <n v="151297084"/>
    <d v="2023-03-09T00:00:00"/>
    <d v="2023-05-25T00:00:00"/>
    <x v="0"/>
    <n v="39"/>
    <s v="month"/>
    <n v="77"/>
    <s v="Thursday"/>
  </r>
  <r>
    <n v="167010855"/>
    <d v="2023-03-09T00:00:00"/>
    <d v="2023-06-08T00:00:00"/>
    <x v="0"/>
    <n v="39"/>
    <s v="month"/>
    <n v="91"/>
    <s v="Thursday"/>
  </r>
  <r>
    <n v="206122788"/>
    <d v="2023-03-09T00:00:00"/>
    <d v="2023-06-16T00:00:00"/>
    <x v="0"/>
    <n v="39"/>
    <s v="month"/>
    <n v="99"/>
    <s v="Thursday"/>
  </r>
  <r>
    <n v="158439764"/>
    <d v="2023-03-09T00:00:00"/>
    <d v="2023-05-01T00:00:00"/>
    <x v="0"/>
    <n v="39"/>
    <s v="month"/>
    <n v="53"/>
    <s v="Thursday"/>
  </r>
  <r>
    <n v="136723151"/>
    <d v="2023-03-09T00:00:00"/>
    <d v="2023-04-07T00:00:00"/>
    <x v="0"/>
    <n v="39"/>
    <s v="month"/>
    <n v="29"/>
    <s v="Thursday"/>
  </r>
  <r>
    <n v="205875358"/>
    <d v="2023-03-09T00:00:00"/>
    <d v="2023-04-22T00:00:00"/>
    <x v="0"/>
    <n v="39"/>
    <s v="month"/>
    <n v="44"/>
    <s v="Thursday"/>
  </r>
  <r>
    <n v="206082900"/>
    <d v="2023-03-09T00:00:00"/>
    <d v="2023-08-01T00:00:00"/>
    <x v="0"/>
    <n v="39"/>
    <s v="month"/>
    <n v="145"/>
    <s v="Thursday"/>
  </r>
  <r>
    <n v="206139451"/>
    <d v="2023-03-10T00:00:00"/>
    <s v="Active"/>
    <x v="0"/>
    <n v="39"/>
    <s v="month"/>
    <s v="Active"/>
    <s v="Friday"/>
  </r>
  <r>
    <n v="206196328"/>
    <d v="2023-03-10T00:00:00"/>
    <s v="Active"/>
    <x v="0"/>
    <n v="39"/>
    <s v="month"/>
    <s v="Active"/>
    <s v="Friday"/>
  </r>
  <r>
    <n v="201122030"/>
    <d v="2023-03-10T00:00:00"/>
    <d v="2023-06-05T00:00:00"/>
    <x v="0"/>
    <n v="39"/>
    <s v="month"/>
    <n v="87"/>
    <s v="Friday"/>
  </r>
  <r>
    <n v="156218152"/>
    <d v="2023-03-10T00:00:00"/>
    <d v="2023-06-09T00:00:00"/>
    <x v="0"/>
    <n v="39"/>
    <s v="month"/>
    <n v="91"/>
    <s v="Friday"/>
  </r>
  <r>
    <n v="162718092"/>
    <d v="2023-03-10T00:00:00"/>
    <d v="2023-05-10T00:00:00"/>
    <x v="0"/>
    <n v="39"/>
    <s v="month"/>
    <n v="61"/>
    <s v="Friday"/>
  </r>
  <r>
    <n v="174606946"/>
    <d v="2023-03-10T00:00:00"/>
    <d v="2023-05-09T00:00:00"/>
    <x v="0"/>
    <n v="39"/>
    <s v="month"/>
    <n v="60"/>
    <s v="Friday"/>
  </r>
  <r>
    <n v="206159331"/>
    <d v="2023-03-10T00:00:00"/>
    <d v="2023-03-25T00:00:00"/>
    <x v="0"/>
    <n v="39"/>
    <s v="month"/>
    <n v="15"/>
    <s v="Friday"/>
  </r>
  <r>
    <n v="206272716"/>
    <d v="2023-03-11T00:00:00"/>
    <s v="Active"/>
    <x v="0"/>
    <n v="39"/>
    <s v="month"/>
    <s v="Active"/>
    <s v="Saturday"/>
  </r>
  <r>
    <n v="138104184"/>
    <d v="2023-03-11T00:00:00"/>
    <d v="2023-09-07T00:00:00"/>
    <x v="0"/>
    <n v="39"/>
    <s v="month"/>
    <n v="180"/>
    <s v="Saturday"/>
  </r>
  <r>
    <n v="168264884"/>
    <d v="2023-03-11T00:00:00"/>
    <d v="2023-05-10T00:00:00"/>
    <x v="0"/>
    <n v="39"/>
    <s v="month"/>
    <n v="60"/>
    <s v="Saturday"/>
  </r>
  <r>
    <n v="153200640"/>
    <d v="2023-03-11T00:00:00"/>
    <d v="2023-04-12T00:00:00"/>
    <x v="0"/>
    <n v="39"/>
    <s v="month"/>
    <n v="32"/>
    <s v="Saturday"/>
  </r>
  <r>
    <n v="206251362"/>
    <d v="2023-03-11T00:00:00"/>
    <d v="2023-04-18T00:00:00"/>
    <x v="0"/>
    <n v="39"/>
    <s v="month"/>
    <n v="38"/>
    <s v="Saturday"/>
  </r>
  <r>
    <n v="192386902"/>
    <d v="2023-03-11T00:00:00"/>
    <d v="2023-04-18T00:00:00"/>
    <x v="0"/>
    <n v="39"/>
    <s v="month"/>
    <n v="38"/>
    <s v="Saturday"/>
  </r>
  <r>
    <n v="205851263"/>
    <d v="2023-03-11T00:00:00"/>
    <d v="2023-03-14T00:00:00"/>
    <x v="0"/>
    <n v="39"/>
    <s v="month"/>
    <n v="3"/>
    <s v="Saturday"/>
  </r>
  <r>
    <n v="197873706"/>
    <d v="2023-03-12T00:00:00"/>
    <d v="2023-08-12T00:00:00"/>
    <x v="0"/>
    <n v="39"/>
    <s v="month"/>
    <n v="153"/>
    <s v="Sunday"/>
  </r>
  <r>
    <n v="206284048"/>
    <d v="2023-03-12T00:00:00"/>
    <d v="2023-03-18T00:00:00"/>
    <x v="0"/>
    <n v="39"/>
    <s v="month"/>
    <n v="6"/>
    <s v="Sunday"/>
  </r>
  <r>
    <n v="149761545"/>
    <d v="2023-03-12T00:00:00"/>
    <d v="2023-07-24T00:00:00"/>
    <x v="0"/>
    <n v="39"/>
    <s v="month"/>
    <n v="134"/>
    <s v="Sunday"/>
  </r>
  <r>
    <n v="155010717"/>
    <d v="2023-03-13T00:00:00"/>
    <d v="2023-05-31T00:00:00"/>
    <x v="0"/>
    <n v="39"/>
    <s v="month"/>
    <n v="79"/>
    <s v="Monday"/>
  </r>
  <r>
    <n v="151407531"/>
    <d v="2023-03-13T00:00:00"/>
    <d v="2023-04-12T00:00:00"/>
    <x v="0"/>
    <n v="39"/>
    <s v="month"/>
    <n v="30"/>
    <s v="Monday"/>
  </r>
  <r>
    <n v="206407796"/>
    <d v="2023-03-13T00:00:00"/>
    <d v="2023-05-12T00:00:00"/>
    <x v="0"/>
    <n v="39"/>
    <s v="month"/>
    <n v="60"/>
    <s v="Monday"/>
  </r>
  <r>
    <n v="206247835"/>
    <d v="2023-03-13T00:00:00"/>
    <d v="2023-05-25T00:00:00"/>
    <x v="0"/>
    <n v="39"/>
    <s v="month"/>
    <n v="73"/>
    <s v="Monday"/>
  </r>
  <r>
    <n v="206382927"/>
    <d v="2023-03-13T00:00:00"/>
    <d v="2023-05-24T00:00:00"/>
    <x v="0"/>
    <n v="39"/>
    <s v="month"/>
    <n v="72"/>
    <s v="Monday"/>
  </r>
  <r>
    <n v="206147500"/>
    <d v="2023-03-13T00:00:00"/>
    <d v="2023-05-18T00:00:00"/>
    <x v="0"/>
    <n v="39"/>
    <s v="month"/>
    <n v="66"/>
    <s v="Monday"/>
  </r>
  <r>
    <n v="206330714"/>
    <d v="2023-03-13T00:00:00"/>
    <d v="2023-04-07T00:00:00"/>
    <x v="0"/>
    <n v="39"/>
    <s v="month"/>
    <n v="25"/>
    <s v="Monday"/>
  </r>
  <r>
    <n v="206121650"/>
    <d v="2023-03-13T00:00:00"/>
    <d v="2023-04-09T00:00:00"/>
    <x v="0"/>
    <n v="39"/>
    <s v="month"/>
    <n v="27"/>
    <s v="Monday"/>
  </r>
  <r>
    <n v="182504578"/>
    <d v="2023-03-13T00:00:00"/>
    <d v="2023-04-20T00:00:00"/>
    <x v="0"/>
    <n v="39"/>
    <s v="month"/>
    <n v="38"/>
    <s v="Monday"/>
  </r>
  <r>
    <n v="204362311"/>
    <d v="2023-03-13T00:00:00"/>
    <d v="2023-06-14T00:00:00"/>
    <x v="0"/>
    <n v="39"/>
    <s v="month"/>
    <n v="93"/>
    <s v="Monday"/>
  </r>
  <r>
    <n v="206504573"/>
    <d v="2023-03-14T00:00:00"/>
    <s v="Active"/>
    <x v="0"/>
    <n v="39"/>
    <s v="month"/>
    <s v="Active"/>
    <s v="Tuesday"/>
  </r>
  <r>
    <n v="206490851"/>
    <d v="2023-03-14T00:00:00"/>
    <s v="Active"/>
    <x v="0"/>
    <n v="39"/>
    <s v="month"/>
    <s v="Active"/>
    <s v="Tuesday"/>
  </r>
  <r>
    <n v="206468868"/>
    <d v="2023-03-14T00:00:00"/>
    <s v="Active"/>
    <x v="0"/>
    <n v="39"/>
    <s v="month"/>
    <s v="Active"/>
    <s v="Tuesday"/>
  </r>
  <r>
    <n v="206316124"/>
    <d v="2023-03-14T00:00:00"/>
    <s v="Active"/>
    <x v="0"/>
    <n v="39"/>
    <s v="month"/>
    <s v="Active"/>
    <s v="Tuesday"/>
  </r>
  <r>
    <n v="203404034"/>
    <d v="2023-03-14T00:00:00"/>
    <d v="2023-06-22T00:00:00"/>
    <x v="0"/>
    <n v="39"/>
    <s v="month"/>
    <n v="100"/>
    <s v="Tuesday"/>
  </r>
  <r>
    <n v="206284545"/>
    <d v="2023-03-14T00:00:00"/>
    <d v="2023-06-03T00:00:00"/>
    <x v="0"/>
    <n v="39"/>
    <s v="month"/>
    <n v="81"/>
    <s v="Tuesday"/>
  </r>
  <r>
    <n v="206470657"/>
    <d v="2023-03-14T00:00:00"/>
    <d v="2023-05-03T00:00:00"/>
    <x v="0"/>
    <n v="39"/>
    <s v="month"/>
    <n v="50"/>
    <s v="Tuesday"/>
  </r>
  <r>
    <n v="206458744"/>
    <d v="2023-03-14T00:00:00"/>
    <d v="2023-04-24T00:00:00"/>
    <x v="0"/>
    <n v="39"/>
    <s v="month"/>
    <n v="41"/>
    <s v="Tuesday"/>
  </r>
  <r>
    <n v="206122814"/>
    <d v="2023-03-14T00:00:00"/>
    <d v="2023-04-13T00:00:00"/>
    <x v="0"/>
    <n v="39"/>
    <s v="month"/>
    <n v="30"/>
    <s v="Tuesday"/>
  </r>
  <r>
    <n v="206549666"/>
    <d v="2023-03-15T00:00:00"/>
    <s v="Active"/>
    <x v="0"/>
    <n v="39"/>
    <s v="month"/>
    <s v="Active"/>
    <s v="Wednesday"/>
  </r>
  <r>
    <n v="133623621"/>
    <d v="2023-03-15T00:00:00"/>
    <s v="Active"/>
    <x v="0"/>
    <n v="39"/>
    <s v="month"/>
    <s v="Active"/>
    <s v="Wednesday"/>
  </r>
  <r>
    <n v="130982816"/>
    <d v="2023-03-15T00:00:00"/>
    <s v="Active"/>
    <x v="0"/>
    <n v="39"/>
    <s v="month"/>
    <s v="Active"/>
    <s v="Wednesday"/>
  </r>
  <r>
    <n v="143776119"/>
    <d v="2023-03-15T00:00:00"/>
    <d v="2023-08-28T00:00:00"/>
    <x v="0"/>
    <n v="39"/>
    <s v="month"/>
    <n v="166"/>
    <s v="Wednesday"/>
  </r>
  <r>
    <n v="206542743"/>
    <d v="2023-03-15T00:00:00"/>
    <d v="2023-03-16T00:00:00"/>
    <x v="1"/>
    <n v="39"/>
    <s v="month"/>
    <n v="1"/>
    <s v="Wednesday"/>
  </r>
  <r>
    <n v="206158603"/>
    <d v="2023-03-15T00:00:00"/>
    <d v="2023-03-16T00:00:00"/>
    <x v="1"/>
    <n v="39"/>
    <s v="month"/>
    <n v="1"/>
    <s v="Wednesday"/>
  </r>
  <r>
    <n v="206548046"/>
    <d v="2023-03-15T00:00:00"/>
    <d v="2023-06-08T00:00:00"/>
    <x v="0"/>
    <n v="39"/>
    <s v="month"/>
    <n v="85"/>
    <s v="Wednesday"/>
  </r>
  <r>
    <n v="168464004"/>
    <d v="2023-03-15T00:00:00"/>
    <d v="2023-06-01T00:00:00"/>
    <x v="0"/>
    <n v="39"/>
    <s v="month"/>
    <n v="78"/>
    <s v="Wednesday"/>
  </r>
  <r>
    <n v="146330379"/>
    <d v="2023-03-15T00:00:00"/>
    <d v="2023-04-19T00:00:00"/>
    <x v="0"/>
    <n v="39"/>
    <s v="month"/>
    <n v="35"/>
    <s v="Wednesday"/>
  </r>
  <r>
    <n v="206006946"/>
    <d v="2023-03-15T00:00:00"/>
    <d v="2023-05-22T00:00:00"/>
    <x v="0"/>
    <n v="39"/>
    <s v="month"/>
    <n v="68"/>
    <s v="Wednesday"/>
  </r>
  <r>
    <n v="206531388"/>
    <d v="2023-03-15T00:00:00"/>
    <d v="2023-04-05T00:00:00"/>
    <x v="0"/>
    <n v="39"/>
    <s v="month"/>
    <n v="21"/>
    <s v="Wednesday"/>
  </r>
  <r>
    <n v="206512820"/>
    <d v="2023-03-15T00:00:00"/>
    <d v="2023-07-12T00:00:00"/>
    <x v="0"/>
    <n v="39"/>
    <s v="month"/>
    <n v="119"/>
    <s v="Wednesday"/>
  </r>
  <r>
    <n v="206501414"/>
    <d v="2023-03-16T00:00:00"/>
    <s v="Active"/>
    <x v="0"/>
    <n v="39"/>
    <s v="month"/>
    <s v="Active"/>
    <s v="Thursday"/>
  </r>
  <r>
    <n v="181175226"/>
    <d v="2023-03-16T00:00:00"/>
    <d v="2023-03-31T00:00:00"/>
    <x v="0"/>
    <n v="39"/>
    <s v="month"/>
    <n v="15"/>
    <s v="Thursday"/>
  </r>
  <r>
    <n v="148758550"/>
    <d v="2023-03-17T00:00:00"/>
    <s v="Active"/>
    <x v="0"/>
    <n v="39"/>
    <s v="month"/>
    <s v="Active"/>
    <s v="Friday"/>
  </r>
  <r>
    <n v="206682036"/>
    <d v="2023-03-17T00:00:00"/>
    <s v="Active"/>
    <x v="0"/>
    <n v="39"/>
    <s v="month"/>
    <s v="Active"/>
    <s v="Friday"/>
  </r>
  <r>
    <n v="206149654"/>
    <d v="2023-03-17T00:00:00"/>
    <s v="Active"/>
    <x v="0"/>
    <n v="39"/>
    <s v="month"/>
    <s v="Active"/>
    <s v="Friday"/>
  </r>
  <r>
    <n v="206653056"/>
    <d v="2023-03-17T00:00:00"/>
    <s v="Active"/>
    <x v="0"/>
    <n v="39"/>
    <s v="month"/>
    <s v="Active"/>
    <s v="Friday"/>
  </r>
  <r>
    <n v="198466025"/>
    <d v="2023-03-17T00:00:00"/>
    <s v="Active"/>
    <x v="0"/>
    <n v="39"/>
    <s v="month"/>
    <s v="Active"/>
    <s v="Friday"/>
  </r>
  <r>
    <n v="206685935"/>
    <d v="2023-03-17T00:00:00"/>
    <d v="2023-03-18T00:00:00"/>
    <x v="1"/>
    <n v="39"/>
    <s v="month"/>
    <n v="1"/>
    <s v="Friday"/>
  </r>
  <r>
    <n v="206659390"/>
    <d v="2023-03-17T00:00:00"/>
    <d v="2023-03-18T00:00:00"/>
    <x v="1"/>
    <n v="39"/>
    <s v="month"/>
    <n v="1"/>
    <s v="Friday"/>
  </r>
  <r>
    <n v="206550926"/>
    <d v="2023-03-17T00:00:00"/>
    <d v="2023-04-17T00:00:00"/>
    <x v="0"/>
    <n v="39"/>
    <s v="month"/>
    <n v="31"/>
    <s v="Friday"/>
  </r>
  <r>
    <n v="206673590"/>
    <d v="2023-03-17T00:00:00"/>
    <d v="2023-03-30T00:00:00"/>
    <x v="0"/>
    <n v="39"/>
    <s v="month"/>
    <n v="13"/>
    <s v="Friday"/>
  </r>
  <r>
    <n v="205593462"/>
    <d v="2023-03-17T00:00:00"/>
    <d v="2023-08-10T00:00:00"/>
    <x v="0"/>
    <n v="39"/>
    <s v="month"/>
    <n v="146"/>
    <s v="Friday"/>
  </r>
  <r>
    <n v="205889926"/>
    <d v="2023-03-18T00:00:00"/>
    <s v="Active"/>
    <x v="0"/>
    <n v="39"/>
    <s v="month"/>
    <s v="Active"/>
    <s v="Saturday"/>
  </r>
  <r>
    <n v="151713121"/>
    <d v="2023-03-18T00:00:00"/>
    <s v="Active"/>
    <x v="0"/>
    <n v="39"/>
    <s v="month"/>
    <s v="Active"/>
    <s v="Saturday"/>
  </r>
  <r>
    <n v="206759898"/>
    <d v="2023-03-18T00:00:00"/>
    <d v="2023-03-19T00:00:00"/>
    <x v="1"/>
    <n v="39"/>
    <s v="month"/>
    <n v="1"/>
    <s v="Saturday"/>
  </r>
  <r>
    <n v="206750792"/>
    <d v="2023-03-18T00:00:00"/>
    <d v="2023-03-19T00:00:00"/>
    <x v="1"/>
    <n v="39"/>
    <s v="month"/>
    <n v="1"/>
    <s v="Saturday"/>
  </r>
  <r>
    <n v="206742592"/>
    <d v="2023-03-18T00:00:00"/>
    <d v="2023-03-19T00:00:00"/>
    <x v="1"/>
    <n v="39"/>
    <s v="month"/>
    <n v="1"/>
    <s v="Saturday"/>
  </r>
  <r>
    <n v="206700008"/>
    <d v="2023-03-18T00:00:00"/>
    <d v="2023-03-19T00:00:00"/>
    <x v="1"/>
    <n v="39"/>
    <s v="month"/>
    <n v="1"/>
    <s v="Saturday"/>
  </r>
  <r>
    <n v="156170916"/>
    <d v="2023-03-18T00:00:00"/>
    <d v="2023-08-14T00:00:00"/>
    <x v="0"/>
    <n v="39"/>
    <s v="month"/>
    <n v="149"/>
    <s v="Saturday"/>
  </r>
  <r>
    <n v="206607664"/>
    <d v="2023-03-18T00:00:00"/>
    <d v="2023-04-25T00:00:00"/>
    <x v="0"/>
    <n v="39"/>
    <s v="month"/>
    <n v="38"/>
    <s v="Saturday"/>
  </r>
  <r>
    <n v="183332399"/>
    <d v="2023-03-19T00:00:00"/>
    <s v="Active"/>
    <x v="0"/>
    <n v="39"/>
    <s v="month"/>
    <s v="Active"/>
    <s v="Sunday"/>
  </r>
  <r>
    <n v="176705210"/>
    <d v="2023-03-19T00:00:00"/>
    <d v="2023-03-20T00:00:00"/>
    <x v="0"/>
    <n v="39"/>
    <s v="month"/>
    <n v="1"/>
    <s v="Sunday"/>
  </r>
  <r>
    <n v="154901722"/>
    <d v="2023-03-19T00:00:00"/>
    <d v="2023-03-19T00:00:00"/>
    <x v="0"/>
    <n v="39"/>
    <s v="month"/>
    <n v="0"/>
    <s v="Sunday"/>
  </r>
  <r>
    <n v="153438676"/>
    <d v="2023-03-19T00:00:00"/>
    <d v="2023-05-26T00:00:00"/>
    <x v="0"/>
    <n v="39"/>
    <s v="month"/>
    <n v="68"/>
    <s v="Sunday"/>
  </r>
  <r>
    <n v="154901722"/>
    <d v="2023-03-19T00:00:00"/>
    <d v="2023-05-04T00:00:00"/>
    <x v="0"/>
    <n v="39"/>
    <s v="month"/>
    <n v="46"/>
    <s v="Sunday"/>
  </r>
  <r>
    <n v="123768696"/>
    <d v="2023-03-19T00:00:00"/>
    <d v="2023-04-11T00:00:00"/>
    <x v="0"/>
    <n v="39"/>
    <s v="month"/>
    <n v="23"/>
    <s v="Sunday"/>
  </r>
  <r>
    <n v="142976081"/>
    <d v="2023-03-19T00:00:00"/>
    <d v="2023-04-19T00:00:00"/>
    <x v="0"/>
    <n v="39"/>
    <s v="month"/>
    <n v="31"/>
    <s v="Sunday"/>
  </r>
  <r>
    <n v="152223051"/>
    <d v="2023-03-20T00:00:00"/>
    <s v="Active"/>
    <x v="0"/>
    <n v="39"/>
    <s v="month"/>
    <s v="Active"/>
    <s v="Monday"/>
  </r>
  <r>
    <n v="206865174"/>
    <d v="2023-03-20T00:00:00"/>
    <s v="Active"/>
    <x v="0"/>
    <n v="39"/>
    <s v="month"/>
    <s v="Active"/>
    <s v="Monday"/>
  </r>
  <r>
    <n v="143327052"/>
    <d v="2023-03-20T00:00:00"/>
    <s v="Active"/>
    <x v="0"/>
    <n v="39"/>
    <s v="month"/>
    <s v="Active"/>
    <s v="Monday"/>
  </r>
  <r>
    <n v="202270426"/>
    <d v="2023-03-20T00:00:00"/>
    <d v="2023-03-21T00:00:00"/>
    <x v="0"/>
    <n v="39"/>
    <s v="month"/>
    <n v="1"/>
    <s v="Monday"/>
  </r>
  <r>
    <n v="185602413"/>
    <d v="2023-03-20T00:00:00"/>
    <d v="2023-06-27T00:00:00"/>
    <x v="0"/>
    <n v="39"/>
    <s v="month"/>
    <n v="99"/>
    <s v="Monday"/>
  </r>
  <r>
    <n v="206679618"/>
    <d v="2023-03-20T00:00:00"/>
    <d v="2023-05-01T00:00:00"/>
    <x v="0"/>
    <n v="39"/>
    <s v="month"/>
    <n v="42"/>
    <s v="Monday"/>
  </r>
  <r>
    <n v="127561439"/>
    <d v="2023-03-20T00:00:00"/>
    <d v="2023-04-19T00:00:00"/>
    <x v="0"/>
    <n v="39"/>
    <s v="month"/>
    <n v="30"/>
    <s v="Monday"/>
  </r>
  <r>
    <n v="176705210"/>
    <d v="2023-03-20T00:00:00"/>
    <d v="2023-03-20T00:00:00"/>
    <x v="0"/>
    <n v="39"/>
    <s v="month"/>
    <n v="0"/>
    <s v="Monday"/>
  </r>
  <r>
    <n v="206693452"/>
    <d v="2023-03-21T00:00:00"/>
    <s v="Active"/>
    <x v="0"/>
    <n v="39"/>
    <s v="month"/>
    <s v="Active"/>
    <s v="Tuesday"/>
  </r>
  <r>
    <n v="193499084"/>
    <d v="2023-03-21T00:00:00"/>
    <s v="Active"/>
    <x v="0"/>
    <n v="39"/>
    <s v="month"/>
    <s v="Active"/>
    <s v="Tuesday"/>
  </r>
  <r>
    <n v="206995576"/>
    <d v="2023-03-21T00:00:00"/>
    <d v="2023-08-25T00:00:00"/>
    <x v="0"/>
    <n v="39"/>
    <s v="month"/>
    <n v="157"/>
    <s v="Tuesday"/>
  </r>
  <r>
    <n v="154783053"/>
    <d v="2023-03-21T00:00:00"/>
    <d v="2023-05-04T00:00:00"/>
    <x v="0"/>
    <n v="39"/>
    <s v="month"/>
    <n v="44"/>
    <s v="Tuesday"/>
  </r>
  <r>
    <n v="158349405"/>
    <d v="2023-03-21T00:00:00"/>
    <d v="2023-08-16T00:00:00"/>
    <x v="0"/>
    <n v="39"/>
    <s v="month"/>
    <n v="148"/>
    <s v="Tuesday"/>
  </r>
  <r>
    <n v="205554002"/>
    <d v="2023-03-21T00:00:00"/>
    <d v="2023-08-15T00:00:00"/>
    <x v="0"/>
    <n v="39"/>
    <s v="month"/>
    <n v="147"/>
    <s v="Tuesday"/>
  </r>
  <r>
    <n v="207045565"/>
    <d v="2023-03-22T00:00:00"/>
    <s v="Active"/>
    <x v="0"/>
    <n v="39"/>
    <s v="month"/>
    <s v="Active"/>
    <s v="Wednesday"/>
  </r>
  <r>
    <n v="205483607"/>
    <d v="2023-03-22T00:00:00"/>
    <s v="Active"/>
    <x v="0"/>
    <n v="39"/>
    <s v="month"/>
    <s v="Active"/>
    <s v="Wednesday"/>
  </r>
  <r>
    <n v="147662374"/>
    <d v="2023-03-22T00:00:00"/>
    <s v="Active"/>
    <x v="0"/>
    <n v="39"/>
    <s v="month"/>
    <s v="Active"/>
    <s v="Wednesday"/>
  </r>
  <r>
    <n v="150652956"/>
    <d v="2023-03-22T00:00:00"/>
    <d v="2023-04-11T00:00:00"/>
    <x v="0"/>
    <n v="39"/>
    <s v="month"/>
    <n v="20"/>
    <s v="Wednesday"/>
  </r>
  <r>
    <n v="206527656"/>
    <d v="2023-03-22T00:00:00"/>
    <d v="2023-06-08T00:00:00"/>
    <x v="0"/>
    <n v="39"/>
    <s v="month"/>
    <n v="78"/>
    <s v="Wednesday"/>
  </r>
  <r>
    <n v="207041353"/>
    <d v="2023-03-22T00:00:00"/>
    <d v="2023-05-19T00:00:00"/>
    <x v="0"/>
    <n v="39"/>
    <s v="month"/>
    <n v="58"/>
    <s v="Wednesday"/>
  </r>
  <r>
    <n v="204448911"/>
    <d v="2023-03-22T00:00:00"/>
    <d v="2023-04-21T00:00:00"/>
    <x v="0"/>
    <n v="39"/>
    <s v="month"/>
    <n v="30"/>
    <s v="Wednesday"/>
  </r>
  <r>
    <n v="206951785"/>
    <d v="2023-03-22T00:00:00"/>
    <d v="2023-04-20T00:00:00"/>
    <x v="0"/>
    <n v="39"/>
    <s v="month"/>
    <n v="29"/>
    <s v="Wednesday"/>
  </r>
  <r>
    <n v="206892555"/>
    <d v="2023-03-22T00:00:00"/>
    <d v="2023-03-24T00:00:00"/>
    <x v="0"/>
    <n v="39"/>
    <s v="month"/>
    <n v="2"/>
    <s v="Wednesday"/>
  </r>
  <r>
    <n v="207051401"/>
    <d v="2023-03-23T00:00:00"/>
    <s v="Active"/>
    <x v="0"/>
    <n v="39"/>
    <s v="month"/>
    <s v="Active"/>
    <s v="Thursday"/>
  </r>
  <r>
    <n v="206904848"/>
    <d v="2023-03-23T00:00:00"/>
    <s v="Active"/>
    <x v="0"/>
    <n v="39"/>
    <s v="month"/>
    <s v="Active"/>
    <s v="Thursday"/>
  </r>
  <r>
    <n v="204598188"/>
    <d v="2023-03-23T00:00:00"/>
    <d v="2023-08-31T00:00:00"/>
    <x v="0"/>
    <n v="39"/>
    <s v="month"/>
    <n v="161"/>
    <s v="Thursday"/>
  </r>
  <r>
    <n v="206447228"/>
    <d v="2023-03-23T00:00:00"/>
    <d v="2023-05-26T00:00:00"/>
    <x v="0"/>
    <n v="39"/>
    <s v="month"/>
    <n v="64"/>
    <s v="Thursday"/>
  </r>
  <r>
    <n v="206190599"/>
    <d v="2023-03-23T00:00:00"/>
    <d v="2023-05-11T00:00:00"/>
    <x v="0"/>
    <n v="39"/>
    <s v="month"/>
    <n v="49"/>
    <s v="Thursday"/>
  </r>
  <r>
    <n v="207014740"/>
    <d v="2023-03-23T00:00:00"/>
    <d v="2023-04-07T00:00:00"/>
    <x v="0"/>
    <n v="39"/>
    <s v="month"/>
    <n v="15"/>
    <s v="Thursday"/>
  </r>
  <r>
    <n v="156762690"/>
    <d v="2023-03-23T00:00:00"/>
    <d v="2023-04-21T00:00:00"/>
    <x v="0"/>
    <n v="39"/>
    <s v="month"/>
    <n v="29"/>
    <s v="Thursday"/>
  </r>
  <r>
    <n v="207116463"/>
    <d v="2023-03-23T00:00:00"/>
    <d v="2023-04-21T00:00:00"/>
    <x v="0"/>
    <n v="39"/>
    <s v="month"/>
    <n v="29"/>
    <s v="Thursday"/>
  </r>
  <r>
    <n v="206555111"/>
    <d v="2023-03-23T00:00:00"/>
    <d v="2023-04-17T00:00:00"/>
    <x v="0"/>
    <n v="39"/>
    <s v="month"/>
    <n v="25"/>
    <s v="Thursday"/>
  </r>
  <r>
    <n v="169543155"/>
    <d v="2023-03-23T00:00:00"/>
    <d v="2023-04-30T00:00:00"/>
    <x v="0"/>
    <n v="39"/>
    <s v="month"/>
    <n v="38"/>
    <s v="Thursday"/>
  </r>
  <r>
    <n v="202270426"/>
    <d v="2023-03-23T00:00:00"/>
    <d v="2023-04-30T00:00:00"/>
    <x v="0"/>
    <n v="39"/>
    <s v="month"/>
    <n v="38"/>
    <s v="Thursday"/>
  </r>
  <r>
    <n v="207005361"/>
    <d v="2023-03-23T00:00:00"/>
    <d v="2023-07-11T00:00:00"/>
    <x v="0"/>
    <n v="39"/>
    <s v="month"/>
    <n v="110"/>
    <s v="Thursday"/>
  </r>
  <r>
    <n v="206105763"/>
    <d v="2023-03-24T00:00:00"/>
    <s v="Active"/>
    <x v="0"/>
    <n v="39"/>
    <s v="month"/>
    <s v="Active"/>
    <s v="Friday"/>
  </r>
  <r>
    <n v="198968224"/>
    <d v="2023-03-24T00:00:00"/>
    <s v="Active"/>
    <x v="0"/>
    <n v="39"/>
    <s v="month"/>
    <s v="Active"/>
    <s v="Friday"/>
  </r>
  <r>
    <n v="205342230"/>
    <d v="2023-03-24T00:00:00"/>
    <s v="Active"/>
    <x v="0"/>
    <n v="39"/>
    <s v="month"/>
    <s v="Active"/>
    <s v="Friday"/>
  </r>
  <r>
    <n v="207224044"/>
    <d v="2023-03-24T00:00:00"/>
    <s v="Active"/>
    <x v="0"/>
    <n v="39"/>
    <s v="month"/>
    <s v="Active"/>
    <s v="Friday"/>
  </r>
  <r>
    <n v="174232231"/>
    <d v="2023-03-24T00:00:00"/>
    <s v="Active"/>
    <x v="0"/>
    <n v="39"/>
    <s v="month"/>
    <s v="Active"/>
    <s v="Friday"/>
  </r>
  <r>
    <n v="207017124"/>
    <d v="2023-03-24T00:00:00"/>
    <d v="2023-03-24T00:00:00"/>
    <x v="1"/>
    <n v="39"/>
    <s v="month"/>
    <n v="0"/>
    <s v="Friday"/>
  </r>
  <r>
    <n v="194006146"/>
    <d v="2023-03-24T00:00:00"/>
    <d v="2023-06-16T00:00:00"/>
    <x v="0"/>
    <n v="39"/>
    <s v="month"/>
    <n v="84"/>
    <s v="Friday"/>
  </r>
  <r>
    <n v="150509580"/>
    <d v="2023-03-24T00:00:00"/>
    <d v="2023-06-09T00:00:00"/>
    <x v="0"/>
    <n v="39"/>
    <s v="month"/>
    <n v="77"/>
    <s v="Friday"/>
  </r>
  <r>
    <n v="207120479"/>
    <d v="2023-03-24T00:00:00"/>
    <d v="2023-05-30T00:00:00"/>
    <x v="0"/>
    <n v="39"/>
    <s v="month"/>
    <n v="67"/>
    <s v="Friday"/>
  </r>
  <r>
    <n v="162069198"/>
    <d v="2023-03-24T00:00:00"/>
    <d v="2023-04-23T00:00:00"/>
    <x v="0"/>
    <n v="39"/>
    <s v="month"/>
    <n v="30"/>
    <s v="Friday"/>
  </r>
  <r>
    <n v="206742272"/>
    <d v="2023-03-24T00:00:00"/>
    <d v="2023-04-28T00:00:00"/>
    <x v="0"/>
    <n v="39"/>
    <s v="month"/>
    <n v="35"/>
    <s v="Friday"/>
  </r>
  <r>
    <n v="207433836"/>
    <d v="2023-03-25T00:00:00"/>
    <s v="Active"/>
    <x v="0"/>
    <n v="39"/>
    <s v="month"/>
    <s v="Active"/>
    <s v="Saturday"/>
  </r>
  <r>
    <n v="207382183"/>
    <d v="2023-03-25T00:00:00"/>
    <s v="Active"/>
    <x v="0"/>
    <n v="39"/>
    <s v="month"/>
    <s v="Active"/>
    <s v="Saturday"/>
  </r>
  <r>
    <n v="205051942"/>
    <d v="2023-03-25T00:00:00"/>
    <s v="Active"/>
    <x v="0"/>
    <n v="39"/>
    <s v="month"/>
    <s v="Active"/>
    <s v="Saturday"/>
  </r>
  <r>
    <n v="132631414"/>
    <d v="2023-03-25T00:00:00"/>
    <d v="2023-07-02T00:00:00"/>
    <x v="0"/>
    <n v="39"/>
    <s v="month"/>
    <n v="99"/>
    <s v="Saturday"/>
  </r>
  <r>
    <n v="207529664"/>
    <d v="2023-03-25T00:00:00"/>
    <d v="2023-03-31T00:00:00"/>
    <x v="0"/>
    <n v="39"/>
    <s v="month"/>
    <n v="6"/>
    <s v="Saturday"/>
  </r>
  <r>
    <n v="207022940"/>
    <d v="2023-03-25T00:00:00"/>
    <d v="2023-07-10T00:00:00"/>
    <x v="0"/>
    <n v="39"/>
    <s v="month"/>
    <n v="107"/>
    <s v="Saturday"/>
  </r>
  <r>
    <n v="207388337"/>
    <d v="2023-03-25T00:00:00"/>
    <d v="2023-08-03T00:00:00"/>
    <x v="0"/>
    <n v="39"/>
    <s v="month"/>
    <n v="131"/>
    <s v="Saturday"/>
  </r>
  <r>
    <n v="205883858"/>
    <d v="2023-03-26T00:00:00"/>
    <s v="Active"/>
    <x v="0"/>
    <n v="39"/>
    <s v="month"/>
    <s v="Active"/>
    <s v="Sunday"/>
  </r>
  <r>
    <n v="173711359"/>
    <d v="2023-03-26T00:00:00"/>
    <d v="2023-06-10T00:00:00"/>
    <x v="0"/>
    <n v="39"/>
    <s v="month"/>
    <n v="76"/>
    <s v="Sunday"/>
  </r>
  <r>
    <n v="207078726"/>
    <d v="2023-03-26T00:00:00"/>
    <d v="2023-06-13T00:00:00"/>
    <x v="0"/>
    <n v="39"/>
    <s v="month"/>
    <n v="79"/>
    <s v="Sunday"/>
  </r>
  <r>
    <n v="207415911"/>
    <d v="2023-03-26T00:00:00"/>
    <d v="2023-05-31T00:00:00"/>
    <x v="0"/>
    <n v="39"/>
    <s v="month"/>
    <n v="66"/>
    <s v="Sunday"/>
  </r>
  <r>
    <n v="207391012"/>
    <d v="2023-03-26T00:00:00"/>
    <d v="2023-04-06T00:00:00"/>
    <x v="0"/>
    <n v="39"/>
    <s v="month"/>
    <n v="11"/>
    <s v="Sunday"/>
  </r>
  <r>
    <n v="207699946"/>
    <d v="2023-03-26T00:00:00"/>
    <d v="2023-04-24T00:00:00"/>
    <x v="0"/>
    <n v="39"/>
    <s v="month"/>
    <n v="29"/>
    <s v="Sunday"/>
  </r>
  <r>
    <n v="207665488"/>
    <d v="2023-03-26T00:00:00"/>
    <d v="2023-03-26T00:00:00"/>
    <x v="0"/>
    <n v="39"/>
    <s v="month"/>
    <n v="0"/>
    <s v="Sunday"/>
  </r>
  <r>
    <n v="207742153"/>
    <d v="2023-03-26T00:00:00"/>
    <d v="2023-07-07T00:00:00"/>
    <x v="0"/>
    <n v="39"/>
    <s v="month"/>
    <n v="103"/>
    <s v="Sunday"/>
  </r>
  <r>
    <n v="207288677"/>
    <d v="2023-03-27T00:00:00"/>
    <s v="Active"/>
    <x v="0"/>
    <n v="39"/>
    <s v="month"/>
    <s v="Active"/>
    <s v="Monday"/>
  </r>
  <r>
    <n v="208151007"/>
    <d v="2023-03-27T00:00:00"/>
    <s v="Active"/>
    <x v="0"/>
    <n v="39"/>
    <s v="month"/>
    <s v="Active"/>
    <s v="Monday"/>
  </r>
  <r>
    <n v="207218336"/>
    <d v="2023-03-27T00:00:00"/>
    <s v="Active"/>
    <x v="0"/>
    <n v="39"/>
    <s v="month"/>
    <s v="Active"/>
    <s v="Monday"/>
  </r>
  <r>
    <n v="208105889"/>
    <d v="2023-03-27T00:00:00"/>
    <s v="Active"/>
    <x v="0"/>
    <n v="39"/>
    <s v="month"/>
    <s v="Active"/>
    <s v="Monday"/>
  </r>
  <r>
    <n v="152221925"/>
    <d v="2023-03-27T00:00:00"/>
    <d v="2023-06-19T00:00:00"/>
    <x v="0"/>
    <n v="39"/>
    <s v="month"/>
    <n v="84"/>
    <s v="Monday"/>
  </r>
  <r>
    <n v="207090754"/>
    <d v="2023-03-27T00:00:00"/>
    <d v="2023-06-01T00:00:00"/>
    <x v="0"/>
    <n v="39"/>
    <s v="month"/>
    <n v="66"/>
    <s v="Monday"/>
  </r>
  <r>
    <n v="128283235"/>
    <d v="2023-03-27T00:00:00"/>
    <d v="2023-07-27T00:00:00"/>
    <x v="0"/>
    <n v="39"/>
    <s v="month"/>
    <n v="122"/>
    <s v="Monday"/>
  </r>
  <r>
    <n v="206686106"/>
    <d v="2023-03-27T00:00:00"/>
    <d v="2023-05-04T00:00:00"/>
    <x v="0"/>
    <n v="39"/>
    <s v="month"/>
    <n v="38"/>
    <s v="Monday"/>
  </r>
  <r>
    <n v="208090380"/>
    <d v="2023-03-27T00:00:00"/>
    <d v="2023-04-10T00:00:00"/>
    <x v="0"/>
    <n v="39"/>
    <s v="month"/>
    <n v="14"/>
    <s v="Monday"/>
  </r>
  <r>
    <n v="153281230"/>
    <d v="2023-03-27T00:00:00"/>
    <d v="2023-04-17T00:00:00"/>
    <x v="0"/>
    <n v="39"/>
    <s v="month"/>
    <n v="21"/>
    <s v="Monday"/>
  </r>
  <r>
    <n v="205049710"/>
    <d v="2023-03-27T00:00:00"/>
    <d v="2023-03-28T00:00:00"/>
    <x v="0"/>
    <n v="39"/>
    <s v="month"/>
    <n v="1"/>
    <s v="Monday"/>
  </r>
  <r>
    <n v="208618235"/>
    <d v="2023-03-28T00:00:00"/>
    <s v="Active"/>
    <x v="0"/>
    <n v="39"/>
    <s v="month"/>
    <s v="Active"/>
    <s v="Tuesday"/>
  </r>
  <r>
    <n v="167713351"/>
    <d v="2023-03-28T00:00:00"/>
    <s v="Active"/>
    <x v="0"/>
    <n v="39"/>
    <s v="month"/>
    <s v="Active"/>
    <s v="Tuesday"/>
  </r>
  <r>
    <n v="149975492"/>
    <d v="2023-03-28T00:00:00"/>
    <s v="Active"/>
    <x v="0"/>
    <n v="39"/>
    <s v="month"/>
    <s v="Active"/>
    <s v="Tuesday"/>
  </r>
  <r>
    <n v="208286745"/>
    <d v="2023-03-28T00:00:00"/>
    <s v="Active"/>
    <x v="0"/>
    <n v="39"/>
    <s v="month"/>
    <s v="Active"/>
    <s v="Tuesday"/>
  </r>
  <r>
    <n v="208473540"/>
    <d v="2023-03-28T00:00:00"/>
    <d v="2023-03-28T00:00:00"/>
    <x v="0"/>
    <n v="39"/>
    <s v="month"/>
    <n v="0"/>
    <s v="Tuesday"/>
  </r>
  <r>
    <n v="137721176"/>
    <d v="2023-03-28T00:00:00"/>
    <d v="2023-07-31T00:00:00"/>
    <x v="0"/>
    <n v="39"/>
    <s v="month"/>
    <n v="125"/>
    <s v="Tuesday"/>
  </r>
  <r>
    <n v="140062581"/>
    <d v="2023-03-28T00:00:00"/>
    <d v="2023-05-13T00:00:00"/>
    <x v="0"/>
    <n v="39"/>
    <s v="month"/>
    <n v="46"/>
    <s v="Tuesday"/>
  </r>
  <r>
    <n v="208488674"/>
    <d v="2023-03-28T00:00:00"/>
    <d v="2023-06-01T00:00:00"/>
    <x v="0"/>
    <n v="39"/>
    <s v="month"/>
    <n v="65"/>
    <s v="Tuesday"/>
  </r>
  <r>
    <n v="162752410"/>
    <d v="2023-03-28T00:00:00"/>
    <d v="2023-08-20T00:00:00"/>
    <x v="0"/>
    <n v="39"/>
    <s v="month"/>
    <n v="145"/>
    <s v="Tuesday"/>
  </r>
  <r>
    <n v="208598415"/>
    <d v="2023-03-28T00:00:00"/>
    <d v="2023-05-03T00:00:00"/>
    <x v="0"/>
    <n v="39"/>
    <s v="month"/>
    <n v="36"/>
    <s v="Tuesday"/>
  </r>
  <r>
    <n v="143427096"/>
    <d v="2023-03-28T00:00:00"/>
    <d v="2023-05-01T00:00:00"/>
    <x v="0"/>
    <n v="39"/>
    <s v="month"/>
    <n v="34"/>
    <s v="Tuesday"/>
  </r>
  <r>
    <n v="208480650"/>
    <d v="2023-03-28T00:00:00"/>
    <d v="2023-04-14T00:00:00"/>
    <x v="0"/>
    <n v="39"/>
    <s v="month"/>
    <n v="17"/>
    <s v="Tuesday"/>
  </r>
  <r>
    <n v="147000442"/>
    <d v="2023-03-29T00:00:00"/>
    <s v="Active"/>
    <x v="0"/>
    <n v="39"/>
    <s v="month"/>
    <s v="Active"/>
    <s v="Wednesday"/>
  </r>
  <r>
    <n v="207062508"/>
    <d v="2023-03-29T00:00:00"/>
    <s v="Active"/>
    <x v="0"/>
    <n v="39"/>
    <s v="month"/>
    <s v="Active"/>
    <s v="Wednesday"/>
  </r>
  <r>
    <n v="206862916"/>
    <d v="2023-03-29T00:00:00"/>
    <s v="Active"/>
    <x v="0"/>
    <n v="39"/>
    <s v="month"/>
    <s v="Active"/>
    <s v="Wednesday"/>
  </r>
  <r>
    <n v="208706866"/>
    <d v="2023-03-29T00:00:00"/>
    <s v="Active"/>
    <x v="0"/>
    <n v="39"/>
    <s v="month"/>
    <s v="Active"/>
    <s v="Wednesday"/>
  </r>
  <r>
    <n v="134719816"/>
    <d v="2023-03-29T00:00:00"/>
    <d v="2023-06-18T00:00:00"/>
    <x v="0"/>
    <n v="39"/>
    <s v="month"/>
    <n v="81"/>
    <s v="Wednesday"/>
  </r>
  <r>
    <n v="138548670"/>
    <d v="2023-03-29T00:00:00"/>
    <d v="2023-05-30T00:00:00"/>
    <x v="0"/>
    <n v="39"/>
    <s v="month"/>
    <n v="62"/>
    <s v="Wednesday"/>
  </r>
  <r>
    <n v="208745476"/>
    <d v="2023-03-29T00:00:00"/>
    <d v="2023-06-21T00:00:00"/>
    <x v="0"/>
    <n v="39"/>
    <s v="month"/>
    <n v="84"/>
    <s v="Wednesday"/>
  </r>
  <r>
    <n v="182584521"/>
    <d v="2023-03-29T00:00:00"/>
    <d v="2023-05-06T00:00:00"/>
    <x v="0"/>
    <n v="39"/>
    <s v="month"/>
    <n v="38"/>
    <s v="Wednesday"/>
  </r>
  <r>
    <n v="206463427"/>
    <d v="2023-03-29T00:00:00"/>
    <d v="2023-05-04T00:00:00"/>
    <x v="0"/>
    <n v="39"/>
    <s v="month"/>
    <n v="36"/>
    <s v="Wednesday"/>
  </r>
  <r>
    <n v="158947936"/>
    <d v="2023-03-29T00:00:00"/>
    <d v="2023-04-28T00:00:00"/>
    <x v="0"/>
    <n v="39"/>
    <s v="month"/>
    <n v="30"/>
    <s v="Wednesday"/>
  </r>
  <r>
    <n v="182737296"/>
    <d v="2023-03-29T00:00:00"/>
    <d v="2023-04-29T00:00:00"/>
    <x v="0"/>
    <n v="39"/>
    <s v="month"/>
    <n v="31"/>
    <s v="Wednesday"/>
  </r>
  <r>
    <n v="156550538"/>
    <d v="2023-03-30T00:00:00"/>
    <s v="Active"/>
    <x v="0"/>
    <n v="39"/>
    <s v="month"/>
    <s v="Active"/>
    <s v="Thursday"/>
  </r>
  <r>
    <n v="208897557"/>
    <d v="2023-03-30T00:00:00"/>
    <s v="Active"/>
    <x v="0"/>
    <n v="39"/>
    <s v="month"/>
    <s v="Active"/>
    <s v="Thursday"/>
  </r>
  <r>
    <n v="157484010"/>
    <d v="2023-03-30T00:00:00"/>
    <s v="Active"/>
    <x v="0"/>
    <n v="39"/>
    <s v="month"/>
    <s v="Active"/>
    <s v="Thursday"/>
  </r>
  <r>
    <n v="146450388"/>
    <d v="2023-03-30T00:00:00"/>
    <d v="2023-06-06T00:00:00"/>
    <x v="0"/>
    <n v="39"/>
    <s v="month"/>
    <n v="68"/>
    <s v="Thursday"/>
  </r>
  <r>
    <n v="208610366"/>
    <d v="2023-03-30T00:00:00"/>
    <d v="2023-07-07T00:00:00"/>
    <x v="0"/>
    <n v="39"/>
    <s v="month"/>
    <n v="99"/>
    <s v="Thursday"/>
  </r>
  <r>
    <n v="208913022"/>
    <d v="2023-03-30T00:00:00"/>
    <d v="2023-05-19T00:00:00"/>
    <x v="0"/>
    <n v="39"/>
    <s v="month"/>
    <n v="50"/>
    <s v="Thursday"/>
  </r>
  <r>
    <n v="205813846"/>
    <d v="2023-03-30T00:00:00"/>
    <d v="2023-05-19T00:00:00"/>
    <x v="0"/>
    <n v="39"/>
    <s v="month"/>
    <n v="50"/>
    <s v="Thursday"/>
  </r>
  <r>
    <n v="208762353"/>
    <d v="2023-03-30T00:00:00"/>
    <d v="2023-04-21T00:00:00"/>
    <x v="0"/>
    <n v="39"/>
    <s v="month"/>
    <n v="22"/>
    <s v="Thursday"/>
  </r>
  <r>
    <n v="153099249"/>
    <d v="2023-03-30T00:00:00"/>
    <d v="2023-04-13T00:00:00"/>
    <x v="0"/>
    <n v="39"/>
    <s v="month"/>
    <n v="14"/>
    <s v="Thursday"/>
  </r>
  <r>
    <n v="208734252"/>
    <d v="2023-03-30T00:00:00"/>
    <d v="2023-04-30T00:00:00"/>
    <x v="0"/>
    <n v="39"/>
    <s v="month"/>
    <n v="31"/>
    <s v="Thursday"/>
  </r>
  <r>
    <n v="208320510"/>
    <d v="2023-03-31T00:00:00"/>
    <s v="Active"/>
    <x v="0"/>
    <n v="39"/>
    <s v="month"/>
    <s v="Active"/>
    <s v="Friday"/>
  </r>
  <r>
    <n v="207229509"/>
    <d v="2023-03-31T00:00:00"/>
    <d v="2023-03-31T00:00:00"/>
    <x v="1"/>
    <n v="39"/>
    <s v="month"/>
    <n v="0"/>
    <s v="Friday"/>
  </r>
  <r>
    <n v="208492287"/>
    <d v="2023-03-31T00:00:00"/>
    <d v="2023-06-07T00:00:00"/>
    <x v="0"/>
    <n v="39"/>
    <s v="month"/>
    <n v="68"/>
    <s v="Friday"/>
  </r>
  <r>
    <n v="195047202"/>
    <d v="2023-03-31T00:00:00"/>
    <d v="2023-05-23T00:00:00"/>
    <x v="0"/>
    <n v="39"/>
    <s v="month"/>
    <n v="53"/>
    <s v="Friday"/>
  </r>
  <r>
    <n v="208890352"/>
    <d v="2023-03-31T00:00:00"/>
    <d v="2023-05-26T00:00:00"/>
    <x v="0"/>
    <n v="39"/>
    <s v="month"/>
    <n v="56"/>
    <s v="Friday"/>
  </r>
  <r>
    <n v="151282537"/>
    <d v="2023-03-31T00:00:00"/>
    <d v="2023-07-01T00:00:00"/>
    <x v="0"/>
    <n v="39"/>
    <s v="month"/>
    <n v="92"/>
    <s v="Friday"/>
  </r>
  <r>
    <n v="206625246"/>
    <d v="2023-04-01T00:00:00"/>
    <s v="Active"/>
    <x v="0"/>
    <n v="39"/>
    <s v="month"/>
    <s v="Active"/>
    <s v="Saturday"/>
  </r>
  <r>
    <n v="208748964"/>
    <d v="2023-04-01T00:00:00"/>
    <s v="Active"/>
    <x v="0"/>
    <n v="39"/>
    <s v="month"/>
    <s v="Active"/>
    <s v="Saturday"/>
  </r>
  <r>
    <n v="151904783"/>
    <d v="2023-04-01T00:00:00"/>
    <s v="Active"/>
    <x v="0"/>
    <n v="39"/>
    <s v="month"/>
    <s v="Active"/>
    <s v="Saturday"/>
  </r>
  <r>
    <n v="160351988"/>
    <d v="2023-04-01T00:00:00"/>
    <d v="2023-07-08T00:00:00"/>
    <x v="0"/>
    <n v="39"/>
    <s v="month"/>
    <n v="98"/>
    <s v="Saturday"/>
  </r>
  <r>
    <n v="145622106"/>
    <d v="2023-04-01T00:00:00"/>
    <d v="2023-04-01T00:00:00"/>
    <x v="0"/>
    <n v="39"/>
    <s v="month"/>
    <n v="0"/>
    <s v="Saturday"/>
  </r>
  <r>
    <n v="192475408"/>
    <d v="2023-04-01T00:00:00"/>
    <d v="2023-04-26T00:00:00"/>
    <x v="0"/>
    <n v="39"/>
    <s v="month"/>
    <n v="25"/>
    <s v="Saturday"/>
  </r>
  <r>
    <n v="208597905"/>
    <d v="2023-04-02T00:00:00"/>
    <s v="Active"/>
    <x v="0"/>
    <n v="39"/>
    <s v="month"/>
    <s v="Active"/>
    <s v="Sunday"/>
  </r>
  <r>
    <n v="209469556"/>
    <d v="2023-04-02T00:00:00"/>
    <d v="2023-04-03T00:00:00"/>
    <x v="1"/>
    <n v="39"/>
    <s v="month"/>
    <n v="1"/>
    <s v="Sunday"/>
  </r>
  <r>
    <n v="207183892"/>
    <d v="2023-04-02T00:00:00"/>
    <d v="2023-04-03T00:00:00"/>
    <x v="1"/>
    <n v="39"/>
    <s v="month"/>
    <n v="1"/>
    <s v="Sunday"/>
  </r>
  <r>
    <n v="125980506"/>
    <d v="2023-04-02T00:00:00"/>
    <d v="2023-07-02T00:00:00"/>
    <x v="0"/>
    <n v="39"/>
    <s v="month"/>
    <n v="91"/>
    <s v="Sunday"/>
  </r>
  <r>
    <n v="162635107"/>
    <d v="2023-04-02T00:00:00"/>
    <d v="2023-07-05T00:00:00"/>
    <x v="0"/>
    <n v="39"/>
    <s v="month"/>
    <n v="94"/>
    <s v="Sunday"/>
  </r>
  <r>
    <n v="154655775"/>
    <d v="2023-04-02T00:00:00"/>
    <d v="2023-07-24T00:00:00"/>
    <x v="0"/>
    <n v="39"/>
    <s v="month"/>
    <n v="113"/>
    <s v="Sunday"/>
  </r>
  <r>
    <n v="154911229"/>
    <d v="2023-04-03T00:00:00"/>
    <s v="Active"/>
    <x v="0"/>
    <n v="39"/>
    <s v="month"/>
    <s v="Active"/>
    <s v="Monday"/>
  </r>
  <r>
    <n v="206812076"/>
    <d v="2023-04-03T00:00:00"/>
    <s v="Active"/>
    <x v="0"/>
    <n v="39"/>
    <s v="month"/>
    <s v="Active"/>
    <s v="Monday"/>
  </r>
  <r>
    <n v="208490747"/>
    <d v="2023-04-03T00:00:00"/>
    <s v="Active"/>
    <x v="0"/>
    <n v="39"/>
    <s v="month"/>
    <s v="Active"/>
    <s v="Monday"/>
  </r>
  <r>
    <n v="131761056"/>
    <d v="2023-04-03T00:00:00"/>
    <s v="Active"/>
    <x v="0"/>
    <n v="39"/>
    <s v="month"/>
    <s v="Active"/>
    <s v="Monday"/>
  </r>
  <r>
    <n v="208115534"/>
    <d v="2023-04-03T00:00:00"/>
    <d v="2023-05-10T00:00:00"/>
    <x v="1"/>
    <n v="39"/>
    <s v="month"/>
    <n v="37"/>
    <s v="Monday"/>
  </r>
  <r>
    <n v="202126471"/>
    <d v="2023-04-03T00:00:00"/>
    <d v="2023-06-27T00:00:00"/>
    <x v="0"/>
    <n v="39"/>
    <s v="month"/>
    <n v="85"/>
    <s v="Monday"/>
  </r>
  <r>
    <n v="209738836"/>
    <d v="2023-04-03T00:00:00"/>
    <d v="2023-05-14T00:00:00"/>
    <x v="0"/>
    <n v="39"/>
    <s v="month"/>
    <n v="41"/>
    <s v="Monday"/>
  </r>
  <r>
    <n v="209470128"/>
    <d v="2023-04-03T00:00:00"/>
    <d v="2023-05-30T00:00:00"/>
    <x v="0"/>
    <n v="39"/>
    <s v="month"/>
    <n v="57"/>
    <s v="Monday"/>
  </r>
  <r>
    <n v="209745334"/>
    <d v="2023-04-03T00:00:00"/>
    <d v="2023-09-01T00:00:00"/>
    <x v="0"/>
    <n v="39"/>
    <s v="month"/>
    <n v="151"/>
    <s v="Monday"/>
  </r>
  <r>
    <n v="209751690"/>
    <d v="2023-04-04T00:00:00"/>
    <s v="Active"/>
    <x v="0"/>
    <n v="39"/>
    <s v="month"/>
    <s v="Active"/>
    <s v="Tuesday"/>
  </r>
  <r>
    <n v="209730490"/>
    <d v="2023-04-04T00:00:00"/>
    <d v="2023-04-05T00:00:00"/>
    <x v="1"/>
    <n v="39"/>
    <s v="month"/>
    <n v="1"/>
    <s v="Tuesday"/>
  </r>
  <r>
    <n v="208115648"/>
    <d v="2023-04-04T00:00:00"/>
    <d v="2023-06-05T00:00:00"/>
    <x v="0"/>
    <n v="39"/>
    <s v="month"/>
    <n v="62"/>
    <s v="Tuesday"/>
  </r>
  <r>
    <n v="210087900"/>
    <d v="2023-04-04T00:00:00"/>
    <d v="2023-05-08T00:00:00"/>
    <x v="0"/>
    <n v="39"/>
    <s v="month"/>
    <n v="34"/>
    <s v="Tuesday"/>
  </r>
  <r>
    <n v="208890316"/>
    <d v="2023-04-04T00:00:00"/>
    <d v="2023-05-24T00:00:00"/>
    <x v="0"/>
    <n v="39"/>
    <s v="month"/>
    <n v="50"/>
    <s v="Tuesday"/>
  </r>
  <r>
    <n v="143706140"/>
    <d v="2023-04-04T00:00:00"/>
    <d v="2023-04-07T00:00:00"/>
    <x v="0"/>
    <n v="39"/>
    <s v="month"/>
    <n v="3"/>
    <s v="Tuesday"/>
  </r>
  <r>
    <n v="209950443"/>
    <d v="2023-04-04T00:00:00"/>
    <d v="2023-04-14T00:00:00"/>
    <x v="0"/>
    <n v="39"/>
    <s v="month"/>
    <n v="10"/>
    <s v="Tuesday"/>
  </r>
  <r>
    <n v="208892072"/>
    <d v="2023-04-04T00:00:00"/>
    <d v="2023-04-25T00:00:00"/>
    <x v="0"/>
    <n v="39"/>
    <s v="month"/>
    <n v="21"/>
    <s v="Tuesday"/>
  </r>
  <r>
    <n v="205767174"/>
    <d v="2023-04-04T00:00:00"/>
    <d v="2023-08-12T00:00:00"/>
    <x v="0"/>
    <n v="39"/>
    <s v="month"/>
    <n v="130"/>
    <s v="Tuesday"/>
  </r>
  <r>
    <n v="206676416"/>
    <d v="2023-04-04T00:00:00"/>
    <d v="2023-07-17T00:00:00"/>
    <x v="0"/>
    <n v="39"/>
    <s v="month"/>
    <n v="104"/>
    <s v="Tuesday"/>
  </r>
  <r>
    <n v="160676837"/>
    <d v="2023-04-05T00:00:00"/>
    <s v="Active"/>
    <x v="0"/>
    <n v="39"/>
    <s v="month"/>
    <s v="Active"/>
    <s v="Wednesday"/>
  </r>
  <r>
    <n v="204274153"/>
    <d v="2023-04-05T00:00:00"/>
    <s v="Active"/>
    <x v="0"/>
    <n v="39"/>
    <s v="month"/>
    <s v="Active"/>
    <s v="Wednesday"/>
  </r>
  <r>
    <n v="210327236"/>
    <d v="2023-04-05T00:00:00"/>
    <d v="2023-04-06T00:00:00"/>
    <x v="1"/>
    <n v="39"/>
    <s v="month"/>
    <n v="1"/>
    <s v="Wednesday"/>
  </r>
  <r>
    <n v="210326352"/>
    <d v="2023-04-05T00:00:00"/>
    <d v="2023-04-05T00:00:00"/>
    <x v="1"/>
    <n v="39"/>
    <s v="month"/>
    <n v="0"/>
    <s v="Wednesday"/>
  </r>
  <r>
    <n v="124155104"/>
    <d v="2023-04-05T00:00:00"/>
    <d v="2023-05-12T00:00:00"/>
    <x v="0"/>
    <n v="39"/>
    <s v="month"/>
    <n v="37"/>
    <s v="Wednesday"/>
  </r>
  <r>
    <n v="209517408"/>
    <d v="2023-04-05T00:00:00"/>
    <d v="2023-05-04T00:00:00"/>
    <x v="0"/>
    <n v="39"/>
    <s v="month"/>
    <n v="29"/>
    <s v="Wednesday"/>
  </r>
  <r>
    <n v="210432450"/>
    <d v="2023-04-05T00:00:00"/>
    <d v="2023-04-12T00:00:00"/>
    <x v="0"/>
    <n v="39"/>
    <s v="month"/>
    <n v="7"/>
    <s v="Wednesday"/>
  </r>
  <r>
    <n v="210138564"/>
    <d v="2023-04-06T00:00:00"/>
    <s v="Active"/>
    <x v="0"/>
    <n v="39"/>
    <s v="month"/>
    <s v="Active"/>
    <s v="Thursday"/>
  </r>
  <r>
    <n v="210617010"/>
    <d v="2023-04-06T00:00:00"/>
    <d v="2023-04-06T00:00:00"/>
    <x v="0"/>
    <n v="39"/>
    <s v="month"/>
    <n v="0"/>
    <s v="Thursday"/>
  </r>
  <r>
    <n v="134894187"/>
    <d v="2023-04-06T00:00:00"/>
    <d v="2023-05-18T00:00:00"/>
    <x v="0"/>
    <n v="39"/>
    <s v="month"/>
    <n v="42"/>
    <s v="Thursday"/>
  </r>
  <r>
    <n v="150643785"/>
    <d v="2023-04-06T00:00:00"/>
    <d v="2023-06-06T00:00:00"/>
    <x v="0"/>
    <n v="39"/>
    <s v="month"/>
    <n v="61"/>
    <s v="Thursday"/>
  </r>
  <r>
    <n v="149986782"/>
    <d v="2023-04-06T00:00:00"/>
    <d v="2023-06-04T00:00:00"/>
    <x v="0"/>
    <n v="39"/>
    <s v="month"/>
    <n v="59"/>
    <s v="Thursday"/>
  </r>
  <r>
    <n v="205463099"/>
    <d v="2023-04-06T00:00:00"/>
    <d v="2023-06-16T00:00:00"/>
    <x v="0"/>
    <n v="39"/>
    <s v="month"/>
    <n v="71"/>
    <s v="Thursday"/>
  </r>
  <r>
    <n v="210565466"/>
    <d v="2023-04-06T00:00:00"/>
    <d v="2023-05-13T00:00:00"/>
    <x v="0"/>
    <n v="39"/>
    <s v="month"/>
    <n v="37"/>
    <s v="Thursday"/>
  </r>
  <r>
    <n v="209072132"/>
    <d v="2023-04-07T00:00:00"/>
    <s v="Active"/>
    <x v="0"/>
    <n v="39"/>
    <s v="month"/>
    <s v="Active"/>
    <s v="Friday"/>
  </r>
  <r>
    <n v="210388772"/>
    <d v="2023-04-07T00:00:00"/>
    <s v="Active"/>
    <x v="0"/>
    <n v="39"/>
    <s v="month"/>
    <s v="Active"/>
    <s v="Friday"/>
  </r>
  <r>
    <n v="210617010"/>
    <d v="2023-04-07T00:00:00"/>
    <d v="2023-06-09T00:00:00"/>
    <x v="0"/>
    <n v="39"/>
    <s v="month"/>
    <n v="63"/>
    <s v="Friday"/>
  </r>
  <r>
    <n v="210694562"/>
    <d v="2023-04-07T00:00:00"/>
    <d v="2023-05-14T00:00:00"/>
    <x v="0"/>
    <n v="39"/>
    <s v="month"/>
    <n v="37"/>
    <s v="Friday"/>
  </r>
  <r>
    <n v="134833306"/>
    <d v="2023-04-07T00:00:00"/>
    <d v="2023-05-08T00:00:00"/>
    <x v="0"/>
    <n v="39"/>
    <s v="month"/>
    <n v="31"/>
    <s v="Friday"/>
  </r>
  <r>
    <n v="211220014"/>
    <d v="2023-04-08T00:00:00"/>
    <s v="Active"/>
    <x v="0"/>
    <n v="39"/>
    <s v="month"/>
    <s v="Active"/>
    <s v="Saturday"/>
  </r>
  <r>
    <n v="121571816"/>
    <d v="2023-04-08T00:00:00"/>
    <s v="Active"/>
    <x v="0"/>
    <n v="39"/>
    <s v="month"/>
    <s v="Active"/>
    <s v="Saturday"/>
  </r>
  <r>
    <n v="211216060"/>
    <d v="2023-04-08T00:00:00"/>
    <s v="Active"/>
    <x v="0"/>
    <n v="39"/>
    <s v="month"/>
    <s v="Active"/>
    <s v="Saturday"/>
  </r>
  <r>
    <n v="211114276"/>
    <d v="2023-04-08T00:00:00"/>
    <s v="Active"/>
    <x v="0"/>
    <n v="39"/>
    <s v="month"/>
    <s v="Active"/>
    <s v="Saturday"/>
  </r>
  <r>
    <n v="211224883"/>
    <d v="2023-04-08T00:00:00"/>
    <d v="2023-04-09T00:00:00"/>
    <x v="1"/>
    <n v="39"/>
    <s v="month"/>
    <n v="1"/>
    <s v="Saturday"/>
  </r>
  <r>
    <n v="211212313"/>
    <d v="2023-04-08T00:00:00"/>
    <d v="2023-06-06T00:00:00"/>
    <x v="0"/>
    <n v="39"/>
    <s v="month"/>
    <n v="59"/>
    <s v="Saturday"/>
  </r>
  <r>
    <n v="210135815"/>
    <d v="2023-04-08T00:00:00"/>
    <d v="2023-04-18T00:00:00"/>
    <x v="0"/>
    <n v="39"/>
    <s v="month"/>
    <n v="10"/>
    <s v="Saturday"/>
  </r>
  <r>
    <n v="211381659"/>
    <d v="2023-04-09T00:00:00"/>
    <s v="Active"/>
    <x v="0"/>
    <n v="39"/>
    <s v="month"/>
    <s v="Active"/>
    <s v="Sunday"/>
  </r>
  <r>
    <n v="183363812"/>
    <d v="2023-04-09T00:00:00"/>
    <s v="Active"/>
    <x v="0"/>
    <n v="39"/>
    <s v="month"/>
    <s v="Active"/>
    <s v="Sunday"/>
  </r>
  <r>
    <n v="211289909"/>
    <d v="2023-04-09T00:00:00"/>
    <s v="Active"/>
    <x v="0"/>
    <n v="39"/>
    <s v="month"/>
    <s v="Active"/>
    <s v="Sunday"/>
  </r>
  <r>
    <n v="211266858"/>
    <d v="2023-04-09T00:00:00"/>
    <d v="2023-05-02T00:00:00"/>
    <x v="0"/>
    <n v="39"/>
    <s v="month"/>
    <n v="23"/>
    <s v="Sunday"/>
  </r>
  <r>
    <n v="153163612"/>
    <d v="2023-04-09T00:00:00"/>
    <d v="2023-04-24T00:00:00"/>
    <x v="0"/>
    <n v="39"/>
    <s v="month"/>
    <n v="15"/>
    <s v="Sunday"/>
  </r>
  <r>
    <n v="209505551"/>
    <d v="2023-04-09T00:00:00"/>
    <d v="2023-04-25T00:00:00"/>
    <x v="0"/>
    <n v="39"/>
    <s v="month"/>
    <n v="16"/>
    <s v="Sunday"/>
  </r>
  <r>
    <n v="211389716"/>
    <d v="2023-04-10T00:00:00"/>
    <s v="Active"/>
    <x v="0"/>
    <n v="39"/>
    <s v="month"/>
    <s v="Active"/>
    <s v="Monday"/>
  </r>
  <r>
    <n v="211636708"/>
    <d v="2023-04-10T00:00:00"/>
    <s v="Active"/>
    <x v="0"/>
    <n v="39"/>
    <s v="month"/>
    <s v="Active"/>
    <s v="Monday"/>
  </r>
  <r>
    <n v="176884824"/>
    <d v="2023-04-10T00:00:00"/>
    <s v="Active"/>
    <x v="0"/>
    <n v="39"/>
    <s v="month"/>
    <s v="Active"/>
    <s v="Monday"/>
  </r>
  <r>
    <n v="211352758"/>
    <d v="2023-04-10T00:00:00"/>
    <s v="Active"/>
    <x v="0"/>
    <n v="39"/>
    <s v="month"/>
    <s v="Active"/>
    <s v="Monday"/>
  </r>
  <r>
    <n v="210814163"/>
    <d v="2023-04-10T00:00:00"/>
    <s v="Active"/>
    <x v="0"/>
    <n v="39"/>
    <s v="month"/>
    <s v="Active"/>
    <s v="Monday"/>
  </r>
  <r>
    <n v="210893245"/>
    <d v="2023-04-10T00:00:00"/>
    <s v="Active"/>
    <x v="0"/>
    <n v="39"/>
    <s v="month"/>
    <s v="Active"/>
    <s v="Monday"/>
  </r>
  <r>
    <n v="130967112"/>
    <d v="2023-04-10T00:00:00"/>
    <s v="Active"/>
    <x v="0"/>
    <n v="39"/>
    <s v="month"/>
    <s v="Active"/>
    <s v="Monday"/>
  </r>
  <r>
    <n v="199116000"/>
    <d v="2023-04-10T00:00:00"/>
    <s v="Active"/>
    <x v="0"/>
    <n v="39"/>
    <s v="month"/>
    <s v="Active"/>
    <s v="Monday"/>
  </r>
  <r>
    <n v="161182706"/>
    <d v="2023-04-10T00:00:00"/>
    <d v="2023-05-17T00:00:00"/>
    <x v="0"/>
    <n v="39"/>
    <s v="month"/>
    <n v="37"/>
    <s v="Monday"/>
  </r>
  <r>
    <n v="211576047"/>
    <d v="2023-04-11T00:00:00"/>
    <s v="Active"/>
    <x v="0"/>
    <n v="39"/>
    <s v="month"/>
    <s v="Active"/>
    <s v="Tuesday"/>
  </r>
  <r>
    <n v="211897884"/>
    <d v="2023-04-11T00:00:00"/>
    <s v="Active"/>
    <x v="0"/>
    <n v="39"/>
    <s v="month"/>
    <s v="Active"/>
    <s v="Tuesday"/>
  </r>
  <r>
    <n v="211661733"/>
    <d v="2023-04-11T00:00:00"/>
    <s v="Active"/>
    <x v="0"/>
    <n v="39"/>
    <s v="month"/>
    <s v="Active"/>
    <s v="Tuesday"/>
  </r>
  <r>
    <n v="211561665"/>
    <d v="2023-04-11T00:00:00"/>
    <s v="Active"/>
    <x v="1"/>
    <n v="39"/>
    <s v="month"/>
    <s v="Active"/>
    <s v="Tuesday"/>
  </r>
  <r>
    <n v="211911280"/>
    <d v="2023-04-11T00:00:00"/>
    <d v="2023-08-23T00:00:00"/>
    <x v="0"/>
    <n v="39"/>
    <s v="month"/>
    <n v="134"/>
    <s v="Tuesday"/>
  </r>
  <r>
    <n v="123946316"/>
    <d v="2023-04-11T00:00:00"/>
    <d v="2023-06-17T00:00:00"/>
    <x v="0"/>
    <n v="39"/>
    <s v="month"/>
    <n v="67"/>
    <s v="Tuesday"/>
  </r>
  <r>
    <n v="144469362"/>
    <d v="2023-04-11T00:00:00"/>
    <d v="2023-05-01T00:00:00"/>
    <x v="0"/>
    <n v="39"/>
    <s v="month"/>
    <n v="20"/>
    <s v="Tuesday"/>
  </r>
  <r>
    <n v="187268085"/>
    <d v="2023-04-11T00:00:00"/>
    <d v="2023-05-08T00:00:00"/>
    <x v="0"/>
    <n v="39"/>
    <s v="month"/>
    <n v="27"/>
    <s v="Tuesday"/>
  </r>
  <r>
    <n v="210088359"/>
    <d v="2023-04-11T00:00:00"/>
    <d v="2023-06-26T00:00:00"/>
    <x v="0"/>
    <n v="39"/>
    <s v="month"/>
    <n v="76"/>
    <s v="Tuesday"/>
  </r>
  <r>
    <n v="211906202"/>
    <d v="2023-04-11T00:00:00"/>
    <d v="2023-05-22T00:00:00"/>
    <x v="0"/>
    <n v="39"/>
    <s v="month"/>
    <n v="41"/>
    <s v="Tuesday"/>
  </r>
  <r>
    <n v="126391978"/>
    <d v="2023-04-11T00:00:00"/>
    <d v="2023-07-20T00:00:00"/>
    <x v="0"/>
    <n v="39"/>
    <s v="month"/>
    <n v="100"/>
    <s v="Tuesday"/>
  </r>
  <r>
    <n v="154753462"/>
    <d v="2023-04-12T00:00:00"/>
    <s v="Active"/>
    <x v="0"/>
    <n v="39"/>
    <s v="month"/>
    <s v="Active"/>
    <s v="Wednesday"/>
  </r>
  <r>
    <n v="212049757"/>
    <d v="2023-04-12T00:00:00"/>
    <s v="Active"/>
    <x v="0"/>
    <n v="39"/>
    <s v="month"/>
    <s v="Active"/>
    <s v="Wednesday"/>
  </r>
  <r>
    <n v="147015210"/>
    <d v="2023-04-12T00:00:00"/>
    <s v="Active"/>
    <x v="0"/>
    <n v="39"/>
    <s v="month"/>
    <s v="Active"/>
    <s v="Wednesday"/>
  </r>
  <r>
    <n v="212057431"/>
    <d v="2023-04-12T00:00:00"/>
    <d v="2023-04-13T00:00:00"/>
    <x v="1"/>
    <n v="39"/>
    <s v="month"/>
    <n v="1"/>
    <s v="Wednesday"/>
  </r>
  <r>
    <n v="205734465"/>
    <d v="2023-04-12T00:00:00"/>
    <d v="2023-06-08T00:00:00"/>
    <x v="0"/>
    <n v="39"/>
    <s v="month"/>
    <n v="57"/>
    <s v="Wednesday"/>
  </r>
  <r>
    <n v="208772540"/>
    <d v="2023-04-12T00:00:00"/>
    <d v="2023-04-30T00:00:00"/>
    <x v="0"/>
    <n v="39"/>
    <s v="month"/>
    <n v="18"/>
    <s v="Wednesday"/>
  </r>
  <r>
    <n v="182357706"/>
    <d v="2023-04-12T00:00:00"/>
    <d v="2023-07-04T00:00:00"/>
    <x v="0"/>
    <n v="39"/>
    <s v="month"/>
    <n v="83"/>
    <s v="Wednesday"/>
  </r>
  <r>
    <n v="211333348"/>
    <d v="2023-04-12T00:00:00"/>
    <d v="2023-07-08T00:00:00"/>
    <x v="0"/>
    <n v="39"/>
    <s v="month"/>
    <n v="87"/>
    <s v="Wednesday"/>
  </r>
  <r>
    <n v="211334702"/>
    <d v="2023-04-12T00:00:00"/>
    <d v="2023-07-25T00:00:00"/>
    <x v="0"/>
    <n v="39"/>
    <s v="month"/>
    <n v="104"/>
    <s v="Wednesday"/>
  </r>
  <r>
    <n v="212129575"/>
    <d v="2023-04-13T00:00:00"/>
    <s v="Active"/>
    <x v="0"/>
    <n v="39"/>
    <s v="month"/>
    <s v="Active"/>
    <s v="Thursday"/>
  </r>
  <r>
    <n v="209733088"/>
    <d v="2023-04-13T00:00:00"/>
    <s v="Active"/>
    <x v="0"/>
    <n v="39"/>
    <s v="month"/>
    <s v="Active"/>
    <s v="Thursday"/>
  </r>
  <r>
    <n v="152792045"/>
    <d v="2023-04-13T00:00:00"/>
    <d v="2023-06-20T00:00:00"/>
    <x v="0"/>
    <n v="39"/>
    <s v="month"/>
    <n v="68"/>
    <s v="Thursday"/>
  </r>
  <r>
    <n v="212163568"/>
    <d v="2023-04-13T00:00:00"/>
    <d v="2023-05-29T00:00:00"/>
    <x v="0"/>
    <n v="39"/>
    <s v="month"/>
    <n v="46"/>
    <s v="Thursday"/>
  </r>
  <r>
    <n v="212260363"/>
    <d v="2023-04-13T00:00:00"/>
    <d v="2023-05-10T00:00:00"/>
    <x v="0"/>
    <n v="39"/>
    <s v="month"/>
    <n v="27"/>
    <s v="Thursday"/>
  </r>
  <r>
    <n v="212164158"/>
    <d v="2023-04-13T00:00:00"/>
    <d v="2023-06-27T00:00:00"/>
    <x v="0"/>
    <n v="39"/>
    <s v="month"/>
    <n v="75"/>
    <s v="Thursday"/>
  </r>
  <r>
    <n v="155604779"/>
    <d v="2023-04-13T00:00:00"/>
    <d v="2023-07-04T00:00:00"/>
    <x v="0"/>
    <n v="39"/>
    <s v="month"/>
    <n v="82"/>
    <s v="Thursday"/>
  </r>
  <r>
    <n v="150421022"/>
    <d v="2023-04-13T00:00:00"/>
    <d v="2023-06-15T00:00:00"/>
    <x v="0"/>
    <n v="39"/>
    <s v="month"/>
    <n v="63"/>
    <s v="Thursday"/>
  </r>
  <r>
    <n v="122616012"/>
    <d v="2023-04-13T00:00:00"/>
    <d v="2023-06-29T00:00:00"/>
    <x v="0"/>
    <n v="39"/>
    <s v="month"/>
    <n v="77"/>
    <s v="Thursday"/>
  </r>
  <r>
    <n v="209356278"/>
    <d v="2023-04-14T00:00:00"/>
    <s v="Active"/>
    <x v="0"/>
    <n v="39"/>
    <s v="month"/>
    <s v="Active"/>
    <s v="Friday"/>
  </r>
  <r>
    <n v="212604642"/>
    <d v="2023-04-14T00:00:00"/>
    <s v="Active"/>
    <x v="0"/>
    <n v="39"/>
    <s v="month"/>
    <s v="Active"/>
    <s v="Friday"/>
  </r>
  <r>
    <n v="210730447"/>
    <d v="2023-04-14T00:00:00"/>
    <s v="Active"/>
    <x v="0"/>
    <n v="39"/>
    <s v="month"/>
    <s v="Active"/>
    <s v="Friday"/>
  </r>
  <r>
    <n v="212388726"/>
    <d v="2023-04-14T00:00:00"/>
    <s v="Active"/>
    <x v="1"/>
    <n v="39"/>
    <s v="month"/>
    <s v="Active"/>
    <s v="Friday"/>
  </r>
  <r>
    <n v="127793951"/>
    <d v="2023-04-14T00:00:00"/>
    <d v="2023-08-31T00:00:00"/>
    <x v="0"/>
    <n v="39"/>
    <s v="month"/>
    <n v="139"/>
    <s v="Friday"/>
  </r>
  <r>
    <n v="189715793"/>
    <d v="2023-04-14T00:00:00"/>
    <d v="2023-05-21T00:00:00"/>
    <x v="0"/>
    <n v="39"/>
    <s v="month"/>
    <n v="37"/>
    <s v="Friday"/>
  </r>
  <r>
    <n v="148369126"/>
    <d v="2023-04-15T00:00:00"/>
    <s v="Active"/>
    <x v="0"/>
    <n v="39"/>
    <s v="month"/>
    <s v="Active"/>
    <s v="Saturday"/>
  </r>
  <r>
    <n v="157503290"/>
    <d v="2023-04-15T00:00:00"/>
    <d v="2023-05-22T00:00:00"/>
    <x v="0"/>
    <n v="39"/>
    <s v="month"/>
    <n v="37"/>
    <s v="Saturday"/>
  </r>
  <r>
    <n v="212712986"/>
    <d v="2023-04-15T00:00:00"/>
    <d v="2023-05-31T00:00:00"/>
    <x v="0"/>
    <n v="39"/>
    <s v="month"/>
    <n v="46"/>
    <s v="Saturday"/>
  </r>
  <r>
    <n v="204512028"/>
    <d v="2023-04-15T00:00:00"/>
    <d v="2023-05-15T00:00:00"/>
    <x v="0"/>
    <n v="39"/>
    <s v="month"/>
    <n v="30"/>
    <s v="Saturday"/>
  </r>
  <r>
    <n v="147066240"/>
    <d v="2023-04-15T00:00:00"/>
    <d v="2023-04-30T00:00:00"/>
    <x v="0"/>
    <n v="39"/>
    <s v="month"/>
    <n v="15"/>
    <s v="Saturday"/>
  </r>
  <r>
    <n v="212759443"/>
    <d v="2023-04-16T00:00:00"/>
    <d v="2023-04-16T00:00:00"/>
    <x v="0"/>
    <n v="39"/>
    <s v="month"/>
    <n v="0"/>
    <s v="Sunday"/>
  </r>
  <r>
    <n v="212042832"/>
    <d v="2023-04-17T00:00:00"/>
    <s v="Active"/>
    <x v="0"/>
    <n v="39"/>
    <s v="month"/>
    <s v="Active"/>
    <s v="Monday"/>
  </r>
  <r>
    <n v="212113682"/>
    <d v="2023-04-17T00:00:00"/>
    <s v="Active"/>
    <x v="0"/>
    <n v="39"/>
    <s v="month"/>
    <s v="Active"/>
    <s v="Monday"/>
  </r>
  <r>
    <n v="181175226"/>
    <d v="2023-04-17T00:00:00"/>
    <s v="Active"/>
    <x v="0"/>
    <n v="39"/>
    <s v="month"/>
    <s v="Active"/>
    <s v="Monday"/>
  </r>
  <r>
    <n v="201817514"/>
    <d v="2023-04-17T00:00:00"/>
    <d v="2023-04-18T00:00:00"/>
    <x v="0"/>
    <n v="39"/>
    <s v="month"/>
    <n v="1"/>
    <s v="Monday"/>
  </r>
  <r>
    <n v="168698174"/>
    <d v="2023-04-17T00:00:00"/>
    <d v="2023-04-17T00:00:00"/>
    <x v="0"/>
    <n v="39"/>
    <s v="month"/>
    <n v="0"/>
    <s v="Monday"/>
  </r>
  <r>
    <n v="170512298"/>
    <d v="2023-04-17T00:00:00"/>
    <d v="2023-05-15T00:00:00"/>
    <x v="0"/>
    <n v="39"/>
    <s v="month"/>
    <n v="28"/>
    <s v="Monday"/>
  </r>
  <r>
    <n v="213181546"/>
    <d v="2023-04-17T00:00:00"/>
    <d v="2023-06-01T00:00:00"/>
    <x v="0"/>
    <n v="39"/>
    <s v="month"/>
    <n v="45"/>
    <s v="Monday"/>
  </r>
  <r>
    <n v="154535908"/>
    <d v="2023-04-17T00:00:00"/>
    <d v="2023-06-24T00:00:00"/>
    <x v="0"/>
    <n v="39"/>
    <s v="month"/>
    <n v="68"/>
    <s v="Monday"/>
  </r>
  <r>
    <n v="151540809"/>
    <d v="2023-04-17T00:00:00"/>
    <d v="2023-05-23T00:00:00"/>
    <x v="0"/>
    <n v="39"/>
    <s v="month"/>
    <n v="36"/>
    <s v="Monday"/>
  </r>
  <r>
    <n v="212334937"/>
    <d v="2023-04-17T00:00:00"/>
    <d v="2023-05-18T00:00:00"/>
    <x v="0"/>
    <n v="39"/>
    <s v="month"/>
    <n v="31"/>
    <s v="Monday"/>
  </r>
  <r>
    <n v="204766175"/>
    <d v="2023-04-17T00:00:00"/>
    <d v="2023-07-14T00:00:00"/>
    <x v="0"/>
    <n v="39"/>
    <s v="month"/>
    <n v="88"/>
    <s v="Monday"/>
  </r>
  <r>
    <n v="212055738"/>
    <d v="2023-04-17T00:00:00"/>
    <d v="2023-08-24T00:00:00"/>
    <x v="0"/>
    <n v="39"/>
    <s v="month"/>
    <n v="129"/>
    <s v="Monday"/>
  </r>
  <r>
    <n v="211907956"/>
    <d v="2023-04-18T00:00:00"/>
    <s v="Active"/>
    <x v="0"/>
    <n v="39"/>
    <s v="month"/>
    <s v="Active"/>
    <s v="Tuesday"/>
  </r>
  <r>
    <n v="212759443"/>
    <d v="2023-04-18T00:00:00"/>
    <s v="Active"/>
    <x v="0"/>
    <n v="39"/>
    <s v="month"/>
    <s v="Active"/>
    <s v="Tuesday"/>
  </r>
  <r>
    <n v="213182327"/>
    <d v="2023-04-18T00:00:00"/>
    <s v="Active"/>
    <x v="0"/>
    <n v="39"/>
    <s v="month"/>
    <s v="Active"/>
    <s v="Tuesday"/>
  </r>
  <r>
    <n v="213442067"/>
    <d v="2023-04-18T00:00:00"/>
    <s v="Active"/>
    <x v="0"/>
    <n v="39"/>
    <s v="month"/>
    <s v="Active"/>
    <s v="Tuesday"/>
  </r>
  <r>
    <n v="213427247"/>
    <d v="2023-04-18T00:00:00"/>
    <s v="Active"/>
    <x v="0"/>
    <n v="39"/>
    <s v="month"/>
    <s v="Active"/>
    <s v="Tuesday"/>
  </r>
  <r>
    <n v="172476368"/>
    <d v="2023-04-18T00:00:00"/>
    <d v="2023-05-15T00:00:00"/>
    <x v="0"/>
    <n v="39"/>
    <s v="month"/>
    <n v="27"/>
    <s v="Tuesday"/>
  </r>
  <r>
    <n v="148900262"/>
    <d v="2023-04-18T00:00:00"/>
    <d v="2023-05-11T00:00:00"/>
    <x v="0"/>
    <n v="39"/>
    <s v="month"/>
    <n v="23"/>
    <s v="Tuesday"/>
  </r>
  <r>
    <n v="213450505"/>
    <d v="2023-04-18T00:00:00"/>
    <d v="2023-05-16T00:00:00"/>
    <x v="0"/>
    <n v="39"/>
    <s v="month"/>
    <n v="28"/>
    <s v="Tuesday"/>
  </r>
  <r>
    <n v="168261038"/>
    <d v="2023-04-18T00:00:00"/>
    <d v="2023-05-26T00:00:00"/>
    <x v="0"/>
    <n v="39"/>
    <s v="month"/>
    <n v="38"/>
    <s v="Tuesday"/>
  </r>
  <r>
    <n v="207018786"/>
    <d v="2023-04-18T00:00:00"/>
    <d v="2023-07-25T00:00:00"/>
    <x v="0"/>
    <n v="39"/>
    <s v="month"/>
    <n v="98"/>
    <s v="Tuesday"/>
  </r>
  <r>
    <n v="213781045"/>
    <d v="2023-04-19T00:00:00"/>
    <s v="Active"/>
    <x v="0"/>
    <n v="39"/>
    <s v="month"/>
    <s v="Active"/>
    <s v="Wednesday"/>
  </r>
  <r>
    <n v="213785402"/>
    <d v="2023-04-19T00:00:00"/>
    <d v="2023-08-23T00:00:00"/>
    <x v="0"/>
    <n v="39"/>
    <s v="month"/>
    <n v="126"/>
    <s v="Wednesday"/>
  </r>
  <r>
    <n v="213689187"/>
    <d v="2023-04-19T00:00:00"/>
    <d v="2023-04-20T00:00:00"/>
    <x v="1"/>
    <n v="39"/>
    <s v="month"/>
    <n v="1"/>
    <s v="Wednesday"/>
  </r>
  <r>
    <n v="213413298"/>
    <d v="2023-04-19T00:00:00"/>
    <d v="2023-04-19T00:00:00"/>
    <x v="1"/>
    <n v="39"/>
    <s v="month"/>
    <n v="0"/>
    <s v="Wednesday"/>
  </r>
  <r>
    <n v="184458429"/>
    <d v="2023-04-19T00:00:00"/>
    <d v="2023-06-08T00:00:00"/>
    <x v="0"/>
    <n v="39"/>
    <s v="month"/>
    <n v="50"/>
    <s v="Wednesday"/>
  </r>
  <r>
    <n v="212190070"/>
    <d v="2023-04-19T00:00:00"/>
    <d v="2023-06-19T00:00:00"/>
    <x v="0"/>
    <n v="39"/>
    <s v="month"/>
    <n v="61"/>
    <s v="Wednesday"/>
  </r>
  <r>
    <n v="212737739"/>
    <d v="2023-04-19T00:00:00"/>
    <d v="2023-05-31T00:00:00"/>
    <x v="0"/>
    <n v="39"/>
    <s v="month"/>
    <n v="42"/>
    <s v="Wednesday"/>
  </r>
  <r>
    <n v="211904660"/>
    <d v="2023-04-20T00:00:00"/>
    <s v="Active"/>
    <x v="0"/>
    <n v="39"/>
    <s v="month"/>
    <s v="Active"/>
    <s v="Thursday"/>
  </r>
  <r>
    <n v="112792926"/>
    <d v="2023-04-20T00:00:00"/>
    <s v="Active"/>
    <x v="0"/>
    <n v="39"/>
    <s v="month"/>
    <s v="Active"/>
    <s v="Thursday"/>
  </r>
  <r>
    <n v="213914942"/>
    <d v="2023-04-20T00:00:00"/>
    <s v="Active"/>
    <x v="0"/>
    <n v="39"/>
    <s v="month"/>
    <s v="Active"/>
    <s v="Thursday"/>
  </r>
  <r>
    <n v="189220435"/>
    <d v="2023-04-20T00:00:00"/>
    <d v="2023-04-30T00:00:00"/>
    <x v="0"/>
    <n v="39"/>
    <s v="month"/>
    <n v="10"/>
    <s v="Thursday"/>
  </r>
  <r>
    <n v="203237584"/>
    <d v="2023-04-20T00:00:00"/>
    <d v="2023-04-25T00:00:00"/>
    <x v="0"/>
    <n v="39"/>
    <s v="month"/>
    <n v="5"/>
    <s v="Thursday"/>
  </r>
  <r>
    <n v="213179140"/>
    <d v="2023-04-20T00:00:00"/>
    <d v="2023-05-17T00:00:00"/>
    <x v="0"/>
    <n v="39"/>
    <s v="month"/>
    <n v="27"/>
    <s v="Thursday"/>
  </r>
  <r>
    <n v="211629536"/>
    <d v="2023-04-20T00:00:00"/>
    <d v="2023-05-27T00:00:00"/>
    <x v="0"/>
    <n v="39"/>
    <s v="month"/>
    <n v="37"/>
    <s v="Thursday"/>
  </r>
  <r>
    <n v="204953211"/>
    <d v="2023-04-20T00:00:00"/>
    <d v="2023-05-27T00:00:00"/>
    <x v="0"/>
    <n v="39"/>
    <s v="month"/>
    <n v="37"/>
    <s v="Thursday"/>
  </r>
  <r>
    <n v="111394466"/>
    <d v="2023-04-20T00:00:00"/>
    <d v="2023-06-22T00:00:00"/>
    <x v="0"/>
    <n v="39"/>
    <s v="month"/>
    <n v="63"/>
    <s v="Thursday"/>
  </r>
  <r>
    <n v="214107134"/>
    <d v="2023-04-21T00:00:00"/>
    <s v="Active"/>
    <x v="0"/>
    <n v="39"/>
    <s v="month"/>
    <s v="Active"/>
    <s v="Friday"/>
  </r>
  <r>
    <n v="214105034"/>
    <d v="2023-04-21T00:00:00"/>
    <s v="Active"/>
    <x v="0"/>
    <n v="39"/>
    <s v="month"/>
    <s v="Active"/>
    <s v="Friday"/>
  </r>
  <r>
    <n v="214124745"/>
    <d v="2023-04-21T00:00:00"/>
    <d v="2023-09-07T00:00:00"/>
    <x v="0"/>
    <n v="39"/>
    <s v="month"/>
    <n v="139"/>
    <s v="Friday"/>
  </r>
  <r>
    <n v="214107426"/>
    <d v="2023-04-21T00:00:00"/>
    <d v="2023-04-22T00:00:00"/>
    <x v="1"/>
    <n v="39"/>
    <s v="month"/>
    <n v="1"/>
    <s v="Friday"/>
  </r>
  <r>
    <n v="213980322"/>
    <d v="2023-04-21T00:00:00"/>
    <d v="2023-06-20T00:00:00"/>
    <x v="0"/>
    <n v="39"/>
    <s v="month"/>
    <n v="60"/>
    <s v="Friday"/>
  </r>
  <r>
    <n v="213434919"/>
    <d v="2023-04-21T00:00:00"/>
    <d v="2023-04-21T00:00:00"/>
    <x v="0"/>
    <n v="39"/>
    <s v="month"/>
    <n v="0"/>
    <s v="Friday"/>
  </r>
  <r>
    <n v="214129448"/>
    <d v="2023-04-21T00:00:00"/>
    <d v="2023-07-28T00:00:00"/>
    <x v="0"/>
    <n v="39"/>
    <s v="month"/>
    <n v="98"/>
    <s v="Friday"/>
  </r>
  <r>
    <n v="213944536"/>
    <d v="2023-04-21T00:00:00"/>
    <d v="2023-06-21T00:00:00"/>
    <x v="0"/>
    <n v="39"/>
    <s v="month"/>
    <n v="61"/>
    <s v="Friday"/>
  </r>
  <r>
    <n v="214052531"/>
    <d v="2023-04-21T00:00:00"/>
    <d v="2023-08-28T00:00:00"/>
    <x v="0"/>
    <n v="39"/>
    <s v="month"/>
    <n v="129"/>
    <s v="Friday"/>
  </r>
  <r>
    <n v="214196608"/>
    <d v="2023-04-22T00:00:00"/>
    <s v="Active"/>
    <x v="0"/>
    <n v="39"/>
    <s v="month"/>
    <s v="Active"/>
    <s v="Saturday"/>
  </r>
  <r>
    <n v="125299295"/>
    <d v="2023-04-22T00:00:00"/>
    <d v="2023-06-19T00:00:00"/>
    <x v="0"/>
    <n v="39"/>
    <s v="month"/>
    <n v="58"/>
    <s v="Saturday"/>
  </r>
  <r>
    <n v="214199386"/>
    <d v="2023-04-22T00:00:00"/>
    <d v="2023-05-07T00:00:00"/>
    <x v="0"/>
    <n v="39"/>
    <s v="month"/>
    <n v="15"/>
    <s v="Saturday"/>
  </r>
  <r>
    <n v="214191851"/>
    <d v="2023-04-22T00:00:00"/>
    <d v="2023-05-12T00:00:00"/>
    <x v="0"/>
    <n v="39"/>
    <s v="month"/>
    <n v="20"/>
    <s v="Saturday"/>
  </r>
  <r>
    <n v="214174478"/>
    <d v="2023-04-22T00:00:00"/>
    <d v="2023-05-22T00:00:00"/>
    <x v="0"/>
    <n v="39"/>
    <s v="month"/>
    <n v="30"/>
    <s v="Saturday"/>
  </r>
  <r>
    <n v="214264465"/>
    <d v="2023-04-23T00:00:00"/>
    <s v="Active"/>
    <x v="0"/>
    <n v="39"/>
    <s v="month"/>
    <s v="Active"/>
    <s v="Sunday"/>
  </r>
  <r>
    <n v="214261616"/>
    <d v="2023-04-23T00:00:00"/>
    <s v="Active"/>
    <x v="0"/>
    <n v="39"/>
    <s v="month"/>
    <s v="Active"/>
    <s v="Sunday"/>
  </r>
  <r>
    <n v="214178644"/>
    <d v="2023-04-23T00:00:00"/>
    <s v="Active"/>
    <x v="0"/>
    <n v="39"/>
    <s v="month"/>
    <s v="Active"/>
    <s v="Sunday"/>
  </r>
  <r>
    <n v="214202809"/>
    <d v="2023-04-23T00:00:00"/>
    <d v="2023-05-22T00:00:00"/>
    <x v="0"/>
    <n v="39"/>
    <s v="month"/>
    <n v="29"/>
    <s v="Sunday"/>
  </r>
  <r>
    <n v="214220188"/>
    <d v="2023-04-24T00:00:00"/>
    <s v="Active"/>
    <x v="0"/>
    <n v="39"/>
    <s v="month"/>
    <s v="Active"/>
    <s v="Monday"/>
  </r>
  <r>
    <n v="212113435"/>
    <d v="2023-04-24T00:00:00"/>
    <s v="Active"/>
    <x v="0"/>
    <n v="39"/>
    <s v="month"/>
    <s v="Active"/>
    <s v="Monday"/>
  </r>
  <r>
    <n v="213431638"/>
    <d v="2023-04-24T00:00:00"/>
    <s v="Active"/>
    <x v="0"/>
    <n v="39"/>
    <s v="month"/>
    <s v="Active"/>
    <s v="Monday"/>
  </r>
  <r>
    <n v="214102994"/>
    <d v="2023-04-24T00:00:00"/>
    <s v="Active"/>
    <x v="0"/>
    <n v="39"/>
    <s v="month"/>
    <s v="Active"/>
    <s v="Monday"/>
  </r>
  <r>
    <n v="177266058"/>
    <d v="2023-04-24T00:00:00"/>
    <s v="Active"/>
    <x v="0"/>
    <n v="39"/>
    <s v="month"/>
    <s v="Active"/>
    <s v="Monday"/>
  </r>
  <r>
    <n v="116060198"/>
    <d v="2023-04-24T00:00:00"/>
    <s v="Active"/>
    <x v="0"/>
    <n v="39"/>
    <s v="month"/>
    <s v="Active"/>
    <s v="Monday"/>
  </r>
  <r>
    <n v="214312843"/>
    <d v="2023-04-24T00:00:00"/>
    <s v="Active"/>
    <x v="0"/>
    <n v="39"/>
    <s v="month"/>
    <s v="Active"/>
    <s v="Monday"/>
  </r>
  <r>
    <n v="156245288"/>
    <d v="2023-04-24T00:00:00"/>
    <d v="2023-05-11T00:00:00"/>
    <x v="0"/>
    <n v="39"/>
    <s v="month"/>
    <n v="17"/>
    <s v="Monday"/>
  </r>
  <r>
    <n v="148869972"/>
    <d v="2023-04-24T00:00:00"/>
    <d v="2023-05-10T00:00:00"/>
    <x v="0"/>
    <n v="39"/>
    <s v="month"/>
    <n v="16"/>
    <s v="Monday"/>
  </r>
  <r>
    <n v="156186115"/>
    <d v="2023-04-24T00:00:00"/>
    <d v="2023-05-17T00:00:00"/>
    <x v="0"/>
    <n v="39"/>
    <s v="month"/>
    <n v="23"/>
    <s v="Monday"/>
  </r>
  <r>
    <n v="207235755"/>
    <d v="2023-04-24T00:00:00"/>
    <d v="2023-05-22T00:00:00"/>
    <x v="0"/>
    <n v="39"/>
    <s v="month"/>
    <n v="28"/>
    <s v="Monday"/>
  </r>
  <r>
    <n v="169235213"/>
    <d v="2023-04-24T00:00:00"/>
    <d v="2023-05-31T00:00:00"/>
    <x v="0"/>
    <n v="39"/>
    <s v="month"/>
    <n v="37"/>
    <s v="Monday"/>
  </r>
  <r>
    <n v="213692152"/>
    <d v="2023-04-24T00:00:00"/>
    <d v="2023-05-25T00:00:00"/>
    <x v="0"/>
    <n v="39"/>
    <s v="month"/>
    <n v="31"/>
    <s v="Monday"/>
  </r>
  <r>
    <n v="214352003"/>
    <d v="2023-04-24T00:00:00"/>
    <d v="2023-08-23T00:00:00"/>
    <x v="0"/>
    <n v="39"/>
    <s v="month"/>
    <n v="121"/>
    <s v="Monday"/>
  </r>
  <r>
    <n v="139691790"/>
    <d v="2023-04-25T00:00:00"/>
    <d v="2023-06-25T00:00:00"/>
    <x v="0"/>
    <n v="39"/>
    <s v="month"/>
    <n v="61"/>
    <s v="Tuesday"/>
  </r>
  <r>
    <n v="210646453"/>
    <d v="2023-04-25T00:00:00"/>
    <d v="2023-06-24T00:00:00"/>
    <x v="0"/>
    <n v="39"/>
    <s v="month"/>
    <n v="60"/>
    <s v="Tuesday"/>
  </r>
  <r>
    <n v="206891005"/>
    <d v="2023-04-25T00:00:00"/>
    <d v="2023-05-17T00:00:00"/>
    <x v="0"/>
    <n v="39"/>
    <s v="month"/>
    <n v="22"/>
    <s v="Tuesday"/>
  </r>
  <r>
    <n v="212293354"/>
    <d v="2023-04-25T00:00:00"/>
    <d v="2023-04-25T00:00:00"/>
    <x v="0"/>
    <n v="39"/>
    <s v="month"/>
    <n v="0"/>
    <s v="Tuesday"/>
  </r>
  <r>
    <n v="214464069"/>
    <d v="2023-04-26T00:00:00"/>
    <s v="Active"/>
    <x v="0"/>
    <n v="39"/>
    <s v="month"/>
    <s v="Active"/>
    <s v="Wednesday"/>
  </r>
  <r>
    <n v="214446543"/>
    <d v="2023-04-26T00:00:00"/>
    <s v="Active"/>
    <x v="0"/>
    <n v="39"/>
    <s v="month"/>
    <s v="Active"/>
    <s v="Wednesday"/>
  </r>
  <r>
    <n v="212376935"/>
    <d v="2023-04-26T00:00:00"/>
    <d v="2023-06-12T00:00:00"/>
    <x v="0"/>
    <n v="39"/>
    <s v="month"/>
    <n v="47"/>
    <s v="Wednesday"/>
  </r>
  <r>
    <n v="173118928"/>
    <d v="2023-04-26T00:00:00"/>
    <d v="2023-06-02T00:00:00"/>
    <x v="0"/>
    <n v="39"/>
    <s v="month"/>
    <n v="37"/>
    <s v="Wednesday"/>
  </r>
  <r>
    <n v="214410106"/>
    <d v="2023-04-26T00:00:00"/>
    <d v="2023-05-17T00:00:00"/>
    <x v="0"/>
    <n v="39"/>
    <s v="month"/>
    <n v="21"/>
    <s v="Wednesday"/>
  </r>
  <r>
    <n v="214093520"/>
    <d v="2023-04-26T00:00:00"/>
    <d v="2023-05-24T00:00:00"/>
    <x v="0"/>
    <n v="39"/>
    <s v="month"/>
    <n v="28"/>
    <s v="Wednesday"/>
  </r>
  <r>
    <n v="214441521"/>
    <d v="2023-04-26T00:00:00"/>
    <d v="2023-05-24T00:00:00"/>
    <x v="0"/>
    <n v="39"/>
    <s v="month"/>
    <n v="28"/>
    <s v="Wednesday"/>
  </r>
  <r>
    <n v="214519787"/>
    <d v="2023-04-27T00:00:00"/>
    <s v="Active"/>
    <x v="0"/>
    <n v="39"/>
    <s v="month"/>
    <s v="Active"/>
    <s v="Thursday"/>
  </r>
  <r>
    <n v="213177724"/>
    <d v="2023-04-27T00:00:00"/>
    <s v="Active"/>
    <x v="0"/>
    <n v="39"/>
    <s v="month"/>
    <s v="Active"/>
    <s v="Thursday"/>
  </r>
  <r>
    <n v="213421956"/>
    <d v="2023-04-27T00:00:00"/>
    <d v="2023-04-28T00:00:00"/>
    <x v="1"/>
    <n v="39"/>
    <s v="month"/>
    <n v="1"/>
    <s v="Thursday"/>
  </r>
  <r>
    <n v="151094649"/>
    <d v="2023-04-27T00:00:00"/>
    <d v="2023-05-27T00:00:00"/>
    <x v="0"/>
    <n v="39"/>
    <s v="month"/>
    <n v="30"/>
    <s v="Thursday"/>
  </r>
  <r>
    <n v="160056180"/>
    <d v="2023-04-27T00:00:00"/>
    <d v="2023-05-28T00:00:00"/>
    <x v="0"/>
    <n v="39"/>
    <s v="month"/>
    <n v="31"/>
    <s v="Thursday"/>
  </r>
  <r>
    <n v="166480898"/>
    <d v="2023-04-27T00:00:00"/>
    <d v="2023-05-25T00:00:00"/>
    <x v="0"/>
    <n v="39"/>
    <s v="month"/>
    <n v="28"/>
    <s v="Thursday"/>
  </r>
  <r>
    <n v="182085396"/>
    <d v="2023-04-27T00:00:00"/>
    <d v="2023-06-03T00:00:00"/>
    <x v="0"/>
    <n v="39"/>
    <s v="month"/>
    <n v="37"/>
    <s v="Thursday"/>
  </r>
  <r>
    <n v="214519010"/>
    <d v="2023-04-27T00:00:00"/>
    <d v="2023-05-28T00:00:00"/>
    <x v="0"/>
    <n v="39"/>
    <s v="month"/>
    <n v="31"/>
    <s v="Thursday"/>
  </r>
  <r>
    <n v="148657735"/>
    <d v="2023-04-27T00:00:00"/>
    <d v="2023-05-26T00:00:00"/>
    <x v="0"/>
    <n v="39"/>
    <s v="month"/>
    <n v="29"/>
    <s v="Thursday"/>
  </r>
  <r>
    <n v="214555461"/>
    <d v="2023-04-28T00:00:00"/>
    <s v="Active"/>
    <x v="0"/>
    <n v="39"/>
    <s v="month"/>
    <s v="Active"/>
    <s v="Friday"/>
  </r>
  <r>
    <n v="148042512"/>
    <d v="2023-04-28T00:00:00"/>
    <s v="Active"/>
    <x v="0"/>
    <n v="39"/>
    <s v="month"/>
    <s v="Active"/>
    <s v="Friday"/>
  </r>
  <r>
    <n v="214534717"/>
    <d v="2023-04-28T00:00:00"/>
    <s v="Active"/>
    <x v="0"/>
    <n v="39"/>
    <s v="month"/>
    <s v="Active"/>
    <s v="Friday"/>
  </r>
  <r>
    <n v="211223610"/>
    <d v="2023-04-28T00:00:00"/>
    <d v="2023-07-05T00:00:00"/>
    <x v="0"/>
    <n v="39"/>
    <s v="month"/>
    <n v="68"/>
    <s v="Friday"/>
  </r>
  <r>
    <n v="214444866"/>
    <d v="2023-04-28T00:00:00"/>
    <d v="2023-06-28T00:00:00"/>
    <x v="0"/>
    <n v="39"/>
    <s v="month"/>
    <n v="61"/>
    <s v="Friday"/>
  </r>
  <r>
    <n v="206477826"/>
    <d v="2023-04-28T00:00:00"/>
    <d v="2023-06-04T00:00:00"/>
    <x v="0"/>
    <n v="39"/>
    <s v="month"/>
    <n v="37"/>
    <s v="Friday"/>
  </r>
  <r>
    <n v="214589440"/>
    <d v="2023-04-28T00:00:00"/>
    <d v="2023-05-28T00:00:00"/>
    <x v="0"/>
    <n v="39"/>
    <s v="month"/>
    <n v="30"/>
    <s v="Friday"/>
  </r>
  <r>
    <n v="214516527"/>
    <d v="2023-04-28T00:00:00"/>
    <d v="2023-05-29T00:00:00"/>
    <x v="0"/>
    <n v="39"/>
    <s v="month"/>
    <n v="31"/>
    <s v="Friday"/>
  </r>
  <r>
    <n v="158980862"/>
    <d v="2023-04-28T00:00:00"/>
    <d v="2023-05-17T00:00:00"/>
    <x v="0"/>
    <n v="39"/>
    <s v="month"/>
    <n v="19"/>
    <s v="Friday"/>
  </r>
  <r>
    <n v="144769275"/>
    <d v="2023-04-28T00:00:00"/>
    <d v="2023-04-28T00:00:00"/>
    <x v="0"/>
    <n v="39"/>
    <s v="month"/>
    <n v="0"/>
    <s v="Friday"/>
  </r>
  <r>
    <n v="214508205"/>
    <d v="2023-04-28T00:00:00"/>
    <d v="2023-07-04T00:00:00"/>
    <x v="0"/>
    <n v="39"/>
    <s v="month"/>
    <n v="67"/>
    <s v="Friday"/>
  </r>
  <r>
    <n v="156178486"/>
    <d v="2023-04-29T00:00:00"/>
    <s v="Active"/>
    <x v="0"/>
    <n v="39"/>
    <s v="month"/>
    <s v="Active"/>
    <s v="Saturday"/>
  </r>
  <r>
    <n v="214584458"/>
    <d v="2023-04-29T00:00:00"/>
    <d v="2023-07-20T00:00:00"/>
    <x v="0"/>
    <n v="39"/>
    <s v="month"/>
    <n v="82"/>
    <s v="Saturday"/>
  </r>
  <r>
    <n v="181935574"/>
    <d v="2023-04-30T00:00:00"/>
    <s v="Active"/>
    <x v="0"/>
    <n v="39"/>
    <s v="month"/>
    <s v="Active"/>
    <s v="Sunday"/>
  </r>
  <r>
    <n v="153006404"/>
    <d v="2023-04-30T00:00:00"/>
    <d v="2023-05-20T00:00:00"/>
    <x v="0"/>
    <n v="39"/>
    <s v="month"/>
    <n v="20"/>
    <s v="Sunday"/>
  </r>
  <r>
    <n v="214423891"/>
    <d v="2023-04-30T00:00:00"/>
    <d v="2023-06-02T00:00:00"/>
    <x v="0"/>
    <n v="39"/>
    <s v="month"/>
    <n v="33"/>
    <s v="Sunday"/>
  </r>
  <r>
    <n v="214510838"/>
    <d v="2023-04-30T00:00:00"/>
    <d v="2023-06-06T00:00:00"/>
    <x v="0"/>
    <n v="39"/>
    <s v="month"/>
    <n v="37"/>
    <s v="Sunday"/>
  </r>
  <r>
    <n v="211383216"/>
    <d v="2023-04-30T00:00:00"/>
    <d v="2023-05-02T00:00:00"/>
    <x v="0"/>
    <n v="39"/>
    <s v="month"/>
    <n v="2"/>
    <s v="Sunday"/>
  </r>
  <r>
    <n v="214641741"/>
    <d v="2023-04-30T00:00:00"/>
    <d v="2023-05-01T00:00:00"/>
    <x v="0"/>
    <n v="39"/>
    <s v="month"/>
    <n v="1"/>
    <s v="Sunday"/>
  </r>
  <r>
    <n v="214643362"/>
    <d v="2023-04-30T00:00:00"/>
    <d v="2023-06-30T00:00:00"/>
    <x v="0"/>
    <n v="39"/>
    <s v="month"/>
    <n v="61"/>
    <s v="Sunday"/>
  </r>
  <r>
    <n v="214419772"/>
    <d v="2023-05-01T00:00:00"/>
    <s v="Active"/>
    <x v="0"/>
    <n v="39"/>
    <s v="month"/>
    <s v="Active"/>
    <s v="Monday"/>
  </r>
  <r>
    <n v="213227787"/>
    <d v="2023-05-01T00:00:00"/>
    <s v="Active"/>
    <x v="0"/>
    <n v="39"/>
    <s v="month"/>
    <s v="Active"/>
    <s v="Monday"/>
  </r>
  <r>
    <n v="214666572"/>
    <d v="2023-05-01T00:00:00"/>
    <s v="Active"/>
    <x v="0"/>
    <n v="39"/>
    <s v="month"/>
    <s v="Active"/>
    <s v="Monday"/>
  </r>
  <r>
    <n v="126780716"/>
    <d v="2023-05-01T00:00:00"/>
    <d v="2023-06-01T00:00:00"/>
    <x v="0"/>
    <n v="39"/>
    <s v="month"/>
    <n v="31"/>
    <s v="Monday"/>
  </r>
  <r>
    <n v="214682826"/>
    <d v="2023-05-01T00:00:00"/>
    <d v="2023-06-01T00:00:00"/>
    <x v="0"/>
    <n v="39"/>
    <s v="month"/>
    <n v="31"/>
    <s v="Monday"/>
  </r>
  <r>
    <n v="212392663"/>
    <d v="2023-05-01T00:00:00"/>
    <d v="2023-05-24T00:00:00"/>
    <x v="0"/>
    <n v="39"/>
    <s v="month"/>
    <n v="23"/>
    <s v="Monday"/>
  </r>
  <r>
    <n v="147118133"/>
    <d v="2023-05-01T00:00:00"/>
    <d v="2023-08-08T00:00:00"/>
    <x v="0"/>
    <n v="39"/>
    <s v="month"/>
    <n v="99"/>
    <s v="Monday"/>
  </r>
  <r>
    <n v="157031617"/>
    <d v="2023-05-02T00:00:00"/>
    <s v="Active"/>
    <x v="0"/>
    <n v="39"/>
    <s v="month"/>
    <s v="Active"/>
    <s v="Tuesday"/>
  </r>
  <r>
    <n v="211958379"/>
    <d v="2023-05-02T00:00:00"/>
    <s v="Active"/>
    <x v="0"/>
    <n v="39"/>
    <s v="month"/>
    <s v="Active"/>
    <s v="Tuesday"/>
  </r>
  <r>
    <n v="152310842"/>
    <d v="2023-05-02T00:00:00"/>
    <s v="Active"/>
    <x v="0"/>
    <n v="39"/>
    <s v="month"/>
    <s v="Active"/>
    <s v="Tuesday"/>
  </r>
  <r>
    <n v="214711907"/>
    <d v="2023-05-02T00:00:00"/>
    <s v="Active"/>
    <x v="0"/>
    <n v="39"/>
    <s v="month"/>
    <s v="Active"/>
    <s v="Tuesday"/>
  </r>
  <r>
    <n v="150342446"/>
    <d v="2023-05-02T00:00:00"/>
    <d v="2023-05-03T00:00:00"/>
    <x v="0"/>
    <n v="39"/>
    <s v="month"/>
    <n v="1"/>
    <s v="Tuesday"/>
  </r>
  <r>
    <n v="214741130"/>
    <d v="2023-05-02T00:00:00"/>
    <d v="2023-07-09T00:00:00"/>
    <x v="0"/>
    <n v="39"/>
    <s v="month"/>
    <n v="68"/>
    <s v="Tuesday"/>
  </r>
  <r>
    <n v="214734037"/>
    <d v="2023-05-02T00:00:00"/>
    <d v="2023-06-19T00:00:00"/>
    <x v="0"/>
    <n v="39"/>
    <s v="month"/>
    <n v="48"/>
    <s v="Tuesday"/>
  </r>
  <r>
    <n v="214500293"/>
    <d v="2023-05-02T00:00:00"/>
    <d v="2023-06-06T00:00:00"/>
    <x v="0"/>
    <n v="39"/>
    <s v="month"/>
    <n v="35"/>
    <s v="Tuesday"/>
  </r>
  <r>
    <n v="214587827"/>
    <d v="2023-05-02T00:00:00"/>
    <d v="2023-08-01T00:00:00"/>
    <x v="0"/>
    <n v="39"/>
    <s v="month"/>
    <n v="91"/>
    <s v="Tuesday"/>
  </r>
  <r>
    <n v="214739055"/>
    <d v="2023-05-02T00:00:00"/>
    <d v="2023-08-09T00:00:00"/>
    <x v="0"/>
    <n v="39"/>
    <s v="month"/>
    <n v="99"/>
    <s v="Tuesday"/>
  </r>
  <r>
    <n v="163103693"/>
    <d v="2023-05-02T00:00:00"/>
    <d v="2023-08-22T00:00:00"/>
    <x v="0"/>
    <n v="39"/>
    <s v="month"/>
    <n v="112"/>
    <s v="Tuesday"/>
  </r>
  <r>
    <n v="214483378"/>
    <d v="2023-05-03T00:00:00"/>
    <s v="Active"/>
    <x v="0"/>
    <n v="39"/>
    <s v="month"/>
    <s v="Active"/>
    <s v="Wednesday"/>
  </r>
  <r>
    <n v="157883110"/>
    <d v="2023-05-03T00:00:00"/>
    <s v="Active"/>
    <x v="0"/>
    <n v="39"/>
    <s v="month"/>
    <s v="Active"/>
    <s v="Wednesday"/>
  </r>
  <r>
    <n v="132424181"/>
    <d v="2023-05-03T00:00:00"/>
    <d v="2023-07-15T00:00:00"/>
    <x v="0"/>
    <n v="39"/>
    <s v="month"/>
    <n v="73"/>
    <s v="Wednesday"/>
  </r>
  <r>
    <n v="214805206"/>
    <d v="2023-05-03T00:00:00"/>
    <d v="2023-06-20T00:00:00"/>
    <x v="0"/>
    <n v="39"/>
    <s v="month"/>
    <n v="48"/>
    <s v="Wednesday"/>
  </r>
  <r>
    <n v="214641940"/>
    <d v="2023-05-03T00:00:00"/>
    <d v="2023-06-10T00:00:00"/>
    <x v="0"/>
    <n v="39"/>
    <s v="month"/>
    <n v="38"/>
    <s v="Wednesday"/>
  </r>
  <r>
    <n v="206112289"/>
    <d v="2023-05-03T00:00:00"/>
    <d v="2023-06-12T00:00:00"/>
    <x v="0"/>
    <n v="39"/>
    <s v="month"/>
    <n v="40"/>
    <s v="Wednesday"/>
  </r>
  <r>
    <n v="214781323"/>
    <d v="2023-05-03T00:00:00"/>
    <d v="2023-05-24T00:00:00"/>
    <x v="0"/>
    <n v="39"/>
    <s v="month"/>
    <n v="21"/>
    <s v="Wednesday"/>
  </r>
  <r>
    <n v="214767936"/>
    <d v="2023-05-03T00:00:00"/>
    <d v="2023-05-03T00:00:00"/>
    <x v="0"/>
    <n v="39"/>
    <s v="month"/>
    <n v="0"/>
    <s v="Wednesday"/>
  </r>
  <r>
    <n v="182023209"/>
    <d v="2023-05-03T00:00:00"/>
    <d v="2023-05-14T00:00:00"/>
    <x v="0"/>
    <n v="39"/>
    <s v="month"/>
    <n v="11"/>
    <s v="Wednesday"/>
  </r>
  <r>
    <n v="148513036"/>
    <d v="2023-05-04T00:00:00"/>
    <s v="Active"/>
    <x v="0"/>
    <n v="39"/>
    <s v="month"/>
    <s v="Active"/>
    <s v="Thursday"/>
  </r>
  <r>
    <n v="157910445"/>
    <d v="2023-05-04T00:00:00"/>
    <s v="Active"/>
    <x v="0"/>
    <n v="39"/>
    <s v="month"/>
    <s v="Active"/>
    <s v="Thursday"/>
  </r>
  <r>
    <n v="213810773"/>
    <d v="2023-05-04T00:00:00"/>
    <d v="2023-09-05T00:00:00"/>
    <x v="0"/>
    <n v="39"/>
    <s v="month"/>
    <n v="124"/>
    <s v="Thursday"/>
  </r>
  <r>
    <n v="154820233"/>
    <d v="2023-05-04T00:00:00"/>
    <d v="2023-07-05T00:00:00"/>
    <x v="0"/>
    <n v="39"/>
    <s v="month"/>
    <n v="62"/>
    <s v="Thursday"/>
  </r>
  <r>
    <n v="214248197"/>
    <d v="2023-05-04T00:00:00"/>
    <d v="2023-06-02T00:00:00"/>
    <x v="0"/>
    <n v="39"/>
    <s v="month"/>
    <n v="29"/>
    <s v="Thursday"/>
  </r>
  <r>
    <n v="214818730"/>
    <d v="2023-05-04T00:00:00"/>
    <d v="2023-06-01T00:00:00"/>
    <x v="0"/>
    <n v="39"/>
    <s v="month"/>
    <n v="28"/>
    <s v="Thursday"/>
  </r>
  <r>
    <n v="186667733"/>
    <d v="2023-05-04T00:00:00"/>
    <d v="2023-06-01T00:00:00"/>
    <x v="0"/>
    <n v="39"/>
    <s v="month"/>
    <n v="28"/>
    <s v="Thursday"/>
  </r>
  <r>
    <n v="214901781"/>
    <d v="2023-05-05T00:00:00"/>
    <s v="Active"/>
    <x v="0"/>
    <n v="39"/>
    <s v="month"/>
    <s v="Active"/>
    <s v="Friday"/>
  </r>
  <r>
    <n v="214884589"/>
    <d v="2023-05-05T00:00:00"/>
    <s v="Active"/>
    <x v="0"/>
    <n v="39"/>
    <s v="month"/>
    <s v="Active"/>
    <s v="Friday"/>
  </r>
  <r>
    <n v="210344586"/>
    <d v="2023-05-05T00:00:00"/>
    <s v="Active"/>
    <x v="0"/>
    <n v="39"/>
    <s v="month"/>
    <s v="Active"/>
    <s v="Friday"/>
  </r>
  <r>
    <n v="214813191"/>
    <d v="2023-05-05T00:00:00"/>
    <s v="Active"/>
    <x v="0"/>
    <n v="39"/>
    <s v="month"/>
    <s v="Active"/>
    <s v="Friday"/>
  </r>
  <r>
    <n v="214880602"/>
    <d v="2023-05-05T00:00:00"/>
    <s v="Active"/>
    <x v="0"/>
    <n v="39"/>
    <s v="month"/>
    <s v="Active"/>
    <s v="Friday"/>
  </r>
  <r>
    <n v="186140999"/>
    <d v="2023-05-05T00:00:00"/>
    <d v="2023-06-03T00:00:00"/>
    <x v="0"/>
    <n v="39"/>
    <s v="month"/>
    <n v="29"/>
    <s v="Friday"/>
  </r>
  <r>
    <n v="214860336"/>
    <d v="2023-05-05T00:00:00"/>
    <d v="2023-07-03T00:00:00"/>
    <x v="0"/>
    <n v="39"/>
    <s v="month"/>
    <n v="59"/>
    <s v="Friday"/>
  </r>
  <r>
    <n v="138725699"/>
    <d v="2023-05-05T00:00:00"/>
    <d v="2023-06-12T00:00:00"/>
    <x v="0"/>
    <n v="39"/>
    <s v="month"/>
    <n v="38"/>
    <s v="Friday"/>
  </r>
  <r>
    <n v="132315255"/>
    <d v="2023-05-05T00:00:00"/>
    <d v="2023-05-05T00:00:00"/>
    <x v="0"/>
    <n v="39"/>
    <s v="month"/>
    <n v="0"/>
    <s v="Friday"/>
  </r>
  <r>
    <n v="208202304"/>
    <d v="2023-05-05T00:00:00"/>
    <d v="2023-05-05T00:00:00"/>
    <x v="0"/>
    <n v="39"/>
    <s v="month"/>
    <n v="0"/>
    <s v="Friday"/>
  </r>
  <r>
    <n v="214869362"/>
    <d v="2023-05-05T00:00:00"/>
    <d v="2023-05-31T00:00:00"/>
    <x v="0"/>
    <n v="39"/>
    <s v="month"/>
    <n v="26"/>
    <s v="Friday"/>
  </r>
  <r>
    <n v="207118054"/>
    <d v="2023-05-06T00:00:00"/>
    <s v="Active"/>
    <x v="0"/>
    <n v="39"/>
    <s v="month"/>
    <s v="Active"/>
    <s v="Saturday"/>
  </r>
  <r>
    <n v="214856586"/>
    <d v="2023-05-06T00:00:00"/>
    <s v="Active"/>
    <x v="0"/>
    <n v="39"/>
    <s v="month"/>
    <s v="Active"/>
    <s v="Saturday"/>
  </r>
  <r>
    <n v="201945254"/>
    <d v="2023-05-06T00:00:00"/>
    <d v="2023-06-02T00:00:00"/>
    <x v="0"/>
    <n v="39"/>
    <s v="month"/>
    <n v="27"/>
    <s v="Saturday"/>
  </r>
  <r>
    <n v="134531651"/>
    <d v="2023-05-07T00:00:00"/>
    <s v="Active"/>
    <x v="0"/>
    <n v="39"/>
    <s v="month"/>
    <s v="Active"/>
    <s v="Sunday"/>
  </r>
  <r>
    <n v="204865394"/>
    <d v="2023-05-07T00:00:00"/>
    <s v="Active"/>
    <x v="0"/>
    <n v="39"/>
    <s v="month"/>
    <s v="Active"/>
    <s v="Sunday"/>
  </r>
  <r>
    <n v="158906669"/>
    <d v="2023-05-07T00:00:00"/>
    <s v="Active"/>
    <x v="0"/>
    <n v="39"/>
    <s v="month"/>
    <s v="Active"/>
    <s v="Sunday"/>
  </r>
  <r>
    <n v="125591366"/>
    <d v="2023-05-07T00:00:00"/>
    <d v="2023-08-06T00:00:00"/>
    <x v="0"/>
    <n v="39"/>
    <s v="month"/>
    <n v="91"/>
    <s v="Sunday"/>
  </r>
  <r>
    <n v="214839844"/>
    <d v="2023-05-07T00:00:00"/>
    <d v="2023-07-07T00:00:00"/>
    <x v="0"/>
    <n v="39"/>
    <s v="month"/>
    <n v="61"/>
    <s v="Sunday"/>
  </r>
  <r>
    <n v="214939612"/>
    <d v="2023-05-07T00:00:00"/>
    <d v="2023-07-03T00:00:00"/>
    <x v="0"/>
    <n v="39"/>
    <s v="month"/>
    <n v="57"/>
    <s v="Sunday"/>
  </r>
  <r>
    <n v="204670100"/>
    <d v="2023-05-07T00:00:00"/>
    <d v="2023-07-14T00:00:00"/>
    <x v="0"/>
    <n v="39"/>
    <s v="month"/>
    <n v="68"/>
    <s v="Sunday"/>
  </r>
  <r>
    <n v="214830539"/>
    <d v="2023-05-07T00:00:00"/>
    <d v="2023-06-14T00:00:00"/>
    <x v="0"/>
    <n v="39"/>
    <s v="month"/>
    <n v="38"/>
    <s v="Sunday"/>
  </r>
  <r>
    <n v="185952990"/>
    <d v="2023-05-07T00:00:00"/>
    <d v="2023-06-10T00:00:00"/>
    <x v="0"/>
    <n v="39"/>
    <s v="month"/>
    <n v="34"/>
    <s v="Sunday"/>
  </r>
  <r>
    <n v="214936311"/>
    <d v="2023-05-07T00:00:00"/>
    <d v="2023-05-07T00:00:00"/>
    <x v="0"/>
    <n v="39"/>
    <s v="month"/>
    <n v="0"/>
    <s v="Sunday"/>
  </r>
  <r>
    <n v="214620392"/>
    <d v="2023-05-07T00:00:00"/>
    <d v="2023-07-07T00:00:00"/>
    <x v="0"/>
    <n v="39"/>
    <s v="month"/>
    <n v="61"/>
    <s v="Sunday"/>
  </r>
  <r>
    <n v="157935884"/>
    <d v="2023-05-08T00:00:00"/>
    <s v="Active"/>
    <x v="0"/>
    <n v="39"/>
    <s v="month"/>
    <s v="Active"/>
    <s v="Monday"/>
  </r>
  <r>
    <n v="214945706"/>
    <d v="2023-05-08T00:00:00"/>
    <s v="Active"/>
    <x v="0"/>
    <n v="39"/>
    <s v="month"/>
    <s v="Active"/>
    <s v="Monday"/>
  </r>
  <r>
    <n v="214999374"/>
    <d v="2023-05-08T00:00:00"/>
    <s v="Active"/>
    <x v="0"/>
    <n v="39"/>
    <s v="month"/>
    <s v="Active"/>
    <s v="Monday"/>
  </r>
  <r>
    <n v="214986467"/>
    <d v="2023-05-08T00:00:00"/>
    <s v="Active"/>
    <x v="0"/>
    <n v="39"/>
    <s v="month"/>
    <s v="Active"/>
    <s v="Monday"/>
  </r>
  <r>
    <n v="214984741"/>
    <d v="2023-05-08T00:00:00"/>
    <s v="Active"/>
    <x v="0"/>
    <n v="39"/>
    <s v="month"/>
    <s v="Active"/>
    <s v="Monday"/>
  </r>
  <r>
    <n v="214993166"/>
    <d v="2023-05-08T00:00:00"/>
    <s v="Active"/>
    <x v="0"/>
    <n v="39"/>
    <s v="month"/>
    <s v="Active"/>
    <s v="Monday"/>
  </r>
  <r>
    <n v="203116697"/>
    <d v="2023-05-08T00:00:00"/>
    <s v="Active"/>
    <x v="0"/>
    <n v="39"/>
    <s v="month"/>
    <s v="Active"/>
    <s v="Monday"/>
  </r>
  <r>
    <n v="214906741"/>
    <d v="2023-05-08T00:00:00"/>
    <s v="Active"/>
    <x v="0"/>
    <n v="39"/>
    <s v="month"/>
    <s v="Active"/>
    <s v="Monday"/>
  </r>
  <r>
    <n v="128977818"/>
    <d v="2023-05-08T00:00:00"/>
    <d v="2023-09-06T00:00:00"/>
    <x v="0"/>
    <n v="39"/>
    <s v="month"/>
    <n v="121"/>
    <s v="Monday"/>
  </r>
  <r>
    <n v="209743418"/>
    <d v="2023-05-08T00:00:00"/>
    <d v="2023-05-09T00:00:00"/>
    <x v="0"/>
    <n v="39"/>
    <s v="month"/>
    <n v="1"/>
    <s v="Monday"/>
  </r>
  <r>
    <n v="209743418"/>
    <d v="2023-05-08T00:00:00"/>
    <d v="2023-07-08T00:00:00"/>
    <x v="0"/>
    <n v="39"/>
    <s v="month"/>
    <n v="61"/>
    <s v="Monday"/>
  </r>
  <r>
    <n v="130868671"/>
    <d v="2023-05-08T00:00:00"/>
    <d v="2023-06-14T00:00:00"/>
    <x v="0"/>
    <n v="39"/>
    <s v="month"/>
    <n v="37"/>
    <s v="Monday"/>
  </r>
  <r>
    <n v="146963394"/>
    <d v="2023-05-08T00:00:00"/>
    <d v="2023-07-04T00:00:00"/>
    <x v="0"/>
    <n v="39"/>
    <s v="month"/>
    <n v="57"/>
    <s v="Monday"/>
  </r>
  <r>
    <n v="214960770"/>
    <d v="2023-05-08T00:00:00"/>
    <d v="2023-07-03T00:00:00"/>
    <x v="0"/>
    <n v="39"/>
    <s v="month"/>
    <n v="56"/>
    <s v="Monday"/>
  </r>
  <r>
    <n v="207344872"/>
    <d v="2023-05-08T00:00:00"/>
    <d v="2023-06-07T00:00:00"/>
    <x v="0"/>
    <n v="39"/>
    <s v="month"/>
    <n v="30"/>
    <s v="Monday"/>
  </r>
  <r>
    <n v="202925989"/>
    <d v="2023-05-08T00:00:00"/>
    <d v="2023-06-15T00:00:00"/>
    <x v="0"/>
    <n v="39"/>
    <s v="month"/>
    <n v="38"/>
    <s v="Monday"/>
  </r>
  <r>
    <n v="214991976"/>
    <d v="2023-05-08T00:00:00"/>
    <d v="2023-06-22T00:00:00"/>
    <x v="0"/>
    <n v="39"/>
    <s v="month"/>
    <n v="45"/>
    <s v="Monday"/>
  </r>
  <r>
    <n v="211917633"/>
    <d v="2023-05-08T00:00:00"/>
    <d v="2023-05-25T00:00:00"/>
    <x v="0"/>
    <n v="39"/>
    <s v="month"/>
    <n v="17"/>
    <s v="Monday"/>
  </r>
  <r>
    <n v="214623264"/>
    <d v="2023-05-08T00:00:00"/>
    <d v="2023-07-15T00:00:00"/>
    <x v="0"/>
    <n v="39"/>
    <s v="month"/>
    <n v="68"/>
    <s v="Monday"/>
  </r>
  <r>
    <n v="205339362"/>
    <d v="2023-05-08T00:00:00"/>
    <d v="2023-07-08T00:00:00"/>
    <x v="0"/>
    <n v="39"/>
    <s v="month"/>
    <n v="61"/>
    <s v="Monday"/>
  </r>
  <r>
    <n v="214956352"/>
    <d v="2023-05-09T00:00:00"/>
    <s v="Active"/>
    <x v="0"/>
    <n v="39"/>
    <s v="month"/>
    <s v="Active"/>
    <s v="Tuesday"/>
  </r>
  <r>
    <n v="196061402"/>
    <d v="2023-05-09T00:00:00"/>
    <s v="Active"/>
    <x v="0"/>
    <n v="39"/>
    <s v="month"/>
    <s v="Active"/>
    <s v="Tuesday"/>
  </r>
  <r>
    <n v="215019022"/>
    <d v="2023-05-09T00:00:00"/>
    <s v="Active"/>
    <x v="0"/>
    <n v="39"/>
    <s v="month"/>
    <s v="Active"/>
    <s v="Tuesday"/>
  </r>
  <r>
    <n v="185517087"/>
    <d v="2023-05-09T00:00:00"/>
    <s v="Active"/>
    <x v="0"/>
    <n v="39"/>
    <s v="month"/>
    <s v="Active"/>
    <s v="Tuesday"/>
  </r>
  <r>
    <n v="151513254"/>
    <d v="2023-05-09T00:00:00"/>
    <d v="2023-05-09T00:00:00"/>
    <x v="0"/>
    <n v="39"/>
    <s v="month"/>
    <n v="0"/>
    <s v="Tuesday"/>
  </r>
  <r>
    <n v="214952558"/>
    <d v="2023-05-09T00:00:00"/>
    <d v="2023-05-10T00:00:00"/>
    <x v="1"/>
    <n v="39"/>
    <s v="month"/>
    <n v="1"/>
    <s v="Tuesday"/>
  </r>
  <r>
    <n v="139339380"/>
    <d v="2023-05-09T00:00:00"/>
    <d v="2023-06-18T00:00:00"/>
    <x v="0"/>
    <n v="39"/>
    <s v="month"/>
    <n v="40"/>
    <s v="Tuesday"/>
  </r>
  <r>
    <n v="208188866"/>
    <d v="2023-05-09T00:00:00"/>
    <d v="2023-06-09T00:00:00"/>
    <x v="0"/>
    <n v="39"/>
    <s v="month"/>
    <n v="31"/>
    <s v="Tuesday"/>
  </r>
  <r>
    <n v="150342446"/>
    <d v="2023-05-09T00:00:00"/>
    <d v="2023-06-16T00:00:00"/>
    <x v="0"/>
    <n v="39"/>
    <s v="month"/>
    <n v="38"/>
    <s v="Tuesday"/>
  </r>
  <r>
    <n v="188748372"/>
    <d v="2023-05-09T00:00:00"/>
    <d v="2023-06-16T00:00:00"/>
    <x v="0"/>
    <n v="39"/>
    <s v="month"/>
    <n v="38"/>
    <s v="Tuesday"/>
  </r>
  <r>
    <n v="215034356"/>
    <d v="2023-05-09T00:00:00"/>
    <d v="2023-05-09T00:00:00"/>
    <x v="0"/>
    <n v="39"/>
    <s v="month"/>
    <n v="0"/>
    <s v="Tuesday"/>
  </r>
  <r>
    <n v="145013444"/>
    <d v="2023-05-09T00:00:00"/>
    <d v="2023-05-29T00:00:00"/>
    <x v="0"/>
    <n v="39"/>
    <s v="month"/>
    <n v="20"/>
    <s v="Tuesday"/>
  </r>
  <r>
    <n v="164548755"/>
    <d v="2023-05-09T00:00:00"/>
    <d v="2023-07-16T00:00:00"/>
    <x v="0"/>
    <n v="39"/>
    <s v="month"/>
    <n v="68"/>
    <s v="Tuesday"/>
  </r>
  <r>
    <n v="193315330"/>
    <d v="2023-05-09T00:00:00"/>
    <d v="2023-08-16T00:00:00"/>
    <x v="0"/>
    <n v="39"/>
    <s v="month"/>
    <n v="99"/>
    <s v="Tuesday"/>
  </r>
  <r>
    <n v="147592201"/>
    <d v="2023-05-10T00:00:00"/>
    <s v="Active"/>
    <x v="0"/>
    <n v="39"/>
    <s v="month"/>
    <s v="Active"/>
    <s v="Wednesday"/>
  </r>
  <r>
    <n v="192068317"/>
    <d v="2023-05-10T00:00:00"/>
    <s v="Active"/>
    <x v="0"/>
    <n v="39"/>
    <s v="month"/>
    <s v="Active"/>
    <s v="Wednesday"/>
  </r>
  <r>
    <n v="214396083"/>
    <d v="2023-05-10T00:00:00"/>
    <s v="Active"/>
    <x v="0"/>
    <n v="39"/>
    <s v="month"/>
    <s v="Active"/>
    <s v="Wednesday"/>
  </r>
  <r>
    <n v="214698924"/>
    <d v="2023-05-10T00:00:00"/>
    <d v="2023-05-10T00:00:00"/>
    <x v="0"/>
    <n v="39"/>
    <s v="month"/>
    <n v="0"/>
    <s v="Wednesday"/>
  </r>
  <r>
    <n v="153402484"/>
    <d v="2023-05-10T00:00:00"/>
    <d v="2023-06-09T00:00:00"/>
    <x v="0"/>
    <n v="39"/>
    <s v="month"/>
    <n v="30"/>
    <s v="Wednesday"/>
  </r>
  <r>
    <n v="214809412"/>
    <d v="2023-05-10T00:00:00"/>
    <d v="2023-08-09T00:00:00"/>
    <x v="0"/>
    <n v="39"/>
    <s v="month"/>
    <n v="91"/>
    <s v="Wednesday"/>
  </r>
  <r>
    <n v="215062365"/>
    <d v="2023-05-10T00:00:00"/>
    <d v="2023-08-03T00:00:00"/>
    <x v="0"/>
    <n v="39"/>
    <s v="month"/>
    <n v="85"/>
    <s v="Wednesday"/>
  </r>
  <r>
    <n v="135185873"/>
    <d v="2023-05-11T00:00:00"/>
    <s v="Active"/>
    <x v="0"/>
    <n v="39"/>
    <s v="month"/>
    <s v="Active"/>
    <s v="Thursday"/>
  </r>
  <r>
    <n v="144898968"/>
    <d v="2023-05-11T00:00:00"/>
    <s v="Active"/>
    <x v="0"/>
    <n v="39"/>
    <s v="month"/>
    <s v="Active"/>
    <s v="Thursday"/>
  </r>
  <r>
    <n v="214973231"/>
    <d v="2023-05-11T00:00:00"/>
    <s v="Active"/>
    <x v="0"/>
    <n v="39"/>
    <s v="month"/>
    <s v="Active"/>
    <s v="Thursday"/>
  </r>
  <r>
    <n v="214971897"/>
    <d v="2023-05-11T00:00:00"/>
    <s v="Active"/>
    <x v="0"/>
    <n v="39"/>
    <s v="month"/>
    <s v="Active"/>
    <s v="Thursday"/>
  </r>
  <r>
    <n v="134919488"/>
    <d v="2023-05-11T00:00:00"/>
    <d v="2023-08-07T00:00:00"/>
    <x v="0"/>
    <n v="39"/>
    <s v="month"/>
    <n v="88"/>
    <s v="Thursday"/>
  </r>
  <r>
    <n v="214912916"/>
    <d v="2023-05-11T00:00:00"/>
    <d v="2023-06-11T00:00:00"/>
    <x v="0"/>
    <n v="39"/>
    <s v="month"/>
    <n v="31"/>
    <s v="Thursday"/>
  </r>
  <r>
    <n v="215138344"/>
    <d v="2023-05-11T00:00:00"/>
    <d v="2023-06-02T00:00:00"/>
    <x v="0"/>
    <n v="39"/>
    <s v="month"/>
    <n v="22"/>
    <s v="Thursday"/>
  </r>
  <r>
    <n v="215132378"/>
    <d v="2023-05-11T00:00:00"/>
    <d v="2023-06-05T00:00:00"/>
    <x v="0"/>
    <n v="39"/>
    <s v="month"/>
    <n v="25"/>
    <s v="Thursday"/>
  </r>
  <r>
    <n v="206145911"/>
    <d v="2023-05-11T00:00:00"/>
    <d v="2023-05-11T00:00:00"/>
    <x v="0"/>
    <n v="39"/>
    <s v="month"/>
    <n v="0"/>
    <s v="Thursday"/>
  </r>
  <r>
    <n v="215146368"/>
    <d v="2023-05-11T00:00:00"/>
    <d v="2023-05-19T00:00:00"/>
    <x v="0"/>
    <n v="39"/>
    <s v="month"/>
    <n v="8"/>
    <s v="Thursday"/>
  </r>
  <r>
    <n v="133199506"/>
    <d v="2023-05-12T00:00:00"/>
    <s v="Active"/>
    <x v="0"/>
    <n v="39"/>
    <s v="month"/>
    <s v="Active"/>
    <s v="Friday"/>
  </r>
  <r>
    <n v="202763494"/>
    <d v="2023-05-12T00:00:00"/>
    <s v="Active"/>
    <x v="0"/>
    <n v="39"/>
    <s v="month"/>
    <s v="Active"/>
    <s v="Friday"/>
  </r>
  <r>
    <n v="215113205"/>
    <d v="2023-05-12T00:00:00"/>
    <s v="Active"/>
    <x v="0"/>
    <n v="39"/>
    <s v="month"/>
    <s v="Active"/>
    <s v="Friday"/>
  </r>
  <r>
    <n v="147097108"/>
    <d v="2023-05-12T00:00:00"/>
    <s v="Active"/>
    <x v="0"/>
    <n v="39"/>
    <s v="month"/>
    <s v="Active"/>
    <s v="Friday"/>
  </r>
  <r>
    <n v="186692270"/>
    <d v="2023-05-12T00:00:00"/>
    <s v="Active"/>
    <x v="0"/>
    <n v="39"/>
    <s v="month"/>
    <s v="Active"/>
    <s v="Friday"/>
  </r>
  <r>
    <n v="215169444"/>
    <d v="2023-05-12T00:00:00"/>
    <s v="Active"/>
    <x v="0"/>
    <n v="39"/>
    <s v="month"/>
    <s v="Active"/>
    <s v="Friday"/>
  </r>
  <r>
    <n v="114992353"/>
    <d v="2023-05-12T00:00:00"/>
    <d v="2023-08-14T00:00:00"/>
    <x v="0"/>
    <n v="39"/>
    <s v="month"/>
    <n v="94"/>
    <s v="Friday"/>
  </r>
  <r>
    <n v="212339137"/>
    <d v="2023-05-12T00:00:00"/>
    <d v="2023-05-13T00:00:00"/>
    <x v="0"/>
    <n v="39"/>
    <s v="month"/>
    <n v="1"/>
    <s v="Friday"/>
  </r>
  <r>
    <n v="175564124"/>
    <d v="2023-05-12T00:00:00"/>
    <d v="2023-06-04T00:00:00"/>
    <x v="0"/>
    <n v="39"/>
    <s v="month"/>
    <n v="23"/>
    <s v="Friday"/>
  </r>
  <r>
    <n v="174646950"/>
    <d v="2023-05-12T00:00:00"/>
    <d v="2023-06-19T00:00:00"/>
    <x v="0"/>
    <n v="39"/>
    <s v="month"/>
    <n v="38"/>
    <s v="Friday"/>
  </r>
  <r>
    <n v="215075697"/>
    <d v="2023-05-12T00:00:00"/>
    <d v="2023-06-11T00:00:00"/>
    <x v="0"/>
    <n v="39"/>
    <s v="month"/>
    <n v="30"/>
    <s v="Friday"/>
  </r>
  <r>
    <n v="215149530"/>
    <d v="2023-05-12T00:00:00"/>
    <d v="2023-06-30T00:00:00"/>
    <x v="0"/>
    <n v="39"/>
    <s v="month"/>
    <n v="49"/>
    <s v="Friday"/>
  </r>
  <r>
    <n v="215226464"/>
    <d v="2023-05-13T00:00:00"/>
    <s v="Active"/>
    <x v="0"/>
    <n v="39"/>
    <s v="month"/>
    <s v="Active"/>
    <s v="Saturday"/>
  </r>
  <r>
    <n v="215221354"/>
    <d v="2023-05-13T00:00:00"/>
    <s v="Active"/>
    <x v="0"/>
    <n v="39"/>
    <s v="month"/>
    <s v="Active"/>
    <s v="Saturday"/>
  </r>
  <r>
    <n v="215031638"/>
    <d v="2023-05-13T00:00:00"/>
    <s v="Active"/>
    <x v="0"/>
    <n v="39"/>
    <s v="month"/>
    <s v="Active"/>
    <s v="Saturday"/>
  </r>
  <r>
    <n v="182019861"/>
    <d v="2023-05-14T00:00:00"/>
    <s v="Active"/>
    <x v="0"/>
    <n v="39"/>
    <s v="month"/>
    <s v="Active"/>
    <s v="Sunday"/>
  </r>
  <r>
    <n v="210072231"/>
    <d v="2023-05-14T00:00:00"/>
    <s v="Active"/>
    <x v="0"/>
    <n v="39"/>
    <s v="month"/>
    <s v="Active"/>
    <s v="Sunday"/>
  </r>
  <r>
    <n v="127328847"/>
    <d v="2023-05-14T00:00:00"/>
    <d v="2023-05-15T00:00:00"/>
    <x v="0"/>
    <n v="39"/>
    <s v="month"/>
    <n v="1"/>
    <s v="Sunday"/>
  </r>
  <r>
    <n v="155566052"/>
    <d v="2023-05-14T00:00:00"/>
    <d v="2023-06-12T00:00:00"/>
    <x v="0"/>
    <n v="39"/>
    <s v="month"/>
    <n v="29"/>
    <s v="Sunday"/>
  </r>
  <r>
    <n v="151513254"/>
    <d v="2023-05-14T00:00:00"/>
    <d v="2023-06-20T00:00:00"/>
    <x v="0"/>
    <n v="39"/>
    <s v="month"/>
    <n v="37"/>
    <s v="Sunday"/>
  </r>
  <r>
    <n v="152236400"/>
    <d v="2023-05-14T00:00:00"/>
    <d v="2023-07-06T00:00:00"/>
    <x v="0"/>
    <n v="39"/>
    <s v="month"/>
    <n v="53"/>
    <s v="Sunday"/>
  </r>
  <r>
    <n v="215030324"/>
    <d v="2023-05-14T00:00:00"/>
    <d v="2023-08-14T00:00:00"/>
    <x v="0"/>
    <n v="39"/>
    <s v="month"/>
    <n v="92"/>
    <s v="Sunday"/>
  </r>
  <r>
    <n v="206087650"/>
    <d v="2023-05-14T00:00:00"/>
    <d v="2023-07-21T00:00:00"/>
    <x v="0"/>
    <n v="39"/>
    <s v="month"/>
    <n v="68"/>
    <s v="Sunday"/>
  </r>
  <r>
    <n v="136252657"/>
    <d v="2023-05-15T00:00:00"/>
    <d v="2023-07-05T00:00:00"/>
    <x v="0"/>
    <n v="39"/>
    <s v="month"/>
    <n v="51"/>
    <s v="Monday"/>
  </r>
  <r>
    <n v="134753801"/>
    <d v="2023-05-15T00:00:00"/>
    <d v="2023-07-12T00:00:00"/>
    <x v="0"/>
    <n v="39"/>
    <s v="month"/>
    <n v="58"/>
    <s v="Monday"/>
  </r>
  <r>
    <n v="155245092"/>
    <d v="2023-05-15T00:00:00"/>
    <d v="2023-06-16T00:00:00"/>
    <x v="0"/>
    <n v="39"/>
    <s v="month"/>
    <n v="32"/>
    <s v="Monday"/>
  </r>
  <r>
    <n v="214905500"/>
    <d v="2023-05-15T00:00:00"/>
    <d v="2023-08-22T00:00:00"/>
    <x v="0"/>
    <n v="39"/>
    <s v="month"/>
    <n v="99"/>
    <s v="Monday"/>
  </r>
  <r>
    <n v="215152504"/>
    <d v="2023-05-16T00:00:00"/>
    <s v="Active"/>
    <x v="0"/>
    <n v="39"/>
    <s v="month"/>
    <s v="Active"/>
    <s v="Tuesday"/>
  </r>
  <r>
    <n v="215336639"/>
    <d v="2023-05-16T00:00:00"/>
    <s v="Active"/>
    <x v="0"/>
    <n v="39"/>
    <s v="month"/>
    <s v="Active"/>
    <s v="Tuesday"/>
  </r>
  <r>
    <n v="215220026"/>
    <d v="2023-05-16T00:00:00"/>
    <s v="Active"/>
    <x v="0"/>
    <n v="39"/>
    <s v="month"/>
    <s v="Active"/>
    <s v="Tuesday"/>
  </r>
  <r>
    <n v="202395800"/>
    <d v="2023-05-16T00:00:00"/>
    <s v="Active"/>
    <x v="0"/>
    <n v="39"/>
    <s v="month"/>
    <s v="Active"/>
    <s v="Tuesday"/>
  </r>
  <r>
    <n v="215289431"/>
    <d v="2023-05-16T00:00:00"/>
    <d v="2023-08-22T00:00:00"/>
    <x v="0"/>
    <n v="39"/>
    <s v="month"/>
    <n v="98"/>
    <s v="Tuesday"/>
  </r>
  <r>
    <n v="182102820"/>
    <d v="2023-05-16T00:00:00"/>
    <d v="2023-05-17T00:00:00"/>
    <x v="0"/>
    <n v="39"/>
    <s v="month"/>
    <n v="1"/>
    <s v="Tuesday"/>
  </r>
  <r>
    <n v="215322558"/>
    <d v="2023-05-16T00:00:00"/>
    <d v="2023-06-23T00:00:00"/>
    <x v="0"/>
    <n v="39"/>
    <s v="month"/>
    <n v="38"/>
    <s v="Tuesday"/>
  </r>
  <r>
    <n v="215347417"/>
    <d v="2023-05-16T00:00:00"/>
    <d v="2023-05-25T00:00:00"/>
    <x v="0"/>
    <n v="39"/>
    <s v="month"/>
    <n v="9"/>
    <s v="Tuesday"/>
  </r>
  <r>
    <n v="215203944"/>
    <d v="2023-05-16T00:00:00"/>
    <d v="2023-07-11T00:00:00"/>
    <x v="0"/>
    <n v="39"/>
    <s v="month"/>
    <n v="56"/>
    <s v="Tuesday"/>
  </r>
  <r>
    <n v="215350747"/>
    <d v="2023-05-16T00:00:00"/>
    <d v="2023-08-03T00:00:00"/>
    <x v="0"/>
    <n v="39"/>
    <s v="month"/>
    <n v="79"/>
    <s v="Tuesday"/>
  </r>
  <r>
    <n v="215254830"/>
    <d v="2023-05-16T00:00:00"/>
    <d v="2023-08-02T00:00:00"/>
    <x v="0"/>
    <n v="39"/>
    <s v="month"/>
    <n v="78"/>
    <s v="Tuesday"/>
  </r>
  <r>
    <n v="192908537"/>
    <d v="2023-05-16T00:00:00"/>
    <d v="2023-06-16T00:00:00"/>
    <x v="0"/>
    <n v="39"/>
    <s v="month"/>
    <n v="31"/>
    <s v="Tuesday"/>
  </r>
  <r>
    <n v="123007965"/>
    <d v="2023-05-17T00:00:00"/>
    <s v="Active"/>
    <x v="0"/>
    <n v="39"/>
    <s v="month"/>
    <s v="Active"/>
    <s v="Wednesday"/>
  </r>
  <r>
    <n v="151711223"/>
    <d v="2023-05-17T00:00:00"/>
    <s v="Active"/>
    <x v="0"/>
    <n v="39"/>
    <s v="month"/>
    <s v="Active"/>
    <s v="Wednesday"/>
  </r>
  <r>
    <n v="130751382"/>
    <d v="2023-05-17T00:00:00"/>
    <s v="Active"/>
    <x v="0"/>
    <n v="39"/>
    <s v="month"/>
    <s v="Active"/>
    <s v="Wednesday"/>
  </r>
  <r>
    <n v="126037254"/>
    <d v="2023-05-17T00:00:00"/>
    <s v="Active"/>
    <x v="0"/>
    <n v="39"/>
    <s v="month"/>
    <s v="Active"/>
    <s v="Wednesday"/>
  </r>
  <r>
    <n v="133469770"/>
    <d v="2023-05-17T00:00:00"/>
    <s v="Active"/>
    <x v="0"/>
    <n v="39"/>
    <s v="month"/>
    <s v="Active"/>
    <s v="Wednesday"/>
  </r>
  <r>
    <n v="133565657"/>
    <d v="2023-05-17T00:00:00"/>
    <d v="2023-08-10T00:00:00"/>
    <x v="0"/>
    <n v="39"/>
    <s v="month"/>
    <n v="85"/>
    <s v="Wednesday"/>
  </r>
  <r>
    <n v="215307979"/>
    <d v="2023-05-17T00:00:00"/>
    <d v="2023-06-24T00:00:00"/>
    <x v="0"/>
    <n v="39"/>
    <s v="month"/>
    <n v="38"/>
    <s v="Wednesday"/>
  </r>
  <r>
    <n v="174289942"/>
    <d v="2023-05-17T00:00:00"/>
    <d v="2023-07-21T00:00:00"/>
    <x v="0"/>
    <n v="39"/>
    <s v="month"/>
    <n v="65"/>
    <s v="Wednesday"/>
  </r>
  <r>
    <n v="215366550"/>
    <d v="2023-05-17T00:00:00"/>
    <d v="2023-08-01T00:00:00"/>
    <x v="0"/>
    <n v="39"/>
    <s v="month"/>
    <n v="76"/>
    <s v="Wednesday"/>
  </r>
  <r>
    <n v="210361390"/>
    <d v="2023-05-18T00:00:00"/>
    <s v="Active"/>
    <x v="0"/>
    <n v="39"/>
    <s v="month"/>
    <s v="Active"/>
    <s v="Thursday"/>
  </r>
  <r>
    <n v="120738319"/>
    <d v="2023-05-18T00:00:00"/>
    <s v="Active"/>
    <x v="0"/>
    <n v="39"/>
    <s v="month"/>
    <s v="Active"/>
    <s v="Thursday"/>
  </r>
  <r>
    <n v="214122861"/>
    <d v="2023-05-18T00:00:00"/>
    <s v="Active"/>
    <x v="0"/>
    <n v="39"/>
    <s v="month"/>
    <s v="Active"/>
    <s v="Thursday"/>
  </r>
  <r>
    <n v="214793162"/>
    <d v="2023-05-18T00:00:00"/>
    <s v="Active"/>
    <x v="0"/>
    <n v="39"/>
    <s v="month"/>
    <s v="Active"/>
    <s v="Thursday"/>
  </r>
  <r>
    <n v="215420480"/>
    <d v="2023-05-18T00:00:00"/>
    <d v="2023-09-06T00:00:00"/>
    <x v="0"/>
    <n v="39"/>
    <s v="month"/>
    <n v="111"/>
    <s v="Thursday"/>
  </r>
  <r>
    <n v="215415792"/>
    <d v="2023-05-18T00:00:00"/>
    <d v="2023-05-19T00:00:00"/>
    <x v="1"/>
    <n v="39"/>
    <s v="month"/>
    <n v="1"/>
    <s v="Thursday"/>
  </r>
  <r>
    <n v="152705871"/>
    <d v="2023-05-18T00:00:00"/>
    <d v="2023-05-25T00:00:00"/>
    <x v="0"/>
    <n v="39"/>
    <s v="month"/>
    <n v="7"/>
    <s v="Thursday"/>
  </r>
  <r>
    <n v="168265029"/>
    <d v="2023-05-18T00:00:00"/>
    <d v="2023-05-31T00:00:00"/>
    <x v="0"/>
    <n v="39"/>
    <s v="month"/>
    <n v="13"/>
    <s v="Thursday"/>
  </r>
  <r>
    <n v="215428908"/>
    <d v="2023-05-18T00:00:00"/>
    <d v="2023-06-19T00:00:00"/>
    <x v="0"/>
    <n v="39"/>
    <s v="month"/>
    <n v="32"/>
    <s v="Thursday"/>
  </r>
  <r>
    <n v="215189952"/>
    <d v="2023-05-18T00:00:00"/>
    <d v="2023-06-29T00:00:00"/>
    <x v="0"/>
    <n v="39"/>
    <s v="month"/>
    <n v="42"/>
    <s v="Thursday"/>
  </r>
  <r>
    <n v="208168256"/>
    <d v="2023-05-18T00:00:00"/>
    <d v="2023-06-18T00:00:00"/>
    <x v="0"/>
    <n v="39"/>
    <s v="month"/>
    <n v="31"/>
    <s v="Thursday"/>
  </r>
  <r>
    <n v="163193072"/>
    <d v="2023-05-19T00:00:00"/>
    <s v="Active"/>
    <x v="0"/>
    <n v="39"/>
    <s v="month"/>
    <s v="Active"/>
    <s v="Friday"/>
  </r>
  <r>
    <n v="153449481"/>
    <d v="2023-05-19T00:00:00"/>
    <d v="2023-05-20T00:00:00"/>
    <x v="0"/>
    <n v="39"/>
    <s v="month"/>
    <n v="1"/>
    <s v="Friday"/>
  </r>
  <r>
    <n v="215384745"/>
    <d v="2023-05-19T00:00:00"/>
    <d v="2023-06-18T00:00:00"/>
    <x v="0"/>
    <n v="39"/>
    <s v="month"/>
    <n v="30"/>
    <s v="Friday"/>
  </r>
  <r>
    <n v="160904253"/>
    <d v="2023-05-19T00:00:00"/>
    <d v="2023-06-26T00:00:00"/>
    <x v="0"/>
    <n v="39"/>
    <s v="month"/>
    <n v="38"/>
    <s v="Friday"/>
  </r>
  <r>
    <n v="215476119"/>
    <d v="2023-05-19T00:00:00"/>
    <d v="2023-06-26T00:00:00"/>
    <x v="0"/>
    <n v="39"/>
    <s v="month"/>
    <n v="38"/>
    <s v="Friday"/>
  </r>
  <r>
    <n v="214624328"/>
    <d v="2023-05-19T00:00:00"/>
    <d v="2023-06-14T00:00:00"/>
    <x v="0"/>
    <n v="39"/>
    <s v="month"/>
    <n v="26"/>
    <s v="Friday"/>
  </r>
  <r>
    <n v="215463105"/>
    <d v="2023-05-19T00:00:00"/>
    <d v="2023-05-27T00:00:00"/>
    <x v="0"/>
    <n v="39"/>
    <s v="month"/>
    <n v="8"/>
    <s v="Friday"/>
  </r>
  <r>
    <n v="187368519"/>
    <d v="2023-05-19T00:00:00"/>
    <d v="2023-08-26T00:00:00"/>
    <x v="0"/>
    <n v="39"/>
    <s v="month"/>
    <n v="99"/>
    <s v="Friday"/>
  </r>
  <r>
    <n v="206139986"/>
    <d v="2023-05-19T00:00:00"/>
    <d v="2023-07-18T00:00:00"/>
    <x v="0"/>
    <n v="39"/>
    <s v="month"/>
    <n v="60"/>
    <s v="Friday"/>
  </r>
  <r>
    <n v="215473481"/>
    <d v="2023-05-19T00:00:00"/>
    <d v="2023-07-14T00:00:00"/>
    <x v="0"/>
    <n v="39"/>
    <s v="month"/>
    <n v="56"/>
    <s v="Friday"/>
  </r>
  <r>
    <n v="214967111"/>
    <d v="2023-05-20T00:00:00"/>
    <s v="Active"/>
    <x v="0"/>
    <n v="39"/>
    <s v="month"/>
    <s v="Active"/>
    <s v="Saturday"/>
  </r>
  <r>
    <n v="215472324"/>
    <d v="2023-05-20T00:00:00"/>
    <d v="2023-06-27T00:00:00"/>
    <x v="0"/>
    <n v="39"/>
    <s v="month"/>
    <n v="38"/>
    <s v="Saturday"/>
  </r>
  <r>
    <n v="146557284"/>
    <d v="2023-05-20T00:00:00"/>
    <d v="2023-06-21T00:00:00"/>
    <x v="0"/>
    <n v="39"/>
    <s v="month"/>
    <n v="32"/>
    <s v="Saturday"/>
  </r>
  <r>
    <n v="215486098"/>
    <d v="2023-05-21T00:00:00"/>
    <s v="Active"/>
    <x v="0"/>
    <n v="39"/>
    <s v="month"/>
    <s v="Active"/>
    <s v="Sunday"/>
  </r>
  <r>
    <n v="119436804"/>
    <d v="2023-05-21T00:00:00"/>
    <s v="Active"/>
    <x v="0"/>
    <n v="39"/>
    <s v="month"/>
    <s v="Active"/>
    <s v="Sunday"/>
  </r>
  <r>
    <n v="127100688"/>
    <d v="2023-05-21T00:00:00"/>
    <d v="2023-05-22T00:00:00"/>
    <x v="0"/>
    <n v="39"/>
    <s v="month"/>
    <n v="1"/>
    <s v="Sunday"/>
  </r>
  <r>
    <n v="134524378"/>
    <d v="2023-05-21T00:00:00"/>
    <d v="2023-05-22T00:00:00"/>
    <x v="0"/>
    <n v="39"/>
    <s v="month"/>
    <n v="1"/>
    <s v="Sunday"/>
  </r>
  <r>
    <n v="134652589"/>
    <d v="2023-05-21T00:00:00"/>
    <d v="2023-05-21T00:00:00"/>
    <x v="0"/>
    <n v="39"/>
    <s v="month"/>
    <n v="0"/>
    <s v="Sunday"/>
  </r>
  <r>
    <n v="214134251"/>
    <d v="2023-05-21T00:00:00"/>
    <d v="2023-05-22T00:00:00"/>
    <x v="1"/>
    <n v="39"/>
    <s v="month"/>
    <n v="1"/>
    <s v="Sunday"/>
  </r>
  <r>
    <n v="215565049"/>
    <d v="2023-05-21T00:00:00"/>
    <d v="2023-05-21T00:00:00"/>
    <x v="0"/>
    <n v="39"/>
    <s v="month"/>
    <n v="0"/>
    <s v="Sunday"/>
  </r>
  <r>
    <n v="215606026"/>
    <d v="2023-05-21T00:00:00"/>
    <d v="2023-07-20T00:00:00"/>
    <x v="0"/>
    <n v="39"/>
    <s v="month"/>
    <n v="60"/>
    <s v="Sunday"/>
  </r>
  <r>
    <n v="215678881"/>
    <d v="2023-05-22T00:00:00"/>
    <s v="Active"/>
    <x v="0"/>
    <n v="39"/>
    <s v="month"/>
    <s v="Active"/>
    <s v="Monday"/>
  </r>
  <r>
    <n v="212356610"/>
    <d v="2023-05-22T00:00:00"/>
    <s v="Active"/>
    <x v="0"/>
    <n v="39"/>
    <s v="month"/>
    <s v="Active"/>
    <s v="Monday"/>
  </r>
  <r>
    <n v="215336118"/>
    <d v="2023-05-22T00:00:00"/>
    <s v="Active"/>
    <x v="0"/>
    <n v="39"/>
    <s v="month"/>
    <s v="Active"/>
    <s v="Monday"/>
  </r>
  <r>
    <n v="215664306"/>
    <d v="2023-05-22T00:00:00"/>
    <s v="Active"/>
    <x v="0"/>
    <n v="39"/>
    <s v="month"/>
    <s v="Active"/>
    <s v="Monday"/>
  </r>
  <r>
    <n v="215643802"/>
    <d v="2023-05-22T00:00:00"/>
    <s v="Active"/>
    <x v="0"/>
    <n v="39"/>
    <s v="month"/>
    <s v="Active"/>
    <s v="Monday"/>
  </r>
  <r>
    <n v="206177720"/>
    <d v="2023-05-22T00:00:00"/>
    <d v="2023-05-23T00:00:00"/>
    <x v="1"/>
    <n v="39"/>
    <s v="month"/>
    <n v="1"/>
    <s v="Monday"/>
  </r>
  <r>
    <n v="215691994"/>
    <d v="2023-05-22T00:00:00"/>
    <d v="2023-08-21T00:00:00"/>
    <x v="0"/>
    <n v="39"/>
    <s v="month"/>
    <n v="91"/>
    <s v="Monday"/>
  </r>
  <r>
    <n v="215653406"/>
    <d v="2023-05-23T00:00:00"/>
    <s v="Active"/>
    <x v="0"/>
    <n v="39"/>
    <s v="month"/>
    <s v="Active"/>
    <s v="Tuesday"/>
  </r>
  <r>
    <n v="215534470"/>
    <d v="2023-05-23T00:00:00"/>
    <d v="2023-05-24T00:00:00"/>
    <x v="0"/>
    <n v="39"/>
    <s v="month"/>
    <n v="1"/>
    <s v="Tuesday"/>
  </r>
  <r>
    <n v="150751482"/>
    <d v="2023-05-23T00:00:00"/>
    <d v="2023-07-20T00:00:00"/>
    <x v="0"/>
    <n v="39"/>
    <s v="month"/>
    <n v="58"/>
    <s v="Tuesday"/>
  </r>
  <r>
    <n v="208601341"/>
    <d v="2023-05-23T00:00:00"/>
    <d v="2023-07-08T00:00:00"/>
    <x v="0"/>
    <n v="39"/>
    <s v="month"/>
    <n v="46"/>
    <s v="Tuesday"/>
  </r>
  <r>
    <n v="215473479"/>
    <d v="2023-05-23T00:00:00"/>
    <d v="2023-06-26T00:00:00"/>
    <x v="0"/>
    <n v="39"/>
    <s v="month"/>
    <n v="34"/>
    <s v="Tuesday"/>
  </r>
  <r>
    <n v="215646044"/>
    <d v="2023-05-23T00:00:00"/>
    <d v="2023-06-21T00:00:00"/>
    <x v="0"/>
    <n v="39"/>
    <s v="month"/>
    <n v="29"/>
    <s v="Tuesday"/>
  </r>
  <r>
    <n v="215686983"/>
    <d v="2023-05-23T00:00:00"/>
    <d v="2023-06-26T00:00:00"/>
    <x v="0"/>
    <n v="39"/>
    <s v="month"/>
    <n v="34"/>
    <s v="Tuesday"/>
  </r>
  <r>
    <n v="215704655"/>
    <d v="2023-05-24T00:00:00"/>
    <s v="Active"/>
    <x v="0"/>
    <n v="39"/>
    <s v="month"/>
    <s v="Active"/>
    <s v="Wednesday"/>
  </r>
  <r>
    <n v="131984682"/>
    <d v="2023-05-24T00:00:00"/>
    <d v="2023-07-09T00:00:00"/>
    <x v="0"/>
    <n v="39"/>
    <s v="month"/>
    <n v="46"/>
    <s v="Wednesday"/>
  </r>
  <r>
    <n v="214698924"/>
    <d v="2023-05-24T00:00:00"/>
    <d v="2023-06-27T00:00:00"/>
    <x v="0"/>
    <n v="39"/>
    <s v="month"/>
    <n v="34"/>
    <s v="Wednesday"/>
  </r>
  <r>
    <n v="183886863"/>
    <d v="2023-05-24T00:00:00"/>
    <d v="2023-05-24T00:00:00"/>
    <x v="0"/>
    <n v="39"/>
    <s v="month"/>
    <n v="0"/>
    <s v="Wednesday"/>
  </r>
  <r>
    <n v="215869320"/>
    <d v="2023-05-25T00:00:00"/>
    <s v="Active"/>
    <x v="0"/>
    <n v="39"/>
    <s v="month"/>
    <s v="Active"/>
    <s v="Thursday"/>
  </r>
  <r>
    <n v="215616284"/>
    <d v="2023-05-25T00:00:00"/>
    <s v="Active"/>
    <x v="0"/>
    <n v="39"/>
    <s v="month"/>
    <s v="Active"/>
    <s v="Thursday"/>
  </r>
  <r>
    <n v="215896078"/>
    <d v="2023-05-25T00:00:00"/>
    <s v="Active"/>
    <x v="0"/>
    <n v="39"/>
    <s v="month"/>
    <s v="Active"/>
    <s v="Thursday"/>
  </r>
  <r>
    <n v="215910170"/>
    <d v="2023-05-25T00:00:00"/>
    <s v="Active"/>
    <x v="0"/>
    <n v="39"/>
    <s v="month"/>
    <s v="Active"/>
    <s v="Thursday"/>
  </r>
  <r>
    <n v="211754109"/>
    <d v="2023-05-25T00:00:00"/>
    <d v="2023-05-26T00:00:00"/>
    <x v="1"/>
    <n v="39"/>
    <s v="month"/>
    <n v="1"/>
    <s v="Thursday"/>
  </r>
  <r>
    <n v="205682690"/>
    <d v="2023-05-25T00:00:00"/>
    <d v="2023-05-26T00:00:00"/>
    <x v="0"/>
    <n v="39"/>
    <s v="month"/>
    <n v="1"/>
    <s v="Thursday"/>
  </r>
  <r>
    <n v="151412112"/>
    <d v="2023-05-25T00:00:00"/>
    <d v="2023-06-19T00:00:00"/>
    <x v="0"/>
    <n v="39"/>
    <s v="month"/>
    <n v="25"/>
    <s v="Thursday"/>
  </r>
  <r>
    <n v="154467458"/>
    <d v="2023-05-25T00:00:00"/>
    <d v="2023-06-29T00:00:00"/>
    <x v="0"/>
    <n v="39"/>
    <s v="month"/>
    <n v="35"/>
    <s v="Thursday"/>
  </r>
  <r>
    <n v="212339137"/>
    <d v="2023-05-25T00:00:00"/>
    <d v="2023-07-02T00:00:00"/>
    <x v="0"/>
    <n v="39"/>
    <s v="month"/>
    <n v="38"/>
    <s v="Thursday"/>
  </r>
  <r>
    <n v="215894271"/>
    <d v="2023-05-25T00:00:00"/>
    <d v="2023-06-15T00:00:00"/>
    <x v="0"/>
    <n v="39"/>
    <s v="month"/>
    <n v="21"/>
    <s v="Thursday"/>
  </r>
  <r>
    <n v="215908442"/>
    <d v="2023-05-25T00:00:00"/>
    <d v="2023-08-17T00:00:00"/>
    <x v="0"/>
    <n v="39"/>
    <s v="month"/>
    <n v="84"/>
    <s v="Thursday"/>
  </r>
  <r>
    <n v="136032360"/>
    <d v="2023-05-25T00:00:00"/>
    <d v="2023-08-25T00:00:00"/>
    <x v="0"/>
    <n v="39"/>
    <s v="month"/>
    <n v="92"/>
    <s v="Thursday"/>
  </r>
  <r>
    <n v="215956542"/>
    <d v="2023-05-26T00:00:00"/>
    <s v="Active"/>
    <x v="0"/>
    <n v="39"/>
    <s v="month"/>
    <s v="Active"/>
    <s v="Friday"/>
  </r>
  <r>
    <n v="215947247"/>
    <d v="2023-05-26T00:00:00"/>
    <s v="Active"/>
    <x v="0"/>
    <n v="39"/>
    <s v="month"/>
    <s v="Active"/>
    <s v="Friday"/>
  </r>
  <r>
    <n v="122830574"/>
    <d v="2023-05-26T00:00:00"/>
    <s v="Active"/>
    <x v="0"/>
    <n v="39"/>
    <s v="month"/>
    <s v="Active"/>
    <s v="Friday"/>
  </r>
  <r>
    <n v="206904025"/>
    <d v="2023-05-26T00:00:00"/>
    <d v="2023-05-27T00:00:00"/>
    <x v="1"/>
    <n v="39"/>
    <s v="month"/>
    <n v="1"/>
    <s v="Friday"/>
  </r>
  <r>
    <n v="153396366"/>
    <d v="2023-05-26T00:00:00"/>
    <d v="2023-06-27T00:00:00"/>
    <x v="0"/>
    <n v="39"/>
    <s v="month"/>
    <n v="32"/>
    <s v="Friday"/>
  </r>
  <r>
    <n v="200304509"/>
    <d v="2023-05-26T00:00:00"/>
    <d v="2023-06-17T00:00:00"/>
    <x v="0"/>
    <n v="39"/>
    <s v="month"/>
    <n v="22"/>
    <s v="Friday"/>
  </r>
  <r>
    <n v="215867874"/>
    <d v="2023-05-26T00:00:00"/>
    <d v="2023-06-18T00:00:00"/>
    <x v="0"/>
    <n v="39"/>
    <s v="month"/>
    <n v="23"/>
    <s v="Friday"/>
  </r>
  <r>
    <n v="215869887"/>
    <d v="2023-05-26T00:00:00"/>
    <d v="2023-06-11T00:00:00"/>
    <x v="0"/>
    <n v="39"/>
    <s v="month"/>
    <n v="16"/>
    <s v="Friday"/>
  </r>
  <r>
    <n v="134652589"/>
    <d v="2023-05-26T00:00:00"/>
    <d v="2023-06-10T00:00:00"/>
    <x v="0"/>
    <n v="39"/>
    <s v="month"/>
    <n v="15"/>
    <s v="Friday"/>
  </r>
  <r>
    <n v="215759517"/>
    <d v="2023-05-26T00:00:00"/>
    <d v="2023-09-02T00:00:00"/>
    <x v="0"/>
    <n v="39"/>
    <s v="month"/>
    <n v="99"/>
    <s v="Friday"/>
  </r>
  <r>
    <n v="152004313"/>
    <d v="2023-05-26T00:00:00"/>
    <d v="2023-07-04T00:00:00"/>
    <x v="0"/>
    <n v="39"/>
    <s v="month"/>
    <n v="39"/>
    <s v="Friday"/>
  </r>
  <r>
    <n v="215931788"/>
    <d v="2023-05-26T00:00:00"/>
    <d v="2023-06-27T00:00:00"/>
    <x v="0"/>
    <n v="39"/>
    <s v="month"/>
    <n v="32"/>
    <s v="Friday"/>
  </r>
  <r>
    <n v="215792692"/>
    <d v="2023-05-26T00:00:00"/>
    <d v="2023-07-25T00:00:00"/>
    <x v="0"/>
    <n v="39"/>
    <s v="month"/>
    <n v="60"/>
    <s v="Friday"/>
  </r>
  <r>
    <n v="205507364"/>
    <d v="2023-05-26T00:00:00"/>
    <d v="2023-07-26T00:00:00"/>
    <x v="0"/>
    <n v="39"/>
    <s v="month"/>
    <n v="61"/>
    <s v="Friday"/>
  </r>
  <r>
    <n v="130016916"/>
    <d v="2023-05-26T00:00:00"/>
    <d v="2023-07-26T00:00:00"/>
    <x v="0"/>
    <n v="39"/>
    <s v="month"/>
    <n v="61"/>
    <s v="Friday"/>
  </r>
  <r>
    <n v="174991614"/>
    <d v="2023-05-27T00:00:00"/>
    <s v="Active"/>
    <x v="0"/>
    <n v="39"/>
    <s v="month"/>
    <s v="Active"/>
    <s v="Saturday"/>
  </r>
  <r>
    <n v="118197872"/>
    <d v="2023-05-27T00:00:00"/>
    <s v="Active"/>
    <x v="0"/>
    <n v="39"/>
    <s v="month"/>
    <s v="Active"/>
    <s v="Saturday"/>
  </r>
  <r>
    <n v="215906516"/>
    <d v="2023-05-27T00:00:00"/>
    <s v="Active"/>
    <x v="0"/>
    <n v="39"/>
    <s v="month"/>
    <s v="Active"/>
    <s v="Saturday"/>
  </r>
  <r>
    <n v="116197941"/>
    <d v="2023-05-27T00:00:00"/>
    <d v="2023-08-03T00:00:00"/>
    <x v="0"/>
    <n v="39"/>
    <s v="month"/>
    <n v="68"/>
    <s v="Saturday"/>
  </r>
  <r>
    <n v="215973039"/>
    <d v="2023-05-27T00:00:00"/>
    <d v="2023-06-03T00:00:00"/>
    <x v="0"/>
    <n v="39"/>
    <s v="month"/>
    <n v="7"/>
    <s v="Saturday"/>
  </r>
  <r>
    <n v="147761700"/>
    <d v="2023-05-27T00:00:00"/>
    <d v="2023-06-08T00:00:00"/>
    <x v="0"/>
    <n v="39"/>
    <s v="month"/>
    <n v="12"/>
    <s v="Saturday"/>
  </r>
  <r>
    <n v="215943650"/>
    <d v="2023-05-27T00:00:00"/>
    <d v="2023-07-04T00:00:00"/>
    <x v="0"/>
    <n v="39"/>
    <s v="month"/>
    <n v="38"/>
    <s v="Saturday"/>
  </r>
  <r>
    <n v="157259062"/>
    <d v="2023-05-27T00:00:00"/>
    <d v="2023-07-04T00:00:00"/>
    <x v="0"/>
    <n v="39"/>
    <s v="month"/>
    <n v="38"/>
    <s v="Saturday"/>
  </r>
  <r>
    <n v="216001506"/>
    <d v="2023-05-27T00:00:00"/>
    <d v="2023-07-26T00:00:00"/>
    <x v="0"/>
    <n v="39"/>
    <s v="month"/>
    <n v="60"/>
    <s v="Saturday"/>
  </r>
  <r>
    <n v="199306900"/>
    <d v="2023-05-27T00:00:00"/>
    <d v="2023-09-03T00:00:00"/>
    <x v="0"/>
    <n v="39"/>
    <s v="month"/>
    <n v="99"/>
    <s v="Saturday"/>
  </r>
  <r>
    <n v="156245288"/>
    <d v="2023-05-28T00:00:00"/>
    <s v="Active"/>
    <x v="0"/>
    <n v="39"/>
    <s v="month"/>
    <s v="Active"/>
    <s v="Sunday"/>
  </r>
  <r>
    <n v="211904765"/>
    <d v="2023-05-28T00:00:00"/>
    <s v="Active"/>
    <x v="0"/>
    <n v="39"/>
    <s v="month"/>
    <s v="Active"/>
    <s v="Sunday"/>
  </r>
  <r>
    <n v="215832805"/>
    <d v="2023-05-28T00:00:00"/>
    <s v="Active"/>
    <x v="0"/>
    <n v="39"/>
    <s v="month"/>
    <s v="Active"/>
    <s v="Sunday"/>
  </r>
  <r>
    <n v="156403612"/>
    <d v="2023-05-29T00:00:00"/>
    <s v="Active"/>
    <x v="0"/>
    <n v="39"/>
    <s v="month"/>
    <s v="Active"/>
    <s v="Monday"/>
  </r>
  <r>
    <n v="216062001"/>
    <d v="2023-05-29T00:00:00"/>
    <s v="Active"/>
    <x v="0"/>
    <n v="39"/>
    <s v="month"/>
    <s v="Active"/>
    <s v="Monday"/>
  </r>
  <r>
    <n v="216083936"/>
    <d v="2023-05-29T00:00:00"/>
    <s v="Active"/>
    <x v="0"/>
    <n v="39"/>
    <s v="month"/>
    <s v="Active"/>
    <s v="Monday"/>
  </r>
  <r>
    <n v="215568210"/>
    <d v="2023-05-29T00:00:00"/>
    <d v="2023-08-28T00:00:00"/>
    <x v="0"/>
    <n v="39"/>
    <s v="month"/>
    <n v="91"/>
    <s v="Monday"/>
  </r>
  <r>
    <n v="181480437"/>
    <d v="2023-05-29T00:00:00"/>
    <d v="2023-07-03T00:00:00"/>
    <x v="0"/>
    <n v="39"/>
    <s v="month"/>
    <n v="35"/>
    <s v="Monday"/>
  </r>
  <r>
    <n v="147197398"/>
    <d v="2023-05-30T00:00:00"/>
    <s v="Active"/>
    <x v="0"/>
    <n v="39"/>
    <s v="month"/>
    <s v="Active"/>
    <s v="Tuesday"/>
  </r>
  <r>
    <n v="212051648"/>
    <d v="2023-05-30T00:00:00"/>
    <s v="Active"/>
    <x v="0"/>
    <n v="39"/>
    <s v="month"/>
    <s v="Active"/>
    <s v="Tuesday"/>
  </r>
  <r>
    <n v="216141502"/>
    <d v="2023-05-30T00:00:00"/>
    <s v="Active"/>
    <x v="0"/>
    <n v="39"/>
    <s v="month"/>
    <s v="Active"/>
    <s v="Tuesday"/>
  </r>
  <r>
    <n v="216136975"/>
    <d v="2023-05-30T00:00:00"/>
    <s v="Active"/>
    <x v="0"/>
    <n v="39"/>
    <s v="month"/>
    <s v="Active"/>
    <s v="Tuesday"/>
  </r>
  <r>
    <n v="213240907"/>
    <d v="2023-05-30T00:00:00"/>
    <s v="Active"/>
    <x v="0"/>
    <n v="39"/>
    <s v="month"/>
    <s v="Active"/>
    <s v="Tuesday"/>
  </r>
  <r>
    <n v="204739496"/>
    <d v="2023-05-30T00:00:00"/>
    <d v="2023-09-03T00:00:00"/>
    <x v="0"/>
    <n v="39"/>
    <s v="month"/>
    <n v="96"/>
    <s v="Tuesday"/>
  </r>
  <r>
    <n v="203366396"/>
    <d v="2023-05-30T00:00:00"/>
    <d v="2023-05-31T00:00:00"/>
    <x v="0"/>
    <n v="39"/>
    <s v="month"/>
    <n v="1"/>
    <s v="Tuesday"/>
  </r>
  <r>
    <n v="216136446"/>
    <d v="2023-05-30T00:00:00"/>
    <d v="2023-06-28T00:00:00"/>
    <x v="0"/>
    <n v="39"/>
    <s v="month"/>
    <n v="29"/>
    <s v="Tuesday"/>
  </r>
  <r>
    <n v="216139586"/>
    <d v="2023-05-30T00:00:00"/>
    <d v="2023-06-30T00:00:00"/>
    <x v="0"/>
    <n v="39"/>
    <s v="month"/>
    <n v="31"/>
    <s v="Tuesday"/>
  </r>
  <r>
    <n v="216126416"/>
    <d v="2023-05-30T00:00:00"/>
    <d v="2023-06-04T00:00:00"/>
    <x v="0"/>
    <n v="39"/>
    <s v="month"/>
    <n v="5"/>
    <s v="Tuesday"/>
  </r>
  <r>
    <n v="216181144"/>
    <d v="2023-05-30T00:00:00"/>
    <d v="2023-07-07T00:00:00"/>
    <x v="0"/>
    <n v="39"/>
    <s v="month"/>
    <n v="38"/>
    <s v="Tuesday"/>
  </r>
  <r>
    <n v="216100714"/>
    <d v="2023-05-30T00:00:00"/>
    <d v="2023-08-02T00:00:00"/>
    <x v="0"/>
    <n v="39"/>
    <s v="month"/>
    <n v="64"/>
    <s v="Tuesday"/>
  </r>
  <r>
    <n v="216155144"/>
    <d v="2023-05-30T00:00:00"/>
    <d v="2023-07-30T00:00:00"/>
    <x v="0"/>
    <n v="39"/>
    <s v="month"/>
    <n v="61"/>
    <s v="Tuesday"/>
  </r>
  <r>
    <n v="190978347"/>
    <d v="2023-05-30T00:00:00"/>
    <d v="2023-08-08T00:00:00"/>
    <x v="0"/>
    <n v="39"/>
    <s v="month"/>
    <n v="70"/>
    <s v="Tuesday"/>
  </r>
  <r>
    <n v="215653713"/>
    <d v="2023-05-30T00:00:00"/>
    <d v="2023-07-11T00:00:00"/>
    <x v="0"/>
    <n v="39"/>
    <s v="month"/>
    <n v="42"/>
    <s v="Tuesday"/>
  </r>
  <r>
    <n v="215185569"/>
    <d v="2023-05-30T00:00:00"/>
    <d v="2023-08-29T00:00:00"/>
    <x v="0"/>
    <n v="39"/>
    <s v="month"/>
    <n v="91"/>
    <s v="Tuesday"/>
  </r>
  <r>
    <n v="215488799"/>
    <d v="2023-05-31T00:00:00"/>
    <s v="Active"/>
    <x v="0"/>
    <n v="39"/>
    <s v="month"/>
    <s v="Active"/>
    <s v="Wednesday"/>
  </r>
  <r>
    <n v="216170130"/>
    <d v="2023-05-31T00:00:00"/>
    <s v="Active"/>
    <x v="0"/>
    <n v="39"/>
    <s v="month"/>
    <s v="Active"/>
    <s v="Wednesday"/>
  </r>
  <r>
    <n v="215723337"/>
    <d v="2023-05-31T00:00:00"/>
    <s v="Active"/>
    <x v="0"/>
    <n v="39"/>
    <s v="month"/>
    <s v="Active"/>
    <s v="Wednesday"/>
  </r>
  <r>
    <n v="148568942"/>
    <d v="2023-05-31T00:00:00"/>
    <s v="Active"/>
    <x v="0"/>
    <n v="39"/>
    <s v="month"/>
    <s v="Active"/>
    <s v="Wednesday"/>
  </r>
  <r>
    <n v="215102456"/>
    <d v="2023-05-31T00:00:00"/>
    <s v="Active"/>
    <x v="0"/>
    <n v="39"/>
    <s v="month"/>
    <s v="Active"/>
    <s v="Wednesday"/>
  </r>
  <r>
    <n v="216017581"/>
    <d v="2023-05-31T00:00:00"/>
    <s v="Active"/>
    <x v="0"/>
    <n v="39"/>
    <s v="month"/>
    <s v="Active"/>
    <s v="Wednesday"/>
  </r>
  <r>
    <n v="153438676"/>
    <d v="2023-05-31T00:00:00"/>
    <s v="Active"/>
    <x v="0"/>
    <n v="39"/>
    <s v="month"/>
    <s v="Active"/>
    <s v="Wednesday"/>
  </r>
  <r>
    <n v="213190132"/>
    <d v="2023-05-31T00:00:00"/>
    <s v="Active"/>
    <x v="0"/>
    <n v="39"/>
    <s v="month"/>
    <s v="Active"/>
    <s v="Wednesday"/>
  </r>
  <r>
    <n v="216218992"/>
    <d v="2023-05-31T00:00:00"/>
    <d v="2023-08-31T00:00:00"/>
    <x v="0"/>
    <n v="39"/>
    <s v="month"/>
    <n v="92"/>
    <s v="Wednesday"/>
  </r>
  <r>
    <n v="216210442"/>
    <d v="2023-05-31T00:00:00"/>
    <d v="2023-06-15T00:00:00"/>
    <x v="0"/>
    <n v="39"/>
    <s v="month"/>
    <n v="15"/>
    <s v="Wednesday"/>
  </r>
  <r>
    <n v="129447970"/>
    <d v="2023-05-31T00:00:00"/>
    <d v="2023-09-03T00:00:00"/>
    <x v="0"/>
    <n v="39"/>
    <s v="month"/>
    <n v="95"/>
    <s v="Wednesday"/>
  </r>
  <r>
    <n v="216221115"/>
    <d v="2023-05-31T00:00:00"/>
    <d v="2023-07-02T00:00:00"/>
    <x v="0"/>
    <n v="39"/>
    <s v="month"/>
    <n v="32"/>
    <s v="Wednesday"/>
  </r>
  <r>
    <n v="215911675"/>
    <d v="2023-05-31T00:00:00"/>
    <d v="2023-07-07T00:00:00"/>
    <x v="0"/>
    <n v="39"/>
    <s v="month"/>
    <n v="37"/>
    <s v="Wednesday"/>
  </r>
  <r>
    <n v="215908254"/>
    <d v="2023-05-31T00:00:00"/>
    <d v="2023-06-21T00:00:00"/>
    <x v="0"/>
    <n v="39"/>
    <s v="month"/>
    <n v="21"/>
    <s v="Wednesday"/>
  </r>
  <r>
    <n v="214610994"/>
    <d v="2023-05-31T00:00:00"/>
    <d v="2023-06-29T00:00:00"/>
    <x v="0"/>
    <n v="39"/>
    <s v="month"/>
    <n v="29"/>
    <s v="Wednesday"/>
  </r>
  <r>
    <n v="143272167"/>
    <d v="2023-05-31T00:00:00"/>
    <d v="2023-09-07T00:00:00"/>
    <x v="0"/>
    <n v="39"/>
    <s v="month"/>
    <n v="99"/>
    <s v="Wednesday"/>
  </r>
  <r>
    <n v="216340651"/>
    <d v="2023-06-01T00:00:00"/>
    <s v="Active"/>
    <x v="0"/>
    <n v="39"/>
    <s v="month"/>
    <s v="Active"/>
    <s v="Thursday"/>
  </r>
  <r>
    <n v="153573832"/>
    <d v="2023-06-01T00:00:00"/>
    <s v="Active"/>
    <x v="0"/>
    <n v="39"/>
    <s v="month"/>
    <s v="Active"/>
    <s v="Thursday"/>
  </r>
  <r>
    <n v="138312982"/>
    <d v="2023-06-01T00:00:00"/>
    <s v="Active"/>
    <x v="0"/>
    <n v="39"/>
    <s v="month"/>
    <s v="Active"/>
    <s v="Thursday"/>
  </r>
  <r>
    <n v="216365777"/>
    <d v="2023-06-01T00:00:00"/>
    <s v="Active"/>
    <x v="0"/>
    <n v="39"/>
    <s v="month"/>
    <s v="Active"/>
    <s v="Thursday"/>
  </r>
  <r>
    <n v="216272792"/>
    <d v="2023-06-01T00:00:00"/>
    <d v="2023-09-06T00:00:00"/>
    <x v="0"/>
    <n v="39"/>
    <s v="month"/>
    <n v="97"/>
    <s v="Thursday"/>
  </r>
  <r>
    <n v="167174814"/>
    <d v="2023-06-01T00:00:00"/>
    <d v="2023-06-11T00:00:00"/>
    <x v="0"/>
    <n v="39"/>
    <s v="month"/>
    <n v="10"/>
    <s v="Thursday"/>
  </r>
  <r>
    <n v="216329176"/>
    <d v="2023-06-01T00:00:00"/>
    <d v="2023-07-08T00:00:00"/>
    <x v="0"/>
    <n v="39"/>
    <s v="month"/>
    <n v="37"/>
    <s v="Thursday"/>
  </r>
  <r>
    <n v="147320092"/>
    <d v="2023-06-01T00:00:00"/>
    <d v="2023-07-04T00:00:00"/>
    <x v="0"/>
    <n v="39"/>
    <s v="month"/>
    <n v="33"/>
    <s v="Thursday"/>
  </r>
  <r>
    <n v="157974600"/>
    <d v="2023-06-01T00:00:00"/>
    <d v="2023-06-14T00:00:00"/>
    <x v="0"/>
    <n v="39"/>
    <s v="month"/>
    <n v="13"/>
    <s v="Thursday"/>
  </r>
  <r>
    <n v="200955808"/>
    <d v="2023-06-01T00:00:00"/>
    <d v="2023-07-01T00:00:00"/>
    <x v="0"/>
    <n v="39"/>
    <s v="month"/>
    <n v="30"/>
    <s v="Thursday"/>
  </r>
  <r>
    <n v="216332850"/>
    <d v="2023-06-01T00:00:00"/>
    <d v="2023-08-01T00:00:00"/>
    <x v="0"/>
    <n v="39"/>
    <s v="month"/>
    <n v="61"/>
    <s v="Thursday"/>
  </r>
  <r>
    <n v="149986818"/>
    <d v="2023-06-02T00:00:00"/>
    <s v="Active"/>
    <x v="0"/>
    <n v="39"/>
    <s v="month"/>
    <s v="Active"/>
    <s v="Friday"/>
  </r>
  <r>
    <n v="132579012"/>
    <d v="2023-06-02T00:00:00"/>
    <s v="Active"/>
    <x v="0"/>
    <n v="39"/>
    <s v="month"/>
    <s v="Active"/>
    <s v="Friday"/>
  </r>
  <r>
    <n v="155529346"/>
    <d v="2023-06-02T00:00:00"/>
    <d v="2023-09-04T00:00:00"/>
    <x v="0"/>
    <n v="39"/>
    <s v="month"/>
    <n v="94"/>
    <s v="Friday"/>
  </r>
  <r>
    <n v="153085868"/>
    <d v="2023-06-02T00:00:00"/>
    <d v="2023-06-29T00:00:00"/>
    <x v="0"/>
    <n v="39"/>
    <s v="month"/>
    <n v="27"/>
    <s v="Friday"/>
  </r>
  <r>
    <n v="156702204"/>
    <d v="2023-06-02T00:00:00"/>
    <d v="2023-07-02T00:00:00"/>
    <x v="0"/>
    <n v="39"/>
    <s v="month"/>
    <n v="30"/>
    <s v="Friday"/>
  </r>
  <r>
    <n v="158177676"/>
    <d v="2023-06-02T00:00:00"/>
    <d v="2023-06-27T00:00:00"/>
    <x v="0"/>
    <n v="39"/>
    <s v="month"/>
    <n v="25"/>
    <s v="Friday"/>
  </r>
  <r>
    <n v="216423972"/>
    <d v="2023-06-02T00:00:00"/>
    <d v="2023-07-14T00:00:00"/>
    <x v="0"/>
    <n v="39"/>
    <s v="month"/>
    <n v="42"/>
    <s v="Friday"/>
  </r>
  <r>
    <n v="216533259"/>
    <d v="2023-06-03T00:00:00"/>
    <s v="Active"/>
    <x v="0"/>
    <n v="39"/>
    <s v="month"/>
    <s v="Active"/>
    <s v="Saturday"/>
  </r>
  <r>
    <n v="204953211"/>
    <d v="2023-06-03T00:00:00"/>
    <s v="Active"/>
    <x v="0"/>
    <n v="39"/>
    <s v="month"/>
    <s v="Active"/>
    <s v="Saturday"/>
  </r>
  <r>
    <n v="149112756"/>
    <d v="2023-06-03T00:00:00"/>
    <s v="Active"/>
    <x v="0"/>
    <n v="39"/>
    <s v="month"/>
    <s v="Active"/>
    <s v="Saturday"/>
  </r>
  <r>
    <n v="216674420"/>
    <d v="2023-06-03T00:00:00"/>
    <d v="2023-06-04T00:00:00"/>
    <x v="1"/>
    <n v="39"/>
    <s v="month"/>
    <n v="1"/>
    <s v="Saturday"/>
  </r>
  <r>
    <n v="148225450"/>
    <d v="2023-06-03T00:00:00"/>
    <d v="2023-06-29T00:00:00"/>
    <x v="0"/>
    <n v="39"/>
    <s v="month"/>
    <n v="26"/>
    <s v="Saturday"/>
  </r>
  <r>
    <n v="216720172"/>
    <d v="2023-06-03T00:00:00"/>
    <d v="2023-06-20T00:00:00"/>
    <x v="0"/>
    <n v="39"/>
    <s v="month"/>
    <n v="17"/>
    <s v="Saturday"/>
  </r>
  <r>
    <n v="204750804"/>
    <d v="2023-06-03T00:00:00"/>
    <d v="2023-06-27T00:00:00"/>
    <x v="0"/>
    <n v="39"/>
    <s v="month"/>
    <n v="24"/>
    <s v="Saturday"/>
  </r>
  <r>
    <n v="147798395"/>
    <d v="2023-06-04T00:00:00"/>
    <s v="Active"/>
    <x v="0"/>
    <n v="39"/>
    <s v="month"/>
    <s v="Active"/>
    <s v="Sunday"/>
  </r>
  <r>
    <n v="216560949"/>
    <d v="2023-06-04T00:00:00"/>
    <d v="2023-07-05T00:00:00"/>
    <x v="0"/>
    <n v="39"/>
    <s v="month"/>
    <n v="31"/>
    <s v="Sunday"/>
  </r>
  <r>
    <n v="216743053"/>
    <d v="2023-06-04T00:00:00"/>
    <d v="2023-07-14T00:00:00"/>
    <x v="0"/>
    <n v="39"/>
    <s v="month"/>
    <n v="40"/>
    <s v="Sunday"/>
  </r>
  <r>
    <n v="149040748"/>
    <d v="2023-06-05T00:00:00"/>
    <s v="Active"/>
    <x v="0"/>
    <n v="39"/>
    <s v="month"/>
    <s v="Active"/>
    <s v="Monday"/>
  </r>
  <r>
    <n v="206939746"/>
    <d v="2023-06-05T00:00:00"/>
    <s v="Active"/>
    <x v="0"/>
    <n v="39"/>
    <s v="month"/>
    <s v="Active"/>
    <s v="Monday"/>
  </r>
  <r>
    <n v="216845223"/>
    <d v="2023-06-05T00:00:00"/>
    <s v="Active"/>
    <x v="0"/>
    <n v="39"/>
    <s v="month"/>
    <s v="Active"/>
    <s v="Monday"/>
  </r>
  <r>
    <n v="124876382"/>
    <d v="2023-06-05T00:00:00"/>
    <d v="2023-08-12T00:00:00"/>
    <x v="0"/>
    <n v="39"/>
    <s v="month"/>
    <n v="68"/>
    <s v="Monday"/>
  </r>
  <r>
    <n v="168485609"/>
    <d v="2023-06-05T00:00:00"/>
    <d v="2023-08-20T00:00:00"/>
    <x v="0"/>
    <n v="39"/>
    <s v="month"/>
    <n v="76"/>
    <s v="Monday"/>
  </r>
  <r>
    <n v="216888206"/>
    <d v="2023-06-05T00:00:00"/>
    <d v="2023-09-03T00:00:00"/>
    <x v="0"/>
    <n v="39"/>
    <s v="month"/>
    <n v="90"/>
    <s v="Monday"/>
  </r>
  <r>
    <n v="216957502"/>
    <d v="2023-06-06T00:00:00"/>
    <s v="Active"/>
    <x v="0"/>
    <n v="39"/>
    <s v="month"/>
    <s v="Active"/>
    <s v="Tuesday"/>
  </r>
  <r>
    <n v="215840282"/>
    <d v="2023-06-06T00:00:00"/>
    <s v="Active"/>
    <x v="0"/>
    <n v="39"/>
    <s v="month"/>
    <s v="Active"/>
    <s v="Tuesday"/>
  </r>
  <r>
    <n v="216311456"/>
    <d v="2023-06-06T00:00:00"/>
    <s v="Active"/>
    <x v="0"/>
    <n v="39"/>
    <s v="month"/>
    <s v="Active"/>
    <s v="Tuesday"/>
  </r>
  <r>
    <n v="155088727"/>
    <d v="2023-06-06T00:00:00"/>
    <s v="Active"/>
    <x v="0"/>
    <n v="39"/>
    <s v="month"/>
    <s v="Active"/>
    <s v="Tuesday"/>
  </r>
  <r>
    <n v="216925191"/>
    <d v="2023-06-06T00:00:00"/>
    <d v="2023-06-13T00:00:00"/>
    <x v="0"/>
    <n v="39"/>
    <s v="month"/>
    <n v="7"/>
    <s v="Tuesday"/>
  </r>
  <r>
    <n v="216924741"/>
    <d v="2023-06-06T00:00:00"/>
    <d v="2023-08-22T00:00:00"/>
    <x v="0"/>
    <n v="39"/>
    <s v="month"/>
    <n v="77"/>
    <s v="Tuesday"/>
  </r>
  <r>
    <n v="194347007"/>
    <d v="2023-06-06T00:00:00"/>
    <d v="2023-07-13T00:00:00"/>
    <x v="0"/>
    <n v="39"/>
    <s v="month"/>
    <n v="37"/>
    <s v="Tuesday"/>
  </r>
  <r>
    <n v="217067696"/>
    <d v="2023-06-07T00:00:00"/>
    <s v="Active"/>
    <x v="0"/>
    <n v="39"/>
    <s v="month"/>
    <s v="Active"/>
    <s v="Wednesday"/>
  </r>
  <r>
    <n v="217012406"/>
    <d v="2023-06-07T00:00:00"/>
    <s v="Active"/>
    <x v="0"/>
    <n v="39"/>
    <s v="month"/>
    <s v="Active"/>
    <s v="Wednesday"/>
  </r>
  <r>
    <n v="216345770"/>
    <d v="2023-06-07T00:00:00"/>
    <s v="Active"/>
    <x v="0"/>
    <n v="39"/>
    <s v="month"/>
    <s v="Active"/>
    <s v="Wednesday"/>
  </r>
  <r>
    <n v="215654770"/>
    <d v="2023-06-07T00:00:00"/>
    <s v="Active"/>
    <x v="0"/>
    <n v="39"/>
    <s v="month"/>
    <s v="Active"/>
    <s v="Wednesday"/>
  </r>
  <r>
    <n v="217044528"/>
    <d v="2023-06-07T00:00:00"/>
    <s v="Active"/>
    <x v="0"/>
    <n v="39"/>
    <s v="month"/>
    <s v="Active"/>
    <s v="Wednesday"/>
  </r>
  <r>
    <n v="217031352"/>
    <d v="2023-06-07T00:00:00"/>
    <s v="Active"/>
    <x v="0"/>
    <n v="39"/>
    <s v="month"/>
    <s v="Active"/>
    <s v="Wednesday"/>
  </r>
  <r>
    <n v="146450388"/>
    <d v="2023-06-07T00:00:00"/>
    <s v="Active"/>
    <x v="0"/>
    <n v="39"/>
    <s v="month"/>
    <s v="Active"/>
    <s v="Wednesday"/>
  </r>
  <r>
    <n v="153374748"/>
    <d v="2023-06-07T00:00:00"/>
    <d v="2023-08-31T00:00:00"/>
    <x v="0"/>
    <n v="39"/>
    <s v="month"/>
    <n v="85"/>
    <s v="Wednesday"/>
  </r>
  <r>
    <n v="217065874"/>
    <d v="2023-06-07T00:00:00"/>
    <d v="2023-06-29T00:00:00"/>
    <x v="0"/>
    <n v="39"/>
    <s v="month"/>
    <n v="22"/>
    <s v="Wednesday"/>
  </r>
  <r>
    <n v="216622895"/>
    <d v="2023-06-07T00:00:00"/>
    <d v="2023-08-14T00:00:00"/>
    <x v="0"/>
    <n v="39"/>
    <s v="month"/>
    <n v="68"/>
    <s v="Wednesday"/>
  </r>
  <r>
    <n v="216907852"/>
    <d v="2023-06-07T00:00:00"/>
    <d v="2023-07-09T00:00:00"/>
    <x v="0"/>
    <n v="39"/>
    <s v="month"/>
    <n v="32"/>
    <s v="Wednesday"/>
  </r>
  <r>
    <n v="217054126"/>
    <d v="2023-06-08T00:00:00"/>
    <s v="Active"/>
    <x v="0"/>
    <n v="39"/>
    <s v="month"/>
    <s v="Active"/>
    <s v="Thursday"/>
  </r>
  <r>
    <n v="206001231"/>
    <d v="2023-06-08T00:00:00"/>
    <s v="Active"/>
    <x v="0"/>
    <n v="39"/>
    <s v="month"/>
    <s v="Active"/>
    <s v="Thursday"/>
  </r>
  <r>
    <n v="216925136"/>
    <d v="2023-06-08T00:00:00"/>
    <s v="Active"/>
    <x v="0"/>
    <n v="39"/>
    <s v="month"/>
    <s v="Active"/>
    <s v="Thursday"/>
  </r>
  <r>
    <n v="217094352"/>
    <d v="2023-06-08T00:00:00"/>
    <d v="2023-07-02T00:00:00"/>
    <x v="0"/>
    <n v="39"/>
    <s v="month"/>
    <n v="24"/>
    <s v="Thursday"/>
  </r>
  <r>
    <n v="206891818"/>
    <d v="2023-06-08T00:00:00"/>
    <d v="2023-06-28T00:00:00"/>
    <x v="0"/>
    <n v="39"/>
    <s v="month"/>
    <n v="20"/>
    <s v="Thursday"/>
  </r>
  <r>
    <n v="217084888"/>
    <d v="2023-06-08T00:00:00"/>
    <d v="2023-06-08T00:00:00"/>
    <x v="0"/>
    <n v="39"/>
    <s v="month"/>
    <n v="0"/>
    <s v="Thursday"/>
  </r>
  <r>
    <n v="216624401"/>
    <d v="2023-06-08T00:00:00"/>
    <d v="2023-06-28T00:00:00"/>
    <x v="0"/>
    <n v="39"/>
    <s v="month"/>
    <n v="20"/>
    <s v="Thursday"/>
  </r>
  <r>
    <n v="216795282"/>
    <d v="2023-06-08T00:00:00"/>
    <d v="2023-07-23T00:00:00"/>
    <x v="0"/>
    <n v="39"/>
    <s v="month"/>
    <n v="45"/>
    <s v="Thursday"/>
  </r>
  <r>
    <n v="174646924"/>
    <d v="2023-06-09T00:00:00"/>
    <s v="Active"/>
    <x v="0"/>
    <n v="39"/>
    <s v="month"/>
    <s v="Active"/>
    <s v="Friday"/>
  </r>
  <r>
    <n v="217123644"/>
    <d v="2023-06-09T00:00:00"/>
    <s v="Active"/>
    <x v="0"/>
    <n v="39"/>
    <s v="month"/>
    <s v="Active"/>
    <s v="Friday"/>
  </r>
  <r>
    <n v="217104490"/>
    <d v="2023-06-09T00:00:00"/>
    <s v="Active"/>
    <x v="0"/>
    <n v="39"/>
    <s v="month"/>
    <s v="Active"/>
    <s v="Friday"/>
  </r>
  <r>
    <n v="153349708"/>
    <d v="2023-06-09T00:00:00"/>
    <s v="Active"/>
    <x v="0"/>
    <n v="39"/>
    <s v="month"/>
    <s v="Active"/>
    <s v="Friday"/>
  </r>
  <r>
    <n v="153876204"/>
    <d v="2023-06-09T00:00:00"/>
    <d v="2023-06-10T00:00:00"/>
    <x v="0"/>
    <n v="39"/>
    <s v="month"/>
    <n v="1"/>
    <s v="Friday"/>
  </r>
  <r>
    <n v="132442956"/>
    <d v="2023-06-09T00:00:00"/>
    <d v="2023-07-28T00:00:00"/>
    <x v="0"/>
    <n v="39"/>
    <s v="month"/>
    <n v="49"/>
    <s v="Friday"/>
  </r>
  <r>
    <n v="130331160"/>
    <d v="2023-06-09T00:00:00"/>
    <d v="2023-07-02T00:00:00"/>
    <x v="0"/>
    <n v="39"/>
    <s v="month"/>
    <n v="23"/>
    <s v="Friday"/>
  </r>
  <r>
    <n v="216225148"/>
    <d v="2023-06-09T00:00:00"/>
    <d v="2023-06-09T00:00:00"/>
    <x v="0"/>
    <n v="39"/>
    <s v="month"/>
    <n v="0"/>
    <s v="Friday"/>
  </r>
  <r>
    <n v="161187748"/>
    <d v="2023-06-09T00:00:00"/>
    <d v="2023-07-24T00:00:00"/>
    <x v="0"/>
    <n v="39"/>
    <s v="month"/>
    <n v="45"/>
    <s v="Friday"/>
  </r>
  <r>
    <n v="217137211"/>
    <d v="2023-06-09T00:00:00"/>
    <d v="2023-07-16T00:00:00"/>
    <x v="0"/>
    <n v="39"/>
    <s v="month"/>
    <n v="37"/>
    <s v="Friday"/>
  </r>
  <r>
    <n v="180796559"/>
    <d v="2023-06-09T00:00:00"/>
    <d v="2023-07-16T00:00:00"/>
    <x v="0"/>
    <n v="39"/>
    <s v="month"/>
    <n v="37"/>
    <s v="Friday"/>
  </r>
  <r>
    <n v="168200039"/>
    <d v="2023-06-10T00:00:00"/>
    <d v="2023-06-11T00:00:00"/>
    <x v="0"/>
    <n v="39"/>
    <s v="month"/>
    <n v="1"/>
    <s v="Saturday"/>
  </r>
  <r>
    <n v="217110396"/>
    <d v="2023-06-10T00:00:00"/>
    <d v="2023-06-24T00:00:00"/>
    <x v="0"/>
    <n v="39"/>
    <s v="month"/>
    <n v="14"/>
    <s v="Saturday"/>
  </r>
  <r>
    <n v="217159016"/>
    <d v="2023-06-10T00:00:00"/>
    <d v="2023-08-11T00:00:00"/>
    <x v="0"/>
    <n v="39"/>
    <s v="month"/>
    <n v="62"/>
    <s v="Saturday"/>
  </r>
  <r>
    <n v="217215106"/>
    <d v="2023-06-11T00:00:00"/>
    <s v="Active"/>
    <x v="0"/>
    <n v="39"/>
    <s v="month"/>
    <s v="Active"/>
    <s v="Sunday"/>
  </r>
  <r>
    <n v="129819604"/>
    <d v="2023-06-11T00:00:00"/>
    <d v="2023-07-18T00:00:00"/>
    <x v="0"/>
    <n v="39"/>
    <s v="month"/>
    <n v="37"/>
    <s v="Sunday"/>
  </r>
  <r>
    <n v="217208086"/>
    <d v="2023-06-11T00:00:00"/>
    <d v="2023-07-26T00:00:00"/>
    <x v="0"/>
    <n v="39"/>
    <s v="month"/>
    <n v="45"/>
    <s v="Sunday"/>
  </r>
  <r>
    <n v="215534470"/>
    <d v="2023-06-11T00:00:00"/>
    <d v="2023-07-18T00:00:00"/>
    <x v="0"/>
    <n v="39"/>
    <s v="month"/>
    <n v="37"/>
    <s v="Sunday"/>
  </r>
  <r>
    <n v="217277033"/>
    <d v="2023-06-12T00:00:00"/>
    <s v="Active"/>
    <x v="0"/>
    <n v="39"/>
    <s v="month"/>
    <s v="Active"/>
    <s v="Monday"/>
  </r>
  <r>
    <n v="136199071"/>
    <d v="2023-06-12T00:00:00"/>
    <s v="Active"/>
    <x v="0"/>
    <n v="39"/>
    <s v="month"/>
    <s v="Active"/>
    <s v="Monday"/>
  </r>
  <r>
    <n v="217102618"/>
    <d v="2023-06-12T00:00:00"/>
    <s v="Active"/>
    <x v="0"/>
    <n v="39"/>
    <s v="month"/>
    <s v="Active"/>
    <s v="Monday"/>
  </r>
  <r>
    <n v="217252136"/>
    <d v="2023-06-12T00:00:00"/>
    <s v="Active"/>
    <x v="0"/>
    <n v="39"/>
    <s v="month"/>
    <s v="Active"/>
    <s v="Monday"/>
  </r>
  <r>
    <n v="215856743"/>
    <d v="2023-06-12T00:00:00"/>
    <s v="Active"/>
    <x v="0"/>
    <n v="39"/>
    <s v="month"/>
    <s v="Active"/>
    <s v="Monday"/>
  </r>
  <r>
    <n v="217260184"/>
    <d v="2023-06-12T00:00:00"/>
    <d v="2023-06-13T00:00:00"/>
    <x v="1"/>
    <n v="39"/>
    <s v="month"/>
    <n v="1"/>
    <s v="Monday"/>
  </r>
  <r>
    <n v="140371292"/>
    <d v="2023-06-12T00:00:00"/>
    <d v="2023-07-10T00:00:00"/>
    <x v="0"/>
    <n v="39"/>
    <s v="month"/>
    <n v="28"/>
    <s v="Monday"/>
  </r>
  <r>
    <n v="164903790"/>
    <d v="2023-06-12T00:00:00"/>
    <d v="2023-07-20T00:00:00"/>
    <x v="0"/>
    <n v="39"/>
    <s v="month"/>
    <n v="38"/>
    <s v="Monday"/>
  </r>
  <r>
    <n v="217206158"/>
    <d v="2023-06-12T00:00:00"/>
    <d v="2023-08-11T00:00:00"/>
    <x v="0"/>
    <n v="39"/>
    <s v="month"/>
    <n v="60"/>
    <s v="Monday"/>
  </r>
  <r>
    <n v="215180470"/>
    <d v="2023-06-12T00:00:00"/>
    <d v="2023-08-06T00:00:00"/>
    <x v="0"/>
    <n v="39"/>
    <s v="month"/>
    <n v="55"/>
    <s v="Monday"/>
  </r>
  <r>
    <n v="217246611"/>
    <d v="2023-06-12T00:00:00"/>
    <d v="2023-07-06T00:00:00"/>
    <x v="0"/>
    <n v="39"/>
    <s v="month"/>
    <n v="24"/>
    <s v="Monday"/>
  </r>
  <r>
    <n v="217080066"/>
    <d v="2023-06-12T00:00:00"/>
    <d v="2023-07-12T00:00:00"/>
    <x v="0"/>
    <n v="39"/>
    <s v="month"/>
    <n v="30"/>
    <s v="Monday"/>
  </r>
  <r>
    <n v="214510838"/>
    <d v="2023-06-13T00:00:00"/>
    <s v="Active"/>
    <x v="0"/>
    <n v="39"/>
    <s v="month"/>
    <s v="Active"/>
    <s v="Tuesday"/>
  </r>
  <r>
    <n v="217241338"/>
    <d v="2023-06-13T00:00:00"/>
    <s v="Active"/>
    <x v="0"/>
    <n v="39"/>
    <s v="month"/>
    <s v="Active"/>
    <s v="Tuesday"/>
  </r>
  <r>
    <n v="215447681"/>
    <d v="2023-06-13T00:00:00"/>
    <s v="Active"/>
    <x v="0"/>
    <n v="39"/>
    <s v="month"/>
    <s v="Active"/>
    <s v="Tuesday"/>
  </r>
  <r>
    <n v="214746385"/>
    <d v="2023-06-13T00:00:00"/>
    <s v="Active"/>
    <x v="0"/>
    <n v="39"/>
    <s v="month"/>
    <s v="Active"/>
    <s v="Tuesday"/>
  </r>
  <r>
    <n v="217279595"/>
    <d v="2023-06-13T00:00:00"/>
    <s v="Active"/>
    <x v="0"/>
    <n v="39"/>
    <s v="month"/>
    <s v="Active"/>
    <s v="Tuesday"/>
  </r>
  <r>
    <n v="138725699"/>
    <d v="2023-06-13T00:00:00"/>
    <d v="2023-06-14T00:00:00"/>
    <x v="0"/>
    <n v="39"/>
    <s v="month"/>
    <n v="1"/>
    <s v="Tuesday"/>
  </r>
  <r>
    <n v="199464176"/>
    <d v="2023-06-13T00:00:00"/>
    <d v="2023-07-31T00:00:00"/>
    <x v="0"/>
    <n v="39"/>
    <s v="month"/>
    <n v="48"/>
    <s v="Tuesday"/>
  </r>
  <r>
    <n v="217269788"/>
    <d v="2023-06-13T00:00:00"/>
    <d v="2023-07-21T00:00:00"/>
    <x v="0"/>
    <n v="39"/>
    <s v="month"/>
    <n v="38"/>
    <s v="Tuesday"/>
  </r>
  <r>
    <n v="217210206"/>
    <d v="2023-06-13T00:00:00"/>
    <d v="2023-07-05T00:00:00"/>
    <x v="0"/>
    <n v="39"/>
    <s v="month"/>
    <n v="22"/>
    <s v="Tuesday"/>
  </r>
  <r>
    <n v="217276264"/>
    <d v="2023-06-14T00:00:00"/>
    <s v="Active"/>
    <x v="0"/>
    <n v="39"/>
    <s v="month"/>
    <s v="Active"/>
    <s v="Wednesday"/>
  </r>
  <r>
    <n v="217242854"/>
    <d v="2023-06-14T00:00:00"/>
    <s v="Active"/>
    <x v="0"/>
    <n v="39"/>
    <s v="month"/>
    <s v="Active"/>
    <s v="Wednesday"/>
  </r>
  <r>
    <n v="140062581"/>
    <d v="2023-06-14T00:00:00"/>
    <d v="2023-06-15T00:00:00"/>
    <x v="0"/>
    <n v="39"/>
    <s v="month"/>
    <n v="1"/>
    <s v="Wednesday"/>
  </r>
  <r>
    <n v="217340338"/>
    <d v="2023-06-14T00:00:00"/>
    <d v="2023-06-14T00:00:00"/>
    <x v="1"/>
    <n v="39"/>
    <s v="month"/>
    <n v="0"/>
    <s v="Wednesday"/>
  </r>
  <r>
    <n v="157435806"/>
    <d v="2023-06-14T00:00:00"/>
    <d v="2023-07-14T00:00:00"/>
    <x v="0"/>
    <n v="39"/>
    <s v="month"/>
    <n v="30"/>
    <s v="Wednesday"/>
  </r>
  <r>
    <n v="217358299"/>
    <d v="2023-06-14T00:00:00"/>
    <d v="2023-08-11T00:00:00"/>
    <x v="0"/>
    <n v="39"/>
    <s v="month"/>
    <n v="58"/>
    <s v="Wednesday"/>
  </r>
  <r>
    <n v="217330046"/>
    <d v="2023-06-14T00:00:00"/>
    <d v="2023-07-01T00:00:00"/>
    <x v="0"/>
    <n v="39"/>
    <s v="month"/>
    <n v="17"/>
    <s v="Wednesday"/>
  </r>
  <r>
    <n v="216945894"/>
    <d v="2023-06-15T00:00:00"/>
    <s v="Active"/>
    <x v="0"/>
    <n v="39"/>
    <s v="month"/>
    <s v="Active"/>
    <s v="Thursday"/>
  </r>
  <r>
    <n v="150178354"/>
    <d v="2023-06-15T00:00:00"/>
    <s v="Active"/>
    <x v="0"/>
    <n v="39"/>
    <s v="month"/>
    <s v="Active"/>
    <s v="Thursday"/>
  </r>
  <r>
    <n v="153942818"/>
    <d v="2023-06-15T00:00:00"/>
    <s v="Active"/>
    <x v="0"/>
    <n v="39"/>
    <s v="month"/>
    <s v="Active"/>
    <s v="Thursday"/>
  </r>
  <r>
    <n v="150728848"/>
    <d v="2023-06-15T00:00:00"/>
    <s v="Active"/>
    <x v="0"/>
    <n v="39"/>
    <s v="month"/>
    <s v="Active"/>
    <s v="Thursday"/>
  </r>
  <r>
    <n v="138725699"/>
    <d v="2023-06-15T00:00:00"/>
    <s v="Active"/>
    <x v="0"/>
    <n v="39"/>
    <s v="month"/>
    <s v="Active"/>
    <s v="Thursday"/>
  </r>
  <r>
    <n v="217207926"/>
    <d v="2023-06-15T00:00:00"/>
    <s v="Active"/>
    <x v="0"/>
    <n v="39"/>
    <s v="month"/>
    <s v="Active"/>
    <s v="Thursday"/>
  </r>
  <r>
    <n v="217370233"/>
    <d v="2023-06-15T00:00:00"/>
    <s v="Active"/>
    <x v="0"/>
    <n v="39"/>
    <s v="month"/>
    <s v="Active"/>
    <s v="Thursday"/>
  </r>
  <r>
    <n v="205464540"/>
    <d v="2023-06-15T00:00:00"/>
    <d v="2023-07-22T00:00:00"/>
    <x v="0"/>
    <n v="39"/>
    <s v="month"/>
    <n v="37"/>
    <s v="Thursday"/>
  </r>
  <r>
    <n v="167403892"/>
    <d v="2023-06-15T00:00:00"/>
    <d v="2023-08-22T00:00:00"/>
    <x v="0"/>
    <n v="39"/>
    <s v="month"/>
    <n v="68"/>
    <s v="Thursday"/>
  </r>
  <r>
    <n v="217326821"/>
    <d v="2023-06-15T00:00:00"/>
    <d v="2023-08-22T00:00:00"/>
    <x v="0"/>
    <n v="39"/>
    <s v="month"/>
    <n v="68"/>
    <s v="Thursday"/>
  </r>
  <r>
    <n v="214918906"/>
    <d v="2023-06-15T00:00:00"/>
    <d v="2023-07-22T00:00:00"/>
    <x v="0"/>
    <n v="39"/>
    <s v="month"/>
    <n v="37"/>
    <s v="Thursday"/>
  </r>
  <r>
    <n v="216983668"/>
    <d v="2023-06-15T00:00:00"/>
    <d v="2023-07-15T00:00:00"/>
    <x v="0"/>
    <n v="39"/>
    <s v="month"/>
    <n v="30"/>
    <s v="Thursday"/>
  </r>
  <r>
    <n v="217454204"/>
    <d v="2023-06-16T00:00:00"/>
    <s v="Active"/>
    <x v="0"/>
    <n v="39"/>
    <s v="month"/>
    <s v="Active"/>
    <s v="Friday"/>
  </r>
  <r>
    <n v="206049284"/>
    <d v="2023-06-16T00:00:00"/>
    <s v="Active"/>
    <x v="0"/>
    <n v="39"/>
    <s v="month"/>
    <s v="Active"/>
    <s v="Friday"/>
  </r>
  <r>
    <n v="132852439"/>
    <d v="2023-06-16T00:00:00"/>
    <s v="Active"/>
    <x v="0"/>
    <n v="39"/>
    <s v="month"/>
    <s v="Active"/>
    <s v="Friday"/>
  </r>
  <r>
    <n v="217233198"/>
    <d v="2023-06-16T00:00:00"/>
    <s v="Active"/>
    <x v="0"/>
    <n v="39"/>
    <s v="month"/>
    <s v="Active"/>
    <s v="Friday"/>
  </r>
  <r>
    <n v="188197564"/>
    <d v="2023-06-16T00:00:00"/>
    <d v="2023-06-17T00:00:00"/>
    <x v="0"/>
    <n v="39"/>
    <s v="month"/>
    <n v="1"/>
    <s v="Friday"/>
  </r>
  <r>
    <n v="146952862"/>
    <d v="2023-06-16T00:00:00"/>
    <d v="2023-07-12T00:00:00"/>
    <x v="0"/>
    <n v="39"/>
    <s v="month"/>
    <n v="26"/>
    <s v="Friday"/>
  </r>
  <r>
    <n v="152846561"/>
    <d v="2023-06-16T00:00:00"/>
    <d v="2023-07-23T00:00:00"/>
    <x v="0"/>
    <n v="39"/>
    <s v="month"/>
    <n v="37"/>
    <s v="Friday"/>
  </r>
  <r>
    <n v="132867770"/>
    <d v="2023-06-16T00:00:00"/>
    <d v="2023-07-24T00:00:00"/>
    <x v="0"/>
    <n v="39"/>
    <s v="month"/>
    <n v="38"/>
    <s v="Friday"/>
  </r>
  <r>
    <n v="206370330"/>
    <d v="2023-06-16T00:00:00"/>
    <d v="2023-08-15T00:00:00"/>
    <x v="0"/>
    <n v="39"/>
    <s v="month"/>
    <n v="60"/>
    <s v="Friday"/>
  </r>
  <r>
    <n v="217438230"/>
    <d v="2023-06-16T00:00:00"/>
    <d v="2023-07-13T00:00:00"/>
    <x v="0"/>
    <n v="39"/>
    <s v="month"/>
    <n v="27"/>
    <s v="Friday"/>
  </r>
  <r>
    <n v="217426939"/>
    <d v="2023-06-16T00:00:00"/>
    <d v="2023-07-16T00:00:00"/>
    <x v="0"/>
    <n v="39"/>
    <s v="month"/>
    <n v="30"/>
    <s v="Friday"/>
  </r>
  <r>
    <n v="205785520"/>
    <d v="2023-06-17T00:00:00"/>
    <s v="Active"/>
    <x v="0"/>
    <n v="39"/>
    <s v="month"/>
    <s v="Active"/>
    <s v="Saturday"/>
  </r>
  <r>
    <n v="154284527"/>
    <d v="2023-06-17T00:00:00"/>
    <d v="2023-07-24T00:00:00"/>
    <x v="0"/>
    <n v="39"/>
    <s v="month"/>
    <n v="37"/>
    <s v="Saturday"/>
  </r>
  <r>
    <n v="214105912"/>
    <d v="2023-06-17T00:00:00"/>
    <d v="2023-07-24T00:00:00"/>
    <x v="0"/>
    <n v="39"/>
    <s v="month"/>
    <n v="37"/>
    <s v="Saturday"/>
  </r>
  <r>
    <n v="200909190"/>
    <d v="2023-06-17T00:00:00"/>
    <d v="2023-08-24T00:00:00"/>
    <x v="0"/>
    <n v="39"/>
    <s v="month"/>
    <n v="68"/>
    <s v="Saturday"/>
  </r>
  <r>
    <n v="151633468"/>
    <d v="2023-06-17T00:00:00"/>
    <d v="2023-08-01T00:00:00"/>
    <x v="0"/>
    <n v="39"/>
    <s v="month"/>
    <n v="45"/>
    <s v="Saturday"/>
  </r>
  <r>
    <n v="207010976"/>
    <d v="2023-06-17T00:00:00"/>
    <d v="2023-08-24T00:00:00"/>
    <x v="0"/>
    <n v="39"/>
    <s v="month"/>
    <n v="68"/>
    <s v="Saturday"/>
  </r>
  <r>
    <n v="217487776"/>
    <d v="2023-06-17T00:00:00"/>
    <d v="2023-07-20T00:00:00"/>
    <x v="0"/>
    <n v="39"/>
    <s v="month"/>
    <n v="33"/>
    <s v="Saturday"/>
  </r>
  <r>
    <n v="217484551"/>
    <d v="2023-06-17T00:00:00"/>
    <d v="2023-07-24T00:00:00"/>
    <x v="0"/>
    <n v="39"/>
    <s v="month"/>
    <n v="37"/>
    <s v="Saturday"/>
  </r>
  <r>
    <n v="217498202"/>
    <d v="2023-06-18T00:00:00"/>
    <s v="Active"/>
    <x v="0"/>
    <n v="39"/>
    <s v="month"/>
    <s v="Active"/>
    <s v="Sunday"/>
  </r>
  <r>
    <n v="217234603"/>
    <d v="2023-06-18T00:00:00"/>
    <s v="Active"/>
    <x v="0"/>
    <n v="39"/>
    <s v="month"/>
    <s v="Active"/>
    <s v="Sunday"/>
  </r>
  <r>
    <n v="217264148"/>
    <d v="2023-06-18T00:00:00"/>
    <s v="Active"/>
    <x v="0"/>
    <n v="39"/>
    <s v="month"/>
    <s v="Active"/>
    <s v="Sunday"/>
  </r>
  <r>
    <n v="217513366"/>
    <d v="2023-06-18T00:00:00"/>
    <s v="Active"/>
    <x v="0"/>
    <n v="39"/>
    <s v="month"/>
    <s v="Active"/>
    <s v="Sunday"/>
  </r>
  <r>
    <n v="217503737"/>
    <d v="2023-06-18T00:00:00"/>
    <s v="Active"/>
    <x v="0"/>
    <n v="39"/>
    <s v="month"/>
    <s v="Active"/>
    <s v="Sunday"/>
  </r>
  <r>
    <n v="151540809"/>
    <d v="2023-06-18T00:00:00"/>
    <s v="Active"/>
    <x v="0"/>
    <n v="39"/>
    <s v="month"/>
    <s v="Active"/>
    <s v="Sunday"/>
  </r>
  <r>
    <n v="217526421"/>
    <d v="2023-06-18T00:00:00"/>
    <d v="2023-08-26T00:00:00"/>
    <x v="0"/>
    <n v="39"/>
    <s v="month"/>
    <n v="69"/>
    <s v="Sunday"/>
  </r>
  <r>
    <n v="217418580"/>
    <d v="2023-06-18T00:00:00"/>
    <d v="2023-07-14T00:00:00"/>
    <x v="0"/>
    <n v="39"/>
    <s v="month"/>
    <n v="26"/>
    <s v="Sunday"/>
  </r>
  <r>
    <n v="217426015"/>
    <d v="2023-06-19T00:00:00"/>
    <s v="Active"/>
    <x v="0"/>
    <n v="39"/>
    <s v="month"/>
    <s v="Active"/>
    <s v="Monday"/>
  </r>
  <r>
    <n v="217557584"/>
    <d v="2023-06-19T00:00:00"/>
    <s v="Active"/>
    <x v="0"/>
    <n v="39"/>
    <s v="month"/>
    <s v="Active"/>
    <s v="Monday"/>
  </r>
  <r>
    <n v="217406489"/>
    <d v="2023-06-19T00:00:00"/>
    <s v="Active"/>
    <x v="0"/>
    <n v="39"/>
    <s v="month"/>
    <s v="Active"/>
    <s v="Monday"/>
  </r>
  <r>
    <n v="217536534"/>
    <d v="2023-06-19T00:00:00"/>
    <s v="Active"/>
    <x v="0"/>
    <n v="39"/>
    <s v="month"/>
    <s v="Active"/>
    <s v="Monday"/>
  </r>
  <r>
    <n v="217557082"/>
    <d v="2023-06-19T00:00:00"/>
    <s v="Active"/>
    <x v="0"/>
    <n v="39"/>
    <s v="month"/>
    <s v="Active"/>
    <s v="Monday"/>
  </r>
  <r>
    <n v="176024207"/>
    <d v="2023-06-19T00:00:00"/>
    <d v="2023-08-07T00:00:00"/>
    <x v="0"/>
    <n v="39"/>
    <s v="month"/>
    <n v="49"/>
    <s v="Monday"/>
  </r>
  <r>
    <n v="160598122"/>
    <d v="2023-06-19T00:00:00"/>
    <d v="2023-07-26T00:00:00"/>
    <x v="0"/>
    <n v="39"/>
    <s v="month"/>
    <n v="37"/>
    <s v="Monday"/>
  </r>
  <r>
    <n v="217378430"/>
    <d v="2023-06-19T00:00:00"/>
    <d v="2023-08-06T00:00:00"/>
    <x v="0"/>
    <n v="39"/>
    <s v="month"/>
    <n v="48"/>
    <s v="Monday"/>
  </r>
  <r>
    <n v="193680187"/>
    <d v="2023-06-19T00:00:00"/>
    <d v="2023-06-20T00:00:00"/>
    <x v="0"/>
    <n v="39"/>
    <s v="month"/>
    <n v="1"/>
    <s v="Monday"/>
  </r>
  <r>
    <n v="180424442"/>
    <d v="2023-06-19T00:00:00"/>
    <d v="2023-07-26T00:00:00"/>
    <x v="0"/>
    <n v="39"/>
    <s v="month"/>
    <n v="37"/>
    <s v="Monday"/>
  </r>
  <r>
    <n v="217612796"/>
    <d v="2023-06-20T00:00:00"/>
    <s v="Active"/>
    <x v="0"/>
    <n v="39"/>
    <s v="month"/>
    <s v="Active"/>
    <s v="Tuesday"/>
  </r>
  <r>
    <n v="217601263"/>
    <d v="2023-06-20T00:00:00"/>
    <s v="Active"/>
    <x v="0"/>
    <n v="39"/>
    <s v="month"/>
    <s v="Active"/>
    <s v="Tuesday"/>
  </r>
  <r>
    <n v="217594148"/>
    <d v="2023-06-20T00:00:00"/>
    <s v="Active"/>
    <x v="0"/>
    <n v="39"/>
    <s v="month"/>
    <s v="Active"/>
    <s v="Tuesday"/>
  </r>
  <r>
    <n v="217598396"/>
    <d v="2023-06-20T00:00:00"/>
    <s v="Active"/>
    <x v="0"/>
    <n v="39"/>
    <s v="month"/>
    <s v="Active"/>
    <s v="Tuesday"/>
  </r>
  <r>
    <n v="206647130"/>
    <d v="2023-06-20T00:00:00"/>
    <s v="Active"/>
    <x v="0"/>
    <n v="39"/>
    <s v="month"/>
    <s v="Active"/>
    <s v="Tuesday"/>
  </r>
  <r>
    <n v="207099222"/>
    <d v="2023-06-20T00:00:00"/>
    <s v="Active"/>
    <x v="0"/>
    <n v="39"/>
    <s v="month"/>
    <s v="Active"/>
    <s v="Tuesday"/>
  </r>
  <r>
    <n v="207079318"/>
    <d v="2023-06-20T00:00:00"/>
    <s v="Active"/>
    <x v="0"/>
    <n v="39"/>
    <s v="month"/>
    <s v="Active"/>
    <s v="Tuesday"/>
  </r>
  <r>
    <n v="217580362"/>
    <d v="2023-06-20T00:00:00"/>
    <s v="Active"/>
    <x v="0"/>
    <n v="39"/>
    <s v="month"/>
    <s v="Active"/>
    <s v="Tuesday"/>
  </r>
  <r>
    <n v="217438678"/>
    <d v="2023-06-20T00:00:00"/>
    <s v="Active"/>
    <x v="0"/>
    <n v="39"/>
    <s v="month"/>
    <s v="Active"/>
    <s v="Tuesday"/>
  </r>
  <r>
    <n v="215963364"/>
    <d v="2023-06-20T00:00:00"/>
    <d v="2023-06-21T00:00:00"/>
    <x v="0"/>
    <n v="39"/>
    <s v="month"/>
    <n v="1"/>
    <s v="Tuesday"/>
  </r>
  <r>
    <n v="153876204"/>
    <d v="2023-06-20T00:00:00"/>
    <d v="2023-07-23T00:00:00"/>
    <x v="0"/>
    <n v="39"/>
    <s v="month"/>
    <n v="33"/>
    <s v="Tuesday"/>
  </r>
  <r>
    <n v="153828803"/>
    <d v="2023-06-20T00:00:00"/>
    <d v="2023-06-22T00:00:00"/>
    <x v="0"/>
    <n v="39"/>
    <s v="month"/>
    <n v="2"/>
    <s v="Tuesday"/>
  </r>
  <r>
    <n v="217595865"/>
    <d v="2023-06-20T00:00:00"/>
    <d v="2023-07-27T00:00:00"/>
    <x v="0"/>
    <n v="39"/>
    <s v="month"/>
    <n v="37"/>
    <s v="Tuesday"/>
  </r>
  <r>
    <n v="216158153"/>
    <d v="2023-06-20T00:00:00"/>
    <d v="2023-07-24T00:00:00"/>
    <x v="0"/>
    <n v="39"/>
    <s v="month"/>
    <n v="34"/>
    <s v="Tuesday"/>
  </r>
  <r>
    <n v="217548173"/>
    <d v="2023-06-20T00:00:00"/>
    <d v="2023-07-19T00:00:00"/>
    <x v="0"/>
    <n v="39"/>
    <s v="month"/>
    <n v="29"/>
    <s v="Tuesday"/>
  </r>
  <r>
    <n v="217533118"/>
    <d v="2023-06-21T00:00:00"/>
    <s v="Active"/>
    <x v="0"/>
    <n v="39"/>
    <s v="month"/>
    <s v="Active"/>
    <s v="Wednesday"/>
  </r>
  <r>
    <n v="205128906"/>
    <d v="2023-06-21T00:00:00"/>
    <s v="Active"/>
    <x v="0"/>
    <n v="39"/>
    <s v="month"/>
    <s v="Active"/>
    <s v="Wednesday"/>
  </r>
  <r>
    <n v="205812132"/>
    <d v="2023-06-21T00:00:00"/>
    <s v="Active"/>
    <x v="0"/>
    <n v="39"/>
    <s v="month"/>
    <s v="Active"/>
    <s v="Wednesday"/>
  </r>
  <r>
    <n v="216907554"/>
    <d v="2023-06-21T00:00:00"/>
    <s v="Active"/>
    <x v="0"/>
    <n v="39"/>
    <s v="month"/>
    <s v="Active"/>
    <s v="Wednesday"/>
  </r>
  <r>
    <n v="215113542"/>
    <d v="2023-06-21T00:00:00"/>
    <s v="Active"/>
    <x v="0"/>
    <n v="39"/>
    <s v="month"/>
    <s v="Active"/>
    <s v="Wednesday"/>
  </r>
  <r>
    <n v="204772797"/>
    <d v="2023-06-21T00:00:00"/>
    <s v="Active"/>
    <x v="0"/>
    <n v="39"/>
    <s v="month"/>
    <s v="Active"/>
    <s v="Wednesday"/>
  </r>
  <r>
    <n v="217627630"/>
    <d v="2023-06-21T00:00:00"/>
    <s v="Active"/>
    <x v="0"/>
    <n v="39"/>
    <s v="month"/>
    <s v="Active"/>
    <s v="Wednesday"/>
  </r>
  <r>
    <n v="217635272"/>
    <d v="2023-06-21T00:00:00"/>
    <s v="Active"/>
    <x v="0"/>
    <n v="39"/>
    <s v="month"/>
    <s v="Active"/>
    <s v="Wednesday"/>
  </r>
  <r>
    <n v="217543308"/>
    <d v="2023-06-21T00:00:00"/>
    <d v="2023-06-22T00:00:00"/>
    <x v="0"/>
    <n v="39"/>
    <s v="month"/>
    <n v="1"/>
    <s v="Wednesday"/>
  </r>
  <r>
    <n v="217626870"/>
    <d v="2023-06-21T00:00:00"/>
    <d v="2023-06-22T00:00:00"/>
    <x v="1"/>
    <n v="39"/>
    <s v="month"/>
    <n v="1"/>
    <s v="Wednesday"/>
  </r>
  <r>
    <n v="217246912"/>
    <d v="2023-06-21T00:00:00"/>
    <d v="2023-06-22T00:00:00"/>
    <x v="1"/>
    <n v="39"/>
    <s v="month"/>
    <n v="1"/>
    <s v="Wednesday"/>
  </r>
  <r>
    <n v="217223132"/>
    <d v="2023-06-21T00:00:00"/>
    <d v="2023-08-18T00:00:00"/>
    <x v="0"/>
    <n v="39"/>
    <s v="month"/>
    <n v="58"/>
    <s v="Wednesday"/>
  </r>
  <r>
    <n v="217650160"/>
    <d v="2023-06-21T00:00:00"/>
    <d v="2023-08-10T00:00:00"/>
    <x v="0"/>
    <n v="39"/>
    <s v="month"/>
    <n v="50"/>
    <s v="Wednesday"/>
  </r>
  <r>
    <n v="149856123"/>
    <d v="2023-06-21T00:00:00"/>
    <d v="2023-07-17T00:00:00"/>
    <x v="0"/>
    <n v="39"/>
    <s v="month"/>
    <n v="26"/>
    <s v="Wednesday"/>
  </r>
  <r>
    <n v="217657148"/>
    <d v="2023-06-21T00:00:00"/>
    <d v="2023-06-30T00:00:00"/>
    <x v="0"/>
    <n v="39"/>
    <s v="month"/>
    <n v="9"/>
    <s v="Wednesday"/>
  </r>
  <r>
    <n v="217386658"/>
    <d v="2023-06-21T00:00:00"/>
    <d v="2023-07-25T00:00:00"/>
    <x v="0"/>
    <n v="39"/>
    <s v="month"/>
    <n v="34"/>
    <s v="Wednesday"/>
  </r>
  <r>
    <n v="202563999"/>
    <d v="2023-06-22T00:00:00"/>
    <s v="Active"/>
    <x v="0"/>
    <n v="39"/>
    <s v="month"/>
    <s v="Active"/>
    <s v="Thursday"/>
  </r>
  <r>
    <n v="137195650"/>
    <d v="2023-06-22T00:00:00"/>
    <s v="Active"/>
    <x v="0"/>
    <n v="39"/>
    <s v="month"/>
    <s v="Active"/>
    <s v="Thursday"/>
  </r>
  <r>
    <n v="138372112"/>
    <d v="2023-06-22T00:00:00"/>
    <s v="Active"/>
    <x v="0"/>
    <n v="39"/>
    <s v="month"/>
    <s v="Active"/>
    <s v="Thursday"/>
  </r>
  <r>
    <n v="217692419"/>
    <d v="2023-06-22T00:00:00"/>
    <s v="Active"/>
    <x v="0"/>
    <n v="39"/>
    <s v="month"/>
    <s v="Active"/>
    <s v="Thursday"/>
  </r>
  <r>
    <n v="217610905"/>
    <d v="2023-06-22T00:00:00"/>
    <s v="Active"/>
    <x v="0"/>
    <n v="39"/>
    <s v="month"/>
    <s v="Active"/>
    <s v="Thursday"/>
  </r>
  <r>
    <n v="217618558"/>
    <d v="2023-06-22T00:00:00"/>
    <s v="Active"/>
    <x v="0"/>
    <n v="39"/>
    <s v="month"/>
    <s v="Active"/>
    <s v="Thursday"/>
  </r>
  <r>
    <n v="190490555"/>
    <d v="2023-06-22T00:00:00"/>
    <s v="Active"/>
    <x v="0"/>
    <n v="39"/>
    <s v="month"/>
    <s v="Active"/>
    <s v="Thursday"/>
  </r>
  <r>
    <n v="122169020"/>
    <d v="2023-06-22T00:00:00"/>
    <d v="2023-06-23T00:00:00"/>
    <x v="0"/>
    <n v="39"/>
    <s v="month"/>
    <n v="1"/>
    <s v="Thursday"/>
  </r>
  <r>
    <n v="217628239"/>
    <d v="2023-06-22T00:00:00"/>
    <d v="2023-06-23T00:00:00"/>
    <x v="1"/>
    <n v="39"/>
    <s v="month"/>
    <n v="1"/>
    <s v="Thursday"/>
  </r>
  <r>
    <n v="148062219"/>
    <d v="2023-06-22T00:00:00"/>
    <d v="2023-07-19T00:00:00"/>
    <x v="0"/>
    <n v="39"/>
    <s v="month"/>
    <n v="27"/>
    <s v="Thursday"/>
  </r>
  <r>
    <n v="131505988"/>
    <d v="2023-06-22T00:00:00"/>
    <d v="2023-07-06T00:00:00"/>
    <x v="0"/>
    <n v="39"/>
    <s v="month"/>
    <n v="14"/>
    <s v="Thursday"/>
  </r>
  <r>
    <n v="215489398"/>
    <d v="2023-06-22T00:00:00"/>
    <d v="2023-06-22T00:00:00"/>
    <x v="0"/>
    <n v="39"/>
    <s v="month"/>
    <n v="0"/>
    <s v="Thursday"/>
  </r>
  <r>
    <n v="195285936"/>
    <d v="2023-06-22T00:00:00"/>
    <d v="2023-08-18T00:00:00"/>
    <x v="0"/>
    <n v="39"/>
    <s v="month"/>
    <n v="57"/>
    <s v="Thursday"/>
  </r>
  <r>
    <n v="217725764"/>
    <d v="2023-06-22T00:00:00"/>
    <d v="2023-06-27T00:00:00"/>
    <x v="0"/>
    <n v="39"/>
    <s v="month"/>
    <n v="5"/>
    <s v="Thursday"/>
  </r>
  <r>
    <n v="217730944"/>
    <d v="2023-06-22T00:00:00"/>
    <d v="2023-07-06T00:00:00"/>
    <x v="0"/>
    <n v="39"/>
    <s v="month"/>
    <n v="14"/>
    <s v="Thursday"/>
  </r>
  <r>
    <n v="205548571"/>
    <d v="2023-06-23T00:00:00"/>
    <s v="Active"/>
    <x v="0"/>
    <n v="39"/>
    <s v="month"/>
    <s v="Active"/>
    <s v="Friday"/>
  </r>
  <r>
    <n v="188085249"/>
    <d v="2023-06-23T00:00:00"/>
    <s v="Active"/>
    <x v="0"/>
    <n v="39"/>
    <s v="month"/>
    <s v="Active"/>
    <s v="Friday"/>
  </r>
  <r>
    <n v="206697535"/>
    <d v="2023-06-23T00:00:00"/>
    <s v="Active"/>
    <x v="0"/>
    <n v="39"/>
    <s v="month"/>
    <s v="Active"/>
    <s v="Friday"/>
  </r>
  <r>
    <n v="152705871"/>
    <d v="2023-06-23T00:00:00"/>
    <s v="Active"/>
    <x v="0"/>
    <n v="39"/>
    <s v="month"/>
    <s v="Active"/>
    <s v="Friday"/>
  </r>
  <r>
    <n v="216139584"/>
    <d v="2023-06-23T00:00:00"/>
    <s v="Active"/>
    <x v="0"/>
    <n v="39"/>
    <s v="month"/>
    <s v="Active"/>
    <s v="Friday"/>
  </r>
  <r>
    <n v="127716285"/>
    <d v="2023-06-23T00:00:00"/>
    <s v="Active"/>
    <x v="0"/>
    <n v="39"/>
    <s v="month"/>
    <s v="Active"/>
    <s v="Friday"/>
  </r>
  <r>
    <n v="138535334"/>
    <d v="2023-06-23T00:00:00"/>
    <d v="2023-08-23T00:00:00"/>
    <x v="0"/>
    <n v="39"/>
    <s v="month"/>
    <n v="61"/>
    <s v="Friday"/>
  </r>
  <r>
    <n v="205869717"/>
    <d v="2023-06-23T00:00:00"/>
    <d v="2023-08-30T00:00:00"/>
    <x v="0"/>
    <n v="39"/>
    <s v="month"/>
    <n v="68"/>
    <s v="Friday"/>
  </r>
  <r>
    <n v="204985013"/>
    <d v="2023-06-23T00:00:00"/>
    <d v="2023-08-12T00:00:00"/>
    <x v="0"/>
    <n v="39"/>
    <s v="month"/>
    <n v="50"/>
    <s v="Friday"/>
  </r>
  <r>
    <n v="217763600"/>
    <d v="2023-06-24T00:00:00"/>
    <s v="Active"/>
    <x v="0"/>
    <n v="39"/>
    <s v="month"/>
    <s v="Active"/>
    <s v="Saturday"/>
  </r>
  <r>
    <n v="217808731"/>
    <d v="2023-06-24T00:00:00"/>
    <d v="2023-06-25T00:00:00"/>
    <x v="1"/>
    <n v="39"/>
    <s v="month"/>
    <n v="1"/>
    <s v="Saturday"/>
  </r>
  <r>
    <n v="217822232"/>
    <d v="2023-06-24T00:00:00"/>
    <d v="2023-08-05T00:00:00"/>
    <x v="0"/>
    <n v="39"/>
    <s v="month"/>
    <n v="42"/>
    <s v="Saturday"/>
  </r>
  <r>
    <n v="217718093"/>
    <d v="2023-06-25T00:00:00"/>
    <s v="Active"/>
    <x v="0"/>
    <n v="39"/>
    <s v="month"/>
    <s v="Active"/>
    <s v="Sunday"/>
  </r>
  <r>
    <n v="217555660"/>
    <d v="2023-06-25T00:00:00"/>
    <s v="Active"/>
    <x v="0"/>
    <n v="39"/>
    <s v="month"/>
    <s v="Active"/>
    <s v="Sunday"/>
  </r>
  <r>
    <n v="154535908"/>
    <d v="2023-06-25T00:00:00"/>
    <s v="Active"/>
    <x v="0"/>
    <n v="39"/>
    <s v="month"/>
    <s v="Active"/>
    <s v="Sunday"/>
  </r>
  <r>
    <n v="217554744"/>
    <d v="2023-06-25T00:00:00"/>
    <d v="2023-08-01T00:00:00"/>
    <x v="0"/>
    <n v="39"/>
    <s v="month"/>
    <n v="37"/>
    <s v="Sunday"/>
  </r>
  <r>
    <n v="217877324"/>
    <d v="2023-06-25T00:00:00"/>
    <d v="2023-06-25T00:00:00"/>
    <x v="0"/>
    <n v="39"/>
    <s v="month"/>
    <n v="0"/>
    <s v="Sunday"/>
  </r>
  <r>
    <n v="147765298"/>
    <d v="2023-06-26T00:00:00"/>
    <s v="Active"/>
    <x v="0"/>
    <n v="39"/>
    <s v="month"/>
    <s v="Active"/>
    <s v="Monday"/>
  </r>
  <r>
    <n v="217901196"/>
    <d v="2023-06-26T00:00:00"/>
    <s v="Active"/>
    <x v="0"/>
    <n v="39"/>
    <s v="month"/>
    <s v="Active"/>
    <s v="Monday"/>
  </r>
  <r>
    <n v="217266939"/>
    <d v="2023-06-26T00:00:00"/>
    <s v="Active"/>
    <x v="0"/>
    <n v="39"/>
    <s v="month"/>
    <s v="Active"/>
    <s v="Monday"/>
  </r>
  <r>
    <n v="204908076"/>
    <d v="2023-06-26T00:00:00"/>
    <s v="Active"/>
    <x v="0"/>
    <n v="39"/>
    <s v="month"/>
    <s v="Active"/>
    <s v="Monday"/>
  </r>
  <r>
    <n v="217698784"/>
    <d v="2023-06-26T00:00:00"/>
    <s v="Active"/>
    <x v="0"/>
    <n v="39"/>
    <s v="month"/>
    <s v="Active"/>
    <s v="Monday"/>
  </r>
  <r>
    <n v="217909024"/>
    <d v="2023-06-26T00:00:00"/>
    <s v="Active"/>
    <x v="0"/>
    <n v="39"/>
    <s v="month"/>
    <s v="Active"/>
    <s v="Monday"/>
  </r>
  <r>
    <n v="201498671"/>
    <d v="2023-06-26T00:00:00"/>
    <s v="Active"/>
    <x v="0"/>
    <n v="39"/>
    <s v="month"/>
    <s v="Active"/>
    <s v="Monday"/>
  </r>
  <r>
    <n v="217902650"/>
    <d v="2023-06-26T00:00:00"/>
    <s v="Active"/>
    <x v="0"/>
    <n v="39"/>
    <s v="month"/>
    <s v="Active"/>
    <s v="Monday"/>
  </r>
  <r>
    <n v="217896282"/>
    <d v="2023-06-26T00:00:00"/>
    <s v="Active"/>
    <x v="0"/>
    <n v="39"/>
    <s v="month"/>
    <s v="Active"/>
    <s v="Monday"/>
  </r>
  <r>
    <n v="217337901"/>
    <d v="2023-06-26T00:00:00"/>
    <s v="Active"/>
    <x v="0"/>
    <n v="39"/>
    <s v="month"/>
    <s v="Active"/>
    <s v="Monday"/>
  </r>
  <r>
    <n v="217477535"/>
    <d v="2023-06-26T00:00:00"/>
    <s v="Active"/>
    <x v="0"/>
    <n v="39"/>
    <s v="month"/>
    <s v="Active"/>
    <s v="Monday"/>
  </r>
  <r>
    <n v="217885621"/>
    <d v="2023-06-26T00:00:00"/>
    <s v="Active"/>
    <x v="0"/>
    <n v="39"/>
    <s v="month"/>
    <s v="Active"/>
    <s v="Monday"/>
  </r>
  <r>
    <n v="217714764"/>
    <d v="2023-06-26T00:00:00"/>
    <s v="Active"/>
    <x v="0"/>
    <n v="39"/>
    <s v="month"/>
    <s v="Active"/>
    <s v="Monday"/>
  </r>
  <r>
    <n v="217335548"/>
    <d v="2023-06-26T00:00:00"/>
    <d v="2023-09-06T00:00:00"/>
    <x v="0"/>
    <n v="39"/>
    <s v="month"/>
    <n v="72"/>
    <s v="Monday"/>
  </r>
  <r>
    <n v="129747676"/>
    <d v="2023-06-26T00:00:00"/>
    <d v="2023-06-27T00:00:00"/>
    <x v="0"/>
    <n v="39"/>
    <s v="month"/>
    <n v="1"/>
    <s v="Monday"/>
  </r>
  <r>
    <n v="217846698"/>
    <d v="2023-06-26T00:00:00"/>
    <d v="2023-06-27T00:00:00"/>
    <x v="1"/>
    <n v="39"/>
    <s v="month"/>
    <n v="1"/>
    <s v="Monday"/>
  </r>
  <r>
    <n v="217965791"/>
    <d v="2023-06-27T00:00:00"/>
    <s v="Active"/>
    <x v="0"/>
    <n v="39"/>
    <s v="month"/>
    <s v="Active"/>
    <s v="Tuesday"/>
  </r>
  <r>
    <n v="217851124"/>
    <d v="2023-06-27T00:00:00"/>
    <s v="Active"/>
    <x v="0"/>
    <n v="39"/>
    <s v="month"/>
    <s v="Active"/>
    <s v="Tuesday"/>
  </r>
  <r>
    <n v="217861903"/>
    <d v="2023-06-27T00:00:00"/>
    <s v="Active"/>
    <x v="0"/>
    <n v="39"/>
    <s v="month"/>
    <s v="Active"/>
    <s v="Tuesday"/>
  </r>
  <r>
    <n v="217660423"/>
    <d v="2023-06-27T00:00:00"/>
    <s v="Active"/>
    <x v="0"/>
    <n v="39"/>
    <s v="month"/>
    <s v="Active"/>
    <s v="Tuesday"/>
  </r>
  <r>
    <n v="217814342"/>
    <d v="2023-06-27T00:00:00"/>
    <s v="Active"/>
    <x v="0"/>
    <n v="39"/>
    <s v="month"/>
    <s v="Active"/>
    <s v="Tuesday"/>
  </r>
  <r>
    <n v="157548765"/>
    <d v="2023-06-27T00:00:00"/>
    <d v="2023-06-28T00:00:00"/>
    <x v="1"/>
    <n v="39"/>
    <s v="month"/>
    <n v="1"/>
    <s v="Tuesday"/>
  </r>
  <r>
    <n v="217934288"/>
    <d v="2023-06-27T00:00:00"/>
    <d v="2023-06-28T00:00:00"/>
    <x v="1"/>
    <n v="39"/>
    <s v="month"/>
    <n v="1"/>
    <s v="Tuesday"/>
  </r>
  <r>
    <n v="217855786"/>
    <d v="2023-06-27T00:00:00"/>
    <d v="2023-06-28T00:00:00"/>
    <x v="1"/>
    <n v="39"/>
    <s v="month"/>
    <n v="1"/>
    <s v="Tuesday"/>
  </r>
  <r>
    <n v="131753677"/>
    <d v="2023-06-27T00:00:00"/>
    <d v="2023-08-15T00:00:00"/>
    <x v="0"/>
    <n v="39"/>
    <s v="month"/>
    <n v="49"/>
    <s v="Tuesday"/>
  </r>
  <r>
    <n v="215963364"/>
    <d v="2023-06-27T00:00:00"/>
    <d v="2023-09-03T00:00:00"/>
    <x v="0"/>
    <n v="39"/>
    <s v="month"/>
    <n v="68"/>
    <s v="Tuesday"/>
  </r>
  <r>
    <n v="217971206"/>
    <d v="2023-06-27T00:00:00"/>
    <d v="2023-07-18T00:00:00"/>
    <x v="0"/>
    <n v="39"/>
    <s v="month"/>
    <n v="21"/>
    <s v="Tuesday"/>
  </r>
  <r>
    <n v="217943053"/>
    <d v="2023-06-27T00:00:00"/>
    <d v="2023-07-17T00:00:00"/>
    <x v="0"/>
    <n v="39"/>
    <s v="month"/>
    <n v="20"/>
    <s v="Tuesday"/>
  </r>
  <r>
    <n v="218004764"/>
    <d v="2023-06-28T00:00:00"/>
    <s v="Active"/>
    <x v="0"/>
    <n v="39"/>
    <s v="month"/>
    <s v="Active"/>
    <s v="Wednesday"/>
  </r>
  <r>
    <n v="217768772"/>
    <d v="2023-06-28T00:00:00"/>
    <s v="Active"/>
    <x v="0"/>
    <n v="39"/>
    <s v="month"/>
    <s v="Active"/>
    <s v="Wednesday"/>
  </r>
  <r>
    <n v="216775344"/>
    <d v="2023-06-28T00:00:00"/>
    <s v="Active"/>
    <x v="0"/>
    <n v="39"/>
    <s v="month"/>
    <s v="Active"/>
    <s v="Wednesday"/>
  </r>
  <r>
    <n v="135364787"/>
    <d v="2023-06-28T00:00:00"/>
    <s v="Active"/>
    <x v="0"/>
    <n v="39"/>
    <s v="month"/>
    <s v="Active"/>
    <s v="Wednesday"/>
  </r>
  <r>
    <n v="148107179"/>
    <d v="2023-06-28T00:00:00"/>
    <d v="2023-08-04T00:00:00"/>
    <x v="0"/>
    <n v="39"/>
    <s v="month"/>
    <n v="37"/>
    <s v="Wednesday"/>
  </r>
  <r>
    <n v="215904194"/>
    <d v="2023-06-28T00:00:00"/>
    <d v="2023-07-22T00:00:00"/>
    <x v="0"/>
    <n v="39"/>
    <s v="month"/>
    <n v="24"/>
    <s v="Wednesday"/>
  </r>
  <r>
    <n v="217988577"/>
    <d v="2023-06-28T00:00:00"/>
    <d v="2023-07-26T00:00:00"/>
    <x v="0"/>
    <n v="39"/>
    <s v="month"/>
    <n v="28"/>
    <s v="Wednesday"/>
  </r>
  <r>
    <n v="146124679"/>
    <d v="2023-06-28T00:00:00"/>
    <d v="2023-07-28T00:00:00"/>
    <x v="0"/>
    <n v="39"/>
    <s v="month"/>
    <n v="30"/>
    <s v="Wednesday"/>
  </r>
  <r>
    <n v="217819772"/>
    <d v="2023-06-29T00:00:00"/>
    <s v="Active"/>
    <x v="0"/>
    <n v="39"/>
    <s v="month"/>
    <s v="Active"/>
    <s v="Thursday"/>
  </r>
  <r>
    <n v="217996629"/>
    <d v="2023-06-29T00:00:00"/>
    <s v="Active"/>
    <x v="0"/>
    <n v="39"/>
    <s v="month"/>
    <s v="Active"/>
    <s v="Thursday"/>
  </r>
  <r>
    <n v="152621756"/>
    <d v="2023-06-29T00:00:00"/>
    <s v="Active"/>
    <x v="0"/>
    <n v="39"/>
    <s v="month"/>
    <s v="Active"/>
    <s v="Thursday"/>
  </r>
  <r>
    <n v="218006807"/>
    <d v="2023-06-29T00:00:00"/>
    <s v="Active"/>
    <x v="0"/>
    <n v="39"/>
    <s v="month"/>
    <s v="Active"/>
    <s v="Thursday"/>
  </r>
  <r>
    <n v="218045202"/>
    <d v="2023-06-29T00:00:00"/>
    <d v="2023-08-29T00:00:00"/>
    <x v="0"/>
    <n v="39"/>
    <s v="month"/>
    <n v="61"/>
    <s v="Thursday"/>
  </r>
  <r>
    <n v="122215146"/>
    <d v="2023-06-29T00:00:00"/>
    <d v="2023-08-13T00:00:00"/>
    <x v="0"/>
    <n v="39"/>
    <s v="month"/>
    <n v="45"/>
    <s v="Thursday"/>
  </r>
  <r>
    <n v="218003864"/>
    <d v="2023-06-29T00:00:00"/>
    <d v="2023-07-28T00:00:00"/>
    <x v="0"/>
    <n v="39"/>
    <s v="month"/>
    <n v="29"/>
    <s v="Thursday"/>
  </r>
  <r>
    <n v="218088770"/>
    <d v="2023-06-30T00:00:00"/>
    <s v="Active"/>
    <x v="0"/>
    <n v="39"/>
    <s v="month"/>
    <s v="Active"/>
    <s v="Friday"/>
  </r>
  <r>
    <n v="217856893"/>
    <d v="2023-06-30T00:00:00"/>
    <s v="Active"/>
    <x v="0"/>
    <n v="39"/>
    <s v="month"/>
    <s v="Active"/>
    <s v="Friday"/>
  </r>
  <r>
    <n v="156054912"/>
    <d v="2023-06-30T00:00:00"/>
    <s v="Active"/>
    <x v="0"/>
    <n v="39"/>
    <s v="month"/>
    <s v="Active"/>
    <s v="Friday"/>
  </r>
  <r>
    <n v="218059054"/>
    <d v="2023-06-30T00:00:00"/>
    <s v="Active"/>
    <x v="0"/>
    <n v="39"/>
    <s v="month"/>
    <s v="Active"/>
    <s v="Friday"/>
  </r>
  <r>
    <n v="218074245"/>
    <d v="2023-06-30T00:00:00"/>
    <s v="Active"/>
    <x v="0"/>
    <n v="39"/>
    <s v="month"/>
    <s v="Active"/>
    <s v="Friday"/>
  </r>
  <r>
    <n v="204774586"/>
    <d v="2023-06-30T00:00:00"/>
    <s v="Active"/>
    <x v="0"/>
    <n v="39"/>
    <s v="month"/>
    <s v="Active"/>
    <s v="Friday"/>
  </r>
  <r>
    <n v="215941440"/>
    <d v="2023-06-30T00:00:00"/>
    <s v="Active"/>
    <x v="0"/>
    <n v="39"/>
    <s v="month"/>
    <s v="Active"/>
    <s v="Friday"/>
  </r>
  <r>
    <n v="205547323"/>
    <d v="2023-06-30T00:00:00"/>
    <s v="Active"/>
    <x v="1"/>
    <n v="39"/>
    <s v="month"/>
    <s v="Active"/>
    <s v="Friday"/>
  </r>
  <r>
    <n v="140062581"/>
    <d v="2023-06-30T00:00:00"/>
    <s v="Active"/>
    <x v="0"/>
    <n v="39"/>
    <s v="month"/>
    <s v="Active"/>
    <s v="Friday"/>
  </r>
  <r>
    <n v="217932519"/>
    <d v="2023-06-30T00:00:00"/>
    <d v="2023-07-01T00:00:00"/>
    <x v="0"/>
    <n v="39"/>
    <s v="month"/>
    <n v="1"/>
    <s v="Friday"/>
  </r>
  <r>
    <n v="217982048"/>
    <d v="2023-06-30T00:00:00"/>
    <d v="2023-07-01T00:00:00"/>
    <x v="1"/>
    <n v="39"/>
    <s v="month"/>
    <n v="1"/>
    <s v="Friday"/>
  </r>
  <r>
    <n v="218066467"/>
    <d v="2023-06-30T00:00:00"/>
    <d v="2023-08-31T00:00:00"/>
    <x v="0"/>
    <n v="39"/>
    <s v="month"/>
    <n v="62"/>
    <s v="Friday"/>
  </r>
  <r>
    <n v="218046034"/>
    <d v="2023-06-30T00:00:00"/>
    <d v="2023-09-06T00:00:00"/>
    <x v="0"/>
    <n v="39"/>
    <s v="month"/>
    <n v="68"/>
    <s v="Friday"/>
  </r>
  <r>
    <n v="217697744"/>
    <d v="2023-06-30T00:00:00"/>
    <d v="2023-07-27T00:00:00"/>
    <x v="0"/>
    <n v="39"/>
    <s v="month"/>
    <n v="27"/>
    <s v="Friday"/>
  </r>
  <r>
    <n v="217942738"/>
    <d v="2023-07-01T00:00:00"/>
    <s v="Active"/>
    <x v="0"/>
    <n v="39"/>
    <s v="month"/>
    <s v="Active"/>
    <s v="Saturday"/>
  </r>
  <r>
    <n v="218133628"/>
    <d v="2023-07-01T00:00:00"/>
    <s v="Active"/>
    <x v="0"/>
    <n v="39"/>
    <s v="month"/>
    <s v="Active"/>
    <s v="Saturday"/>
  </r>
  <r>
    <n v="118508852"/>
    <d v="2023-07-01T00:00:00"/>
    <s v="Active"/>
    <x v="0"/>
    <n v="39"/>
    <s v="month"/>
    <s v="Active"/>
    <s v="Saturday"/>
  </r>
  <r>
    <n v="218120267"/>
    <d v="2023-07-01T00:00:00"/>
    <s v="Active"/>
    <x v="0"/>
    <n v="39"/>
    <s v="month"/>
    <s v="Active"/>
    <s v="Saturday"/>
  </r>
  <r>
    <n v="218095541"/>
    <d v="2023-07-01T00:00:00"/>
    <s v="Active"/>
    <x v="0"/>
    <n v="39"/>
    <s v="month"/>
    <s v="Active"/>
    <s v="Saturday"/>
  </r>
  <r>
    <n v="217626801"/>
    <d v="2023-07-01T00:00:00"/>
    <s v="Active"/>
    <x v="0"/>
    <n v="39"/>
    <s v="month"/>
    <s v="Active"/>
    <s v="Saturday"/>
  </r>
  <r>
    <n v="151555660"/>
    <d v="2023-07-01T00:00:00"/>
    <d v="2023-08-31T00:00:00"/>
    <x v="0"/>
    <n v="39"/>
    <s v="month"/>
    <n v="61"/>
    <s v="Saturday"/>
  </r>
  <r>
    <n v="217110820"/>
    <d v="2023-07-01T00:00:00"/>
    <d v="2023-08-04T00:00:00"/>
    <x v="0"/>
    <n v="39"/>
    <s v="month"/>
    <n v="34"/>
    <s v="Saturday"/>
  </r>
  <r>
    <n v="217932519"/>
    <d v="2023-07-01T00:00:00"/>
    <d v="2023-08-31T00:00:00"/>
    <x v="0"/>
    <n v="39"/>
    <s v="month"/>
    <n v="61"/>
    <s v="Saturday"/>
  </r>
  <r>
    <n v="218164848"/>
    <d v="2023-07-02T00:00:00"/>
    <s v="Active"/>
    <x v="0"/>
    <n v="39"/>
    <s v="month"/>
    <s v="Active"/>
    <s v="Sunday"/>
  </r>
  <r>
    <n v="217526484"/>
    <d v="2023-07-02T00:00:00"/>
    <s v="Active"/>
    <x v="0"/>
    <n v="39"/>
    <s v="month"/>
    <s v="Active"/>
    <s v="Sunday"/>
  </r>
  <r>
    <n v="214940948"/>
    <d v="2023-07-02T00:00:00"/>
    <s v="Active"/>
    <x v="0"/>
    <n v="39"/>
    <s v="month"/>
    <s v="Active"/>
    <s v="Sunday"/>
  </r>
  <r>
    <n v="218144586"/>
    <d v="2023-07-02T00:00:00"/>
    <s v="Active"/>
    <x v="0"/>
    <n v="39"/>
    <s v="month"/>
    <s v="Active"/>
    <s v="Sunday"/>
  </r>
  <r>
    <n v="217863596"/>
    <d v="2023-07-02T00:00:00"/>
    <d v="2023-08-20T00:00:00"/>
    <x v="0"/>
    <n v="39"/>
    <s v="month"/>
    <n v="49"/>
    <s v="Sunday"/>
  </r>
  <r>
    <n v="218098580"/>
    <d v="2023-07-02T00:00:00"/>
    <d v="2023-08-30T00:00:00"/>
    <x v="0"/>
    <n v="39"/>
    <s v="month"/>
    <n v="59"/>
    <s v="Sunday"/>
  </r>
  <r>
    <n v="215602271"/>
    <d v="2023-07-02T00:00:00"/>
    <d v="2023-07-27T00:00:00"/>
    <x v="0"/>
    <n v="39"/>
    <s v="month"/>
    <n v="25"/>
    <s v="Sunday"/>
  </r>
  <r>
    <n v="218202086"/>
    <d v="2023-07-03T00:00:00"/>
    <s v="Active"/>
    <x v="0"/>
    <n v="39"/>
    <s v="month"/>
    <s v="Active"/>
    <s v="Monday"/>
  </r>
  <r>
    <n v="217927897"/>
    <d v="2023-07-03T00:00:00"/>
    <s v="Active"/>
    <x v="0"/>
    <n v="39"/>
    <s v="month"/>
    <s v="Active"/>
    <s v="Monday"/>
  </r>
  <r>
    <n v="217856402"/>
    <d v="2023-07-03T00:00:00"/>
    <s v="Active"/>
    <x v="0"/>
    <n v="39"/>
    <s v="month"/>
    <s v="Active"/>
    <s v="Monday"/>
  </r>
  <r>
    <n v="217588559"/>
    <d v="2023-07-03T00:00:00"/>
    <s v="Active"/>
    <x v="0"/>
    <n v="39"/>
    <s v="month"/>
    <s v="Active"/>
    <s v="Monday"/>
  </r>
  <r>
    <n v="212136438"/>
    <d v="2023-07-03T00:00:00"/>
    <s v="Active"/>
    <x v="0"/>
    <n v="39"/>
    <s v="month"/>
    <s v="Active"/>
    <s v="Monday"/>
  </r>
  <r>
    <n v="138548670"/>
    <d v="2023-07-03T00:00:00"/>
    <s v="Active"/>
    <x v="0"/>
    <n v="39"/>
    <s v="month"/>
    <s v="Active"/>
    <s v="Monday"/>
  </r>
  <r>
    <n v="217588559"/>
    <d v="2023-07-03T00:00:00"/>
    <d v="2023-07-03T00:00:00"/>
    <x v="0"/>
    <n v="39"/>
    <s v="month"/>
    <n v="0"/>
    <s v="Monday"/>
  </r>
  <r>
    <n v="171893540"/>
    <d v="2023-07-03T00:00:00"/>
    <d v="2023-08-20T00:00:00"/>
    <x v="0"/>
    <n v="39"/>
    <s v="month"/>
    <n v="48"/>
    <s v="Monday"/>
  </r>
  <r>
    <n v="202412363"/>
    <d v="2023-07-03T00:00:00"/>
    <d v="2023-07-22T00:00:00"/>
    <x v="0"/>
    <n v="39"/>
    <s v="month"/>
    <n v="19"/>
    <s v="Monday"/>
  </r>
  <r>
    <n v="218129311"/>
    <d v="2023-07-03T00:00:00"/>
    <d v="2023-08-10T00:00:00"/>
    <x v="0"/>
    <n v="39"/>
    <s v="month"/>
    <n v="38"/>
    <s v="Monday"/>
  </r>
  <r>
    <n v="218092565"/>
    <d v="2023-07-03T00:00:00"/>
    <d v="2023-08-10T00:00:00"/>
    <x v="0"/>
    <n v="39"/>
    <s v="month"/>
    <n v="38"/>
    <s v="Monday"/>
  </r>
  <r>
    <n v="150436862"/>
    <d v="2023-07-04T00:00:00"/>
    <s v="Active"/>
    <x v="0"/>
    <n v="39"/>
    <s v="month"/>
    <s v="Active"/>
    <s v="Tuesday"/>
  </r>
  <r>
    <n v="218211840"/>
    <d v="2023-07-04T00:00:00"/>
    <s v="Active"/>
    <x v="0"/>
    <n v="39"/>
    <s v="month"/>
    <s v="Active"/>
    <s v="Tuesday"/>
  </r>
  <r>
    <n v="218235209"/>
    <d v="2023-07-04T00:00:00"/>
    <s v="Active"/>
    <x v="0"/>
    <n v="39"/>
    <s v="month"/>
    <s v="Active"/>
    <s v="Tuesday"/>
  </r>
  <r>
    <n v="132631414"/>
    <d v="2023-07-04T00:00:00"/>
    <s v="Active"/>
    <x v="0"/>
    <n v="39"/>
    <s v="month"/>
    <s v="Active"/>
    <s v="Tuesday"/>
  </r>
  <r>
    <n v="218254260"/>
    <d v="2023-07-04T00:00:00"/>
    <s v="Active"/>
    <x v="0"/>
    <n v="39"/>
    <s v="month"/>
    <s v="Active"/>
    <s v="Tuesday"/>
  </r>
  <r>
    <n v="218095604"/>
    <d v="2023-07-04T00:00:00"/>
    <s v="Active"/>
    <x v="0"/>
    <n v="39"/>
    <s v="month"/>
    <s v="Active"/>
    <s v="Tuesday"/>
  </r>
  <r>
    <n v="147845964"/>
    <d v="2023-07-04T00:00:00"/>
    <d v="2023-07-04T00:00:00"/>
    <x v="0"/>
    <n v="39"/>
    <s v="month"/>
    <n v="0"/>
    <s v="Tuesday"/>
  </r>
  <r>
    <n v="218242871"/>
    <d v="2023-07-04T00:00:00"/>
    <d v="2023-08-04T00:00:00"/>
    <x v="0"/>
    <n v="39"/>
    <s v="month"/>
    <n v="31"/>
    <s v="Tuesday"/>
  </r>
  <r>
    <n v="218238016"/>
    <d v="2023-07-04T00:00:00"/>
    <d v="2023-09-03T00:00:00"/>
    <x v="0"/>
    <n v="39"/>
    <s v="month"/>
    <n v="61"/>
    <s v="Tuesday"/>
  </r>
  <r>
    <n v="217387951"/>
    <d v="2023-07-04T00:00:00"/>
    <d v="2023-08-04T00:00:00"/>
    <x v="0"/>
    <n v="39"/>
    <s v="month"/>
    <n v="31"/>
    <s v="Tuesday"/>
  </r>
  <r>
    <n v="218236754"/>
    <d v="2023-07-04T00:00:00"/>
    <d v="2023-07-11T00:00:00"/>
    <x v="0"/>
    <n v="39"/>
    <s v="month"/>
    <n v="7"/>
    <s v="Tuesday"/>
  </r>
  <r>
    <n v="218307564"/>
    <d v="2023-07-05T00:00:00"/>
    <s v="Active"/>
    <x v="0"/>
    <n v="39"/>
    <s v="month"/>
    <s v="Active"/>
    <s v="Wednesday"/>
  </r>
  <r>
    <n v="150521180"/>
    <d v="2023-07-05T00:00:00"/>
    <s v="Active"/>
    <x v="0"/>
    <n v="39"/>
    <s v="month"/>
    <s v="Active"/>
    <s v="Wednesday"/>
  </r>
  <r>
    <n v="135240372"/>
    <d v="2023-07-05T00:00:00"/>
    <s v="Active"/>
    <x v="0"/>
    <n v="39"/>
    <s v="month"/>
    <s v="Active"/>
    <s v="Wednesday"/>
  </r>
  <r>
    <n v="218275834"/>
    <d v="2023-07-05T00:00:00"/>
    <s v="Active"/>
    <x v="0"/>
    <n v="39"/>
    <s v="month"/>
    <s v="Active"/>
    <s v="Wednesday"/>
  </r>
  <r>
    <n v="218028076"/>
    <d v="2023-07-05T00:00:00"/>
    <s v="Active"/>
    <x v="0"/>
    <n v="39"/>
    <s v="month"/>
    <s v="Active"/>
    <s v="Wednesday"/>
  </r>
  <r>
    <n v="164254865"/>
    <d v="2023-07-05T00:00:00"/>
    <s v="Active"/>
    <x v="0"/>
    <n v="39"/>
    <s v="month"/>
    <s v="Active"/>
    <s v="Wednesday"/>
  </r>
  <r>
    <n v="218274904"/>
    <d v="2023-07-05T00:00:00"/>
    <d v="2023-07-06T00:00:00"/>
    <x v="1"/>
    <n v="39"/>
    <s v="month"/>
    <n v="1"/>
    <s v="Wednesday"/>
  </r>
  <r>
    <n v="208473540"/>
    <d v="2023-07-05T00:00:00"/>
    <d v="2023-09-08T00:00:00"/>
    <x v="0"/>
    <n v="39"/>
    <s v="month"/>
    <n v="65"/>
    <s v="Wednesday"/>
  </r>
  <r>
    <n v="218233516"/>
    <d v="2023-07-05T00:00:00"/>
    <d v="2023-08-08T00:00:00"/>
    <x v="0"/>
    <n v="39"/>
    <s v="month"/>
    <n v="34"/>
    <s v="Wednesday"/>
  </r>
  <r>
    <n v="218261606"/>
    <d v="2023-07-05T00:00:00"/>
    <d v="2023-08-17T00:00:00"/>
    <x v="0"/>
    <n v="39"/>
    <s v="month"/>
    <n v="43"/>
    <s v="Wednesday"/>
  </r>
  <r>
    <n v="218289472"/>
    <d v="2023-07-05T00:00:00"/>
    <d v="2023-07-06T00:00:00"/>
    <x v="0"/>
    <n v="39"/>
    <s v="month"/>
    <n v="1"/>
    <s v="Wednesday"/>
  </r>
  <r>
    <n v="215946425"/>
    <d v="2023-07-05T00:00:00"/>
    <d v="2023-07-29T00:00:00"/>
    <x v="0"/>
    <n v="39"/>
    <s v="month"/>
    <n v="24"/>
    <s v="Wednesday"/>
  </r>
  <r>
    <n v="218284850"/>
    <d v="2023-07-05T00:00:00"/>
    <d v="2023-07-29T00:00:00"/>
    <x v="0"/>
    <n v="39"/>
    <s v="month"/>
    <n v="24"/>
    <s v="Wednesday"/>
  </r>
  <r>
    <n v="202151053"/>
    <d v="2023-07-06T00:00:00"/>
    <s v="Active"/>
    <x v="0"/>
    <n v="39"/>
    <s v="month"/>
    <s v="Active"/>
    <s v="Thursday"/>
  </r>
  <r>
    <n v="112301350"/>
    <d v="2023-07-06T00:00:00"/>
    <s v="Active"/>
    <x v="0"/>
    <n v="39"/>
    <s v="month"/>
    <s v="Active"/>
    <s v="Thursday"/>
  </r>
  <r>
    <n v="218300918"/>
    <d v="2023-07-06T00:00:00"/>
    <s v="Active"/>
    <x v="0"/>
    <n v="39"/>
    <s v="month"/>
    <s v="Active"/>
    <s v="Thursday"/>
  </r>
  <r>
    <n v="205452800"/>
    <d v="2023-07-06T00:00:00"/>
    <s v="Active"/>
    <x v="0"/>
    <n v="39"/>
    <s v="month"/>
    <s v="Active"/>
    <s v="Thursday"/>
  </r>
  <r>
    <n v="218278300"/>
    <d v="2023-07-06T00:00:00"/>
    <s v="Active"/>
    <x v="0"/>
    <n v="39"/>
    <s v="month"/>
    <s v="Active"/>
    <s v="Thursday"/>
  </r>
  <r>
    <n v="216920844"/>
    <d v="2023-07-06T00:00:00"/>
    <s v="Active"/>
    <x v="0"/>
    <n v="39"/>
    <s v="month"/>
    <s v="Active"/>
    <s v="Thursday"/>
  </r>
  <r>
    <n v="127100688"/>
    <d v="2023-07-06T00:00:00"/>
    <d v="2023-08-02T00:00:00"/>
    <x v="0"/>
    <n v="39"/>
    <s v="month"/>
    <n v="27"/>
    <s v="Thursday"/>
  </r>
  <r>
    <n v="218345379"/>
    <d v="2023-07-06T00:00:00"/>
    <d v="2023-08-13T00:00:00"/>
    <x v="0"/>
    <n v="39"/>
    <s v="month"/>
    <n v="38"/>
    <s v="Thursday"/>
  </r>
  <r>
    <n v="183507186"/>
    <d v="2023-07-06T00:00:00"/>
    <d v="2023-08-06T00:00:00"/>
    <x v="0"/>
    <n v="39"/>
    <s v="month"/>
    <n v="31"/>
    <s v="Thursday"/>
  </r>
  <r>
    <n v="218133430"/>
    <d v="2023-07-07T00:00:00"/>
    <s v="Active"/>
    <x v="0"/>
    <n v="39"/>
    <s v="month"/>
    <s v="Active"/>
    <s v="Friday"/>
  </r>
  <r>
    <n v="147813476"/>
    <d v="2023-07-07T00:00:00"/>
    <s v="Active"/>
    <x v="0"/>
    <n v="39"/>
    <s v="month"/>
    <s v="Active"/>
    <s v="Friday"/>
  </r>
  <r>
    <n v="218375754"/>
    <d v="2023-07-07T00:00:00"/>
    <s v="Active"/>
    <x v="0"/>
    <n v="39"/>
    <s v="month"/>
    <s v="Active"/>
    <s v="Friday"/>
  </r>
  <r>
    <n v="216000482"/>
    <d v="2023-07-07T00:00:00"/>
    <s v="Active"/>
    <x v="0"/>
    <n v="39"/>
    <s v="month"/>
    <s v="Active"/>
    <s v="Friday"/>
  </r>
  <r>
    <n v="161549477"/>
    <d v="2023-07-07T00:00:00"/>
    <s v="Active"/>
    <x v="0"/>
    <n v="39"/>
    <s v="month"/>
    <s v="Active"/>
    <s v="Friday"/>
  </r>
  <r>
    <n v="133444654"/>
    <d v="2023-07-07T00:00:00"/>
    <d v="2023-07-10T00:00:00"/>
    <x v="0"/>
    <n v="39"/>
    <s v="month"/>
    <n v="3"/>
    <s v="Friday"/>
  </r>
  <r>
    <n v="217883594"/>
    <d v="2023-07-07T00:00:00"/>
    <d v="2023-07-27T00:00:00"/>
    <x v="0"/>
    <n v="39"/>
    <s v="month"/>
    <n v="20"/>
    <s v="Friday"/>
  </r>
  <r>
    <n v="197752733"/>
    <d v="2023-07-08T00:00:00"/>
    <s v="Active"/>
    <x v="0"/>
    <n v="39"/>
    <s v="month"/>
    <s v="Active"/>
    <s v="Saturday"/>
  </r>
  <r>
    <n v="175884318"/>
    <d v="2023-07-08T00:00:00"/>
    <s v="Active"/>
    <x v="0"/>
    <n v="39"/>
    <s v="month"/>
    <s v="Active"/>
    <s v="Saturday"/>
  </r>
  <r>
    <n v="218413958"/>
    <d v="2023-07-08T00:00:00"/>
    <s v="Active"/>
    <x v="0"/>
    <n v="39"/>
    <s v="month"/>
    <s v="Active"/>
    <s v="Saturday"/>
  </r>
  <r>
    <n v="218434925"/>
    <d v="2023-07-08T00:00:00"/>
    <s v="Active"/>
    <x v="0"/>
    <n v="39"/>
    <s v="month"/>
    <s v="Active"/>
    <s v="Saturday"/>
  </r>
  <r>
    <n v="156817946"/>
    <d v="2023-07-08T00:00:00"/>
    <s v="Active"/>
    <x v="0"/>
    <n v="39"/>
    <s v="month"/>
    <s v="Active"/>
    <s v="Saturday"/>
  </r>
  <r>
    <n v="218427268"/>
    <d v="2023-07-08T00:00:00"/>
    <s v="Active"/>
    <x v="0"/>
    <n v="39"/>
    <s v="month"/>
    <s v="Active"/>
    <s v="Saturday"/>
  </r>
  <r>
    <n v="208492287"/>
    <d v="2023-07-08T00:00:00"/>
    <s v="Active"/>
    <x v="0"/>
    <n v="39"/>
    <s v="month"/>
    <s v="Active"/>
    <s v="Saturday"/>
  </r>
  <r>
    <n v="217499098"/>
    <d v="2023-07-08T00:00:00"/>
    <d v="2023-07-09T00:00:00"/>
    <x v="0"/>
    <n v="39"/>
    <s v="month"/>
    <n v="1"/>
    <s v="Saturday"/>
  </r>
  <r>
    <n v="215723331"/>
    <d v="2023-07-08T00:00:00"/>
    <d v="2023-08-15T00:00:00"/>
    <x v="0"/>
    <n v="39"/>
    <s v="month"/>
    <n v="38"/>
    <s v="Saturday"/>
  </r>
  <r>
    <n v="122616074"/>
    <d v="2023-07-09T00:00:00"/>
    <s v="Active"/>
    <x v="0"/>
    <n v="39"/>
    <s v="month"/>
    <s v="Active"/>
    <s v="Sunday"/>
  </r>
  <r>
    <n v="218367490"/>
    <d v="2023-07-09T00:00:00"/>
    <s v="Active"/>
    <x v="0"/>
    <n v="39"/>
    <s v="month"/>
    <s v="Active"/>
    <s v="Sunday"/>
  </r>
  <r>
    <n v="218415420"/>
    <d v="2023-07-09T00:00:00"/>
    <s v="Active"/>
    <x v="0"/>
    <n v="39"/>
    <s v="month"/>
    <s v="Active"/>
    <s v="Sunday"/>
  </r>
  <r>
    <n v="135785962"/>
    <d v="2023-07-09T00:00:00"/>
    <s v="Active"/>
    <x v="0"/>
    <n v="39"/>
    <s v="month"/>
    <s v="Active"/>
    <s v="Sunday"/>
  </r>
  <r>
    <n v="206121650"/>
    <d v="2023-07-09T00:00:00"/>
    <d v="2023-07-10T00:00:00"/>
    <x v="0"/>
    <n v="39"/>
    <s v="month"/>
    <n v="1"/>
    <s v="Sunday"/>
  </r>
  <r>
    <n v="218129819"/>
    <d v="2023-07-09T00:00:00"/>
    <d v="2023-08-03T00:00:00"/>
    <x v="0"/>
    <n v="39"/>
    <s v="month"/>
    <n v="25"/>
    <s v="Sunday"/>
  </r>
  <r>
    <n v="217766676"/>
    <d v="2023-07-09T00:00:00"/>
    <d v="2023-07-27T00:00:00"/>
    <x v="0"/>
    <n v="39"/>
    <s v="month"/>
    <n v="18"/>
    <s v="Sunday"/>
  </r>
  <r>
    <n v="216886336"/>
    <d v="2023-07-10T00:00:00"/>
    <s v="Active"/>
    <x v="0"/>
    <n v="39"/>
    <s v="month"/>
    <s v="Active"/>
    <s v="Monday"/>
  </r>
  <r>
    <n v="217991032"/>
    <d v="2023-07-10T00:00:00"/>
    <s v="Active"/>
    <x v="0"/>
    <n v="39"/>
    <s v="month"/>
    <s v="Active"/>
    <s v="Monday"/>
  </r>
  <r>
    <n v="145797162"/>
    <d v="2023-07-10T00:00:00"/>
    <s v="Active"/>
    <x v="0"/>
    <n v="39"/>
    <s v="month"/>
    <s v="Active"/>
    <s v="Monday"/>
  </r>
  <r>
    <n v="217581606"/>
    <d v="2023-07-10T00:00:00"/>
    <s v="Active"/>
    <x v="0"/>
    <n v="39"/>
    <s v="month"/>
    <s v="Active"/>
    <s v="Monday"/>
  </r>
  <r>
    <n v="218459038"/>
    <d v="2023-07-10T00:00:00"/>
    <d v="2023-07-11T00:00:00"/>
    <x v="0"/>
    <n v="39"/>
    <s v="month"/>
    <n v="1"/>
    <s v="Monday"/>
  </r>
  <r>
    <n v="218526124"/>
    <d v="2023-07-10T00:00:00"/>
    <d v="2023-07-11T00:00:00"/>
    <x v="1"/>
    <n v="39"/>
    <s v="month"/>
    <n v="1"/>
    <s v="Monday"/>
  </r>
  <r>
    <n v="216335430"/>
    <d v="2023-07-10T00:00:00"/>
    <d v="2023-07-10T00:00:00"/>
    <x v="1"/>
    <n v="39"/>
    <s v="month"/>
    <n v="0"/>
    <s v="Monday"/>
  </r>
  <r>
    <n v="218519862"/>
    <d v="2023-07-10T00:00:00"/>
    <d v="2023-07-11T00:00:00"/>
    <x v="1"/>
    <n v="39"/>
    <s v="month"/>
    <n v="1"/>
    <s v="Monday"/>
  </r>
  <r>
    <n v="218496811"/>
    <d v="2023-07-10T00:00:00"/>
    <d v="2023-07-10T00:00:00"/>
    <x v="1"/>
    <n v="39"/>
    <s v="month"/>
    <n v="0"/>
    <s v="Monday"/>
  </r>
  <r>
    <n v="218490122"/>
    <d v="2023-07-10T00:00:00"/>
    <d v="2023-07-11T00:00:00"/>
    <x v="1"/>
    <n v="39"/>
    <s v="month"/>
    <n v="1"/>
    <s v="Monday"/>
  </r>
  <r>
    <n v="216337502"/>
    <d v="2023-07-10T00:00:00"/>
    <d v="2023-07-10T00:00:00"/>
    <x v="1"/>
    <n v="39"/>
    <s v="month"/>
    <n v="0"/>
    <s v="Monday"/>
  </r>
  <r>
    <n v="143111905"/>
    <d v="2023-07-10T00:00:00"/>
    <d v="2023-08-17T00:00:00"/>
    <x v="0"/>
    <n v="39"/>
    <s v="month"/>
    <n v="38"/>
    <s v="Monday"/>
  </r>
  <r>
    <n v="217709772"/>
    <d v="2023-07-10T00:00:00"/>
    <d v="2023-08-12T00:00:00"/>
    <x v="0"/>
    <n v="39"/>
    <s v="month"/>
    <n v="33"/>
    <s v="Monday"/>
  </r>
  <r>
    <n v="214924190"/>
    <d v="2023-07-10T00:00:00"/>
    <d v="2023-08-10T00:00:00"/>
    <x v="0"/>
    <n v="39"/>
    <s v="month"/>
    <n v="31"/>
    <s v="Monday"/>
  </r>
  <r>
    <n v="217914198"/>
    <d v="2023-07-10T00:00:00"/>
    <d v="2023-07-30T00:00:00"/>
    <x v="0"/>
    <n v="39"/>
    <s v="month"/>
    <n v="20"/>
    <s v="Monday"/>
  </r>
  <r>
    <n v="217773501"/>
    <d v="2023-07-10T00:00:00"/>
    <d v="2023-07-10T00:00:00"/>
    <x v="0"/>
    <n v="39"/>
    <s v="month"/>
    <n v="0"/>
    <s v="Monday"/>
  </r>
  <r>
    <n v="215311765"/>
    <d v="2023-07-11T00:00:00"/>
    <s v="Active"/>
    <x v="0"/>
    <n v="39"/>
    <s v="month"/>
    <s v="Active"/>
    <s v="Tuesday"/>
  </r>
  <r>
    <n v="218554220"/>
    <d v="2023-07-11T00:00:00"/>
    <s v="Active"/>
    <x v="0"/>
    <n v="39"/>
    <s v="month"/>
    <s v="Active"/>
    <s v="Tuesday"/>
  </r>
  <r>
    <n v="209743418"/>
    <d v="2023-07-11T00:00:00"/>
    <s v="Active"/>
    <x v="0"/>
    <n v="39"/>
    <s v="month"/>
    <s v="Active"/>
    <s v="Tuesday"/>
  </r>
  <r>
    <n v="218553244"/>
    <d v="2023-07-11T00:00:00"/>
    <s v="Active"/>
    <x v="0"/>
    <n v="39"/>
    <s v="month"/>
    <s v="Active"/>
    <s v="Tuesday"/>
  </r>
  <r>
    <n v="218548492"/>
    <d v="2023-07-11T00:00:00"/>
    <s v="Active"/>
    <x v="0"/>
    <n v="39"/>
    <s v="month"/>
    <s v="Active"/>
    <s v="Tuesday"/>
  </r>
  <r>
    <n v="217958138"/>
    <d v="2023-07-11T00:00:00"/>
    <s v="Active"/>
    <x v="0"/>
    <n v="39"/>
    <s v="month"/>
    <s v="Active"/>
    <s v="Tuesday"/>
  </r>
  <r>
    <n v="218365623"/>
    <d v="2023-07-11T00:00:00"/>
    <s v="Active"/>
    <x v="0"/>
    <n v="39"/>
    <s v="month"/>
    <s v="Active"/>
    <s v="Tuesday"/>
  </r>
  <r>
    <n v="218512642"/>
    <d v="2023-07-11T00:00:00"/>
    <s v="Active"/>
    <x v="0"/>
    <n v="39"/>
    <s v="month"/>
    <s v="Active"/>
    <s v="Tuesday"/>
  </r>
  <r>
    <n v="218569099"/>
    <d v="2023-07-11T00:00:00"/>
    <d v="2023-09-05T00:00:00"/>
    <x v="0"/>
    <n v="39"/>
    <s v="month"/>
    <n v="56"/>
    <s v="Tuesday"/>
  </r>
  <r>
    <n v="218304590"/>
    <d v="2023-07-11T00:00:00"/>
    <d v="2023-08-30T00:00:00"/>
    <x v="0"/>
    <n v="39"/>
    <s v="month"/>
    <n v="50"/>
    <s v="Tuesday"/>
  </r>
  <r>
    <n v="215390636"/>
    <d v="2023-07-11T00:00:00"/>
    <d v="2023-09-07T00:00:00"/>
    <x v="0"/>
    <n v="39"/>
    <s v="month"/>
    <n v="58"/>
    <s v="Tuesday"/>
  </r>
  <r>
    <n v="218538760"/>
    <d v="2023-07-11T00:00:00"/>
    <d v="2023-08-18T00:00:00"/>
    <x v="0"/>
    <n v="39"/>
    <s v="month"/>
    <n v="38"/>
    <s v="Tuesday"/>
  </r>
  <r>
    <n v="218544489"/>
    <d v="2023-07-11T00:00:00"/>
    <d v="2023-08-11T00:00:00"/>
    <x v="0"/>
    <n v="39"/>
    <s v="month"/>
    <n v="31"/>
    <s v="Tuesday"/>
  </r>
  <r>
    <n v="180161087"/>
    <d v="2023-07-11T00:00:00"/>
    <d v="2023-08-10T00:00:00"/>
    <x v="0"/>
    <n v="39"/>
    <s v="month"/>
    <n v="30"/>
    <s v="Tuesday"/>
  </r>
  <r>
    <n v="218484551"/>
    <d v="2023-07-11T00:00:00"/>
    <d v="2023-08-18T00:00:00"/>
    <x v="0"/>
    <n v="39"/>
    <s v="month"/>
    <n v="38"/>
    <s v="Tuesday"/>
  </r>
  <r>
    <n v="218570737"/>
    <d v="2023-07-11T00:00:00"/>
    <d v="2023-07-12T00:00:00"/>
    <x v="0"/>
    <n v="39"/>
    <s v="month"/>
    <n v="1"/>
    <s v="Tuesday"/>
  </r>
  <r>
    <n v="218526607"/>
    <d v="2023-07-12T00:00:00"/>
    <s v="Active"/>
    <x v="0"/>
    <n v="39"/>
    <s v="month"/>
    <s v="Active"/>
    <s v="Wednesday"/>
  </r>
  <r>
    <n v="211011508"/>
    <d v="2023-07-12T00:00:00"/>
    <s v="Active"/>
    <x v="0"/>
    <n v="39"/>
    <s v="month"/>
    <s v="Active"/>
    <s v="Wednesday"/>
  </r>
  <r>
    <n v="218610100"/>
    <d v="2023-07-12T00:00:00"/>
    <s v="Active"/>
    <x v="0"/>
    <n v="39"/>
    <s v="month"/>
    <s v="Active"/>
    <s v="Wednesday"/>
  </r>
  <r>
    <n v="206055148"/>
    <d v="2023-07-12T00:00:00"/>
    <s v="Active"/>
    <x v="0"/>
    <n v="39"/>
    <s v="month"/>
    <s v="Active"/>
    <s v="Wednesday"/>
  </r>
  <r>
    <n v="150509877"/>
    <d v="2023-07-12T00:00:00"/>
    <s v="Active"/>
    <x v="0"/>
    <n v="39"/>
    <s v="month"/>
    <s v="Active"/>
    <s v="Wednesday"/>
  </r>
  <r>
    <n v="218498112"/>
    <d v="2023-07-12T00:00:00"/>
    <s v="Active"/>
    <x v="0"/>
    <n v="39"/>
    <s v="month"/>
    <s v="Active"/>
    <s v="Wednesday"/>
  </r>
  <r>
    <n v="218624538"/>
    <d v="2023-07-12T00:00:00"/>
    <d v="2023-08-22T00:00:00"/>
    <x v="0"/>
    <n v="39"/>
    <s v="month"/>
    <n v="41"/>
    <s v="Wednesday"/>
  </r>
  <r>
    <n v="218467300"/>
    <d v="2023-07-12T00:00:00"/>
    <d v="2023-08-13T00:00:00"/>
    <x v="0"/>
    <n v="39"/>
    <s v="month"/>
    <n v="32"/>
    <s v="Wednesday"/>
  </r>
  <r>
    <n v="218509554"/>
    <d v="2023-07-12T00:00:00"/>
    <d v="2023-07-22T00:00:00"/>
    <x v="0"/>
    <n v="39"/>
    <s v="month"/>
    <n v="10"/>
    <s v="Wednesday"/>
  </r>
  <r>
    <n v="218257588"/>
    <d v="2023-07-13T00:00:00"/>
    <s v="Active"/>
    <x v="0"/>
    <n v="39"/>
    <s v="month"/>
    <s v="Active"/>
    <s v="Thursday"/>
  </r>
  <r>
    <n v="218114325"/>
    <d v="2023-07-13T00:00:00"/>
    <s v="Active"/>
    <x v="0"/>
    <n v="39"/>
    <s v="month"/>
    <s v="Active"/>
    <s v="Thursday"/>
  </r>
  <r>
    <n v="218325441"/>
    <d v="2023-07-13T00:00:00"/>
    <s v="Active"/>
    <x v="0"/>
    <n v="39"/>
    <s v="month"/>
    <s v="Active"/>
    <s v="Thursday"/>
  </r>
  <r>
    <n v="218235047"/>
    <d v="2023-07-13T00:00:00"/>
    <s v="Active"/>
    <x v="0"/>
    <n v="39"/>
    <s v="month"/>
    <s v="Active"/>
    <s v="Thursday"/>
  </r>
  <r>
    <n v="218598866"/>
    <d v="2023-07-13T00:00:00"/>
    <s v="Active"/>
    <x v="0"/>
    <n v="39"/>
    <s v="month"/>
    <s v="Active"/>
    <s v="Thursday"/>
  </r>
  <r>
    <n v="218644881"/>
    <d v="2023-07-13T00:00:00"/>
    <d v="2023-08-16T00:00:00"/>
    <x v="0"/>
    <n v="39"/>
    <s v="month"/>
    <n v="34"/>
    <s v="Thursday"/>
  </r>
  <r>
    <n v="218509727"/>
    <d v="2023-07-13T00:00:00"/>
    <d v="2023-08-09T00:00:00"/>
    <x v="0"/>
    <n v="39"/>
    <s v="month"/>
    <n v="27"/>
    <s v="Thursday"/>
  </r>
  <r>
    <n v="150623785"/>
    <d v="2023-07-13T00:00:00"/>
    <d v="2023-08-14T00:00:00"/>
    <x v="0"/>
    <n v="39"/>
    <s v="month"/>
    <n v="32"/>
    <s v="Thursday"/>
  </r>
  <r>
    <n v="218586552"/>
    <d v="2023-07-13T00:00:00"/>
    <d v="2023-08-14T00:00:00"/>
    <x v="0"/>
    <n v="39"/>
    <s v="month"/>
    <n v="32"/>
    <s v="Thursday"/>
  </r>
  <r>
    <n v="218514844"/>
    <d v="2023-07-13T00:00:00"/>
    <d v="2023-07-17T00:00:00"/>
    <x v="0"/>
    <n v="39"/>
    <s v="month"/>
    <n v="4"/>
    <s v="Thursday"/>
  </r>
  <r>
    <n v="218694806"/>
    <d v="2023-07-14T00:00:00"/>
    <s v="Active"/>
    <x v="0"/>
    <n v="39"/>
    <s v="month"/>
    <s v="Active"/>
    <s v="Friday"/>
  </r>
  <r>
    <n v="218678174"/>
    <d v="2023-07-14T00:00:00"/>
    <s v="Active"/>
    <x v="0"/>
    <n v="39"/>
    <s v="month"/>
    <s v="Active"/>
    <s v="Friday"/>
  </r>
  <r>
    <n v="218695487"/>
    <d v="2023-07-14T00:00:00"/>
    <d v="2023-09-08T00:00:00"/>
    <x v="0"/>
    <n v="39"/>
    <s v="month"/>
    <n v="56"/>
    <s v="Friday"/>
  </r>
  <r>
    <n v="218678790"/>
    <d v="2023-07-14T00:00:00"/>
    <d v="2023-08-21T00:00:00"/>
    <x v="0"/>
    <n v="39"/>
    <s v="month"/>
    <n v="38"/>
    <s v="Friday"/>
  </r>
  <r>
    <n v="217499098"/>
    <d v="2023-07-14T00:00:00"/>
    <d v="2023-08-21T00:00:00"/>
    <x v="0"/>
    <n v="39"/>
    <s v="month"/>
    <n v="38"/>
    <s v="Friday"/>
  </r>
  <r>
    <n v="217976753"/>
    <d v="2023-07-14T00:00:00"/>
    <d v="2023-08-21T00:00:00"/>
    <x v="0"/>
    <n v="39"/>
    <s v="month"/>
    <n v="38"/>
    <s v="Friday"/>
  </r>
  <r>
    <n v="199359226"/>
    <d v="2023-07-14T00:00:00"/>
    <d v="2023-07-15T00:00:00"/>
    <x v="0"/>
    <n v="39"/>
    <s v="month"/>
    <n v="1"/>
    <s v="Friday"/>
  </r>
  <r>
    <n v="121814098"/>
    <d v="2023-07-15T00:00:00"/>
    <s v="Active"/>
    <x v="0"/>
    <n v="39"/>
    <s v="month"/>
    <s v="Active"/>
    <s v="Saturday"/>
  </r>
  <r>
    <n v="215605718"/>
    <d v="2023-07-15T00:00:00"/>
    <s v="Active"/>
    <x v="0"/>
    <n v="39"/>
    <s v="month"/>
    <s v="Active"/>
    <s v="Saturday"/>
  </r>
  <r>
    <n v="218325705"/>
    <d v="2023-07-15T00:00:00"/>
    <s v="Active"/>
    <x v="0"/>
    <n v="39"/>
    <s v="month"/>
    <s v="Active"/>
    <s v="Saturday"/>
  </r>
  <r>
    <n v="208598253"/>
    <d v="2023-07-15T00:00:00"/>
    <s v="Active"/>
    <x v="0"/>
    <n v="39"/>
    <s v="month"/>
    <s v="Active"/>
    <s v="Saturday"/>
  </r>
  <r>
    <n v="218655628"/>
    <d v="2023-07-15T00:00:00"/>
    <s v="Active"/>
    <x v="0"/>
    <n v="39"/>
    <s v="month"/>
    <s v="Active"/>
    <s v="Saturday"/>
  </r>
  <r>
    <n v="185602413"/>
    <d v="2023-07-15T00:00:00"/>
    <d v="2023-07-16T00:00:00"/>
    <x v="0"/>
    <n v="39"/>
    <s v="month"/>
    <n v="1"/>
    <s v="Saturday"/>
  </r>
  <r>
    <n v="154082747"/>
    <d v="2023-07-15T00:00:00"/>
    <d v="2023-07-23T00:00:00"/>
    <x v="0"/>
    <n v="39"/>
    <s v="month"/>
    <n v="8"/>
    <s v="Saturday"/>
  </r>
  <r>
    <n v="218017402"/>
    <d v="2023-07-15T00:00:00"/>
    <d v="2023-08-22T00:00:00"/>
    <x v="0"/>
    <n v="39"/>
    <s v="month"/>
    <n v="38"/>
    <s v="Saturday"/>
  </r>
  <r>
    <n v="218792880"/>
    <d v="2023-07-16T00:00:00"/>
    <s v="Active"/>
    <x v="0"/>
    <n v="39"/>
    <s v="month"/>
    <s v="Active"/>
    <s v="Sunday"/>
  </r>
  <r>
    <n v="218761808"/>
    <d v="2023-07-16T00:00:00"/>
    <s v="Active"/>
    <x v="0"/>
    <n v="39"/>
    <s v="month"/>
    <s v="Active"/>
    <s v="Sunday"/>
  </r>
  <r>
    <n v="149303812"/>
    <d v="2023-07-16T00:00:00"/>
    <s v="Active"/>
    <x v="0"/>
    <n v="39"/>
    <s v="month"/>
    <s v="Active"/>
    <s v="Sunday"/>
  </r>
  <r>
    <n v="216144261"/>
    <d v="2023-07-16T00:00:00"/>
    <s v="Active"/>
    <x v="0"/>
    <n v="39"/>
    <s v="month"/>
    <s v="Active"/>
    <s v="Sunday"/>
  </r>
  <r>
    <n v="215976742"/>
    <d v="2023-07-16T00:00:00"/>
    <s v="Active"/>
    <x v="0"/>
    <n v="39"/>
    <s v="month"/>
    <s v="Active"/>
    <s v="Sunday"/>
  </r>
  <r>
    <n v="218617631"/>
    <d v="2023-07-16T00:00:00"/>
    <d v="2023-08-23T00:00:00"/>
    <x v="0"/>
    <n v="39"/>
    <s v="month"/>
    <n v="38"/>
    <s v="Sunday"/>
  </r>
  <r>
    <n v="218770458"/>
    <d v="2023-07-16T00:00:00"/>
    <d v="2023-08-03T00:00:00"/>
    <x v="0"/>
    <n v="39"/>
    <s v="month"/>
    <n v="18"/>
    <s v="Sunday"/>
  </r>
  <r>
    <n v="218720472"/>
    <d v="2023-07-16T00:00:00"/>
    <d v="2023-08-19T00:00:00"/>
    <x v="0"/>
    <n v="39"/>
    <s v="month"/>
    <n v="34"/>
    <s v="Sunday"/>
  </r>
  <r>
    <n v="218846909"/>
    <d v="2023-07-17T00:00:00"/>
    <s v="Active"/>
    <x v="0"/>
    <n v="39"/>
    <s v="month"/>
    <s v="Active"/>
    <s v="Monday"/>
  </r>
  <r>
    <n v="214714278"/>
    <d v="2023-07-17T00:00:00"/>
    <s v="Active"/>
    <x v="0"/>
    <n v="39"/>
    <s v="month"/>
    <s v="Active"/>
    <s v="Monday"/>
  </r>
  <r>
    <n v="218529158"/>
    <d v="2023-07-17T00:00:00"/>
    <s v="Active"/>
    <x v="0"/>
    <n v="39"/>
    <s v="month"/>
    <s v="Active"/>
    <s v="Monday"/>
  </r>
  <r>
    <n v="218837719"/>
    <d v="2023-07-17T00:00:00"/>
    <s v="Active"/>
    <x v="0"/>
    <n v="39"/>
    <s v="month"/>
    <s v="Active"/>
    <s v="Monday"/>
  </r>
  <r>
    <n v="194367477"/>
    <d v="2023-07-17T00:00:00"/>
    <s v="Active"/>
    <x v="0"/>
    <n v="39"/>
    <s v="month"/>
    <s v="Active"/>
    <s v="Monday"/>
  </r>
  <r>
    <n v="218300066"/>
    <d v="2023-07-17T00:00:00"/>
    <s v="Active"/>
    <x v="0"/>
    <n v="39"/>
    <s v="month"/>
    <s v="Active"/>
    <s v="Monday"/>
  </r>
  <r>
    <n v="218553583"/>
    <d v="2023-07-17T00:00:00"/>
    <s v="Active"/>
    <x v="0"/>
    <n v="39"/>
    <s v="month"/>
    <s v="Active"/>
    <s v="Monday"/>
  </r>
  <r>
    <n v="149657162"/>
    <d v="2023-07-17T00:00:00"/>
    <d v="2023-07-18T00:00:00"/>
    <x v="0"/>
    <n v="39"/>
    <s v="month"/>
    <n v="1"/>
    <s v="Monday"/>
  </r>
  <r>
    <n v="125920876"/>
    <d v="2023-07-17T00:00:00"/>
    <d v="2023-08-24T00:00:00"/>
    <x v="0"/>
    <n v="39"/>
    <s v="month"/>
    <n v="38"/>
    <s v="Monday"/>
  </r>
  <r>
    <n v="217403566"/>
    <d v="2023-07-17T00:00:00"/>
    <d v="2023-08-14T00:00:00"/>
    <x v="0"/>
    <n v="39"/>
    <s v="month"/>
    <n v="28"/>
    <s v="Monday"/>
  </r>
  <r>
    <n v="218677370"/>
    <d v="2023-07-17T00:00:00"/>
    <d v="2023-08-15T00:00:00"/>
    <x v="0"/>
    <n v="39"/>
    <s v="month"/>
    <n v="29"/>
    <s v="Monday"/>
  </r>
  <r>
    <n v="218598875"/>
    <d v="2023-07-17T00:00:00"/>
    <d v="2023-08-24T00:00:00"/>
    <x v="0"/>
    <n v="39"/>
    <s v="month"/>
    <n v="38"/>
    <s v="Monday"/>
  </r>
  <r>
    <n v="203116529"/>
    <d v="2023-07-17T00:00:00"/>
    <d v="2023-07-17T00:00:00"/>
    <x v="0"/>
    <n v="39"/>
    <s v="month"/>
    <n v="0"/>
    <s v="Monday"/>
  </r>
  <r>
    <n v="218808831"/>
    <d v="2023-07-17T00:00:00"/>
    <d v="2023-09-01T00:00:00"/>
    <x v="0"/>
    <n v="39"/>
    <s v="month"/>
    <n v="46"/>
    <s v="Monday"/>
  </r>
  <r>
    <n v="218844240"/>
    <d v="2023-07-18T00:00:00"/>
    <s v="Active"/>
    <x v="0"/>
    <n v="39"/>
    <s v="month"/>
    <s v="Active"/>
    <s v="Tuesday"/>
  </r>
  <r>
    <n v="218863419"/>
    <d v="2023-07-18T00:00:00"/>
    <s v="Active"/>
    <x v="0"/>
    <n v="39"/>
    <s v="month"/>
    <s v="Active"/>
    <s v="Tuesday"/>
  </r>
  <r>
    <n v="218445704"/>
    <d v="2023-07-18T00:00:00"/>
    <s v="Active"/>
    <x v="0"/>
    <n v="39"/>
    <s v="month"/>
    <s v="Active"/>
    <s v="Tuesday"/>
  </r>
  <r>
    <n v="149411976"/>
    <d v="2023-07-18T00:00:00"/>
    <s v="Active"/>
    <x v="0"/>
    <n v="39"/>
    <s v="month"/>
    <s v="Active"/>
    <s v="Tuesday"/>
  </r>
  <r>
    <n v="218862674"/>
    <d v="2023-07-18T00:00:00"/>
    <s v="Active"/>
    <x v="0"/>
    <n v="39"/>
    <s v="month"/>
    <s v="Active"/>
    <s v="Tuesday"/>
  </r>
  <r>
    <n v="218851122"/>
    <d v="2023-07-18T00:00:00"/>
    <s v="Active"/>
    <x v="0"/>
    <n v="39"/>
    <s v="month"/>
    <s v="Active"/>
    <s v="Tuesday"/>
  </r>
  <r>
    <n v="153402484"/>
    <d v="2023-07-18T00:00:00"/>
    <d v="2023-09-01T00:00:00"/>
    <x v="0"/>
    <n v="39"/>
    <s v="month"/>
    <n v="45"/>
    <s v="Tuesday"/>
  </r>
  <r>
    <n v="218848831"/>
    <d v="2023-07-18T00:00:00"/>
    <d v="2023-08-26T00:00:00"/>
    <x v="0"/>
    <n v="39"/>
    <s v="month"/>
    <n v="39"/>
    <s v="Tuesday"/>
  </r>
  <r>
    <n v="159639128"/>
    <d v="2023-07-18T00:00:00"/>
    <d v="2023-07-18T00:00:00"/>
    <x v="0"/>
    <n v="39"/>
    <s v="month"/>
    <n v="0"/>
    <s v="Tuesday"/>
  </r>
  <r>
    <n v="214638700"/>
    <d v="2023-07-18T00:00:00"/>
    <d v="2023-07-19T00:00:00"/>
    <x v="1"/>
    <n v="39"/>
    <s v="month"/>
    <n v="1"/>
    <s v="Tuesday"/>
  </r>
  <r>
    <n v="218850789"/>
    <d v="2023-07-18T00:00:00"/>
    <d v="2023-08-18T00:00:00"/>
    <x v="0"/>
    <n v="39"/>
    <s v="month"/>
    <n v="31"/>
    <s v="Tuesday"/>
  </r>
  <r>
    <n v="155510287"/>
    <d v="2023-07-18T00:00:00"/>
    <d v="2023-08-12T00:00:00"/>
    <x v="0"/>
    <n v="39"/>
    <s v="month"/>
    <n v="25"/>
    <s v="Tuesday"/>
  </r>
  <r>
    <n v="218677703"/>
    <d v="2023-07-18T00:00:00"/>
    <d v="2023-07-24T00:00:00"/>
    <x v="0"/>
    <n v="39"/>
    <s v="month"/>
    <n v="6"/>
    <s v="Tuesday"/>
  </r>
  <r>
    <n v="218878930"/>
    <d v="2023-07-18T00:00:00"/>
    <d v="2023-07-20T00:00:00"/>
    <x v="0"/>
    <n v="39"/>
    <s v="month"/>
    <n v="2"/>
    <s v="Tuesday"/>
  </r>
  <r>
    <n v="218935022"/>
    <d v="2023-07-19T00:00:00"/>
    <s v="Active"/>
    <x v="0"/>
    <n v="39"/>
    <s v="month"/>
    <s v="Active"/>
    <s v="Wednesday"/>
  </r>
  <r>
    <n v="218925198"/>
    <d v="2023-07-19T00:00:00"/>
    <s v="Active"/>
    <x v="0"/>
    <n v="39"/>
    <s v="month"/>
    <s v="Active"/>
    <s v="Wednesday"/>
  </r>
  <r>
    <n v="218927120"/>
    <d v="2023-07-19T00:00:00"/>
    <s v="Active"/>
    <x v="0"/>
    <n v="39"/>
    <s v="month"/>
    <s v="Active"/>
    <s v="Wednesday"/>
  </r>
  <r>
    <n v="218930176"/>
    <d v="2023-07-19T00:00:00"/>
    <s v="Active"/>
    <x v="0"/>
    <n v="39"/>
    <s v="month"/>
    <s v="Active"/>
    <s v="Wednesday"/>
  </r>
  <r>
    <n v="216185482"/>
    <d v="2023-07-19T00:00:00"/>
    <s v="Active"/>
    <x v="0"/>
    <n v="39"/>
    <s v="month"/>
    <s v="Active"/>
    <s v="Wednesday"/>
  </r>
  <r>
    <n v="218814342"/>
    <d v="2023-07-19T00:00:00"/>
    <s v="Active"/>
    <x v="0"/>
    <n v="39"/>
    <s v="month"/>
    <s v="Active"/>
    <s v="Wednesday"/>
  </r>
  <r>
    <n v="218764310"/>
    <d v="2023-07-19T00:00:00"/>
    <s v="Active"/>
    <x v="0"/>
    <n v="39"/>
    <s v="month"/>
    <s v="Active"/>
    <s v="Wednesday"/>
  </r>
  <r>
    <n v="218814328"/>
    <d v="2023-07-19T00:00:00"/>
    <s v="Active"/>
    <x v="0"/>
    <n v="39"/>
    <s v="month"/>
    <s v="Active"/>
    <s v="Wednesday"/>
  </r>
  <r>
    <n v="149144586"/>
    <d v="2023-07-19T00:00:00"/>
    <s v="Active"/>
    <x v="0"/>
    <n v="39"/>
    <s v="month"/>
    <s v="Active"/>
    <s v="Wednesday"/>
  </r>
  <r>
    <n v="217635511"/>
    <d v="2023-07-19T00:00:00"/>
    <s v="Active"/>
    <x v="0"/>
    <n v="39"/>
    <s v="month"/>
    <s v="Active"/>
    <s v="Wednesday"/>
  </r>
  <r>
    <n v="218924256"/>
    <d v="2023-07-19T00:00:00"/>
    <d v="2023-08-14T00:00:00"/>
    <x v="0"/>
    <n v="39"/>
    <s v="month"/>
    <n v="26"/>
    <s v="Wednesday"/>
  </r>
  <r>
    <n v="218898552"/>
    <d v="2023-07-19T00:00:00"/>
    <d v="2023-08-17T00:00:00"/>
    <x v="0"/>
    <n v="39"/>
    <s v="month"/>
    <n v="29"/>
    <s v="Wednesday"/>
  </r>
  <r>
    <n v="149657162"/>
    <d v="2023-07-19T00:00:00"/>
    <d v="2023-09-03T00:00:00"/>
    <x v="0"/>
    <n v="39"/>
    <s v="month"/>
    <n v="46"/>
    <s v="Wednesday"/>
  </r>
  <r>
    <n v="218581958"/>
    <d v="2023-07-19T00:00:00"/>
    <d v="2023-07-26T00:00:00"/>
    <x v="0"/>
    <n v="39"/>
    <s v="month"/>
    <n v="7"/>
    <s v="Wednesday"/>
  </r>
  <r>
    <n v="214943384"/>
    <d v="2023-07-20T00:00:00"/>
    <s v="Active"/>
    <x v="0"/>
    <n v="39"/>
    <s v="month"/>
    <s v="Active"/>
    <s v="Thursday"/>
  </r>
  <r>
    <n v="147832373"/>
    <d v="2023-07-20T00:00:00"/>
    <s v="Active"/>
    <x v="0"/>
    <n v="39"/>
    <s v="month"/>
    <s v="Active"/>
    <s v="Thursday"/>
  </r>
  <r>
    <n v="204362311"/>
    <d v="2023-07-20T00:00:00"/>
    <s v="Active"/>
    <x v="0"/>
    <n v="39"/>
    <s v="month"/>
    <s v="Active"/>
    <s v="Thursday"/>
  </r>
  <r>
    <n v="217137211"/>
    <d v="2023-07-20T00:00:00"/>
    <s v="Active"/>
    <x v="0"/>
    <n v="39"/>
    <s v="month"/>
    <s v="Active"/>
    <s v="Thursday"/>
  </r>
  <r>
    <n v="218942852"/>
    <d v="2023-07-20T00:00:00"/>
    <s v="Active"/>
    <x v="0"/>
    <n v="39"/>
    <s v="month"/>
    <s v="Active"/>
    <s v="Thursday"/>
  </r>
  <r>
    <n v="218715020"/>
    <d v="2023-07-20T00:00:00"/>
    <d v="2023-09-05T00:00:00"/>
    <x v="0"/>
    <n v="39"/>
    <s v="month"/>
    <n v="47"/>
    <s v="Thursday"/>
  </r>
  <r>
    <n v="218701308"/>
    <d v="2023-07-20T00:00:00"/>
    <d v="2023-07-21T00:00:00"/>
    <x v="0"/>
    <n v="39"/>
    <s v="month"/>
    <n v="1"/>
    <s v="Thursday"/>
  </r>
  <r>
    <n v="218979443"/>
    <d v="2023-07-20T00:00:00"/>
    <d v="2023-08-15T00:00:00"/>
    <x v="0"/>
    <n v="39"/>
    <s v="month"/>
    <n v="26"/>
    <s v="Thursday"/>
  </r>
  <r>
    <n v="218543315"/>
    <d v="2023-07-20T00:00:00"/>
    <d v="2023-09-04T00:00:00"/>
    <x v="0"/>
    <n v="39"/>
    <s v="month"/>
    <n v="46"/>
    <s v="Thursday"/>
  </r>
  <r>
    <n v="218281726"/>
    <d v="2023-07-21T00:00:00"/>
    <s v="Active"/>
    <x v="0"/>
    <n v="39"/>
    <s v="month"/>
    <s v="Active"/>
    <s v="Friday"/>
  </r>
  <r>
    <n v="144972422"/>
    <d v="2023-07-21T00:00:00"/>
    <s v="Active"/>
    <x v="0"/>
    <n v="39"/>
    <s v="month"/>
    <s v="Active"/>
    <s v="Friday"/>
  </r>
  <r>
    <n v="219017513"/>
    <d v="2023-07-21T00:00:00"/>
    <s v="Active"/>
    <x v="0"/>
    <n v="39"/>
    <s v="month"/>
    <s v="Active"/>
    <s v="Friday"/>
  </r>
  <r>
    <n v="218096762"/>
    <d v="2023-07-21T00:00:00"/>
    <s v="Active"/>
    <x v="0"/>
    <n v="39"/>
    <s v="month"/>
    <s v="Active"/>
    <s v="Friday"/>
  </r>
  <r>
    <n v="134289850"/>
    <d v="2023-07-21T00:00:00"/>
    <s v="Active"/>
    <x v="0"/>
    <n v="39"/>
    <s v="month"/>
    <s v="Active"/>
    <s v="Friday"/>
  </r>
  <r>
    <n v="205210815"/>
    <d v="2023-07-21T00:00:00"/>
    <d v="2023-07-22T00:00:00"/>
    <x v="0"/>
    <n v="39"/>
    <s v="month"/>
    <n v="1"/>
    <s v="Friday"/>
  </r>
  <r>
    <n v="218684970"/>
    <d v="2023-07-21T00:00:00"/>
    <d v="2023-08-28T00:00:00"/>
    <x v="0"/>
    <n v="39"/>
    <s v="month"/>
    <n v="38"/>
    <s v="Friday"/>
  </r>
  <r>
    <n v="219045318"/>
    <d v="2023-07-22T00:00:00"/>
    <s v="Active"/>
    <x v="0"/>
    <n v="39"/>
    <s v="month"/>
    <s v="Active"/>
    <s v="Saturday"/>
  </r>
  <r>
    <n v="218428977"/>
    <d v="2023-07-22T00:00:00"/>
    <s v="Active"/>
    <x v="0"/>
    <n v="39"/>
    <s v="month"/>
    <s v="Active"/>
    <s v="Saturday"/>
  </r>
  <r>
    <n v="156587706"/>
    <d v="2023-07-22T00:00:00"/>
    <d v="2023-07-23T00:00:00"/>
    <x v="1"/>
    <n v="39"/>
    <s v="month"/>
    <n v="1"/>
    <s v="Saturday"/>
  </r>
  <r>
    <n v="219034826"/>
    <d v="2023-07-22T00:00:00"/>
    <d v="2023-07-23T00:00:00"/>
    <x v="1"/>
    <n v="39"/>
    <s v="month"/>
    <n v="1"/>
    <s v="Saturday"/>
  </r>
  <r>
    <n v="204380751"/>
    <d v="2023-07-22T00:00:00"/>
    <d v="2023-08-21T00:00:00"/>
    <x v="0"/>
    <n v="39"/>
    <s v="month"/>
    <n v="30"/>
    <s v="Saturday"/>
  </r>
  <r>
    <n v="215315438"/>
    <d v="2023-07-22T00:00:00"/>
    <d v="2023-08-22T00:00:00"/>
    <x v="0"/>
    <n v="39"/>
    <s v="month"/>
    <n v="31"/>
    <s v="Saturday"/>
  </r>
  <r>
    <n v="213774184"/>
    <d v="2023-07-22T00:00:00"/>
    <d v="2023-08-29T00:00:00"/>
    <x v="0"/>
    <n v="39"/>
    <s v="month"/>
    <n v="38"/>
    <s v="Saturday"/>
  </r>
  <r>
    <n v="206121650"/>
    <d v="2023-07-23T00:00:00"/>
    <s v="Active"/>
    <x v="0"/>
    <n v="39"/>
    <s v="month"/>
    <s v="Active"/>
    <s v="Sunday"/>
  </r>
  <r>
    <n v="219059958"/>
    <d v="2023-07-23T00:00:00"/>
    <s v="Active"/>
    <x v="0"/>
    <n v="39"/>
    <s v="month"/>
    <s v="Active"/>
    <s v="Sunday"/>
  </r>
  <r>
    <n v="204639997"/>
    <d v="2023-07-23T00:00:00"/>
    <d v="2023-07-23T00:00:00"/>
    <x v="0"/>
    <n v="39"/>
    <s v="month"/>
    <n v="0"/>
    <s v="Sunday"/>
  </r>
  <r>
    <n v="201817514"/>
    <d v="2023-07-23T00:00:00"/>
    <d v="2023-08-22T00:00:00"/>
    <x v="0"/>
    <n v="39"/>
    <s v="month"/>
    <n v="30"/>
    <s v="Sunday"/>
  </r>
  <r>
    <n v="219065931"/>
    <d v="2023-07-23T00:00:00"/>
    <d v="2023-08-30T00:00:00"/>
    <x v="0"/>
    <n v="39"/>
    <s v="month"/>
    <n v="38"/>
    <s v="Sunday"/>
  </r>
  <r>
    <n v="143627373"/>
    <d v="2023-07-24T00:00:00"/>
    <s v="Active"/>
    <x v="0"/>
    <n v="39"/>
    <s v="month"/>
    <s v="Active"/>
    <s v="Monday"/>
  </r>
  <r>
    <n v="218675428"/>
    <d v="2023-07-24T00:00:00"/>
    <s v="Active"/>
    <x v="0"/>
    <n v="39"/>
    <s v="month"/>
    <s v="Active"/>
    <s v="Monday"/>
  </r>
  <r>
    <n v="219057820"/>
    <d v="2023-07-24T00:00:00"/>
    <s v="Active"/>
    <x v="0"/>
    <n v="39"/>
    <s v="month"/>
    <s v="Active"/>
    <s v="Monday"/>
  </r>
  <r>
    <n v="219115854"/>
    <d v="2023-07-24T00:00:00"/>
    <s v="Active"/>
    <x v="0"/>
    <n v="39"/>
    <s v="month"/>
    <s v="Active"/>
    <s v="Monday"/>
  </r>
  <r>
    <n v="204826054"/>
    <d v="2023-07-24T00:00:00"/>
    <s v="Active"/>
    <x v="0"/>
    <n v="39"/>
    <s v="month"/>
    <s v="Active"/>
    <s v="Monday"/>
  </r>
  <r>
    <n v="219072554"/>
    <d v="2023-07-24T00:00:00"/>
    <s v="Active"/>
    <x v="0"/>
    <n v="39"/>
    <s v="month"/>
    <s v="Active"/>
    <s v="Monday"/>
  </r>
  <r>
    <n v="219088631"/>
    <d v="2023-07-24T00:00:00"/>
    <s v="Active"/>
    <x v="0"/>
    <n v="39"/>
    <s v="month"/>
    <s v="Active"/>
    <s v="Monday"/>
  </r>
  <r>
    <n v="218861750"/>
    <d v="2023-07-24T00:00:00"/>
    <d v="2023-08-31T00:00:00"/>
    <x v="0"/>
    <n v="39"/>
    <s v="month"/>
    <n v="38"/>
    <s v="Monday"/>
  </r>
  <r>
    <n v="217513777"/>
    <d v="2023-07-24T00:00:00"/>
    <d v="2023-08-02T00:00:00"/>
    <x v="0"/>
    <n v="39"/>
    <s v="month"/>
    <n v="9"/>
    <s v="Monday"/>
  </r>
  <r>
    <n v="218805370"/>
    <d v="2023-07-24T00:00:00"/>
    <d v="2023-08-08T00:00:00"/>
    <x v="0"/>
    <n v="39"/>
    <s v="month"/>
    <n v="15"/>
    <s v="Monday"/>
  </r>
  <r>
    <n v="219128709"/>
    <d v="2023-07-25T00:00:00"/>
    <s v="Active"/>
    <x v="0"/>
    <n v="39"/>
    <s v="month"/>
    <s v="Active"/>
    <s v="Tuesday"/>
  </r>
  <r>
    <n v="217998036"/>
    <d v="2023-07-25T00:00:00"/>
    <s v="Active"/>
    <x v="0"/>
    <n v="39"/>
    <s v="month"/>
    <s v="Active"/>
    <s v="Tuesday"/>
  </r>
  <r>
    <n v="219100886"/>
    <d v="2023-07-25T00:00:00"/>
    <s v="Active"/>
    <x v="0"/>
    <n v="39"/>
    <s v="month"/>
    <s v="Active"/>
    <s v="Tuesday"/>
  </r>
  <r>
    <n v="214586480"/>
    <d v="2023-07-25T00:00:00"/>
    <s v="Active"/>
    <x v="0"/>
    <n v="39"/>
    <s v="month"/>
    <s v="Active"/>
    <s v="Tuesday"/>
  </r>
  <r>
    <n v="219110064"/>
    <d v="2023-07-25T00:00:00"/>
    <s v="Active"/>
    <x v="0"/>
    <n v="39"/>
    <s v="month"/>
    <s v="Active"/>
    <s v="Tuesday"/>
  </r>
  <r>
    <n v="157374056"/>
    <d v="2023-07-25T00:00:00"/>
    <s v="Active"/>
    <x v="0"/>
    <n v="39"/>
    <s v="month"/>
    <s v="Active"/>
    <s v="Tuesday"/>
  </r>
  <r>
    <n v="219058076"/>
    <d v="2023-07-25T00:00:00"/>
    <s v="Active"/>
    <x v="0"/>
    <n v="39"/>
    <s v="month"/>
    <s v="Active"/>
    <s v="Tuesday"/>
  </r>
  <r>
    <n v="218011483"/>
    <d v="2023-07-25T00:00:00"/>
    <s v="Active"/>
    <x v="0"/>
    <n v="39"/>
    <s v="month"/>
    <s v="Active"/>
    <s v="Tuesday"/>
  </r>
  <r>
    <n v="216543186"/>
    <d v="2023-07-25T00:00:00"/>
    <s v="Active"/>
    <x v="0"/>
    <n v="39"/>
    <s v="month"/>
    <s v="Active"/>
    <s v="Tuesday"/>
  </r>
  <r>
    <n v="151239214"/>
    <d v="2023-07-25T00:00:00"/>
    <s v="Active"/>
    <x v="0"/>
    <n v="39"/>
    <s v="month"/>
    <s v="Active"/>
    <s v="Tuesday"/>
  </r>
  <r>
    <n v="152760748"/>
    <d v="2023-07-25T00:00:00"/>
    <d v="2023-08-20T00:00:00"/>
    <x v="0"/>
    <n v="39"/>
    <s v="month"/>
    <n v="26"/>
    <s v="Tuesday"/>
  </r>
  <r>
    <n v="182102820"/>
    <d v="2023-07-25T00:00:00"/>
    <d v="2023-09-01T00:00:00"/>
    <x v="0"/>
    <n v="39"/>
    <s v="month"/>
    <n v="38"/>
    <s v="Tuesday"/>
  </r>
  <r>
    <n v="215005163"/>
    <d v="2023-07-25T00:00:00"/>
    <d v="2023-08-17T00:00:00"/>
    <x v="0"/>
    <n v="39"/>
    <s v="month"/>
    <n v="23"/>
    <s v="Tuesday"/>
  </r>
  <r>
    <n v="219136846"/>
    <d v="2023-07-25T00:00:00"/>
    <d v="2023-08-02T00:00:00"/>
    <x v="0"/>
    <n v="39"/>
    <s v="month"/>
    <n v="8"/>
    <s v="Tuesday"/>
  </r>
  <r>
    <n v="218795222"/>
    <d v="2023-07-25T00:00:00"/>
    <d v="2023-08-23T00:00:00"/>
    <x v="0"/>
    <n v="39"/>
    <s v="month"/>
    <n v="29"/>
    <s v="Tuesday"/>
  </r>
  <r>
    <n v="208706876"/>
    <d v="2023-07-25T00:00:00"/>
    <d v="2023-08-21T00:00:00"/>
    <x v="0"/>
    <n v="39"/>
    <s v="month"/>
    <n v="27"/>
    <s v="Tuesday"/>
  </r>
  <r>
    <n v="218701308"/>
    <d v="2023-07-25T00:00:00"/>
    <d v="2023-09-01T00:00:00"/>
    <x v="0"/>
    <n v="39"/>
    <s v="month"/>
    <n v="38"/>
    <s v="Tuesday"/>
  </r>
  <r>
    <n v="219136623"/>
    <d v="2023-07-25T00:00:00"/>
    <d v="2023-09-01T00:00:00"/>
    <x v="0"/>
    <n v="39"/>
    <s v="month"/>
    <n v="38"/>
    <s v="Tuesday"/>
  </r>
  <r>
    <n v="219153922"/>
    <d v="2023-07-26T00:00:00"/>
    <s v="Active"/>
    <x v="0"/>
    <n v="39"/>
    <s v="month"/>
    <s v="Active"/>
    <s v="Wednesday"/>
  </r>
  <r>
    <n v="165529460"/>
    <d v="2023-07-26T00:00:00"/>
    <s v="Active"/>
    <x v="0"/>
    <n v="39"/>
    <s v="month"/>
    <s v="Active"/>
    <s v="Wednesday"/>
  </r>
  <r>
    <n v="218715792"/>
    <d v="2023-07-26T00:00:00"/>
    <s v="Active"/>
    <x v="0"/>
    <n v="39"/>
    <s v="month"/>
    <s v="Active"/>
    <s v="Wednesday"/>
  </r>
  <r>
    <n v="218985028"/>
    <d v="2023-07-26T00:00:00"/>
    <s v="Active"/>
    <x v="0"/>
    <n v="39"/>
    <s v="month"/>
    <s v="Active"/>
    <s v="Wednesday"/>
  </r>
  <r>
    <n v="218986352"/>
    <d v="2023-07-26T00:00:00"/>
    <s v="Active"/>
    <x v="0"/>
    <n v="39"/>
    <s v="month"/>
    <s v="Active"/>
    <s v="Wednesday"/>
  </r>
  <r>
    <n v="219152822"/>
    <d v="2023-07-26T00:00:00"/>
    <d v="2023-09-05T00:00:00"/>
    <x v="0"/>
    <n v="39"/>
    <s v="month"/>
    <n v="41"/>
    <s v="Wednesday"/>
  </r>
  <r>
    <n v="219084587"/>
    <d v="2023-07-26T00:00:00"/>
    <d v="2023-07-27T00:00:00"/>
    <x v="1"/>
    <n v="39"/>
    <s v="month"/>
    <n v="1"/>
    <s v="Wednesday"/>
  </r>
  <r>
    <n v="219200064"/>
    <d v="2023-07-26T00:00:00"/>
    <d v="2023-09-02T00:00:00"/>
    <x v="0"/>
    <n v="39"/>
    <s v="month"/>
    <n v="38"/>
    <s v="Wednesday"/>
  </r>
  <r>
    <n v="219224963"/>
    <d v="2023-07-27T00:00:00"/>
    <s v="Active"/>
    <x v="0"/>
    <n v="39"/>
    <s v="month"/>
    <s v="Active"/>
    <s v="Thursday"/>
  </r>
  <r>
    <n v="219172302"/>
    <d v="2023-07-27T00:00:00"/>
    <s v="Active"/>
    <x v="0"/>
    <n v="39"/>
    <s v="month"/>
    <s v="Active"/>
    <s v="Thursday"/>
  </r>
  <r>
    <n v="219244336"/>
    <d v="2023-07-27T00:00:00"/>
    <s v="Active"/>
    <x v="0"/>
    <n v="39"/>
    <s v="month"/>
    <s v="Active"/>
    <s v="Thursday"/>
  </r>
  <r>
    <n v="150342446"/>
    <d v="2023-07-27T00:00:00"/>
    <s v="Active"/>
    <x v="0"/>
    <n v="39"/>
    <s v="month"/>
    <s v="Active"/>
    <s v="Thursday"/>
  </r>
  <r>
    <n v="210432172"/>
    <d v="2023-07-27T00:00:00"/>
    <s v="Active"/>
    <x v="0"/>
    <n v="39"/>
    <s v="month"/>
    <s v="Active"/>
    <s v="Thursday"/>
  </r>
  <r>
    <n v="145614180"/>
    <d v="2023-07-27T00:00:00"/>
    <s v="Active"/>
    <x v="0"/>
    <n v="39"/>
    <s v="month"/>
    <s v="Active"/>
    <s v="Thursday"/>
  </r>
  <r>
    <n v="218318466"/>
    <d v="2023-07-27T00:00:00"/>
    <s v="Active"/>
    <x v="0"/>
    <n v="39"/>
    <s v="month"/>
    <s v="Active"/>
    <s v="Thursday"/>
  </r>
  <r>
    <n v="131984682"/>
    <d v="2023-07-27T00:00:00"/>
    <s v="Active"/>
    <x v="0"/>
    <n v="39"/>
    <s v="month"/>
    <s v="Active"/>
    <s v="Thursday"/>
  </r>
  <r>
    <n v="219243156"/>
    <d v="2023-07-27T00:00:00"/>
    <d v="2023-07-27T00:00:00"/>
    <x v="0"/>
    <n v="39"/>
    <s v="month"/>
    <n v="0"/>
    <s v="Thursday"/>
  </r>
  <r>
    <n v="219301778"/>
    <d v="2023-07-28T00:00:00"/>
    <s v="Active"/>
    <x v="0"/>
    <n v="39"/>
    <s v="month"/>
    <s v="Active"/>
    <s v="Friday"/>
  </r>
  <r>
    <n v="153004062"/>
    <d v="2023-07-28T00:00:00"/>
    <s v="Active"/>
    <x v="0"/>
    <n v="39"/>
    <s v="month"/>
    <s v="Active"/>
    <s v="Friday"/>
  </r>
  <r>
    <n v="151015350"/>
    <d v="2023-07-28T00:00:00"/>
    <s v="Active"/>
    <x v="0"/>
    <n v="39"/>
    <s v="month"/>
    <s v="Active"/>
    <s v="Friday"/>
  </r>
  <r>
    <n v="147696294"/>
    <d v="2023-07-28T00:00:00"/>
    <s v="Active"/>
    <x v="0"/>
    <n v="39"/>
    <s v="month"/>
    <s v="Active"/>
    <s v="Friday"/>
  </r>
  <r>
    <n v="218255956"/>
    <d v="2023-07-28T00:00:00"/>
    <s v="Active"/>
    <x v="0"/>
    <n v="39"/>
    <s v="month"/>
    <s v="Active"/>
    <s v="Friday"/>
  </r>
  <r>
    <n v="218510841"/>
    <d v="2023-07-28T00:00:00"/>
    <s v="Active"/>
    <x v="0"/>
    <n v="39"/>
    <s v="month"/>
    <s v="Active"/>
    <s v="Friday"/>
  </r>
  <r>
    <n v="130864124"/>
    <d v="2023-07-28T00:00:00"/>
    <s v="Active"/>
    <x v="0"/>
    <n v="39"/>
    <s v="month"/>
    <s v="Active"/>
    <s v="Friday"/>
  </r>
  <r>
    <n v="219194059"/>
    <d v="2023-07-28T00:00:00"/>
    <s v="Active"/>
    <x v="0"/>
    <n v="39"/>
    <s v="month"/>
    <s v="Active"/>
    <s v="Friday"/>
  </r>
  <r>
    <n v="219254134"/>
    <d v="2023-07-28T00:00:00"/>
    <s v="Active"/>
    <x v="0"/>
    <n v="39"/>
    <s v="month"/>
    <s v="Active"/>
    <s v="Friday"/>
  </r>
  <r>
    <n v="215881016"/>
    <d v="2023-07-28T00:00:00"/>
    <s v="Active"/>
    <x v="0"/>
    <n v="39"/>
    <s v="month"/>
    <s v="Active"/>
    <s v="Friday"/>
  </r>
  <r>
    <n v="217361520"/>
    <d v="2023-07-28T00:00:00"/>
    <s v="Active"/>
    <x v="0"/>
    <n v="39"/>
    <s v="month"/>
    <s v="Active"/>
    <s v="Friday"/>
  </r>
  <r>
    <n v="219265654"/>
    <d v="2023-07-28T00:00:00"/>
    <s v="Active"/>
    <x v="0"/>
    <n v="39"/>
    <s v="month"/>
    <s v="Active"/>
    <s v="Friday"/>
  </r>
  <r>
    <n v="175491846"/>
    <d v="2023-07-28T00:00:00"/>
    <d v="2023-07-29T00:00:00"/>
    <x v="0"/>
    <n v="39"/>
    <s v="month"/>
    <n v="1"/>
    <s v="Friday"/>
  </r>
  <r>
    <n v="212603850"/>
    <d v="2023-07-28T00:00:00"/>
    <d v="2023-08-26T00:00:00"/>
    <x v="0"/>
    <n v="39"/>
    <s v="month"/>
    <n v="29"/>
    <s v="Friday"/>
  </r>
  <r>
    <n v="219307145"/>
    <d v="2023-07-29T00:00:00"/>
    <s v="Active"/>
    <x v="0"/>
    <n v="39"/>
    <s v="month"/>
    <s v="Active"/>
    <s v="Saturday"/>
  </r>
  <r>
    <n v="212937420"/>
    <d v="2023-07-29T00:00:00"/>
    <d v="2023-09-05T00:00:00"/>
    <x v="0"/>
    <n v="39"/>
    <s v="month"/>
    <n v="38"/>
    <s v="Saturday"/>
  </r>
  <r>
    <n v="219318511"/>
    <d v="2023-07-29T00:00:00"/>
    <d v="2023-08-18T00:00:00"/>
    <x v="0"/>
    <n v="39"/>
    <s v="month"/>
    <n v="20"/>
    <s v="Saturday"/>
  </r>
  <r>
    <n v="218513479"/>
    <d v="2023-07-29T00:00:00"/>
    <d v="2023-08-25T00:00:00"/>
    <x v="0"/>
    <n v="39"/>
    <s v="month"/>
    <n v="27"/>
    <s v="Saturday"/>
  </r>
  <r>
    <n v="219301764"/>
    <d v="2023-07-29T00:00:00"/>
    <d v="2023-08-27T00:00:00"/>
    <x v="0"/>
    <n v="39"/>
    <s v="month"/>
    <n v="29"/>
    <s v="Saturday"/>
  </r>
  <r>
    <n v="125038257"/>
    <d v="2023-07-30T00:00:00"/>
    <s v="Active"/>
    <x v="0"/>
    <n v="39"/>
    <s v="month"/>
    <s v="Active"/>
    <s v="Sunday"/>
  </r>
  <r>
    <n v="217813451"/>
    <d v="2023-07-30T00:00:00"/>
    <s v="Active"/>
    <x v="0"/>
    <n v="39"/>
    <s v="month"/>
    <s v="Active"/>
    <s v="Sunday"/>
  </r>
  <r>
    <n v="162859352"/>
    <d v="2023-07-30T00:00:00"/>
    <d v="2023-07-31T00:00:00"/>
    <x v="1"/>
    <n v="39"/>
    <s v="month"/>
    <n v="1"/>
    <s v="Sunday"/>
  </r>
  <r>
    <n v="146923161"/>
    <d v="2023-07-30T00:00:00"/>
    <d v="2023-09-06T00:00:00"/>
    <x v="0"/>
    <n v="39"/>
    <s v="month"/>
    <n v="38"/>
    <s v="Sunday"/>
  </r>
  <r>
    <n v="206699284"/>
    <d v="2023-07-30T00:00:00"/>
    <d v="2023-08-28T00:00:00"/>
    <x v="0"/>
    <n v="39"/>
    <s v="month"/>
    <n v="29"/>
    <s v="Sunday"/>
  </r>
  <r>
    <n v="219330169"/>
    <d v="2023-07-30T00:00:00"/>
    <d v="2023-08-28T00:00:00"/>
    <x v="0"/>
    <n v="39"/>
    <s v="month"/>
    <n v="29"/>
    <s v="Sunday"/>
  </r>
  <r>
    <n v="219404710"/>
    <d v="2023-07-31T00:00:00"/>
    <s v="Active"/>
    <x v="0"/>
    <n v="39"/>
    <s v="month"/>
    <s v="Active"/>
    <s v="Monday"/>
  </r>
  <r>
    <n v="219402896"/>
    <d v="2023-07-31T00:00:00"/>
    <s v="Active"/>
    <x v="0"/>
    <n v="39"/>
    <s v="month"/>
    <s v="Active"/>
    <s v="Monday"/>
  </r>
  <r>
    <n v="214129448"/>
    <d v="2023-07-31T00:00:00"/>
    <s v="Active"/>
    <x v="0"/>
    <n v="39"/>
    <s v="month"/>
    <s v="Active"/>
    <s v="Monday"/>
  </r>
  <r>
    <n v="219218929"/>
    <d v="2023-07-31T00:00:00"/>
    <s v="Active"/>
    <x v="0"/>
    <n v="39"/>
    <s v="month"/>
    <s v="Active"/>
    <s v="Monday"/>
  </r>
  <r>
    <n v="219385880"/>
    <d v="2023-07-31T00:00:00"/>
    <s v="Active"/>
    <x v="0"/>
    <n v="39"/>
    <s v="month"/>
    <s v="Active"/>
    <s v="Monday"/>
  </r>
  <r>
    <n v="219368039"/>
    <d v="2023-07-31T00:00:00"/>
    <s v="Active"/>
    <x v="0"/>
    <n v="39"/>
    <s v="month"/>
    <s v="Active"/>
    <s v="Monday"/>
  </r>
  <r>
    <n v="219328313"/>
    <d v="2023-07-31T00:00:00"/>
    <s v="Active"/>
    <x v="0"/>
    <n v="39"/>
    <s v="month"/>
    <s v="Active"/>
    <s v="Monday"/>
  </r>
  <r>
    <n v="219185386"/>
    <d v="2023-07-31T00:00:00"/>
    <d v="2023-08-01T00:00:00"/>
    <x v="1"/>
    <n v="39"/>
    <s v="month"/>
    <n v="1"/>
    <s v="Monday"/>
  </r>
  <r>
    <n v="183712256"/>
    <d v="2023-07-31T00:00:00"/>
    <d v="2023-08-08T00:00:00"/>
    <x v="0"/>
    <n v="39"/>
    <s v="month"/>
    <n v="8"/>
    <s v="Monday"/>
  </r>
  <r>
    <n v="217624207"/>
    <d v="2023-08-01T00:00:00"/>
    <s v="Active"/>
    <x v="0"/>
    <n v="39"/>
    <s v="month"/>
    <s v="Active"/>
    <s v="Tuesday"/>
  </r>
  <r>
    <n v="218938921"/>
    <d v="2023-08-01T00:00:00"/>
    <s v="Active"/>
    <x v="0"/>
    <n v="39"/>
    <s v="month"/>
    <s v="Active"/>
    <s v="Tuesday"/>
  </r>
  <r>
    <n v="147145693"/>
    <d v="2023-08-01T00:00:00"/>
    <s v="Active"/>
    <x v="0"/>
    <n v="39"/>
    <s v="month"/>
    <s v="Active"/>
    <s v="Tuesday"/>
  </r>
  <r>
    <n v="218459038"/>
    <d v="2023-08-01T00:00:00"/>
    <s v="Active"/>
    <x v="0"/>
    <n v="39"/>
    <s v="month"/>
    <s v="Active"/>
    <s v="Tuesday"/>
  </r>
  <r>
    <n v="219395734"/>
    <d v="2023-08-01T00:00:00"/>
    <s v="Active"/>
    <x v="0"/>
    <n v="39"/>
    <s v="month"/>
    <s v="Active"/>
    <s v="Tuesday"/>
  </r>
  <r>
    <n v="219413956"/>
    <d v="2023-08-01T00:00:00"/>
    <s v="Active"/>
    <x v="0"/>
    <n v="39"/>
    <s v="month"/>
    <s v="Active"/>
    <s v="Tuesday"/>
  </r>
  <r>
    <n v="218562434"/>
    <d v="2023-08-01T00:00:00"/>
    <d v="2023-09-01T00:00:00"/>
    <x v="0"/>
    <n v="39"/>
    <s v="month"/>
    <n v="31"/>
    <s v="Tuesday"/>
  </r>
  <r>
    <n v="135521927"/>
    <d v="2023-08-01T00:00:00"/>
    <d v="2023-09-02T00:00:00"/>
    <x v="0"/>
    <n v="39"/>
    <s v="month"/>
    <n v="32"/>
    <s v="Tuesday"/>
  </r>
  <r>
    <n v="157035378"/>
    <d v="2023-08-01T00:00:00"/>
    <d v="2023-08-31T00:00:00"/>
    <x v="0"/>
    <n v="39"/>
    <s v="month"/>
    <n v="30"/>
    <s v="Tuesday"/>
  </r>
  <r>
    <n v="219382434"/>
    <d v="2023-08-01T00:00:00"/>
    <d v="2023-08-31T00:00:00"/>
    <x v="0"/>
    <n v="39"/>
    <s v="month"/>
    <n v="30"/>
    <s v="Tuesday"/>
  </r>
  <r>
    <n v="208762353"/>
    <d v="2023-08-02T00:00:00"/>
    <s v="Active"/>
    <x v="0"/>
    <n v="39"/>
    <s v="month"/>
    <s v="Active"/>
    <s v="Wednesday"/>
  </r>
  <r>
    <n v="218346336"/>
    <d v="2023-08-02T00:00:00"/>
    <s v="Active"/>
    <x v="0"/>
    <n v="39"/>
    <s v="month"/>
    <s v="Active"/>
    <s v="Wednesday"/>
  </r>
  <r>
    <n v="219226230"/>
    <d v="2023-08-02T00:00:00"/>
    <s v="Active"/>
    <x v="0"/>
    <n v="39"/>
    <s v="month"/>
    <s v="Active"/>
    <s v="Wednesday"/>
  </r>
  <r>
    <n v="219369515"/>
    <d v="2023-08-02T00:00:00"/>
    <s v="Active"/>
    <x v="0"/>
    <n v="39"/>
    <s v="month"/>
    <s v="Active"/>
    <s v="Wednesday"/>
  </r>
  <r>
    <n v="204947361"/>
    <d v="2023-08-02T00:00:00"/>
    <s v="Active"/>
    <x v="0"/>
    <n v="39"/>
    <s v="month"/>
    <s v="Active"/>
    <s v="Wednesday"/>
  </r>
  <r>
    <n v="212977568"/>
    <d v="2023-08-02T00:00:00"/>
    <s v="Active"/>
    <x v="0"/>
    <n v="39"/>
    <s v="month"/>
    <s v="Active"/>
    <s v="Wednesday"/>
  </r>
  <r>
    <n v="217981717"/>
    <d v="2023-08-02T00:00:00"/>
    <s v="Active"/>
    <x v="0"/>
    <n v="39"/>
    <s v="month"/>
    <s v="Active"/>
    <s v="Wednesday"/>
  </r>
  <r>
    <n v="219459089"/>
    <d v="2023-08-02T00:00:00"/>
    <s v="Active"/>
    <x v="0"/>
    <n v="39"/>
    <s v="month"/>
    <s v="Active"/>
    <s v="Wednesday"/>
  </r>
  <r>
    <n v="193483420"/>
    <d v="2023-08-02T00:00:00"/>
    <s v="Active"/>
    <x v="0"/>
    <n v="39"/>
    <s v="month"/>
    <s v="Active"/>
    <s v="Wednesday"/>
  </r>
  <r>
    <n v="219496362"/>
    <d v="2023-08-02T00:00:00"/>
    <d v="2023-09-04T00:00:00"/>
    <x v="0"/>
    <n v="39"/>
    <s v="month"/>
    <n v="33"/>
    <s v="Wednesday"/>
  </r>
  <r>
    <n v="219398902"/>
    <d v="2023-08-02T00:00:00"/>
    <d v="2023-09-05T00:00:00"/>
    <x v="0"/>
    <n v="39"/>
    <s v="month"/>
    <n v="34"/>
    <s v="Wednesday"/>
  </r>
  <r>
    <n v="219497152"/>
    <d v="2023-08-02T00:00:00"/>
    <d v="2023-08-23T00:00:00"/>
    <x v="0"/>
    <n v="39"/>
    <s v="month"/>
    <n v="21"/>
    <s v="Wednesday"/>
  </r>
  <r>
    <n v="188426619"/>
    <d v="2023-08-02T00:00:00"/>
    <d v="2023-09-01T00:00:00"/>
    <x v="0"/>
    <n v="39"/>
    <s v="month"/>
    <n v="30"/>
    <s v="Wednesday"/>
  </r>
  <r>
    <n v="219470485"/>
    <d v="2023-08-02T00:00:00"/>
    <d v="2023-08-16T00:00:00"/>
    <x v="0"/>
    <n v="39"/>
    <s v="month"/>
    <n v="14"/>
    <s v="Wednesday"/>
  </r>
  <r>
    <n v="219460783"/>
    <d v="2023-08-02T00:00:00"/>
    <d v="2023-08-28T00:00:00"/>
    <x v="0"/>
    <n v="39"/>
    <s v="month"/>
    <n v="26"/>
    <s v="Wednesday"/>
  </r>
  <r>
    <n v="219512722"/>
    <d v="2023-08-03T00:00:00"/>
    <s v="Active"/>
    <x v="0"/>
    <n v="39"/>
    <s v="month"/>
    <s v="Active"/>
    <s v="Thursday"/>
  </r>
  <r>
    <n v="199393176"/>
    <d v="2023-08-03T00:00:00"/>
    <s v="Active"/>
    <x v="0"/>
    <n v="39"/>
    <s v="month"/>
    <s v="Active"/>
    <s v="Thursday"/>
  </r>
  <r>
    <n v="217368686"/>
    <d v="2023-08-03T00:00:00"/>
    <s v="Active"/>
    <x v="0"/>
    <n v="39"/>
    <s v="month"/>
    <s v="Active"/>
    <s v="Thursday"/>
  </r>
  <r>
    <n v="218247056"/>
    <d v="2023-08-03T00:00:00"/>
    <s v="Active"/>
    <x v="0"/>
    <n v="39"/>
    <s v="month"/>
    <s v="Active"/>
    <s v="Thursday"/>
  </r>
  <r>
    <n v="219439239"/>
    <d v="2023-08-03T00:00:00"/>
    <s v="Active"/>
    <x v="0"/>
    <n v="39"/>
    <s v="month"/>
    <s v="Active"/>
    <s v="Thursday"/>
  </r>
  <r>
    <n v="188206991"/>
    <d v="2023-08-03T00:00:00"/>
    <s v="Active"/>
    <x v="0"/>
    <n v="39"/>
    <s v="month"/>
    <s v="Active"/>
    <s v="Thursday"/>
  </r>
  <r>
    <n v="206470657"/>
    <d v="2023-08-03T00:00:00"/>
    <s v="Active"/>
    <x v="0"/>
    <n v="39"/>
    <s v="month"/>
    <s v="Active"/>
    <s v="Thursday"/>
  </r>
  <r>
    <n v="218706730"/>
    <d v="2023-08-03T00:00:00"/>
    <s v="Active"/>
    <x v="0"/>
    <n v="39"/>
    <s v="month"/>
    <s v="Active"/>
    <s v="Thursday"/>
  </r>
  <r>
    <n v="219512680"/>
    <d v="2023-08-03T00:00:00"/>
    <s v="Active"/>
    <x v="0"/>
    <n v="39"/>
    <s v="month"/>
    <s v="Active"/>
    <s v="Thursday"/>
  </r>
  <r>
    <n v="125335731"/>
    <d v="2023-08-03T00:00:00"/>
    <s v="Active"/>
    <x v="0"/>
    <n v="39"/>
    <s v="month"/>
    <s v="Active"/>
    <s v="Thursday"/>
  </r>
  <r>
    <n v="160598122"/>
    <d v="2023-08-03T00:00:00"/>
    <s v="Active"/>
    <x v="0"/>
    <n v="39"/>
    <s v="month"/>
    <s v="Active"/>
    <s v="Thursday"/>
  </r>
  <r>
    <n v="218414156"/>
    <d v="2023-08-03T00:00:00"/>
    <s v="Active"/>
    <x v="0"/>
    <n v="39"/>
    <s v="month"/>
    <s v="Active"/>
    <s v="Thursday"/>
  </r>
  <r>
    <n v="206455504"/>
    <d v="2023-08-03T00:00:00"/>
    <d v="2023-09-01T00:00:00"/>
    <x v="0"/>
    <n v="39"/>
    <s v="month"/>
    <n v="29"/>
    <s v="Thursday"/>
  </r>
  <r>
    <n v="202589094"/>
    <d v="2023-08-03T00:00:00"/>
    <d v="2023-09-03T00:00:00"/>
    <x v="0"/>
    <n v="39"/>
    <s v="month"/>
    <n v="31"/>
    <s v="Thursday"/>
  </r>
  <r>
    <n v="129747676"/>
    <d v="2023-08-03T00:00:00"/>
    <d v="2023-09-06T00:00:00"/>
    <x v="0"/>
    <n v="39"/>
    <s v="month"/>
    <n v="34"/>
    <s v="Thursday"/>
  </r>
  <r>
    <n v="219511614"/>
    <d v="2023-08-03T00:00:00"/>
    <d v="2023-09-01T00:00:00"/>
    <x v="0"/>
    <n v="39"/>
    <s v="month"/>
    <n v="29"/>
    <s v="Thursday"/>
  </r>
  <r>
    <n v="219491158"/>
    <d v="2023-08-04T00:00:00"/>
    <s v="Active"/>
    <x v="0"/>
    <n v="39"/>
    <s v="month"/>
    <s v="Active"/>
    <s v="Friday"/>
  </r>
  <r>
    <n v="218790626"/>
    <d v="2023-08-04T00:00:00"/>
    <s v="Active"/>
    <x v="0"/>
    <n v="39"/>
    <s v="month"/>
    <s v="Active"/>
    <s v="Friday"/>
  </r>
  <r>
    <n v="219476808"/>
    <d v="2023-08-04T00:00:00"/>
    <s v="Active"/>
    <x v="0"/>
    <n v="39"/>
    <s v="month"/>
    <s v="Active"/>
    <s v="Friday"/>
  </r>
  <r>
    <n v="218585706"/>
    <d v="2023-08-04T00:00:00"/>
    <s v="Active"/>
    <x v="0"/>
    <n v="39"/>
    <s v="month"/>
    <s v="Active"/>
    <s v="Friday"/>
  </r>
  <r>
    <n v="219316901"/>
    <d v="2023-08-04T00:00:00"/>
    <s v="Active"/>
    <x v="0"/>
    <n v="39"/>
    <s v="month"/>
    <s v="Active"/>
    <s v="Friday"/>
  </r>
  <r>
    <n v="217724278"/>
    <d v="2023-08-04T00:00:00"/>
    <s v="Active"/>
    <x v="0"/>
    <n v="39"/>
    <s v="month"/>
    <s v="Active"/>
    <s v="Friday"/>
  </r>
  <r>
    <n v="155869412"/>
    <d v="2023-08-04T00:00:00"/>
    <s v="Active"/>
    <x v="0"/>
    <n v="39"/>
    <s v="month"/>
    <s v="Active"/>
    <s v="Friday"/>
  </r>
  <r>
    <n v="164535832"/>
    <d v="2023-08-04T00:00:00"/>
    <s v="Active"/>
    <x v="0"/>
    <n v="39"/>
    <s v="month"/>
    <s v="Active"/>
    <s v="Friday"/>
  </r>
  <r>
    <n v="219388064"/>
    <d v="2023-08-04T00:00:00"/>
    <s v="Active"/>
    <x v="0"/>
    <n v="39"/>
    <s v="month"/>
    <s v="Active"/>
    <s v="Friday"/>
  </r>
  <r>
    <n v="218884048"/>
    <d v="2023-08-04T00:00:00"/>
    <d v="2023-08-22T00:00:00"/>
    <x v="0"/>
    <n v="39"/>
    <s v="month"/>
    <n v="18"/>
    <s v="Friday"/>
  </r>
  <r>
    <n v="219603078"/>
    <d v="2023-08-05T00:00:00"/>
    <s v="Active"/>
    <x v="0"/>
    <n v="39"/>
    <s v="month"/>
    <s v="Active"/>
    <s v="Saturday"/>
  </r>
  <r>
    <n v="219146842"/>
    <d v="2023-08-05T00:00:00"/>
    <s v="Active"/>
    <x v="0"/>
    <n v="39"/>
    <s v="month"/>
    <s v="Active"/>
    <s v="Saturday"/>
  </r>
  <r>
    <n v="206676416"/>
    <d v="2023-08-05T00:00:00"/>
    <s v="Active"/>
    <x v="0"/>
    <n v="39"/>
    <s v="month"/>
    <s v="Active"/>
    <s v="Saturday"/>
  </r>
  <r>
    <n v="219615770"/>
    <d v="2023-08-05T00:00:00"/>
    <s v="Active"/>
    <x v="0"/>
    <n v="39"/>
    <s v="month"/>
    <s v="Active"/>
    <s v="Saturday"/>
  </r>
  <r>
    <n v="219630379"/>
    <d v="2023-08-06T00:00:00"/>
    <s v="Active"/>
    <x v="0"/>
    <n v="39"/>
    <s v="month"/>
    <s v="Active"/>
    <s v="Sunday"/>
  </r>
  <r>
    <n v="145096572"/>
    <d v="2023-08-06T00:00:00"/>
    <s v="Active"/>
    <x v="0"/>
    <n v="39"/>
    <s v="month"/>
    <s v="Active"/>
    <s v="Sunday"/>
  </r>
  <r>
    <n v="144005898"/>
    <d v="2023-08-06T00:00:00"/>
    <s v="Active"/>
    <x v="0"/>
    <n v="39"/>
    <s v="month"/>
    <s v="Active"/>
    <s v="Sunday"/>
  </r>
  <r>
    <n v="215189020"/>
    <d v="2023-08-06T00:00:00"/>
    <s v="Active"/>
    <x v="0"/>
    <n v="39"/>
    <s v="month"/>
    <s v="Active"/>
    <s v="Sunday"/>
  </r>
  <r>
    <n v="188354637"/>
    <d v="2023-08-06T00:00:00"/>
    <d v="2023-08-20T00:00:00"/>
    <x v="0"/>
    <n v="39"/>
    <s v="month"/>
    <n v="14"/>
    <s v="Sunday"/>
  </r>
  <r>
    <n v="219668475"/>
    <d v="2023-08-07T00:00:00"/>
    <s v="Active"/>
    <x v="0"/>
    <n v="39"/>
    <s v="month"/>
    <s v="Active"/>
    <s v="Monday"/>
  </r>
  <r>
    <n v="219495361"/>
    <d v="2023-08-07T00:00:00"/>
    <s v="Active"/>
    <x v="0"/>
    <n v="39"/>
    <s v="month"/>
    <s v="Active"/>
    <s v="Monday"/>
  </r>
  <r>
    <n v="219672587"/>
    <d v="2023-08-07T00:00:00"/>
    <s v="Active"/>
    <x v="0"/>
    <n v="39"/>
    <s v="month"/>
    <s v="Active"/>
    <s v="Monday"/>
  </r>
  <r>
    <n v="218556897"/>
    <d v="2023-08-07T00:00:00"/>
    <d v="2023-08-08T00:00:00"/>
    <x v="0"/>
    <n v="39"/>
    <s v="month"/>
    <n v="1"/>
    <s v="Monday"/>
  </r>
  <r>
    <n v="219467082"/>
    <d v="2023-08-07T00:00:00"/>
    <d v="2023-08-15T00:00:00"/>
    <x v="0"/>
    <n v="39"/>
    <s v="month"/>
    <n v="8"/>
    <s v="Monday"/>
  </r>
  <r>
    <n v="139353407"/>
    <d v="2023-08-08T00:00:00"/>
    <s v="Active"/>
    <x v="0"/>
    <n v="39"/>
    <s v="month"/>
    <s v="Active"/>
    <s v="Tuesday"/>
  </r>
  <r>
    <n v="219734945"/>
    <d v="2023-08-08T00:00:00"/>
    <s v="Active"/>
    <x v="0"/>
    <n v="39"/>
    <s v="month"/>
    <s v="Active"/>
    <s v="Tuesday"/>
  </r>
  <r>
    <n v="219735949"/>
    <d v="2023-08-08T00:00:00"/>
    <s v="Active"/>
    <x v="0"/>
    <n v="39"/>
    <s v="month"/>
    <s v="Active"/>
    <s v="Tuesday"/>
  </r>
  <r>
    <n v="219688361"/>
    <d v="2023-08-08T00:00:00"/>
    <s v="Active"/>
    <x v="0"/>
    <n v="39"/>
    <s v="month"/>
    <s v="Active"/>
    <s v="Tuesday"/>
  </r>
  <r>
    <n v="219447968"/>
    <d v="2023-08-08T00:00:00"/>
    <s v="Active"/>
    <x v="0"/>
    <n v="39"/>
    <s v="month"/>
    <s v="Active"/>
    <s v="Tuesday"/>
  </r>
  <r>
    <n v="219583682"/>
    <d v="2023-08-08T00:00:00"/>
    <s v="Active"/>
    <x v="0"/>
    <n v="39"/>
    <s v="month"/>
    <s v="Active"/>
    <s v="Tuesday"/>
  </r>
  <r>
    <n v="217638566"/>
    <d v="2023-08-08T00:00:00"/>
    <s v="Active"/>
    <x v="0"/>
    <n v="39"/>
    <s v="month"/>
    <s v="Active"/>
    <s v="Tuesday"/>
  </r>
  <r>
    <n v="219716268"/>
    <d v="2023-08-08T00:00:00"/>
    <s v="Active"/>
    <x v="0"/>
    <n v="39"/>
    <s v="month"/>
    <s v="Active"/>
    <s v="Tuesday"/>
  </r>
  <r>
    <n v="219713718"/>
    <d v="2023-08-08T00:00:00"/>
    <s v="Active"/>
    <x v="0"/>
    <n v="39"/>
    <s v="month"/>
    <s v="Active"/>
    <s v="Tuesday"/>
  </r>
  <r>
    <n v="219707178"/>
    <d v="2023-08-08T00:00:00"/>
    <s v="Active"/>
    <x v="0"/>
    <n v="39"/>
    <s v="month"/>
    <s v="Active"/>
    <s v="Tuesday"/>
  </r>
  <r>
    <n v="219747148"/>
    <d v="2023-08-08T00:00:00"/>
    <d v="2023-08-08T00:00:00"/>
    <x v="0"/>
    <n v="39"/>
    <s v="month"/>
    <n v="0"/>
    <s v="Tuesday"/>
  </r>
  <r>
    <n v="219710700"/>
    <d v="2023-08-08T00:00:00"/>
    <d v="2023-08-17T00:00:00"/>
    <x v="0"/>
    <n v="39"/>
    <s v="month"/>
    <n v="9"/>
    <s v="Tuesday"/>
  </r>
  <r>
    <n v="160883429"/>
    <d v="2023-08-09T00:00:00"/>
    <s v="Active"/>
    <x v="0"/>
    <n v="39"/>
    <s v="month"/>
    <s v="Active"/>
    <s v="Wednesday"/>
  </r>
  <r>
    <n v="218556897"/>
    <d v="2023-08-09T00:00:00"/>
    <s v="Active"/>
    <x v="0"/>
    <n v="39"/>
    <s v="month"/>
    <s v="Active"/>
    <s v="Wednesday"/>
  </r>
  <r>
    <n v="219779586"/>
    <d v="2023-08-09T00:00:00"/>
    <s v="Active"/>
    <x v="0"/>
    <n v="39"/>
    <s v="month"/>
    <s v="Active"/>
    <s v="Wednesday"/>
  </r>
  <r>
    <n v="219437804"/>
    <d v="2023-08-09T00:00:00"/>
    <s v="Active"/>
    <x v="0"/>
    <n v="39"/>
    <s v="month"/>
    <s v="Active"/>
    <s v="Wednesday"/>
  </r>
  <r>
    <n v="206402783"/>
    <d v="2023-08-09T00:00:00"/>
    <s v="Active"/>
    <x v="0"/>
    <n v="39"/>
    <s v="month"/>
    <s v="Active"/>
    <s v="Wednesday"/>
  </r>
  <r>
    <n v="178419414"/>
    <d v="2023-08-09T00:00:00"/>
    <s v="Active"/>
    <x v="0"/>
    <n v="39"/>
    <s v="month"/>
    <s v="Active"/>
    <s v="Wednesday"/>
  </r>
  <r>
    <n v="219719416"/>
    <d v="2023-08-09T00:00:00"/>
    <s v="Active"/>
    <x v="0"/>
    <n v="39"/>
    <s v="month"/>
    <s v="Active"/>
    <s v="Wednesday"/>
  </r>
  <r>
    <n v="156558244"/>
    <d v="2023-08-09T00:00:00"/>
    <s v="Active"/>
    <x v="0"/>
    <n v="39"/>
    <s v="month"/>
    <s v="Active"/>
    <s v="Wednesday"/>
  </r>
  <r>
    <n v="215602271"/>
    <d v="2023-08-09T00:00:00"/>
    <d v="2023-08-15T00:00:00"/>
    <x v="0"/>
    <n v="39"/>
    <s v="month"/>
    <n v="6"/>
    <s v="Wednesday"/>
  </r>
  <r>
    <n v="219761422"/>
    <d v="2023-08-09T00:00:00"/>
    <d v="2023-08-14T00:00:00"/>
    <x v="0"/>
    <n v="39"/>
    <s v="month"/>
    <n v="5"/>
    <s v="Wednesday"/>
  </r>
  <r>
    <n v="218594597"/>
    <d v="2023-08-09T00:00:00"/>
    <d v="2023-08-09T00:00:00"/>
    <x v="1"/>
    <n v="39"/>
    <s v="month"/>
    <n v="0"/>
    <s v="Wednesday"/>
  </r>
  <r>
    <n v="219734107"/>
    <d v="2023-08-10T00:00:00"/>
    <s v="Active"/>
    <x v="0"/>
    <n v="39"/>
    <s v="month"/>
    <s v="Active"/>
    <s v="Thursday"/>
  </r>
  <r>
    <n v="219836911"/>
    <d v="2023-08-10T00:00:00"/>
    <s v="Active"/>
    <x v="0"/>
    <n v="39"/>
    <s v="month"/>
    <s v="Active"/>
    <s v="Thursday"/>
  </r>
  <r>
    <n v="215179190"/>
    <d v="2023-08-10T00:00:00"/>
    <s v="Active"/>
    <x v="0"/>
    <n v="39"/>
    <s v="month"/>
    <s v="Active"/>
    <s v="Thursday"/>
  </r>
  <r>
    <n v="219817702"/>
    <d v="2023-08-10T00:00:00"/>
    <s v="Active"/>
    <x v="0"/>
    <n v="39"/>
    <s v="month"/>
    <s v="Active"/>
    <s v="Thursday"/>
  </r>
  <r>
    <n v="150065982"/>
    <d v="2023-08-10T00:00:00"/>
    <d v="2023-08-11T00:00:00"/>
    <x v="0"/>
    <n v="39"/>
    <s v="month"/>
    <n v="1"/>
    <s v="Thursday"/>
  </r>
  <r>
    <n v="219891350"/>
    <d v="2023-08-11T00:00:00"/>
    <s v="Active"/>
    <x v="0"/>
    <n v="39"/>
    <s v="month"/>
    <s v="Active"/>
    <s v="Friday"/>
  </r>
  <r>
    <n v="205210815"/>
    <d v="2023-08-11T00:00:00"/>
    <s v="Active"/>
    <x v="0"/>
    <n v="39"/>
    <s v="month"/>
    <s v="Active"/>
    <s v="Friday"/>
  </r>
  <r>
    <n v="219744473"/>
    <d v="2023-08-11T00:00:00"/>
    <s v="Active"/>
    <x v="0"/>
    <n v="39"/>
    <s v="month"/>
    <s v="Active"/>
    <s v="Friday"/>
  </r>
  <r>
    <n v="219851822"/>
    <d v="2023-08-11T00:00:00"/>
    <s v="Active"/>
    <x v="0"/>
    <n v="39"/>
    <s v="month"/>
    <s v="Active"/>
    <s v="Friday"/>
  </r>
  <r>
    <n v="150779000"/>
    <d v="2023-08-11T00:00:00"/>
    <d v="2023-09-06T00:00:00"/>
    <x v="0"/>
    <n v="39"/>
    <s v="month"/>
    <n v="26"/>
    <s v="Friday"/>
  </r>
  <r>
    <n v="219876215"/>
    <d v="2023-08-11T00:00:00"/>
    <d v="2023-08-12T00:00:00"/>
    <x v="0"/>
    <n v="39"/>
    <s v="month"/>
    <n v="1"/>
    <s v="Friday"/>
  </r>
  <r>
    <n v="151633468"/>
    <d v="2023-08-11T00:00:00"/>
    <d v="2023-08-12T00:00:00"/>
    <x v="0"/>
    <n v="39"/>
    <s v="month"/>
    <n v="1"/>
    <s v="Friday"/>
  </r>
  <r>
    <n v="219834528"/>
    <d v="2023-08-11T00:00:00"/>
    <d v="2023-08-12T00:00:00"/>
    <x v="1"/>
    <n v="39"/>
    <s v="month"/>
    <n v="1"/>
    <s v="Friday"/>
  </r>
  <r>
    <n v="202844600"/>
    <d v="2023-08-11T00:00:00"/>
    <d v="2023-08-12T00:00:00"/>
    <x v="1"/>
    <n v="39"/>
    <s v="month"/>
    <n v="1"/>
    <s v="Friday"/>
  </r>
  <r>
    <n v="158093021"/>
    <d v="2023-08-12T00:00:00"/>
    <s v="Active"/>
    <x v="0"/>
    <n v="39"/>
    <s v="month"/>
    <s v="Active"/>
    <s v="Saturday"/>
  </r>
  <r>
    <n v="203366396"/>
    <d v="2023-08-12T00:00:00"/>
    <d v="2023-08-16T00:00:00"/>
    <x v="0"/>
    <n v="39"/>
    <s v="month"/>
    <n v="4"/>
    <s v="Saturday"/>
  </r>
  <r>
    <n v="210694562"/>
    <d v="2023-08-12T00:00:00"/>
    <d v="2023-09-02T00:00:00"/>
    <x v="0"/>
    <n v="39"/>
    <s v="month"/>
    <n v="21"/>
    <s v="Saturday"/>
  </r>
  <r>
    <n v="188347490"/>
    <d v="2023-08-13T00:00:00"/>
    <s v="Active"/>
    <x v="0"/>
    <n v="39"/>
    <s v="month"/>
    <s v="Active"/>
    <s v="Sunday"/>
  </r>
  <r>
    <n v="219947831"/>
    <d v="2023-08-13T00:00:00"/>
    <s v="Active"/>
    <x v="0"/>
    <n v="39"/>
    <s v="month"/>
    <s v="Active"/>
    <s v="Sunday"/>
  </r>
  <r>
    <n v="214775412"/>
    <d v="2023-08-13T00:00:00"/>
    <s v="Active"/>
    <x v="0"/>
    <n v="39"/>
    <s v="month"/>
    <s v="Active"/>
    <s v="Sunday"/>
  </r>
  <r>
    <n v="134753801"/>
    <d v="2023-08-13T00:00:00"/>
    <s v="Active"/>
    <x v="0"/>
    <n v="39"/>
    <s v="month"/>
    <s v="Active"/>
    <s v="Sunday"/>
  </r>
  <r>
    <n v="182584521"/>
    <d v="2023-08-13T00:00:00"/>
    <s v="Active"/>
    <x v="0"/>
    <n v="39"/>
    <s v="month"/>
    <s v="Active"/>
    <s v="Sunday"/>
  </r>
  <r>
    <n v="219955434"/>
    <d v="2023-08-13T00:00:00"/>
    <s v="Active"/>
    <x v="0"/>
    <n v="39"/>
    <s v="month"/>
    <s v="Active"/>
    <s v="Sunday"/>
  </r>
  <r>
    <n v="219951440"/>
    <d v="2023-08-13T00:00:00"/>
    <s v="Active"/>
    <x v="0"/>
    <n v="39"/>
    <s v="month"/>
    <s v="Active"/>
    <s v="Sunday"/>
  </r>
  <r>
    <n v="219808428"/>
    <d v="2023-08-13T00:00:00"/>
    <d v="2023-09-01T00:00:00"/>
    <x v="0"/>
    <n v="39"/>
    <s v="month"/>
    <n v="19"/>
    <s v="Sunday"/>
  </r>
  <r>
    <n v="191034251"/>
    <d v="2023-08-14T00:00:00"/>
    <s v="Active"/>
    <x v="0"/>
    <n v="39"/>
    <s v="month"/>
    <s v="Active"/>
    <s v="Monday"/>
  </r>
  <r>
    <n v="220023196"/>
    <d v="2023-08-14T00:00:00"/>
    <s v="Active"/>
    <x v="0"/>
    <n v="39"/>
    <s v="month"/>
    <s v="Active"/>
    <s v="Monday"/>
  </r>
  <r>
    <n v="220028812"/>
    <d v="2023-08-14T00:00:00"/>
    <s v="Active"/>
    <x v="0"/>
    <n v="39"/>
    <s v="month"/>
    <s v="Active"/>
    <s v="Monday"/>
  </r>
  <r>
    <n v="195988242"/>
    <d v="2023-08-14T00:00:00"/>
    <s v="Active"/>
    <x v="0"/>
    <n v="39"/>
    <s v="month"/>
    <s v="Active"/>
    <s v="Monday"/>
  </r>
  <r>
    <n v="151633468"/>
    <d v="2023-08-14T00:00:00"/>
    <s v="Active"/>
    <x v="0"/>
    <n v="39"/>
    <s v="month"/>
    <s v="Active"/>
    <s v="Monday"/>
  </r>
  <r>
    <n v="220012044"/>
    <d v="2023-08-14T00:00:00"/>
    <s v="Active"/>
    <x v="0"/>
    <n v="39"/>
    <s v="month"/>
    <s v="Active"/>
    <s v="Monday"/>
  </r>
  <r>
    <n v="219981231"/>
    <d v="2023-08-14T00:00:00"/>
    <s v="Active"/>
    <x v="0"/>
    <n v="39"/>
    <s v="month"/>
    <s v="Active"/>
    <s v="Monday"/>
  </r>
  <r>
    <n v="169692209"/>
    <d v="2023-08-14T00:00:00"/>
    <s v="Active"/>
    <x v="0"/>
    <n v="39"/>
    <s v="month"/>
    <s v="Active"/>
    <s v="Monday"/>
  </r>
  <r>
    <n v="116156335"/>
    <d v="2023-08-14T00:00:00"/>
    <s v="Active"/>
    <x v="0"/>
    <n v="39"/>
    <s v="month"/>
    <s v="Active"/>
    <s v="Monday"/>
  </r>
  <r>
    <n v="153393340"/>
    <d v="2023-08-14T00:00:00"/>
    <s v="Active"/>
    <x v="0"/>
    <n v="39"/>
    <s v="month"/>
    <s v="Active"/>
    <s v="Monday"/>
  </r>
  <r>
    <n v="219974920"/>
    <d v="2023-08-14T00:00:00"/>
    <s v="Active"/>
    <x v="0"/>
    <n v="39"/>
    <s v="month"/>
    <s v="Active"/>
    <s v="Monday"/>
  </r>
  <r>
    <n v="121253113"/>
    <d v="2023-08-14T00:00:00"/>
    <d v="2023-08-16T00:00:00"/>
    <x v="0"/>
    <n v="39"/>
    <s v="month"/>
    <n v="2"/>
    <s v="Monday"/>
  </r>
  <r>
    <n v="219690296"/>
    <d v="2023-08-15T00:00:00"/>
    <s v="Active"/>
    <x v="0"/>
    <n v="39"/>
    <s v="month"/>
    <s v="Active"/>
    <s v="Tuesday"/>
  </r>
  <r>
    <n v="187268085"/>
    <d v="2023-08-15T00:00:00"/>
    <s v="Active"/>
    <x v="0"/>
    <n v="39"/>
    <s v="month"/>
    <s v="Active"/>
    <s v="Tuesday"/>
  </r>
  <r>
    <n v="150623785"/>
    <d v="2023-08-15T00:00:00"/>
    <s v="Active"/>
    <x v="0"/>
    <n v="39"/>
    <s v="month"/>
    <s v="Active"/>
    <s v="Tuesday"/>
  </r>
  <r>
    <n v="220056524"/>
    <d v="2023-08-15T00:00:00"/>
    <d v="2023-08-16T00:00:00"/>
    <x v="1"/>
    <n v="39"/>
    <s v="month"/>
    <n v="1"/>
    <s v="Tuesday"/>
  </r>
  <r>
    <n v="208188866"/>
    <d v="2023-08-16T00:00:00"/>
    <s v="Active"/>
    <x v="0"/>
    <n v="39"/>
    <s v="month"/>
    <s v="Active"/>
    <s v="Wednesday"/>
  </r>
  <r>
    <n v="219081046"/>
    <d v="2023-08-16T00:00:00"/>
    <s v="Active"/>
    <x v="0"/>
    <n v="39"/>
    <s v="month"/>
    <s v="Active"/>
    <s v="Wednesday"/>
  </r>
  <r>
    <n v="219569143"/>
    <d v="2023-08-16T00:00:00"/>
    <s v="Active"/>
    <x v="0"/>
    <n v="39"/>
    <s v="month"/>
    <s v="Active"/>
    <s v="Wednesday"/>
  </r>
  <r>
    <n v="219653068"/>
    <d v="2023-08-16T00:00:00"/>
    <s v="Active"/>
    <x v="0"/>
    <n v="39"/>
    <s v="month"/>
    <s v="Active"/>
    <s v="Wednesday"/>
  </r>
  <r>
    <n v="220120740"/>
    <d v="2023-08-16T00:00:00"/>
    <s v="Active"/>
    <x v="0"/>
    <n v="39"/>
    <s v="month"/>
    <s v="Active"/>
    <s v="Wednesday"/>
  </r>
  <r>
    <n v="186200901"/>
    <d v="2023-08-16T00:00:00"/>
    <s v="Active"/>
    <x v="0"/>
    <n v="39"/>
    <s v="month"/>
    <s v="Active"/>
    <s v="Wednesday"/>
  </r>
  <r>
    <n v="220116966"/>
    <d v="2023-08-16T00:00:00"/>
    <s v="Active"/>
    <x v="0"/>
    <n v="39"/>
    <s v="month"/>
    <s v="Active"/>
    <s v="Wednesday"/>
  </r>
  <r>
    <n v="219876215"/>
    <d v="2023-08-16T00:00:00"/>
    <s v="Active"/>
    <x v="0"/>
    <n v="39"/>
    <s v="month"/>
    <s v="Active"/>
    <s v="Wednesday"/>
  </r>
  <r>
    <n v="219996796"/>
    <d v="2023-08-16T00:00:00"/>
    <s v="Active"/>
    <x v="0"/>
    <n v="39"/>
    <s v="month"/>
    <s v="Active"/>
    <s v="Wednesday"/>
  </r>
  <r>
    <n v="218296652"/>
    <d v="2023-08-16T00:00:00"/>
    <s v="Active"/>
    <x v="0"/>
    <n v="39"/>
    <s v="month"/>
    <s v="Active"/>
    <s v="Wednesday"/>
  </r>
  <r>
    <n v="188748372"/>
    <d v="2023-08-16T00:00:00"/>
    <s v="Active"/>
    <x v="0"/>
    <n v="39"/>
    <s v="month"/>
    <s v="Active"/>
    <s v="Wednesday"/>
  </r>
  <r>
    <n v="220080560"/>
    <d v="2023-08-16T00:00:00"/>
    <s v="Active"/>
    <x v="0"/>
    <n v="39"/>
    <s v="month"/>
    <s v="Active"/>
    <s v="Wednesday"/>
  </r>
  <r>
    <n v="219899496"/>
    <d v="2023-08-17T00:00:00"/>
    <s v="Active"/>
    <x v="0"/>
    <n v="39"/>
    <s v="month"/>
    <s v="Active"/>
    <s v="Thursday"/>
  </r>
  <r>
    <n v="219000322"/>
    <d v="2023-08-17T00:00:00"/>
    <s v="Active"/>
    <x v="0"/>
    <n v="39"/>
    <s v="month"/>
    <s v="Active"/>
    <s v="Thursday"/>
  </r>
  <r>
    <n v="220181992"/>
    <d v="2023-08-17T00:00:00"/>
    <s v="Active"/>
    <x v="0"/>
    <n v="39"/>
    <s v="month"/>
    <s v="Active"/>
    <s v="Thursday"/>
  </r>
  <r>
    <n v="220196419"/>
    <d v="2023-08-17T00:00:00"/>
    <s v="Active"/>
    <x v="0"/>
    <n v="39"/>
    <s v="month"/>
    <s v="Active"/>
    <s v="Thursday"/>
  </r>
  <r>
    <n v="220155197"/>
    <d v="2023-08-17T00:00:00"/>
    <s v="Active"/>
    <x v="0"/>
    <n v="39"/>
    <s v="month"/>
    <s v="Active"/>
    <s v="Thursday"/>
  </r>
  <r>
    <n v="220144619"/>
    <d v="2023-08-17T00:00:00"/>
    <s v="Active"/>
    <x v="0"/>
    <n v="39"/>
    <s v="month"/>
    <s v="Active"/>
    <s v="Thursday"/>
  </r>
  <r>
    <n v="220184550"/>
    <d v="2023-08-17T00:00:00"/>
    <s v="Active"/>
    <x v="0"/>
    <n v="39"/>
    <s v="month"/>
    <s v="Active"/>
    <s v="Thursday"/>
  </r>
  <r>
    <n v="152209352"/>
    <d v="2023-08-17T00:00:00"/>
    <s v="Active"/>
    <x v="0"/>
    <n v="39"/>
    <s v="month"/>
    <s v="Active"/>
    <s v="Thursday"/>
  </r>
  <r>
    <n v="146952862"/>
    <d v="2023-08-17T00:00:00"/>
    <s v="Active"/>
    <x v="0"/>
    <n v="39"/>
    <s v="month"/>
    <s v="Active"/>
    <s v="Thursday"/>
  </r>
  <r>
    <n v="220178530"/>
    <d v="2023-08-17T00:00:00"/>
    <s v="Active"/>
    <x v="0"/>
    <n v="39"/>
    <s v="month"/>
    <s v="Active"/>
    <s v="Thursday"/>
  </r>
  <r>
    <n v="219498470"/>
    <d v="2023-08-17T00:00:00"/>
    <s v="Active"/>
    <x v="0"/>
    <n v="39"/>
    <s v="month"/>
    <s v="Active"/>
    <s v="Thursday"/>
  </r>
  <r>
    <n v="216622895"/>
    <d v="2023-08-17T00:00:00"/>
    <s v="Active"/>
    <x v="0"/>
    <n v="39"/>
    <s v="month"/>
    <s v="Active"/>
    <s v="Thursday"/>
  </r>
  <r>
    <n v="153705354"/>
    <d v="2023-08-17T00:00:00"/>
    <d v="2023-08-17T00:00:00"/>
    <x v="0"/>
    <n v="39"/>
    <s v="month"/>
    <n v="0"/>
    <s v="Thursday"/>
  </r>
  <r>
    <n v="219280628"/>
    <d v="2023-08-17T00:00:00"/>
    <d v="2023-08-18T00:00:00"/>
    <x v="1"/>
    <n v="39"/>
    <s v="month"/>
    <n v="1"/>
    <s v="Thursday"/>
  </r>
  <r>
    <n v="220171290"/>
    <d v="2023-08-18T00:00:00"/>
    <s v="Active"/>
    <x v="0"/>
    <n v="39"/>
    <s v="month"/>
    <s v="Active"/>
    <s v="Friday"/>
  </r>
  <r>
    <n v="219553060"/>
    <d v="2023-08-18T00:00:00"/>
    <s v="Active"/>
    <x v="0"/>
    <n v="39"/>
    <s v="month"/>
    <s v="Active"/>
    <s v="Friday"/>
  </r>
  <r>
    <n v="220244827"/>
    <d v="2023-08-18T00:00:00"/>
    <s v="Active"/>
    <x v="0"/>
    <n v="39"/>
    <s v="month"/>
    <s v="Active"/>
    <s v="Friday"/>
  </r>
  <r>
    <n v="219612883"/>
    <d v="2023-08-18T00:00:00"/>
    <s v="Active"/>
    <x v="0"/>
    <n v="39"/>
    <s v="month"/>
    <s v="Active"/>
    <s v="Friday"/>
  </r>
  <r>
    <n v="217914279"/>
    <d v="2023-08-18T00:00:00"/>
    <s v="Active"/>
    <x v="0"/>
    <n v="39"/>
    <s v="month"/>
    <s v="Active"/>
    <s v="Friday"/>
  </r>
  <r>
    <n v="220171851"/>
    <d v="2023-08-18T00:00:00"/>
    <s v="Active"/>
    <x v="0"/>
    <n v="39"/>
    <s v="month"/>
    <s v="Active"/>
    <s v="Friday"/>
  </r>
  <r>
    <n v="217543308"/>
    <d v="2023-08-18T00:00:00"/>
    <s v="Active"/>
    <x v="0"/>
    <n v="39"/>
    <s v="month"/>
    <s v="Active"/>
    <s v="Friday"/>
  </r>
  <r>
    <n v="157008330"/>
    <d v="2023-08-18T00:00:00"/>
    <d v="2023-08-18T00:00:00"/>
    <x v="0"/>
    <n v="39"/>
    <s v="month"/>
    <n v="0"/>
    <s v="Friday"/>
  </r>
  <r>
    <n v="206063908"/>
    <d v="2023-08-18T00:00:00"/>
    <d v="2023-09-07T00:00:00"/>
    <x v="0"/>
    <n v="39"/>
    <s v="month"/>
    <n v="20"/>
    <s v="Friday"/>
  </r>
  <r>
    <n v="220182716"/>
    <d v="2023-08-18T00:00:00"/>
    <d v="2023-08-19T00:00:00"/>
    <x v="1"/>
    <n v="39"/>
    <s v="month"/>
    <n v="1"/>
    <s v="Friday"/>
  </r>
  <r>
    <n v="202103959"/>
    <d v="2023-08-19T00:00:00"/>
    <s v="Active"/>
    <x v="0"/>
    <n v="39"/>
    <s v="month"/>
    <s v="Active"/>
    <s v="Saturday"/>
  </r>
  <r>
    <n v="218757796"/>
    <d v="2023-08-19T00:00:00"/>
    <s v="Active"/>
    <x v="0"/>
    <n v="39"/>
    <s v="month"/>
    <s v="Active"/>
    <s v="Saturday"/>
  </r>
  <r>
    <n v="220272556"/>
    <d v="2023-08-19T00:00:00"/>
    <s v="Active"/>
    <x v="0"/>
    <n v="39"/>
    <s v="month"/>
    <s v="Active"/>
    <s v="Saturday"/>
  </r>
  <r>
    <n v="219493644"/>
    <d v="2023-08-19T00:00:00"/>
    <s v="Active"/>
    <x v="0"/>
    <n v="39"/>
    <s v="month"/>
    <s v="Active"/>
    <s v="Saturday"/>
  </r>
  <r>
    <n v="148996798"/>
    <d v="2023-08-19T00:00:00"/>
    <s v="Active"/>
    <x v="0"/>
    <n v="39"/>
    <s v="month"/>
    <s v="Active"/>
    <s v="Saturday"/>
  </r>
  <r>
    <n v="218947678"/>
    <d v="2023-08-19T00:00:00"/>
    <s v="Active"/>
    <x v="0"/>
    <n v="39"/>
    <s v="month"/>
    <s v="Active"/>
    <s v="Saturday"/>
  </r>
  <r>
    <n v="119465934"/>
    <d v="2023-08-19T00:00:00"/>
    <s v="Active"/>
    <x v="0"/>
    <n v="39"/>
    <s v="month"/>
    <s v="Active"/>
    <s v="Saturday"/>
  </r>
  <r>
    <n v="219195061"/>
    <d v="2023-08-19T00:00:00"/>
    <s v="Active"/>
    <x v="0"/>
    <n v="39"/>
    <s v="month"/>
    <s v="Active"/>
    <s v="Saturday"/>
  </r>
  <r>
    <n v="219637590"/>
    <d v="2023-08-19T00:00:00"/>
    <d v="2023-08-25T00:00:00"/>
    <x v="0"/>
    <n v="39"/>
    <s v="month"/>
    <n v="6"/>
    <s v="Saturday"/>
  </r>
  <r>
    <n v="218878930"/>
    <d v="2023-08-20T00:00:00"/>
    <s v="Active"/>
    <x v="0"/>
    <n v="39"/>
    <s v="month"/>
    <s v="Active"/>
    <s v="Sunday"/>
  </r>
  <r>
    <n v="134622358"/>
    <d v="2023-08-20T00:00:00"/>
    <s v="Active"/>
    <x v="0"/>
    <n v="39"/>
    <s v="month"/>
    <s v="Active"/>
    <s v="Sunday"/>
  </r>
  <r>
    <n v="219237524"/>
    <d v="2023-08-20T00:00:00"/>
    <s v="Active"/>
    <x v="0"/>
    <n v="39"/>
    <s v="month"/>
    <s v="Active"/>
    <s v="Sunday"/>
  </r>
  <r>
    <n v="147320092"/>
    <d v="2023-08-20T00:00:00"/>
    <s v="Active"/>
    <x v="0"/>
    <n v="39"/>
    <s v="month"/>
    <s v="Active"/>
    <s v="Sunday"/>
  </r>
  <r>
    <n v="219953886"/>
    <d v="2023-08-20T00:00:00"/>
    <s v="Active"/>
    <x v="0"/>
    <n v="39"/>
    <s v="month"/>
    <s v="Active"/>
    <s v="Sunday"/>
  </r>
  <r>
    <n v="207013932"/>
    <d v="2023-08-20T00:00:00"/>
    <d v="2023-08-20T00:00:00"/>
    <x v="1"/>
    <n v="39"/>
    <s v="month"/>
    <n v="0"/>
    <s v="Sunday"/>
  </r>
  <r>
    <n v="205274562"/>
    <d v="2023-08-21T00:00:00"/>
    <s v="Active"/>
    <x v="0"/>
    <n v="39"/>
    <s v="month"/>
    <s v="Active"/>
    <s v="Monday"/>
  </r>
  <r>
    <n v="152698255"/>
    <d v="2023-08-21T00:00:00"/>
    <s v="Active"/>
    <x v="0"/>
    <n v="39"/>
    <s v="month"/>
    <s v="Active"/>
    <s v="Monday"/>
  </r>
  <r>
    <n v="209361492"/>
    <d v="2023-08-21T00:00:00"/>
    <s v="Active"/>
    <x v="0"/>
    <n v="39"/>
    <s v="month"/>
    <s v="Active"/>
    <s v="Monday"/>
  </r>
  <r>
    <n v="205530810"/>
    <d v="2023-08-21T00:00:00"/>
    <s v="Active"/>
    <x v="0"/>
    <n v="39"/>
    <s v="month"/>
    <s v="Active"/>
    <s v="Monday"/>
  </r>
  <r>
    <n v="220343801"/>
    <d v="2023-08-21T00:00:00"/>
    <s v="Active"/>
    <x v="0"/>
    <n v="39"/>
    <s v="month"/>
    <s v="Active"/>
    <s v="Monday"/>
  </r>
  <r>
    <n v="150441222"/>
    <d v="2023-08-21T00:00:00"/>
    <s v="Active"/>
    <x v="0"/>
    <n v="39"/>
    <s v="month"/>
    <s v="Active"/>
    <s v="Monday"/>
  </r>
  <r>
    <n v="214640803"/>
    <d v="2023-08-21T00:00:00"/>
    <s v="Active"/>
    <x v="0"/>
    <n v="39"/>
    <s v="month"/>
    <s v="Active"/>
    <s v="Monday"/>
  </r>
  <r>
    <n v="219569853"/>
    <d v="2023-08-21T00:00:00"/>
    <s v="Active"/>
    <x v="0"/>
    <n v="39"/>
    <s v="month"/>
    <s v="Active"/>
    <s v="Monday"/>
  </r>
  <r>
    <n v="220197494"/>
    <d v="2023-08-21T00:00:00"/>
    <s v="Active"/>
    <x v="0"/>
    <n v="39"/>
    <s v="month"/>
    <s v="Active"/>
    <s v="Monday"/>
  </r>
  <r>
    <n v="220323698"/>
    <d v="2023-08-21T00:00:00"/>
    <s v="Active"/>
    <x v="0"/>
    <n v="39"/>
    <s v="month"/>
    <s v="Active"/>
    <s v="Monday"/>
  </r>
  <r>
    <n v="215180470"/>
    <d v="2023-08-21T00:00:00"/>
    <d v="2023-08-21T00:00:00"/>
    <x v="0"/>
    <n v="39"/>
    <s v="month"/>
    <n v="0"/>
    <s v="Monday"/>
  </r>
  <r>
    <n v="177323966"/>
    <d v="2023-08-21T00:00:00"/>
    <d v="2023-08-28T00:00:00"/>
    <x v="0"/>
    <n v="39"/>
    <s v="month"/>
    <n v="7"/>
    <s v="Monday"/>
  </r>
  <r>
    <n v="214682826"/>
    <d v="2023-08-21T00:00:00"/>
    <d v="2023-08-22T00:00:00"/>
    <x v="0"/>
    <n v="39"/>
    <s v="month"/>
    <n v="1"/>
    <s v="Monday"/>
  </r>
  <r>
    <n v="220414820"/>
    <d v="2023-08-22T00:00:00"/>
    <s v="Active"/>
    <x v="0"/>
    <n v="39"/>
    <s v="month"/>
    <s v="Active"/>
    <s v="Tuesday"/>
  </r>
  <r>
    <n v="214682826"/>
    <d v="2023-08-22T00:00:00"/>
    <s v="Active"/>
    <x v="0"/>
    <n v="39"/>
    <s v="month"/>
    <s v="Active"/>
    <s v="Tuesday"/>
  </r>
  <r>
    <n v="206147500"/>
    <d v="2023-08-22T00:00:00"/>
    <s v="Active"/>
    <x v="0"/>
    <n v="39"/>
    <s v="month"/>
    <s v="Active"/>
    <s v="Tuesday"/>
  </r>
  <r>
    <n v="220402308"/>
    <d v="2023-08-22T00:00:00"/>
    <s v="Active"/>
    <x v="0"/>
    <n v="39"/>
    <s v="month"/>
    <s v="Active"/>
    <s v="Tuesday"/>
  </r>
  <r>
    <n v="220205806"/>
    <d v="2023-08-22T00:00:00"/>
    <s v="Active"/>
    <x v="0"/>
    <n v="39"/>
    <s v="month"/>
    <s v="Active"/>
    <s v="Tuesday"/>
  </r>
  <r>
    <n v="152792045"/>
    <d v="2023-08-22T00:00:00"/>
    <s v="Active"/>
    <x v="0"/>
    <n v="39"/>
    <s v="month"/>
    <s v="Active"/>
    <s v="Tuesday"/>
  </r>
  <r>
    <n v="220381016"/>
    <d v="2023-08-22T00:00:00"/>
    <s v="Active"/>
    <x v="0"/>
    <n v="39"/>
    <s v="month"/>
    <s v="Active"/>
    <s v="Tuesday"/>
  </r>
  <r>
    <n v="220385078"/>
    <d v="2023-08-22T00:00:00"/>
    <s v="Active"/>
    <x v="0"/>
    <n v="39"/>
    <s v="month"/>
    <s v="Active"/>
    <s v="Tuesday"/>
  </r>
  <r>
    <n v="220414853"/>
    <d v="2023-08-22T00:00:00"/>
    <s v="Active"/>
    <x v="0"/>
    <n v="39"/>
    <s v="month"/>
    <s v="Active"/>
    <s v="Tuesday"/>
  </r>
  <r>
    <n v="220366524"/>
    <d v="2023-08-22T00:00:00"/>
    <s v="Active"/>
    <x v="0"/>
    <n v="39"/>
    <s v="month"/>
    <s v="Active"/>
    <s v="Tuesday"/>
  </r>
  <r>
    <n v="220407436"/>
    <d v="2023-08-22T00:00:00"/>
    <d v="2023-08-23T00:00:00"/>
    <x v="1"/>
    <n v="39"/>
    <s v="month"/>
    <n v="1"/>
    <s v="Tuesday"/>
  </r>
  <r>
    <n v="192182455"/>
    <d v="2023-08-23T00:00:00"/>
    <s v="Active"/>
    <x v="0"/>
    <n v="39"/>
    <s v="month"/>
    <s v="Active"/>
    <s v="Wednesday"/>
  </r>
  <r>
    <n v="219439597"/>
    <d v="2023-08-23T00:00:00"/>
    <s v="Active"/>
    <x v="0"/>
    <n v="39"/>
    <s v="month"/>
    <s v="Active"/>
    <s v="Wednesday"/>
  </r>
  <r>
    <n v="219576812"/>
    <d v="2023-08-23T00:00:00"/>
    <s v="Active"/>
    <x v="0"/>
    <n v="39"/>
    <s v="month"/>
    <s v="Active"/>
    <s v="Wednesday"/>
  </r>
  <r>
    <n v="143111905"/>
    <d v="2023-08-23T00:00:00"/>
    <s v="Active"/>
    <x v="0"/>
    <n v="39"/>
    <s v="month"/>
    <s v="Active"/>
    <s v="Wednesday"/>
  </r>
  <r>
    <n v="123297208"/>
    <d v="2023-08-23T00:00:00"/>
    <s v="Active"/>
    <x v="0"/>
    <n v="39"/>
    <s v="month"/>
    <s v="Active"/>
    <s v="Wednesday"/>
  </r>
  <r>
    <n v="213194584"/>
    <d v="2023-08-23T00:00:00"/>
    <s v="Active"/>
    <x v="0"/>
    <n v="39"/>
    <s v="month"/>
    <s v="Active"/>
    <s v="Wednesday"/>
  </r>
  <r>
    <n v="220455205"/>
    <d v="2023-08-23T00:00:00"/>
    <s v="Active"/>
    <x v="0"/>
    <n v="39"/>
    <s v="month"/>
    <s v="Active"/>
    <s v="Wednesday"/>
  </r>
  <r>
    <n v="220425056"/>
    <d v="2023-08-23T00:00:00"/>
    <s v="Active"/>
    <x v="0"/>
    <n v="39"/>
    <s v="month"/>
    <s v="Active"/>
    <s v="Wednesday"/>
  </r>
  <r>
    <n v="219685108"/>
    <d v="2023-08-23T00:00:00"/>
    <s v="Active"/>
    <x v="0"/>
    <n v="39"/>
    <s v="month"/>
    <s v="Active"/>
    <s v="Wednesday"/>
  </r>
  <r>
    <n v="220531090"/>
    <d v="2023-08-24T00:00:00"/>
    <s v="Active"/>
    <x v="0"/>
    <n v="39"/>
    <s v="month"/>
    <s v="Active"/>
    <s v="Thursday"/>
  </r>
  <r>
    <n v="220510482"/>
    <d v="2023-08-24T00:00:00"/>
    <s v="Active"/>
    <x v="0"/>
    <n v="39"/>
    <s v="month"/>
    <s v="Active"/>
    <s v="Thursday"/>
  </r>
  <r>
    <n v="149856123"/>
    <d v="2023-08-24T00:00:00"/>
    <s v="Active"/>
    <x v="0"/>
    <n v="39"/>
    <s v="month"/>
    <s v="Active"/>
    <s v="Thursday"/>
  </r>
  <r>
    <n v="217506938"/>
    <d v="2023-08-24T00:00:00"/>
    <s v="Active"/>
    <x v="0"/>
    <n v="39"/>
    <s v="month"/>
    <s v="Active"/>
    <s v="Thursday"/>
  </r>
  <r>
    <n v="189403535"/>
    <d v="2023-08-24T00:00:00"/>
    <s v="Active"/>
    <x v="0"/>
    <n v="39"/>
    <s v="month"/>
    <s v="Active"/>
    <s v="Thursday"/>
  </r>
  <r>
    <n v="132318451"/>
    <d v="2023-08-24T00:00:00"/>
    <d v="2023-08-25T00:00:00"/>
    <x v="0"/>
    <n v="39"/>
    <s v="month"/>
    <n v="1"/>
    <s v="Thursday"/>
  </r>
  <r>
    <n v="220495479"/>
    <d v="2023-08-24T00:00:00"/>
    <d v="2023-08-25T00:00:00"/>
    <x v="1"/>
    <n v="39"/>
    <s v="month"/>
    <n v="1"/>
    <s v="Thursday"/>
  </r>
  <r>
    <n v="164903790"/>
    <d v="2023-08-25T00:00:00"/>
    <s v="Active"/>
    <x v="0"/>
    <n v="39"/>
    <s v="month"/>
    <s v="Active"/>
    <s v="Friday"/>
  </r>
  <r>
    <n v="220371835"/>
    <d v="2023-08-25T00:00:00"/>
    <s v="Active"/>
    <x v="0"/>
    <n v="39"/>
    <s v="month"/>
    <s v="Active"/>
    <s v="Friday"/>
  </r>
  <r>
    <n v="125932988"/>
    <d v="2023-08-25T00:00:00"/>
    <s v="Active"/>
    <x v="0"/>
    <n v="39"/>
    <s v="month"/>
    <s v="Active"/>
    <s v="Friday"/>
  </r>
  <r>
    <n v="214924190"/>
    <d v="2023-08-25T00:00:00"/>
    <s v="Active"/>
    <x v="0"/>
    <n v="39"/>
    <s v="month"/>
    <s v="Active"/>
    <s v="Friday"/>
  </r>
  <r>
    <n v="117300170"/>
    <d v="2023-08-25T00:00:00"/>
    <s v="Active"/>
    <x v="0"/>
    <n v="39"/>
    <s v="month"/>
    <s v="Active"/>
    <s v="Friday"/>
  </r>
  <r>
    <n v="162913792"/>
    <d v="2023-08-25T00:00:00"/>
    <s v="Active"/>
    <x v="0"/>
    <n v="39"/>
    <s v="month"/>
    <s v="Active"/>
    <s v="Friday"/>
  </r>
  <r>
    <n v="220551506"/>
    <d v="2023-08-25T00:00:00"/>
    <s v="Active"/>
    <x v="0"/>
    <n v="39"/>
    <s v="month"/>
    <s v="Active"/>
    <s v="Friday"/>
  </r>
  <r>
    <n v="161187523"/>
    <d v="2023-08-25T00:00:00"/>
    <s v="Active"/>
    <x v="0"/>
    <n v="39"/>
    <s v="month"/>
    <s v="Active"/>
    <s v="Friday"/>
  </r>
  <r>
    <n v="220562110"/>
    <d v="2023-08-25T00:00:00"/>
    <d v="2023-08-26T00:00:00"/>
    <x v="1"/>
    <n v="39"/>
    <s v="month"/>
    <n v="1"/>
    <s v="Friday"/>
  </r>
  <r>
    <n v="220589305"/>
    <d v="2023-08-26T00:00:00"/>
    <s v="Active"/>
    <x v="0"/>
    <n v="39"/>
    <s v="month"/>
    <s v="Active"/>
    <s v="Saturday"/>
  </r>
  <r>
    <n v="220496139"/>
    <d v="2023-08-26T00:00:00"/>
    <s v="Active"/>
    <x v="0"/>
    <n v="39"/>
    <s v="month"/>
    <s v="Active"/>
    <s v="Saturday"/>
  </r>
  <r>
    <n v="219211334"/>
    <d v="2023-08-26T00:00:00"/>
    <s v="Active"/>
    <x v="0"/>
    <n v="39"/>
    <s v="month"/>
    <s v="Active"/>
    <s v="Saturday"/>
  </r>
  <r>
    <n v="220582817"/>
    <d v="2023-08-26T00:00:00"/>
    <s v="Active"/>
    <x v="0"/>
    <n v="39"/>
    <s v="month"/>
    <s v="Active"/>
    <s v="Saturday"/>
  </r>
  <r>
    <n v="217513777"/>
    <d v="2023-08-26T00:00:00"/>
    <d v="2023-08-28T00:00:00"/>
    <x v="0"/>
    <n v="39"/>
    <s v="month"/>
    <n v="2"/>
    <s v="Saturday"/>
  </r>
  <r>
    <n v="220576148"/>
    <d v="2023-08-26T00:00:00"/>
    <d v="2023-09-05T00:00:00"/>
    <x v="0"/>
    <n v="39"/>
    <s v="month"/>
    <n v="10"/>
    <s v="Saturday"/>
  </r>
  <r>
    <n v="219294264"/>
    <d v="2023-08-27T00:00:00"/>
    <s v="Active"/>
    <x v="0"/>
    <n v="39"/>
    <s v="month"/>
    <s v="Active"/>
    <s v="Sunday"/>
  </r>
  <r>
    <n v="220617197"/>
    <d v="2023-08-27T00:00:00"/>
    <s v="Active"/>
    <x v="0"/>
    <n v="39"/>
    <s v="month"/>
    <s v="Active"/>
    <s v="Sunday"/>
  </r>
  <r>
    <n v="220227691"/>
    <d v="2023-08-27T00:00:00"/>
    <s v="Active"/>
    <x v="0"/>
    <n v="39"/>
    <s v="month"/>
    <s v="Active"/>
    <s v="Sunday"/>
  </r>
  <r>
    <n v="220672607"/>
    <d v="2023-08-28T00:00:00"/>
    <s v="Active"/>
    <x v="0"/>
    <n v="39"/>
    <s v="month"/>
    <s v="Active"/>
    <s v="Monday"/>
  </r>
  <r>
    <n v="218608353"/>
    <d v="2023-08-28T00:00:00"/>
    <s v="Active"/>
    <x v="0"/>
    <n v="39"/>
    <s v="month"/>
    <s v="Active"/>
    <s v="Monday"/>
  </r>
  <r>
    <n v="135128238"/>
    <d v="2023-08-28T00:00:00"/>
    <s v="Active"/>
    <x v="0"/>
    <n v="39"/>
    <s v="month"/>
    <s v="Active"/>
    <s v="Monday"/>
  </r>
  <r>
    <n v="220285147"/>
    <d v="2023-08-28T00:00:00"/>
    <s v="Active"/>
    <x v="0"/>
    <n v="39"/>
    <s v="month"/>
    <s v="Active"/>
    <s v="Monday"/>
  </r>
  <r>
    <n v="218645057"/>
    <d v="2023-08-28T00:00:00"/>
    <s v="Active"/>
    <x v="0"/>
    <n v="39"/>
    <s v="month"/>
    <s v="Active"/>
    <s v="Monday"/>
  </r>
  <r>
    <n v="128199550"/>
    <d v="2023-08-28T00:00:00"/>
    <d v="2023-08-31T00:00:00"/>
    <x v="0"/>
    <n v="39"/>
    <s v="month"/>
    <n v="3"/>
    <s v="Monday"/>
  </r>
  <r>
    <n v="220747618"/>
    <d v="2023-08-29T00:00:00"/>
    <s v="Active"/>
    <x v="0"/>
    <n v="39"/>
    <s v="month"/>
    <s v="Active"/>
    <s v="Tuesday"/>
  </r>
  <r>
    <n v="207386830"/>
    <d v="2023-08-29T00:00:00"/>
    <s v="Active"/>
    <x v="0"/>
    <n v="39"/>
    <s v="month"/>
    <s v="Active"/>
    <s v="Tuesday"/>
  </r>
  <r>
    <n v="205109812"/>
    <d v="2023-08-29T00:00:00"/>
    <s v="Active"/>
    <x v="0"/>
    <n v="39"/>
    <s v="month"/>
    <s v="Active"/>
    <s v="Tuesday"/>
  </r>
  <r>
    <n v="132318451"/>
    <d v="2023-08-29T00:00:00"/>
    <s v="Active"/>
    <x v="0"/>
    <n v="39"/>
    <s v="month"/>
    <s v="Active"/>
    <s v="Tuesday"/>
  </r>
  <r>
    <n v="218596318"/>
    <d v="2023-08-29T00:00:00"/>
    <s v="Active"/>
    <x v="0"/>
    <n v="39"/>
    <s v="month"/>
    <s v="Active"/>
    <s v="Tuesday"/>
  </r>
  <r>
    <n v="220699520"/>
    <d v="2023-08-29T00:00:00"/>
    <s v="Active"/>
    <x v="0"/>
    <n v="39"/>
    <s v="month"/>
    <s v="Active"/>
    <s v="Tuesday"/>
  </r>
  <r>
    <n v="218307579"/>
    <d v="2023-08-29T00:00:00"/>
    <s v="Active"/>
    <x v="0"/>
    <n v="39"/>
    <s v="month"/>
    <s v="Active"/>
    <s v="Tuesday"/>
  </r>
  <r>
    <n v="218514844"/>
    <d v="2023-08-30T00:00:00"/>
    <s v="Active"/>
    <x v="0"/>
    <n v="39"/>
    <s v="month"/>
    <s v="Active"/>
    <s v="Wednesday"/>
  </r>
  <r>
    <n v="188622328"/>
    <d v="2023-08-30T00:00:00"/>
    <s v="Active"/>
    <x v="0"/>
    <n v="39"/>
    <s v="month"/>
    <s v="Active"/>
    <s v="Wednesday"/>
  </r>
  <r>
    <n v="220790640"/>
    <d v="2023-08-30T00:00:00"/>
    <s v="Active"/>
    <x v="0"/>
    <n v="39"/>
    <s v="month"/>
    <s v="Active"/>
    <s v="Wednesday"/>
  </r>
  <r>
    <n v="220675005"/>
    <d v="2023-08-30T00:00:00"/>
    <s v="Active"/>
    <x v="0"/>
    <n v="39"/>
    <s v="month"/>
    <s v="Active"/>
    <s v="Wednesday"/>
  </r>
  <r>
    <n v="142757196"/>
    <d v="2023-08-30T00:00:00"/>
    <s v="Active"/>
    <x v="0"/>
    <n v="39"/>
    <s v="month"/>
    <s v="Active"/>
    <s v="Wednesday"/>
  </r>
  <r>
    <n v="220411940"/>
    <d v="2023-08-30T00:00:00"/>
    <s v="Active"/>
    <x v="0"/>
    <n v="39"/>
    <s v="month"/>
    <s v="Active"/>
    <s v="Wednesday"/>
  </r>
  <r>
    <n v="155613371"/>
    <d v="2023-08-30T00:00:00"/>
    <s v="Active"/>
    <x v="0"/>
    <n v="39"/>
    <s v="month"/>
    <s v="Active"/>
    <s v="Wednesday"/>
  </r>
  <r>
    <n v="164548755"/>
    <d v="2023-08-30T00:00:00"/>
    <s v="Active"/>
    <x v="0"/>
    <n v="39"/>
    <s v="month"/>
    <s v="Active"/>
    <s v="Wednesday"/>
  </r>
  <r>
    <n v="220546810"/>
    <d v="2023-08-30T00:00:00"/>
    <s v="Active"/>
    <x v="0"/>
    <n v="39"/>
    <s v="month"/>
    <s v="Active"/>
    <s v="Wednesday"/>
  </r>
  <r>
    <n v="215202566"/>
    <d v="2023-08-30T00:00:00"/>
    <d v="2023-08-30T00:00:00"/>
    <x v="0"/>
    <n v="39"/>
    <s v="month"/>
    <n v="0"/>
    <s v="Wednesday"/>
  </r>
  <r>
    <n v="135092264"/>
    <d v="2023-08-31T00:00:00"/>
    <s v="Active"/>
    <x v="0"/>
    <n v="39"/>
    <s v="month"/>
    <s v="Active"/>
    <s v="Thursday"/>
  </r>
  <r>
    <n v="220854418"/>
    <d v="2023-08-31T00:00:00"/>
    <s v="Active"/>
    <x v="0"/>
    <n v="39"/>
    <s v="month"/>
    <s v="Active"/>
    <s v="Thursday"/>
  </r>
  <r>
    <n v="220851140"/>
    <d v="2023-08-31T00:00:00"/>
    <s v="Active"/>
    <x v="0"/>
    <n v="39"/>
    <s v="month"/>
    <s v="Active"/>
    <s v="Thursday"/>
  </r>
  <r>
    <n v="220843911"/>
    <d v="2023-08-31T00:00:00"/>
    <s v="Active"/>
    <x v="0"/>
    <n v="39"/>
    <s v="month"/>
    <s v="Active"/>
    <s v="Thursday"/>
  </r>
  <r>
    <n v="216137022"/>
    <d v="2023-08-31T00:00:00"/>
    <s v="Active"/>
    <x v="0"/>
    <n v="39"/>
    <s v="month"/>
    <s v="Active"/>
    <s v="Thursday"/>
  </r>
  <r>
    <n v="161151062"/>
    <d v="2023-08-31T00:00:00"/>
    <s v="Active"/>
    <x v="0"/>
    <n v="39"/>
    <s v="month"/>
    <s v="Active"/>
    <s v="Thursday"/>
  </r>
  <r>
    <n v="148085880"/>
    <d v="2023-08-31T00:00:00"/>
    <s v="Active"/>
    <x v="0"/>
    <n v="39"/>
    <s v="month"/>
    <s v="Active"/>
    <s v="Thursday"/>
  </r>
  <r>
    <n v="182061738"/>
    <d v="2023-09-01T00:00:00"/>
    <s v="Active"/>
    <x v="0"/>
    <n v="39"/>
    <s v="month"/>
    <s v="Active"/>
    <s v="Friday"/>
  </r>
  <r>
    <n v="220860582"/>
    <d v="2023-09-01T00:00:00"/>
    <s v="Active"/>
    <x v="0"/>
    <n v="39"/>
    <s v="month"/>
    <s v="Active"/>
    <s v="Friday"/>
  </r>
  <r>
    <n v="218315334"/>
    <d v="2023-09-01T00:00:00"/>
    <s v="Active"/>
    <x v="0"/>
    <n v="39"/>
    <s v="month"/>
    <s v="Active"/>
    <s v="Friday"/>
  </r>
  <r>
    <n v="217246008"/>
    <d v="2023-09-01T00:00:00"/>
    <s v="Active"/>
    <x v="0"/>
    <n v="39"/>
    <s v="month"/>
    <s v="Active"/>
    <s v="Friday"/>
  </r>
  <r>
    <n v="220835326"/>
    <d v="2023-09-01T00:00:00"/>
    <s v="Active"/>
    <x v="0"/>
    <n v="39"/>
    <s v="month"/>
    <s v="Active"/>
    <s v="Friday"/>
  </r>
  <r>
    <n v="219470485"/>
    <d v="2023-09-01T00:00:00"/>
    <s v="Active"/>
    <x v="0"/>
    <n v="39"/>
    <s v="month"/>
    <s v="Active"/>
    <s v="Friday"/>
  </r>
  <r>
    <n v="182153913"/>
    <d v="2023-09-02T00:00:00"/>
    <s v="Active"/>
    <x v="0"/>
    <n v="39"/>
    <s v="month"/>
    <s v="Active"/>
    <s v="Saturday"/>
  </r>
  <r>
    <n v="217223132"/>
    <d v="2023-09-02T00:00:00"/>
    <s v="Active"/>
    <x v="0"/>
    <n v="39"/>
    <s v="month"/>
    <s v="Active"/>
    <s v="Saturday"/>
  </r>
  <r>
    <n v="219643599"/>
    <d v="2023-09-02T00:00:00"/>
    <s v="Active"/>
    <x v="0"/>
    <n v="39"/>
    <s v="month"/>
    <s v="Active"/>
    <s v="Saturday"/>
  </r>
  <r>
    <n v="152851458"/>
    <d v="2023-09-02T00:00:00"/>
    <s v="Active"/>
    <x v="0"/>
    <n v="39"/>
    <s v="month"/>
    <s v="Active"/>
    <s v="Saturday"/>
  </r>
  <r>
    <n v="219657672"/>
    <d v="2023-09-02T00:00:00"/>
    <s v="Active"/>
    <x v="0"/>
    <n v="39"/>
    <s v="month"/>
    <s v="Active"/>
    <s v="Saturday"/>
  </r>
  <r>
    <n v="220973656"/>
    <d v="2023-09-03T00:00:00"/>
    <s v="Active"/>
    <x v="0"/>
    <n v="39"/>
    <s v="month"/>
    <s v="Active"/>
    <s v="Sunday"/>
  </r>
  <r>
    <n v="159717680"/>
    <d v="2023-09-03T00:00:00"/>
    <s v="Active"/>
    <x v="0"/>
    <n v="39"/>
    <s v="month"/>
    <s v="Active"/>
    <s v="Sunday"/>
  </r>
  <r>
    <n v="220420126"/>
    <d v="2023-09-03T00:00:00"/>
    <s v="Active"/>
    <x v="0"/>
    <n v="39"/>
    <s v="month"/>
    <s v="Active"/>
    <s v="Sunday"/>
  </r>
  <r>
    <n v="220965750"/>
    <d v="2023-09-03T00:00:00"/>
    <s v="Active"/>
    <x v="0"/>
    <n v="39"/>
    <s v="month"/>
    <s v="Active"/>
    <s v="Sunday"/>
  </r>
  <r>
    <n v="219065931"/>
    <d v="2023-09-03T00:00:00"/>
    <s v="Active"/>
    <x v="0"/>
    <n v="39"/>
    <s v="month"/>
    <s v="Active"/>
    <s v="Sunday"/>
  </r>
  <r>
    <n v="220707034"/>
    <d v="2023-09-03T00:00:00"/>
    <s v="Active"/>
    <x v="0"/>
    <n v="39"/>
    <s v="month"/>
    <s v="Active"/>
    <s v="Sunday"/>
  </r>
  <r>
    <n v="220875396"/>
    <d v="2023-09-03T00:00:00"/>
    <s v="Active"/>
    <x v="0"/>
    <n v="39"/>
    <s v="month"/>
    <s v="Active"/>
    <s v="Sunday"/>
  </r>
  <r>
    <n v="134054676"/>
    <d v="2023-09-03T00:00:00"/>
    <d v="2023-09-05T00:00:00"/>
    <x v="0"/>
    <n v="39"/>
    <s v="month"/>
    <n v="2"/>
    <s v="Sunday"/>
  </r>
  <r>
    <n v="183702574"/>
    <d v="2023-09-03T00:00:00"/>
    <d v="2023-09-03T00:00:00"/>
    <x v="0"/>
    <n v="39"/>
    <s v="month"/>
    <n v="0"/>
    <s v="Sunday"/>
  </r>
  <r>
    <n v="220997288"/>
    <d v="2023-09-04T00:00:00"/>
    <s v="Active"/>
    <x v="0"/>
    <n v="39"/>
    <s v="month"/>
    <s v="Active"/>
    <s v="Monday"/>
  </r>
  <r>
    <n v="218617631"/>
    <d v="2023-09-04T00:00:00"/>
    <s v="Active"/>
    <x v="0"/>
    <n v="39"/>
    <s v="month"/>
    <s v="Active"/>
    <s v="Monday"/>
  </r>
  <r>
    <n v="220952702"/>
    <d v="2023-09-04T00:00:00"/>
    <s v="Active"/>
    <x v="0"/>
    <n v="39"/>
    <s v="month"/>
    <s v="Active"/>
    <s v="Monday"/>
  </r>
  <r>
    <n v="156460574"/>
    <d v="2023-09-04T00:00:00"/>
    <s v="Active"/>
    <x v="0"/>
    <n v="39"/>
    <s v="month"/>
    <s v="Active"/>
    <s v="Monday"/>
  </r>
  <r>
    <n v="221012872"/>
    <d v="2023-09-04T00:00:00"/>
    <s v="Active"/>
    <x v="0"/>
    <n v="39"/>
    <s v="month"/>
    <s v="Active"/>
    <s v="Monday"/>
  </r>
  <r>
    <n v="220845656"/>
    <d v="2023-09-04T00:00:00"/>
    <s v="Active"/>
    <x v="0"/>
    <n v="39"/>
    <s v="month"/>
    <s v="Active"/>
    <s v="Monday"/>
  </r>
  <r>
    <n v="220989516"/>
    <d v="2023-09-04T00:00:00"/>
    <s v="Active"/>
    <x v="0"/>
    <n v="39"/>
    <s v="month"/>
    <s v="Active"/>
    <s v="Monday"/>
  </r>
  <r>
    <n v="135317128"/>
    <d v="2023-09-04T00:00:00"/>
    <s v="Active"/>
    <x v="0"/>
    <n v="39"/>
    <s v="month"/>
    <s v="Active"/>
    <s v="Monday"/>
  </r>
  <r>
    <n v="220984730"/>
    <d v="2023-09-04T00:00:00"/>
    <s v="Active"/>
    <x v="0"/>
    <n v="39"/>
    <s v="month"/>
    <s v="Active"/>
    <s v="Monday"/>
  </r>
  <r>
    <n v="220984628"/>
    <d v="2023-09-04T00:00:00"/>
    <s v="Active"/>
    <x v="0"/>
    <n v="39"/>
    <s v="month"/>
    <s v="Active"/>
    <s v="Monday"/>
  </r>
  <r>
    <n v="220989226"/>
    <d v="2023-09-04T00:00:00"/>
    <s v="Active"/>
    <x v="0"/>
    <n v="39"/>
    <s v="month"/>
    <s v="Active"/>
    <s v="Monday"/>
  </r>
  <r>
    <n v="220988969"/>
    <d v="2023-09-04T00:00:00"/>
    <s v="Active"/>
    <x v="0"/>
    <n v="39"/>
    <s v="month"/>
    <s v="Active"/>
    <s v="Monday"/>
  </r>
  <r>
    <n v="220988022"/>
    <d v="2023-09-04T00:00:00"/>
    <s v="Active"/>
    <x v="0"/>
    <n v="39"/>
    <s v="month"/>
    <s v="Active"/>
    <s v="Monday"/>
  </r>
  <r>
    <n v="220984390"/>
    <d v="2023-09-04T00:00:00"/>
    <s v="Active"/>
    <x v="0"/>
    <n v="39"/>
    <s v="month"/>
    <s v="Active"/>
    <s v="Monday"/>
  </r>
  <r>
    <n v="181480437"/>
    <d v="2023-09-04T00:00:00"/>
    <s v="Active"/>
    <x v="0"/>
    <n v="39"/>
    <s v="month"/>
    <s v="Active"/>
    <s v="Monday"/>
  </r>
  <r>
    <n v="125219153"/>
    <d v="2023-09-05T00:00:00"/>
    <s v="Active"/>
    <x v="0"/>
    <n v="39"/>
    <s v="month"/>
    <s v="Active"/>
    <s v="Tuesday"/>
  </r>
  <r>
    <n v="160833652"/>
    <d v="2023-09-05T00:00:00"/>
    <s v="Active"/>
    <x v="0"/>
    <n v="39"/>
    <s v="month"/>
    <s v="Active"/>
    <s v="Tuesday"/>
  </r>
  <r>
    <n v="221073196"/>
    <d v="2023-09-05T00:00:00"/>
    <s v="Active"/>
    <x v="0"/>
    <n v="39"/>
    <s v="month"/>
    <s v="Active"/>
    <s v="Tuesday"/>
  </r>
  <r>
    <n v="153733292"/>
    <d v="2023-09-05T00:00:00"/>
    <s v="Active"/>
    <x v="0"/>
    <n v="39"/>
    <s v="month"/>
    <s v="Active"/>
    <s v="Tuesday"/>
  </r>
  <r>
    <n v="152692003"/>
    <d v="2023-09-05T00:00:00"/>
    <s v="Active"/>
    <x v="0"/>
    <n v="39"/>
    <s v="month"/>
    <s v="Active"/>
    <s v="Tuesday"/>
  </r>
  <r>
    <n v="220528931"/>
    <d v="2023-09-05T00:00:00"/>
    <s v="Active"/>
    <x v="0"/>
    <n v="39"/>
    <s v="month"/>
    <s v="Active"/>
    <s v="Tuesday"/>
  </r>
  <r>
    <n v="221052611"/>
    <d v="2023-09-05T00:00:00"/>
    <s v="Active"/>
    <x v="0"/>
    <n v="39"/>
    <s v="month"/>
    <s v="Active"/>
    <s v="Tuesday"/>
  </r>
  <r>
    <n v="220665801"/>
    <d v="2023-09-05T00:00:00"/>
    <s v="Active"/>
    <x v="0"/>
    <n v="39"/>
    <s v="month"/>
    <s v="Active"/>
    <s v="Tuesday"/>
  </r>
  <r>
    <n v="221028388"/>
    <d v="2023-09-05T00:00:00"/>
    <s v="Active"/>
    <x v="0"/>
    <n v="39"/>
    <s v="month"/>
    <s v="Active"/>
    <s v="Tuesday"/>
  </r>
  <r>
    <n v="206284545"/>
    <d v="2023-09-05T00:00:00"/>
    <s v="Active"/>
    <x v="0"/>
    <n v="39"/>
    <s v="month"/>
    <s v="Active"/>
    <s v="Tuesday"/>
  </r>
  <r>
    <n v="178531928"/>
    <d v="2023-09-05T00:00:00"/>
    <s v="Active"/>
    <x v="0"/>
    <n v="39"/>
    <s v="month"/>
    <s v="Active"/>
    <s v="Tuesday"/>
  </r>
  <r>
    <n v="220994271"/>
    <d v="2023-09-05T00:00:00"/>
    <s v="Active"/>
    <x v="0"/>
    <n v="39"/>
    <s v="month"/>
    <s v="Active"/>
    <s v="Tuesday"/>
  </r>
  <r>
    <n v="218720472"/>
    <d v="2023-09-05T00:00:00"/>
    <s v="Active"/>
    <x v="0"/>
    <n v="39"/>
    <s v="month"/>
    <s v="Active"/>
    <s v="Tuesday"/>
  </r>
  <r>
    <n v="218900441"/>
    <d v="2023-09-06T00:00:00"/>
    <s v="Active"/>
    <x v="0"/>
    <n v="39"/>
    <s v="month"/>
    <s v="Active"/>
    <s v="Wednesday"/>
  </r>
  <r>
    <n v="221123938"/>
    <d v="2023-09-06T00:00:00"/>
    <s v="Active"/>
    <x v="0"/>
    <n v="39"/>
    <s v="month"/>
    <s v="Active"/>
    <s v="Wednesday"/>
  </r>
  <r>
    <n v="166750222"/>
    <d v="2023-09-06T00:00:00"/>
    <s v="Active"/>
    <x v="0"/>
    <n v="39"/>
    <s v="month"/>
    <s v="Active"/>
    <s v="Wednesday"/>
  </r>
  <r>
    <n v="154783053"/>
    <d v="2023-09-06T00:00:00"/>
    <s v="Active"/>
    <x v="0"/>
    <n v="39"/>
    <s v="month"/>
    <s v="Active"/>
    <s v="Wednesday"/>
  </r>
  <r>
    <n v="221100604"/>
    <d v="2023-09-06T00:00:00"/>
    <s v="Active"/>
    <x v="0"/>
    <n v="39"/>
    <s v="month"/>
    <s v="Active"/>
    <s v="Wednesday"/>
  </r>
  <r>
    <n v="220703723"/>
    <d v="2023-09-06T00:00:00"/>
    <s v="Active"/>
    <x v="0"/>
    <n v="39"/>
    <s v="month"/>
    <s v="Active"/>
    <s v="Wednesday"/>
  </r>
  <r>
    <n v="220815627"/>
    <d v="2023-09-06T00:00:00"/>
    <s v="Active"/>
    <x v="0"/>
    <n v="39"/>
    <s v="month"/>
    <s v="Active"/>
    <s v="Wednesday"/>
  </r>
  <r>
    <n v="214764106"/>
    <d v="2023-09-06T00:00:00"/>
    <s v="Active"/>
    <x v="0"/>
    <n v="39"/>
    <s v="month"/>
    <s v="Active"/>
    <s v="Wednesday"/>
  </r>
  <r>
    <n v="158763940"/>
    <d v="2023-09-07T00:00:00"/>
    <s v="Active"/>
    <x v="0"/>
    <n v="39"/>
    <s v="month"/>
    <s v="Active"/>
    <s v="Thursday"/>
  </r>
  <r>
    <n v="220065316"/>
    <d v="2023-09-07T00:00:00"/>
    <s v="Active"/>
    <x v="0"/>
    <n v="39"/>
    <s v="month"/>
    <s v="Active"/>
    <s v="Thursday"/>
  </r>
  <r>
    <n v="217662862"/>
    <d v="2023-09-07T00:00:00"/>
    <s v="Active"/>
    <x v="0"/>
    <n v="39"/>
    <s v="month"/>
    <s v="Active"/>
    <s v="Thursday"/>
  </r>
  <r>
    <n v="220328388"/>
    <d v="2023-09-07T00:00:00"/>
    <s v="Active"/>
    <x v="0"/>
    <n v="39"/>
    <s v="month"/>
    <s v="Active"/>
    <s v="Thursday"/>
  </r>
  <r>
    <n v="219521019"/>
    <d v="2023-09-07T00:00:00"/>
    <s v="Active"/>
    <x v="0"/>
    <n v="39"/>
    <s v="month"/>
    <s v="Active"/>
    <s v="Thursday"/>
  </r>
  <r>
    <n v="221145374"/>
    <d v="2023-09-07T00:00:00"/>
    <s v="Active"/>
    <x v="0"/>
    <n v="39"/>
    <s v="month"/>
    <s v="Active"/>
    <s v="Thursday"/>
  </r>
  <r>
    <n v="221130434"/>
    <d v="2023-09-07T00:00:00"/>
    <s v="Active"/>
    <x v="0"/>
    <n v="39"/>
    <s v="month"/>
    <s v="Active"/>
    <s v="Thursday"/>
  </r>
  <r>
    <n v="221189604"/>
    <d v="2023-09-08T00:00:00"/>
    <s v="Active"/>
    <x v="0"/>
    <n v="39"/>
    <s v="month"/>
    <s v="Active"/>
    <s v="Friday"/>
  </r>
  <r>
    <n v="215174643"/>
    <d v="2023-09-08T00:00:00"/>
    <s v="Active"/>
    <x v="0"/>
    <n v="39"/>
    <s v="month"/>
    <s v="Active"/>
    <s v="Friday"/>
  </r>
  <r>
    <n v="188354637"/>
    <d v="2023-09-08T00:00:00"/>
    <s v="Active"/>
    <x v="0"/>
    <n v="39"/>
    <s v="month"/>
    <s v="Active"/>
    <s v="Friday"/>
  </r>
</pivotCacheRecords>
</file>

<file path=xl/pivotCache/pivotCacheRecords3.xml><?xml version="1.0" encoding="utf-8"?>
<pivotCacheRecords xmlns="http://schemas.openxmlformats.org/spreadsheetml/2006/main" xmlns:r="http://schemas.openxmlformats.org/officeDocument/2006/relationships" count="3069">
  <r>
    <n v="154536156"/>
    <x v="0"/>
    <x v="0"/>
    <x v="0"/>
    <n v="39"/>
    <s v="month"/>
    <s v=""/>
    <x v="0"/>
  </r>
  <r>
    <n v="149713408"/>
    <x v="0"/>
    <x v="1"/>
    <x v="1"/>
    <n v="39"/>
    <s v="month"/>
    <n v="1"/>
    <x v="0"/>
  </r>
  <r>
    <n v="153756284"/>
    <x v="0"/>
    <x v="1"/>
    <x v="1"/>
    <n v="39"/>
    <s v="month"/>
    <n v="1"/>
    <x v="0"/>
  </r>
  <r>
    <n v="121253113"/>
    <x v="0"/>
    <x v="2"/>
    <x v="0"/>
    <n v="39"/>
    <s v="month"/>
    <n v="22"/>
    <x v="0"/>
  </r>
  <r>
    <n v="154467210"/>
    <x v="0"/>
    <x v="3"/>
    <x v="0"/>
    <n v="39"/>
    <s v="month"/>
    <n v="301"/>
    <x v="0"/>
  </r>
  <r>
    <n v="154510811"/>
    <x v="0"/>
    <x v="4"/>
    <x v="0"/>
    <n v="39"/>
    <s v="month"/>
    <n v="249"/>
    <x v="0"/>
  </r>
  <r>
    <n v="154494346"/>
    <x v="0"/>
    <x v="5"/>
    <x v="0"/>
    <n v="39"/>
    <s v="month"/>
    <n v="86"/>
    <x v="0"/>
  </r>
  <r>
    <n v="148671505"/>
    <x v="0"/>
    <x v="6"/>
    <x v="0"/>
    <n v="39"/>
    <s v="month"/>
    <n v="83"/>
    <x v="0"/>
  </r>
  <r>
    <n v="154568379"/>
    <x v="0"/>
    <x v="7"/>
    <x v="0"/>
    <n v="39"/>
    <s v="month"/>
    <n v="54"/>
    <x v="0"/>
  </r>
  <r>
    <n v="154428434"/>
    <x v="0"/>
    <x v="8"/>
    <x v="0"/>
    <n v="39"/>
    <s v="month"/>
    <n v="60"/>
    <x v="0"/>
  </r>
  <r>
    <n v="154601651"/>
    <x v="0"/>
    <x v="9"/>
    <x v="0"/>
    <n v="39"/>
    <s v="month"/>
    <n v="25"/>
    <x v="0"/>
  </r>
  <r>
    <n v="122824692"/>
    <x v="0"/>
    <x v="10"/>
    <x v="0"/>
    <n v="39"/>
    <s v="month"/>
    <n v="14"/>
    <x v="0"/>
  </r>
  <r>
    <n v="152925600"/>
    <x v="1"/>
    <x v="0"/>
    <x v="0"/>
    <n v="39"/>
    <s v="month"/>
    <s v=""/>
    <x v="1"/>
  </r>
  <r>
    <n v="151154171"/>
    <x v="1"/>
    <x v="1"/>
    <x v="0"/>
    <n v="39"/>
    <s v="month"/>
    <n v="0"/>
    <x v="1"/>
  </r>
  <r>
    <n v="154640950"/>
    <x v="1"/>
    <x v="11"/>
    <x v="0"/>
    <n v="39"/>
    <s v="month"/>
    <n v="98"/>
    <x v="1"/>
  </r>
  <r>
    <n v="154617329"/>
    <x v="1"/>
    <x v="12"/>
    <x v="0"/>
    <n v="39"/>
    <s v="month"/>
    <n v="55"/>
    <x v="1"/>
  </r>
  <r>
    <n v="154089211"/>
    <x v="1"/>
    <x v="13"/>
    <x v="0"/>
    <n v="39"/>
    <s v="month"/>
    <n v="37"/>
    <x v="1"/>
  </r>
  <r>
    <n v="154653820"/>
    <x v="1"/>
    <x v="9"/>
    <x v="0"/>
    <n v="39"/>
    <s v="month"/>
    <n v="24"/>
    <x v="1"/>
  </r>
  <r>
    <n v="154131290"/>
    <x v="2"/>
    <x v="0"/>
    <x v="0"/>
    <n v="39"/>
    <s v="month"/>
    <s v=""/>
    <x v="2"/>
  </r>
  <r>
    <n v="154434009"/>
    <x v="2"/>
    <x v="0"/>
    <x v="0"/>
    <n v="39"/>
    <s v="month"/>
    <s v=""/>
    <x v="2"/>
  </r>
  <r>
    <n v="136108848"/>
    <x v="2"/>
    <x v="14"/>
    <x v="0"/>
    <n v="39"/>
    <s v="month"/>
    <n v="1"/>
    <x v="2"/>
  </r>
  <r>
    <n v="135185873"/>
    <x v="2"/>
    <x v="15"/>
    <x v="0"/>
    <n v="39"/>
    <s v="month"/>
    <n v="249"/>
    <x v="2"/>
  </r>
  <r>
    <n v="154592664"/>
    <x v="2"/>
    <x v="16"/>
    <x v="0"/>
    <n v="39"/>
    <s v="month"/>
    <n v="210"/>
    <x v="2"/>
  </r>
  <r>
    <n v="119436804"/>
    <x v="2"/>
    <x v="17"/>
    <x v="0"/>
    <n v="39"/>
    <s v="month"/>
    <n v="219"/>
    <x v="2"/>
  </r>
  <r>
    <n v="152929657"/>
    <x v="2"/>
    <x v="6"/>
    <x v="0"/>
    <n v="39"/>
    <s v="month"/>
    <n v="81"/>
    <x v="2"/>
  </r>
  <r>
    <n v="154708974"/>
    <x v="2"/>
    <x v="18"/>
    <x v="0"/>
    <n v="39"/>
    <s v="month"/>
    <n v="45"/>
    <x v="2"/>
  </r>
  <r>
    <n v="154567722"/>
    <x v="2"/>
    <x v="19"/>
    <x v="0"/>
    <n v="39"/>
    <s v="month"/>
    <n v="26"/>
    <x v="2"/>
  </r>
  <r>
    <n v="154719788"/>
    <x v="2"/>
    <x v="20"/>
    <x v="0"/>
    <n v="39"/>
    <s v="month"/>
    <n v="22"/>
    <x v="2"/>
  </r>
  <r>
    <n v="154809306"/>
    <x v="3"/>
    <x v="21"/>
    <x v="0"/>
    <n v="39"/>
    <s v="month"/>
    <n v="1"/>
    <x v="3"/>
  </r>
  <r>
    <n v="140391539"/>
    <x v="3"/>
    <x v="22"/>
    <x v="0"/>
    <n v="39"/>
    <s v="month"/>
    <n v="213"/>
    <x v="3"/>
  </r>
  <r>
    <n v="153194806"/>
    <x v="3"/>
    <x v="23"/>
    <x v="0"/>
    <n v="39"/>
    <s v="month"/>
    <n v="224"/>
    <x v="3"/>
  </r>
  <r>
    <n v="144402204"/>
    <x v="3"/>
    <x v="24"/>
    <x v="0"/>
    <n v="39"/>
    <s v="month"/>
    <n v="18"/>
    <x v="3"/>
  </r>
  <r>
    <n v="154747678"/>
    <x v="3"/>
    <x v="25"/>
    <x v="0"/>
    <n v="39"/>
    <s v="month"/>
    <n v="133"/>
    <x v="3"/>
  </r>
  <r>
    <n v="130939158"/>
    <x v="3"/>
    <x v="26"/>
    <x v="0"/>
    <n v="39"/>
    <s v="month"/>
    <n v="168"/>
    <x v="3"/>
  </r>
  <r>
    <n v="150912359"/>
    <x v="3"/>
    <x v="27"/>
    <x v="0"/>
    <n v="39"/>
    <s v="month"/>
    <n v="59"/>
    <x v="3"/>
  </r>
  <r>
    <n v="154132592"/>
    <x v="3"/>
    <x v="28"/>
    <x v="0"/>
    <n v="39"/>
    <s v="month"/>
    <n v="58"/>
    <x v="3"/>
  </r>
  <r>
    <n v="153368891"/>
    <x v="3"/>
    <x v="29"/>
    <x v="0"/>
    <n v="39"/>
    <s v="month"/>
    <n v="37"/>
    <x v="3"/>
  </r>
  <r>
    <n v="154225450"/>
    <x v="4"/>
    <x v="0"/>
    <x v="0"/>
    <n v="39"/>
    <s v="month"/>
    <s v=""/>
    <x v="4"/>
  </r>
  <r>
    <n v="154904040"/>
    <x v="4"/>
    <x v="30"/>
    <x v="0"/>
    <n v="39"/>
    <s v="month"/>
    <n v="1"/>
    <x v="4"/>
  </r>
  <r>
    <n v="127604200"/>
    <x v="4"/>
    <x v="31"/>
    <x v="0"/>
    <n v="39"/>
    <s v="month"/>
    <n v="31"/>
    <x v="4"/>
  </r>
  <r>
    <n v="154913576"/>
    <x v="4"/>
    <x v="32"/>
    <x v="0"/>
    <n v="39"/>
    <s v="month"/>
    <n v="189"/>
    <x v="4"/>
  </r>
  <r>
    <n v="154910432"/>
    <x v="4"/>
    <x v="32"/>
    <x v="0"/>
    <n v="39"/>
    <s v="month"/>
    <n v="189"/>
    <x v="4"/>
  </r>
  <r>
    <n v="154911229"/>
    <x v="4"/>
    <x v="33"/>
    <x v="0"/>
    <n v="39"/>
    <s v="month"/>
    <n v="188"/>
    <x v="4"/>
  </r>
  <r>
    <n v="154518837"/>
    <x v="4"/>
    <x v="34"/>
    <x v="0"/>
    <n v="39"/>
    <s v="month"/>
    <n v="120"/>
    <x v="4"/>
  </r>
  <r>
    <n v="154910009"/>
    <x v="4"/>
    <x v="35"/>
    <x v="0"/>
    <n v="39"/>
    <s v="month"/>
    <n v="156"/>
    <x v="4"/>
  </r>
  <r>
    <n v="154911693"/>
    <x v="4"/>
    <x v="35"/>
    <x v="0"/>
    <n v="39"/>
    <s v="month"/>
    <n v="156"/>
    <x v="4"/>
  </r>
  <r>
    <n v="154894177"/>
    <x v="4"/>
    <x v="36"/>
    <x v="0"/>
    <n v="39"/>
    <s v="month"/>
    <n v="98"/>
    <x v="4"/>
  </r>
  <r>
    <n v="154494026"/>
    <x v="4"/>
    <x v="36"/>
    <x v="0"/>
    <n v="39"/>
    <s v="month"/>
    <n v="98"/>
    <x v="4"/>
  </r>
  <r>
    <n v="154245189"/>
    <x v="4"/>
    <x v="5"/>
    <x v="0"/>
    <n v="39"/>
    <s v="month"/>
    <n v="82"/>
    <x v="4"/>
  </r>
  <r>
    <n v="154604182"/>
    <x v="4"/>
    <x v="37"/>
    <x v="0"/>
    <n v="39"/>
    <s v="month"/>
    <n v="44"/>
    <x v="4"/>
  </r>
  <r>
    <n v="154711552"/>
    <x v="4"/>
    <x v="38"/>
    <x v="0"/>
    <n v="39"/>
    <s v="month"/>
    <n v="30"/>
    <x v="4"/>
  </r>
  <r>
    <n v="154827564"/>
    <x v="4"/>
    <x v="13"/>
    <x v="0"/>
    <n v="39"/>
    <s v="month"/>
    <n v="34"/>
    <x v="4"/>
  </r>
  <r>
    <n v="143581543"/>
    <x v="4"/>
    <x v="39"/>
    <x v="0"/>
    <n v="39"/>
    <s v="month"/>
    <n v="37"/>
    <x v="4"/>
  </r>
  <r>
    <n v="154867798"/>
    <x v="4"/>
    <x v="38"/>
    <x v="0"/>
    <n v="39"/>
    <s v="month"/>
    <n v="30"/>
    <x v="4"/>
  </r>
  <r>
    <n v="154863996"/>
    <x v="4"/>
    <x v="40"/>
    <x v="0"/>
    <n v="39"/>
    <s v="month"/>
    <n v="4"/>
    <x v="4"/>
  </r>
  <r>
    <n v="154923423"/>
    <x v="5"/>
    <x v="0"/>
    <x v="0"/>
    <n v="39"/>
    <s v="month"/>
    <s v=""/>
    <x v="5"/>
  </r>
  <r>
    <n v="134664128"/>
    <x v="5"/>
    <x v="0"/>
    <x v="0"/>
    <n v="39"/>
    <s v="month"/>
    <s v=""/>
    <x v="5"/>
  </r>
  <r>
    <n v="154828806"/>
    <x v="5"/>
    <x v="41"/>
    <x v="0"/>
    <n v="39"/>
    <s v="month"/>
    <n v="75"/>
    <x v="5"/>
  </r>
  <r>
    <n v="154934030"/>
    <x v="5"/>
    <x v="42"/>
    <x v="0"/>
    <n v="39"/>
    <s v="month"/>
    <n v="68"/>
    <x v="5"/>
  </r>
  <r>
    <n v="153671424"/>
    <x v="5"/>
    <x v="43"/>
    <x v="0"/>
    <n v="39"/>
    <s v="month"/>
    <n v="37"/>
    <x v="5"/>
  </r>
  <r>
    <n v="154693818"/>
    <x v="5"/>
    <x v="43"/>
    <x v="0"/>
    <n v="39"/>
    <s v="month"/>
    <n v="37"/>
    <x v="5"/>
  </r>
  <r>
    <n v="154110938"/>
    <x v="5"/>
    <x v="9"/>
    <x v="0"/>
    <n v="39"/>
    <s v="month"/>
    <n v="20"/>
    <x v="5"/>
  </r>
  <r>
    <n v="154809306"/>
    <x v="5"/>
    <x v="44"/>
    <x v="0"/>
    <n v="39"/>
    <s v="month"/>
    <n v="22"/>
    <x v="5"/>
  </r>
  <r>
    <n v="154537244"/>
    <x v="6"/>
    <x v="0"/>
    <x v="0"/>
    <n v="39"/>
    <s v="month"/>
    <s v=""/>
    <x v="6"/>
  </r>
  <r>
    <n v="154163218"/>
    <x v="6"/>
    <x v="0"/>
    <x v="0"/>
    <n v="39"/>
    <s v="month"/>
    <s v=""/>
    <x v="6"/>
  </r>
  <r>
    <n v="129467426"/>
    <x v="6"/>
    <x v="45"/>
    <x v="0"/>
    <n v="39"/>
    <s v="month"/>
    <n v="260"/>
    <x v="6"/>
  </r>
  <r>
    <n v="152498330"/>
    <x v="6"/>
    <x v="46"/>
    <x v="0"/>
    <n v="39"/>
    <s v="month"/>
    <n v="168"/>
    <x v="6"/>
  </r>
  <r>
    <n v="125335731"/>
    <x v="6"/>
    <x v="47"/>
    <x v="0"/>
    <n v="39"/>
    <s v="month"/>
    <n v="7"/>
    <x v="6"/>
  </r>
  <r>
    <n v="155113805"/>
    <x v="7"/>
    <x v="0"/>
    <x v="0"/>
    <n v="39"/>
    <s v="month"/>
    <s v=""/>
    <x v="0"/>
  </r>
  <r>
    <n v="148864769"/>
    <x v="7"/>
    <x v="48"/>
    <x v="0"/>
    <n v="39"/>
    <s v="month"/>
    <n v="50"/>
    <x v="0"/>
  </r>
  <r>
    <n v="123850281"/>
    <x v="7"/>
    <x v="49"/>
    <x v="0"/>
    <n v="39"/>
    <s v="month"/>
    <n v="37"/>
    <x v="0"/>
  </r>
  <r>
    <n v="155167073"/>
    <x v="7"/>
    <x v="31"/>
    <x v="0"/>
    <n v="39"/>
    <s v="month"/>
    <n v="28"/>
    <x v="0"/>
  </r>
  <r>
    <n v="153684891"/>
    <x v="7"/>
    <x v="40"/>
    <x v="0"/>
    <n v="39"/>
    <s v="month"/>
    <n v="1"/>
    <x v="0"/>
  </r>
  <r>
    <n v="131277340"/>
    <x v="8"/>
    <x v="50"/>
    <x v="0"/>
    <n v="39"/>
    <s v="month"/>
    <n v="173"/>
    <x v="1"/>
  </r>
  <r>
    <n v="152027172"/>
    <x v="8"/>
    <x v="51"/>
    <x v="0"/>
    <n v="39"/>
    <s v="month"/>
    <n v="84"/>
    <x v="1"/>
  </r>
  <r>
    <n v="155212612"/>
    <x v="8"/>
    <x v="52"/>
    <x v="0"/>
    <n v="39"/>
    <s v="month"/>
    <n v="55"/>
    <x v="1"/>
  </r>
  <r>
    <n v="155188498"/>
    <x v="8"/>
    <x v="13"/>
    <x v="0"/>
    <n v="39"/>
    <s v="month"/>
    <n v="30"/>
    <x v="1"/>
  </r>
  <r>
    <n v="155145336"/>
    <x v="8"/>
    <x v="53"/>
    <x v="0"/>
    <n v="39"/>
    <s v="month"/>
    <n v="24"/>
    <x v="1"/>
  </r>
  <r>
    <n v="152506474"/>
    <x v="8"/>
    <x v="54"/>
    <x v="0"/>
    <n v="39"/>
    <s v="month"/>
    <n v="37"/>
    <x v="1"/>
  </r>
  <r>
    <n v="118029150"/>
    <x v="8"/>
    <x v="55"/>
    <x v="0"/>
    <n v="39"/>
    <s v="month"/>
    <n v="341"/>
    <x v="1"/>
  </r>
  <r>
    <n v="155245796"/>
    <x v="9"/>
    <x v="0"/>
    <x v="0"/>
    <n v="39"/>
    <s v="month"/>
    <s v=""/>
    <x v="2"/>
  </r>
  <r>
    <n v="155326259"/>
    <x v="9"/>
    <x v="56"/>
    <x v="0"/>
    <n v="39"/>
    <s v="month"/>
    <n v="164"/>
    <x v="2"/>
  </r>
  <r>
    <n v="155311918"/>
    <x v="9"/>
    <x v="36"/>
    <x v="0"/>
    <n v="39"/>
    <s v="month"/>
    <n v="93"/>
    <x v="2"/>
  </r>
  <r>
    <n v="154391473"/>
    <x v="9"/>
    <x v="39"/>
    <x v="0"/>
    <n v="39"/>
    <s v="month"/>
    <n v="32"/>
    <x v="2"/>
  </r>
  <r>
    <n v="155283495"/>
    <x v="9"/>
    <x v="57"/>
    <x v="0"/>
    <n v="39"/>
    <s v="month"/>
    <n v="28"/>
    <x v="2"/>
  </r>
  <r>
    <n v="154597373"/>
    <x v="9"/>
    <x v="31"/>
    <x v="0"/>
    <n v="39"/>
    <s v="month"/>
    <n v="26"/>
    <x v="2"/>
  </r>
  <r>
    <n v="155370310"/>
    <x v="10"/>
    <x v="58"/>
    <x v="0"/>
    <n v="39"/>
    <s v="month"/>
    <n v="247"/>
    <x v="3"/>
  </r>
  <r>
    <n v="155289120"/>
    <x v="10"/>
    <x v="59"/>
    <x v="0"/>
    <n v="39"/>
    <s v="month"/>
    <n v="157"/>
    <x v="3"/>
  </r>
  <r>
    <n v="155351408"/>
    <x v="10"/>
    <x v="60"/>
    <x v="0"/>
    <n v="39"/>
    <s v="month"/>
    <n v="91"/>
    <x v="3"/>
  </r>
  <r>
    <n v="155336773"/>
    <x v="10"/>
    <x v="61"/>
    <x v="0"/>
    <n v="39"/>
    <s v="month"/>
    <n v="104"/>
    <x v="3"/>
  </r>
  <r>
    <n v="155017581"/>
    <x v="10"/>
    <x v="27"/>
    <x v="0"/>
    <n v="39"/>
    <s v="month"/>
    <n v="52"/>
    <x v="3"/>
  </r>
  <r>
    <n v="154401329"/>
    <x v="10"/>
    <x v="49"/>
    <x v="0"/>
    <n v="39"/>
    <s v="month"/>
    <n v="34"/>
    <x v="3"/>
  </r>
  <r>
    <n v="155334828"/>
    <x v="10"/>
    <x v="29"/>
    <x v="0"/>
    <n v="39"/>
    <s v="month"/>
    <n v="30"/>
    <x v="3"/>
  </r>
  <r>
    <n v="154815431"/>
    <x v="10"/>
    <x v="62"/>
    <x v="0"/>
    <n v="39"/>
    <s v="month"/>
    <n v="0"/>
    <x v="3"/>
  </r>
  <r>
    <n v="155343938"/>
    <x v="10"/>
    <x v="63"/>
    <x v="0"/>
    <n v="39"/>
    <s v="month"/>
    <n v="341"/>
    <x v="3"/>
  </r>
  <r>
    <n v="152436458"/>
    <x v="11"/>
    <x v="64"/>
    <x v="0"/>
    <n v="39"/>
    <s v="month"/>
    <n v="0"/>
    <x v="4"/>
  </r>
  <r>
    <n v="154689541"/>
    <x v="11"/>
    <x v="65"/>
    <x v="1"/>
    <n v="39"/>
    <s v="month"/>
    <n v="1"/>
    <x v="4"/>
  </r>
  <r>
    <n v="155425695"/>
    <x v="11"/>
    <x v="37"/>
    <x v="0"/>
    <n v="39"/>
    <s v="month"/>
    <n v="37"/>
    <x v="4"/>
  </r>
  <r>
    <n v="152698255"/>
    <x v="11"/>
    <x v="39"/>
    <x v="0"/>
    <n v="39"/>
    <s v="month"/>
    <n v="30"/>
    <x v="4"/>
  </r>
  <r>
    <n v="155406449"/>
    <x v="12"/>
    <x v="66"/>
    <x v="0"/>
    <n v="39"/>
    <s v="month"/>
    <n v="348"/>
    <x v="5"/>
  </r>
  <r>
    <n v="137338480"/>
    <x v="12"/>
    <x v="47"/>
    <x v="0"/>
    <n v="39"/>
    <s v="month"/>
    <n v="1"/>
    <x v="5"/>
  </r>
  <r>
    <n v="155508519"/>
    <x v="12"/>
    <x v="67"/>
    <x v="0"/>
    <n v="39"/>
    <s v="month"/>
    <n v="40"/>
    <x v="5"/>
  </r>
  <r>
    <n v="155463846"/>
    <x v="12"/>
    <x v="53"/>
    <x v="0"/>
    <n v="39"/>
    <s v="month"/>
    <n v="20"/>
    <x v="5"/>
  </r>
  <r>
    <n v="122335220"/>
    <x v="12"/>
    <x v="68"/>
    <x v="0"/>
    <n v="39"/>
    <s v="month"/>
    <n v="4"/>
    <x v="5"/>
  </r>
  <r>
    <n v="155460904"/>
    <x v="12"/>
    <x v="69"/>
    <x v="0"/>
    <n v="39"/>
    <s v="month"/>
    <n v="274"/>
    <x v="5"/>
  </r>
  <r>
    <n v="155534484"/>
    <x v="13"/>
    <x v="10"/>
    <x v="1"/>
    <n v="39"/>
    <s v="month"/>
    <n v="1"/>
    <x v="6"/>
  </r>
  <r>
    <n v="155465332"/>
    <x v="13"/>
    <x v="70"/>
    <x v="0"/>
    <n v="39"/>
    <s v="month"/>
    <n v="173"/>
    <x v="6"/>
  </r>
  <r>
    <n v="155562517"/>
    <x v="13"/>
    <x v="71"/>
    <x v="0"/>
    <n v="39"/>
    <s v="month"/>
    <n v="84"/>
    <x v="6"/>
  </r>
  <r>
    <n v="153577096"/>
    <x v="13"/>
    <x v="72"/>
    <x v="0"/>
    <n v="39"/>
    <s v="month"/>
    <n v="37"/>
    <x v="6"/>
  </r>
  <r>
    <n v="154937101"/>
    <x v="14"/>
    <x v="0"/>
    <x v="0"/>
    <n v="39"/>
    <s v="month"/>
    <s v=""/>
    <x v="0"/>
  </r>
  <r>
    <n v="144968444"/>
    <x v="14"/>
    <x v="10"/>
    <x v="1"/>
    <n v="39"/>
    <s v="month"/>
    <n v="0"/>
    <x v="0"/>
  </r>
  <r>
    <n v="155270889"/>
    <x v="14"/>
    <x v="70"/>
    <x v="0"/>
    <n v="39"/>
    <s v="month"/>
    <n v="172"/>
    <x v="0"/>
  </r>
  <r>
    <n v="155601465"/>
    <x v="14"/>
    <x v="73"/>
    <x v="0"/>
    <n v="39"/>
    <s v="month"/>
    <n v="259"/>
    <x v="0"/>
  </r>
  <r>
    <n v="154045370"/>
    <x v="14"/>
    <x v="74"/>
    <x v="0"/>
    <n v="39"/>
    <s v="month"/>
    <n v="74"/>
    <x v="0"/>
  </r>
  <r>
    <n v="155612742"/>
    <x v="14"/>
    <x v="75"/>
    <x v="0"/>
    <n v="39"/>
    <s v="month"/>
    <n v="54"/>
    <x v="0"/>
  </r>
  <r>
    <n v="155621162"/>
    <x v="14"/>
    <x v="76"/>
    <x v="0"/>
    <n v="39"/>
    <s v="month"/>
    <n v="60"/>
    <x v="0"/>
  </r>
  <r>
    <n v="154904040"/>
    <x v="14"/>
    <x v="77"/>
    <x v="0"/>
    <n v="39"/>
    <s v="month"/>
    <n v="37"/>
    <x v="0"/>
  </r>
  <r>
    <n v="150810434"/>
    <x v="14"/>
    <x v="39"/>
    <x v="0"/>
    <n v="39"/>
    <s v="month"/>
    <n v="27"/>
    <x v="0"/>
  </r>
  <r>
    <n v="150825802"/>
    <x v="14"/>
    <x v="43"/>
    <x v="0"/>
    <n v="39"/>
    <s v="month"/>
    <n v="28"/>
    <x v="0"/>
  </r>
  <r>
    <n v="151907203"/>
    <x v="14"/>
    <x v="29"/>
    <x v="0"/>
    <n v="39"/>
    <s v="month"/>
    <n v="26"/>
    <x v="0"/>
  </r>
  <r>
    <n v="149595273"/>
    <x v="14"/>
    <x v="19"/>
    <x v="0"/>
    <n v="39"/>
    <s v="month"/>
    <n v="14"/>
    <x v="0"/>
  </r>
  <r>
    <n v="155596960"/>
    <x v="14"/>
    <x v="2"/>
    <x v="0"/>
    <n v="39"/>
    <s v="month"/>
    <n v="8"/>
    <x v="0"/>
  </r>
  <r>
    <n v="155192606"/>
    <x v="15"/>
    <x v="0"/>
    <x v="0"/>
    <n v="39"/>
    <s v="month"/>
    <s v=""/>
    <x v="1"/>
  </r>
  <r>
    <n v="129111644"/>
    <x v="15"/>
    <x v="78"/>
    <x v="0"/>
    <n v="39"/>
    <s v="month"/>
    <n v="188"/>
    <x v="1"/>
  </r>
  <r>
    <n v="155426674"/>
    <x v="15"/>
    <x v="17"/>
    <x v="0"/>
    <n v="39"/>
    <s v="month"/>
    <n v="206"/>
    <x v="1"/>
  </r>
  <r>
    <n v="154389303"/>
    <x v="15"/>
    <x v="79"/>
    <x v="0"/>
    <n v="39"/>
    <s v="month"/>
    <n v="111"/>
    <x v="1"/>
  </r>
  <r>
    <n v="155671632"/>
    <x v="15"/>
    <x v="80"/>
    <x v="0"/>
    <n v="39"/>
    <s v="month"/>
    <n v="97"/>
    <x v="1"/>
  </r>
  <r>
    <n v="155663101"/>
    <x v="15"/>
    <x v="81"/>
    <x v="0"/>
    <n v="39"/>
    <s v="month"/>
    <n v="18"/>
    <x v="1"/>
  </r>
  <r>
    <n v="152084572"/>
    <x v="16"/>
    <x v="0"/>
    <x v="0"/>
    <n v="39"/>
    <s v="month"/>
    <s v=""/>
    <x v="2"/>
  </r>
  <r>
    <n v="155783230"/>
    <x v="16"/>
    <x v="82"/>
    <x v="0"/>
    <n v="39"/>
    <s v="month"/>
    <n v="237"/>
    <x v="2"/>
  </r>
  <r>
    <n v="155714315"/>
    <x v="16"/>
    <x v="83"/>
    <x v="0"/>
    <n v="39"/>
    <s v="month"/>
    <n v="119"/>
    <x v="2"/>
  </r>
  <r>
    <n v="155774393"/>
    <x v="16"/>
    <x v="18"/>
    <x v="0"/>
    <n v="39"/>
    <s v="month"/>
    <n v="31"/>
    <x v="2"/>
  </r>
  <r>
    <n v="152901090"/>
    <x v="17"/>
    <x v="84"/>
    <x v="0"/>
    <n v="39"/>
    <s v="month"/>
    <n v="129"/>
    <x v="3"/>
  </r>
  <r>
    <n v="147029752"/>
    <x v="17"/>
    <x v="85"/>
    <x v="0"/>
    <n v="39"/>
    <s v="month"/>
    <n v="64"/>
    <x v="3"/>
  </r>
  <r>
    <n v="155809043"/>
    <x v="17"/>
    <x v="86"/>
    <x v="0"/>
    <n v="39"/>
    <s v="month"/>
    <n v="81"/>
    <x v="3"/>
  </r>
  <r>
    <n v="155180991"/>
    <x v="17"/>
    <x v="87"/>
    <x v="0"/>
    <n v="39"/>
    <s v="month"/>
    <n v="55"/>
    <x v="3"/>
  </r>
  <r>
    <n v="155713732"/>
    <x v="17"/>
    <x v="88"/>
    <x v="0"/>
    <n v="39"/>
    <s v="month"/>
    <n v="12"/>
    <x v="3"/>
  </r>
  <r>
    <n v="155204060"/>
    <x v="17"/>
    <x v="89"/>
    <x v="0"/>
    <n v="39"/>
    <s v="month"/>
    <n v="29"/>
    <x v="3"/>
  </r>
  <r>
    <n v="136817161"/>
    <x v="18"/>
    <x v="89"/>
    <x v="1"/>
    <n v="39"/>
    <s v="month"/>
    <n v="28"/>
    <x v="4"/>
  </r>
  <r>
    <n v="126212861"/>
    <x v="18"/>
    <x v="90"/>
    <x v="0"/>
    <n v="39"/>
    <s v="month"/>
    <n v="0"/>
    <x v="4"/>
  </r>
  <r>
    <n v="155265877"/>
    <x v="18"/>
    <x v="91"/>
    <x v="0"/>
    <n v="39"/>
    <s v="month"/>
    <n v="144"/>
    <x v="4"/>
  </r>
  <r>
    <n v="155916753"/>
    <x v="18"/>
    <x v="26"/>
    <x v="0"/>
    <n v="39"/>
    <s v="month"/>
    <n v="153"/>
    <x v="4"/>
  </r>
  <r>
    <n v="155927984"/>
    <x v="18"/>
    <x v="92"/>
    <x v="0"/>
    <n v="39"/>
    <s v="month"/>
    <n v="89"/>
    <x v="4"/>
  </r>
  <r>
    <n v="155876104"/>
    <x v="18"/>
    <x v="93"/>
    <x v="0"/>
    <n v="39"/>
    <s v="month"/>
    <n v="86"/>
    <x v="4"/>
  </r>
  <r>
    <n v="155733164"/>
    <x v="18"/>
    <x v="90"/>
    <x v="0"/>
    <n v="39"/>
    <s v="month"/>
    <n v="0"/>
    <x v="4"/>
  </r>
  <r>
    <n v="153832728"/>
    <x v="18"/>
    <x v="18"/>
    <x v="0"/>
    <n v="39"/>
    <s v="month"/>
    <n v="29"/>
    <x v="4"/>
  </r>
  <r>
    <n v="155876188"/>
    <x v="18"/>
    <x v="94"/>
    <x v="0"/>
    <n v="39"/>
    <s v="month"/>
    <n v="31"/>
    <x v="4"/>
  </r>
  <r>
    <n v="150687940"/>
    <x v="18"/>
    <x v="18"/>
    <x v="0"/>
    <n v="39"/>
    <s v="month"/>
    <n v="29"/>
    <x v="4"/>
  </r>
  <r>
    <n v="155967446"/>
    <x v="19"/>
    <x v="0"/>
    <x v="0"/>
    <n v="39"/>
    <s v="month"/>
    <s v=""/>
    <x v="5"/>
  </r>
  <r>
    <n v="155687378"/>
    <x v="19"/>
    <x v="95"/>
    <x v="0"/>
    <n v="39"/>
    <s v="month"/>
    <n v="188"/>
    <x v="5"/>
  </r>
  <r>
    <n v="156020667"/>
    <x v="19"/>
    <x v="96"/>
    <x v="0"/>
    <n v="39"/>
    <s v="month"/>
    <n v="231"/>
    <x v="5"/>
  </r>
  <r>
    <n v="155869412"/>
    <x v="19"/>
    <x v="97"/>
    <x v="0"/>
    <n v="39"/>
    <s v="month"/>
    <n v="92"/>
    <x v="5"/>
  </r>
  <r>
    <n v="156042204"/>
    <x v="19"/>
    <x v="75"/>
    <x v="0"/>
    <n v="39"/>
    <s v="month"/>
    <n v="49"/>
    <x v="5"/>
  </r>
  <r>
    <n v="153568990"/>
    <x v="19"/>
    <x v="88"/>
    <x v="0"/>
    <n v="39"/>
    <s v="month"/>
    <n v="10"/>
    <x v="5"/>
  </r>
  <r>
    <n v="155327111"/>
    <x v="19"/>
    <x v="8"/>
    <x v="0"/>
    <n v="39"/>
    <s v="month"/>
    <n v="41"/>
    <x v="5"/>
  </r>
  <r>
    <n v="155270521"/>
    <x v="19"/>
    <x v="98"/>
    <x v="0"/>
    <n v="39"/>
    <s v="month"/>
    <n v="322"/>
    <x v="5"/>
  </r>
  <r>
    <n v="155991618"/>
    <x v="20"/>
    <x v="99"/>
    <x v="0"/>
    <n v="39"/>
    <s v="month"/>
    <n v="280"/>
    <x v="6"/>
  </r>
  <r>
    <n v="156045144"/>
    <x v="20"/>
    <x v="100"/>
    <x v="0"/>
    <n v="39"/>
    <s v="month"/>
    <n v="76"/>
    <x v="6"/>
  </r>
  <r>
    <n v="155439932"/>
    <x v="20"/>
    <x v="76"/>
    <x v="0"/>
    <n v="39"/>
    <s v="month"/>
    <n v="54"/>
    <x v="6"/>
  </r>
  <r>
    <n v="152674430"/>
    <x v="20"/>
    <x v="53"/>
    <x v="0"/>
    <n v="39"/>
    <s v="month"/>
    <n v="12"/>
    <x v="6"/>
  </r>
  <r>
    <n v="156135106"/>
    <x v="21"/>
    <x v="0"/>
    <x v="0"/>
    <n v="39"/>
    <s v="month"/>
    <s v=""/>
    <x v="0"/>
  </r>
  <r>
    <n v="156185490"/>
    <x v="21"/>
    <x v="101"/>
    <x v="0"/>
    <n v="39"/>
    <s v="month"/>
    <n v="222"/>
    <x v="0"/>
  </r>
  <r>
    <n v="156180312"/>
    <x v="21"/>
    <x v="102"/>
    <x v="0"/>
    <n v="39"/>
    <s v="month"/>
    <n v="54"/>
    <x v="0"/>
  </r>
  <r>
    <n v="151263484"/>
    <x v="21"/>
    <x v="103"/>
    <x v="0"/>
    <n v="39"/>
    <s v="month"/>
    <n v="37"/>
    <x v="0"/>
  </r>
  <r>
    <n v="156008989"/>
    <x v="21"/>
    <x v="72"/>
    <x v="0"/>
    <n v="39"/>
    <s v="month"/>
    <n v="29"/>
    <x v="0"/>
  </r>
  <r>
    <n v="147687218"/>
    <x v="21"/>
    <x v="103"/>
    <x v="0"/>
    <n v="39"/>
    <s v="month"/>
    <n v="37"/>
    <x v="0"/>
  </r>
  <r>
    <n v="156235650"/>
    <x v="22"/>
    <x v="0"/>
    <x v="0"/>
    <n v="39"/>
    <s v="month"/>
    <s v=""/>
    <x v="1"/>
  </r>
  <r>
    <n v="131128612"/>
    <x v="22"/>
    <x v="104"/>
    <x v="0"/>
    <n v="39"/>
    <s v="month"/>
    <n v="115"/>
    <x v="1"/>
  </r>
  <r>
    <n v="156198840"/>
    <x v="22"/>
    <x v="105"/>
    <x v="0"/>
    <n v="39"/>
    <s v="month"/>
    <n v="120"/>
    <x v="1"/>
  </r>
  <r>
    <n v="144166296"/>
    <x v="22"/>
    <x v="37"/>
    <x v="0"/>
    <n v="39"/>
    <s v="month"/>
    <n v="26"/>
    <x v="1"/>
  </r>
  <r>
    <n v="136108848"/>
    <x v="22"/>
    <x v="106"/>
    <x v="0"/>
    <n v="39"/>
    <s v="month"/>
    <n v="68"/>
    <x v="1"/>
  </r>
  <r>
    <n v="156225482"/>
    <x v="22"/>
    <x v="107"/>
    <x v="0"/>
    <n v="39"/>
    <s v="month"/>
    <n v="21"/>
    <x v="1"/>
  </r>
  <r>
    <n v="156209360"/>
    <x v="22"/>
    <x v="108"/>
    <x v="0"/>
    <n v="39"/>
    <s v="month"/>
    <n v="37"/>
    <x v="1"/>
  </r>
  <r>
    <n v="153492199"/>
    <x v="23"/>
    <x v="109"/>
    <x v="0"/>
    <n v="39"/>
    <s v="month"/>
    <n v="68"/>
    <x v="2"/>
  </r>
  <r>
    <n v="156127439"/>
    <x v="23"/>
    <x v="28"/>
    <x v="0"/>
    <n v="39"/>
    <s v="month"/>
    <n v="38"/>
    <x v="2"/>
  </r>
  <r>
    <n v="156197748"/>
    <x v="23"/>
    <x v="110"/>
    <x v="0"/>
    <n v="39"/>
    <s v="month"/>
    <n v="32"/>
    <x v="2"/>
  </r>
  <r>
    <n v="156292980"/>
    <x v="24"/>
    <x v="0"/>
    <x v="0"/>
    <n v="39"/>
    <s v="month"/>
    <s v=""/>
    <x v="3"/>
  </r>
  <r>
    <n v="129284681"/>
    <x v="24"/>
    <x v="28"/>
    <x v="0"/>
    <n v="39"/>
    <s v="month"/>
    <n v="37"/>
    <x v="3"/>
  </r>
  <r>
    <n v="156249750"/>
    <x v="24"/>
    <x v="27"/>
    <x v="0"/>
    <n v="39"/>
    <s v="month"/>
    <n v="38"/>
    <x v="3"/>
  </r>
  <r>
    <n v="155143974"/>
    <x v="24"/>
    <x v="111"/>
    <x v="0"/>
    <n v="39"/>
    <s v="month"/>
    <n v="54"/>
    <x v="3"/>
  </r>
  <r>
    <n v="151354965"/>
    <x v="24"/>
    <x v="103"/>
    <x v="0"/>
    <n v="39"/>
    <s v="month"/>
    <n v="34"/>
    <x v="3"/>
  </r>
  <r>
    <n v="156178486"/>
    <x v="24"/>
    <x v="112"/>
    <x v="0"/>
    <n v="39"/>
    <s v="month"/>
    <n v="29"/>
    <x v="3"/>
  </r>
  <r>
    <n v="132314522"/>
    <x v="25"/>
    <x v="113"/>
    <x v="0"/>
    <n v="39"/>
    <s v="month"/>
    <n v="69"/>
    <x v="4"/>
  </r>
  <r>
    <n v="152505897"/>
    <x v="25"/>
    <x v="114"/>
    <x v="0"/>
    <n v="39"/>
    <s v="month"/>
    <n v="193"/>
    <x v="4"/>
  </r>
  <r>
    <n v="151086770"/>
    <x v="25"/>
    <x v="115"/>
    <x v="0"/>
    <n v="39"/>
    <s v="month"/>
    <n v="119"/>
    <x v="4"/>
  </r>
  <r>
    <n v="148713821"/>
    <x v="25"/>
    <x v="91"/>
    <x v="0"/>
    <n v="39"/>
    <s v="month"/>
    <n v="137"/>
    <x v="4"/>
  </r>
  <r>
    <n v="146422602"/>
    <x v="25"/>
    <x v="52"/>
    <x v="0"/>
    <n v="39"/>
    <s v="month"/>
    <n v="38"/>
    <x v="4"/>
  </r>
  <r>
    <n v="156460574"/>
    <x v="25"/>
    <x v="116"/>
    <x v="0"/>
    <n v="39"/>
    <s v="month"/>
    <n v="52"/>
    <x v="4"/>
  </r>
  <r>
    <n v="156364063"/>
    <x v="25"/>
    <x v="76"/>
    <x v="0"/>
    <n v="39"/>
    <s v="month"/>
    <n v="49"/>
    <x v="4"/>
  </r>
  <r>
    <n v="149139298"/>
    <x v="25"/>
    <x v="110"/>
    <x v="0"/>
    <n v="39"/>
    <s v="month"/>
    <n v="30"/>
    <x v="4"/>
  </r>
  <r>
    <n v="156371514"/>
    <x v="25"/>
    <x v="112"/>
    <x v="0"/>
    <n v="39"/>
    <s v="month"/>
    <n v="28"/>
    <x v="4"/>
  </r>
  <r>
    <n v="156423167"/>
    <x v="26"/>
    <x v="117"/>
    <x v="0"/>
    <n v="39"/>
    <s v="month"/>
    <n v="113"/>
    <x v="5"/>
  </r>
  <r>
    <n v="155199164"/>
    <x v="26"/>
    <x v="34"/>
    <x v="0"/>
    <n v="39"/>
    <s v="month"/>
    <n v="98"/>
    <x v="5"/>
  </r>
  <r>
    <n v="156373191"/>
    <x v="26"/>
    <x v="118"/>
    <x v="0"/>
    <n v="39"/>
    <s v="month"/>
    <n v="92"/>
    <x v="5"/>
  </r>
  <r>
    <n v="156517374"/>
    <x v="26"/>
    <x v="119"/>
    <x v="0"/>
    <n v="39"/>
    <s v="month"/>
    <n v="0"/>
    <x v="5"/>
  </r>
  <r>
    <n v="156032089"/>
    <x v="27"/>
    <x v="0"/>
    <x v="0"/>
    <n v="39"/>
    <s v="month"/>
    <s v=""/>
    <x v="6"/>
  </r>
  <r>
    <n v="154563706"/>
    <x v="27"/>
    <x v="120"/>
    <x v="0"/>
    <n v="39"/>
    <s v="month"/>
    <n v="178"/>
    <x v="6"/>
  </r>
  <r>
    <n v="124481723"/>
    <x v="27"/>
    <x v="121"/>
    <x v="0"/>
    <n v="39"/>
    <s v="month"/>
    <n v="55"/>
    <x v="6"/>
  </r>
  <r>
    <n v="146861757"/>
    <x v="27"/>
    <x v="80"/>
    <x v="0"/>
    <n v="39"/>
    <s v="month"/>
    <n v="85"/>
    <x v="6"/>
  </r>
  <r>
    <n v="152476124"/>
    <x v="27"/>
    <x v="74"/>
    <x v="0"/>
    <n v="39"/>
    <s v="month"/>
    <n v="61"/>
    <x v="6"/>
  </r>
  <r>
    <n v="156192628"/>
    <x v="27"/>
    <x v="41"/>
    <x v="0"/>
    <n v="39"/>
    <s v="month"/>
    <n v="53"/>
    <x v="6"/>
  </r>
  <r>
    <n v="152109538"/>
    <x v="27"/>
    <x v="37"/>
    <x v="0"/>
    <n v="39"/>
    <s v="month"/>
    <n v="21"/>
    <x v="6"/>
  </r>
  <r>
    <n v="156659071"/>
    <x v="27"/>
    <x v="19"/>
    <x v="0"/>
    <n v="39"/>
    <s v="month"/>
    <n v="1"/>
    <x v="6"/>
  </r>
  <r>
    <n v="156717075"/>
    <x v="28"/>
    <x v="122"/>
    <x v="0"/>
    <n v="39"/>
    <s v="month"/>
    <n v="197"/>
    <x v="0"/>
  </r>
  <r>
    <n v="156715443"/>
    <x v="28"/>
    <x v="123"/>
    <x v="0"/>
    <n v="39"/>
    <s v="month"/>
    <n v="91"/>
    <x v="0"/>
  </r>
  <r>
    <n v="147656952"/>
    <x v="28"/>
    <x v="118"/>
    <x v="0"/>
    <n v="39"/>
    <s v="month"/>
    <n v="90"/>
    <x v="0"/>
  </r>
  <r>
    <n v="152918862"/>
    <x v="28"/>
    <x v="41"/>
    <x v="0"/>
    <n v="39"/>
    <s v="month"/>
    <n v="52"/>
    <x v="0"/>
  </r>
  <r>
    <n v="146866890"/>
    <x v="28"/>
    <x v="112"/>
    <x v="0"/>
    <n v="39"/>
    <s v="month"/>
    <n v="25"/>
    <x v="0"/>
  </r>
  <r>
    <n v="151735444"/>
    <x v="29"/>
    <x v="0"/>
    <x v="0"/>
    <n v="39"/>
    <s v="month"/>
    <s v=""/>
    <x v="1"/>
  </r>
  <r>
    <n v="155608371"/>
    <x v="29"/>
    <x v="124"/>
    <x v="1"/>
    <n v="39"/>
    <s v="month"/>
    <n v="1"/>
    <x v="1"/>
  </r>
  <r>
    <n v="156809544"/>
    <x v="29"/>
    <x v="125"/>
    <x v="0"/>
    <n v="39"/>
    <s v="month"/>
    <n v="179"/>
    <x v="1"/>
  </r>
  <r>
    <n v="156813288"/>
    <x v="29"/>
    <x v="126"/>
    <x v="0"/>
    <n v="39"/>
    <s v="month"/>
    <n v="232"/>
    <x v="1"/>
  </r>
  <r>
    <n v="156817946"/>
    <x v="29"/>
    <x v="127"/>
    <x v="0"/>
    <n v="39"/>
    <s v="month"/>
    <n v="246"/>
    <x v="1"/>
  </r>
  <r>
    <n v="156194905"/>
    <x v="29"/>
    <x v="128"/>
    <x v="0"/>
    <n v="39"/>
    <s v="month"/>
    <n v="188"/>
    <x v="1"/>
  </r>
  <r>
    <n v="148568942"/>
    <x v="29"/>
    <x v="129"/>
    <x v="0"/>
    <n v="39"/>
    <s v="month"/>
    <n v="98"/>
    <x v="1"/>
  </r>
  <r>
    <n v="151154171"/>
    <x v="29"/>
    <x v="130"/>
    <x v="0"/>
    <n v="39"/>
    <s v="month"/>
    <n v="60"/>
    <x v="1"/>
  </r>
  <r>
    <n v="122921842"/>
    <x v="29"/>
    <x v="131"/>
    <x v="0"/>
    <n v="39"/>
    <s v="month"/>
    <n v="37"/>
    <x v="1"/>
  </r>
  <r>
    <n v="156754286"/>
    <x v="30"/>
    <x v="0"/>
    <x v="0"/>
    <n v="39"/>
    <s v="month"/>
    <s v=""/>
    <x v="2"/>
  </r>
  <r>
    <n v="144160302"/>
    <x v="30"/>
    <x v="132"/>
    <x v="0"/>
    <n v="39"/>
    <s v="month"/>
    <n v="1"/>
    <x v="2"/>
  </r>
  <r>
    <n v="155045053"/>
    <x v="30"/>
    <x v="133"/>
    <x v="0"/>
    <n v="39"/>
    <s v="month"/>
    <n v="92"/>
    <x v="2"/>
  </r>
  <r>
    <n v="133869989"/>
    <x v="30"/>
    <x v="27"/>
    <x v="0"/>
    <n v="39"/>
    <s v="month"/>
    <n v="32"/>
    <x v="2"/>
  </r>
  <r>
    <n v="156863940"/>
    <x v="30"/>
    <x v="27"/>
    <x v="0"/>
    <n v="39"/>
    <s v="month"/>
    <n v="32"/>
    <x v="2"/>
  </r>
  <r>
    <n v="156884323"/>
    <x v="30"/>
    <x v="7"/>
    <x v="0"/>
    <n v="39"/>
    <s v="month"/>
    <n v="24"/>
    <x v="2"/>
  </r>
  <r>
    <n v="156365410"/>
    <x v="30"/>
    <x v="103"/>
    <x v="0"/>
    <n v="39"/>
    <s v="month"/>
    <n v="28"/>
    <x v="2"/>
  </r>
  <r>
    <n v="153957162"/>
    <x v="31"/>
    <x v="0"/>
    <x v="0"/>
    <n v="39"/>
    <s v="month"/>
    <s v=""/>
    <x v="3"/>
  </r>
  <r>
    <n v="152436949"/>
    <x v="31"/>
    <x v="53"/>
    <x v="1"/>
    <n v="39"/>
    <s v="month"/>
    <n v="1"/>
    <x v="3"/>
  </r>
  <r>
    <n v="156403612"/>
    <x v="31"/>
    <x v="134"/>
    <x v="0"/>
    <n v="39"/>
    <s v="month"/>
    <n v="116"/>
    <x v="3"/>
  </r>
  <r>
    <n v="154198756"/>
    <x v="31"/>
    <x v="76"/>
    <x v="0"/>
    <n v="39"/>
    <s v="month"/>
    <n v="43"/>
    <x v="3"/>
  </r>
  <r>
    <n v="156917754"/>
    <x v="31"/>
    <x v="48"/>
    <x v="0"/>
    <n v="39"/>
    <s v="month"/>
    <n v="26"/>
    <x v="3"/>
  </r>
  <r>
    <n v="134975906"/>
    <x v="32"/>
    <x v="12"/>
    <x v="0"/>
    <n v="39"/>
    <s v="month"/>
    <n v="24"/>
    <x v="4"/>
  </r>
  <r>
    <n v="156955735"/>
    <x v="32"/>
    <x v="135"/>
    <x v="0"/>
    <n v="39"/>
    <s v="month"/>
    <n v="272"/>
    <x v="4"/>
  </r>
  <r>
    <n v="156982750"/>
    <x v="32"/>
    <x v="136"/>
    <x v="0"/>
    <n v="39"/>
    <s v="month"/>
    <n v="126"/>
    <x v="4"/>
  </r>
  <r>
    <n v="156953312"/>
    <x v="32"/>
    <x v="137"/>
    <x v="0"/>
    <n v="39"/>
    <s v="month"/>
    <n v="165"/>
    <x v="4"/>
  </r>
  <r>
    <n v="124642102"/>
    <x v="32"/>
    <x v="34"/>
    <x v="0"/>
    <n v="39"/>
    <s v="month"/>
    <n v="92"/>
    <x v="4"/>
  </r>
  <r>
    <n v="156940530"/>
    <x v="32"/>
    <x v="138"/>
    <x v="0"/>
    <n v="39"/>
    <s v="month"/>
    <n v="99"/>
    <x v="4"/>
  </r>
  <r>
    <n v="155602780"/>
    <x v="32"/>
    <x v="139"/>
    <x v="0"/>
    <n v="39"/>
    <s v="month"/>
    <n v="109"/>
    <x v="4"/>
  </r>
  <r>
    <n v="149635726"/>
    <x v="32"/>
    <x v="75"/>
    <x v="0"/>
    <n v="39"/>
    <s v="month"/>
    <n v="36"/>
    <x v="4"/>
  </r>
  <r>
    <n v="152660102"/>
    <x v="32"/>
    <x v="74"/>
    <x v="0"/>
    <n v="39"/>
    <s v="month"/>
    <n v="56"/>
    <x v="4"/>
  </r>
  <r>
    <n v="153620734"/>
    <x v="32"/>
    <x v="130"/>
    <x v="0"/>
    <n v="39"/>
    <s v="month"/>
    <n v="57"/>
    <x v="4"/>
  </r>
  <r>
    <n v="156940254"/>
    <x v="32"/>
    <x v="53"/>
    <x v="0"/>
    <n v="39"/>
    <s v="month"/>
    <n v="0"/>
    <x v="4"/>
  </r>
  <r>
    <n v="156940060"/>
    <x v="32"/>
    <x v="140"/>
    <x v="0"/>
    <n v="39"/>
    <s v="month"/>
    <n v="7"/>
    <x v="4"/>
  </r>
  <r>
    <n v="156938938"/>
    <x v="32"/>
    <x v="53"/>
    <x v="0"/>
    <n v="39"/>
    <s v="month"/>
    <n v="0"/>
    <x v="4"/>
  </r>
  <r>
    <n v="156955272"/>
    <x v="33"/>
    <x v="141"/>
    <x v="0"/>
    <n v="39"/>
    <s v="month"/>
    <n v="199"/>
    <x v="5"/>
  </r>
  <r>
    <n v="156941638"/>
    <x v="33"/>
    <x v="142"/>
    <x v="0"/>
    <n v="39"/>
    <s v="month"/>
    <n v="162"/>
    <x v="5"/>
  </r>
  <r>
    <n v="157154624"/>
    <x v="33"/>
    <x v="143"/>
    <x v="0"/>
    <n v="39"/>
    <s v="month"/>
    <n v="118"/>
    <x v="5"/>
  </r>
  <r>
    <n v="151677119"/>
    <x v="33"/>
    <x v="93"/>
    <x v="0"/>
    <n v="39"/>
    <s v="month"/>
    <n v="71"/>
    <x v="5"/>
  </r>
  <r>
    <n v="139465940"/>
    <x v="33"/>
    <x v="144"/>
    <x v="0"/>
    <n v="39"/>
    <s v="month"/>
    <n v="32"/>
    <x v="5"/>
  </r>
  <r>
    <n v="156895692"/>
    <x v="34"/>
    <x v="0"/>
    <x v="0"/>
    <n v="39"/>
    <s v="month"/>
    <s v=""/>
    <x v="6"/>
  </r>
  <r>
    <n v="153587226"/>
    <x v="34"/>
    <x v="0"/>
    <x v="0"/>
    <n v="39"/>
    <s v="month"/>
    <s v=""/>
    <x v="6"/>
  </r>
  <r>
    <n v="157295262"/>
    <x v="34"/>
    <x v="145"/>
    <x v="0"/>
    <n v="39"/>
    <s v="month"/>
    <n v="180"/>
    <x v="6"/>
  </r>
  <r>
    <n v="157284386"/>
    <x v="34"/>
    <x v="146"/>
    <x v="0"/>
    <n v="39"/>
    <s v="month"/>
    <n v="179"/>
    <x v="6"/>
  </r>
  <r>
    <n v="148762867"/>
    <x v="34"/>
    <x v="147"/>
    <x v="0"/>
    <n v="39"/>
    <s v="month"/>
    <n v="261"/>
    <x v="6"/>
  </r>
  <r>
    <n v="150433978"/>
    <x v="34"/>
    <x v="144"/>
    <x v="0"/>
    <n v="39"/>
    <s v="month"/>
    <n v="31"/>
    <x v="6"/>
  </r>
  <r>
    <n v="157272487"/>
    <x v="34"/>
    <x v="71"/>
    <x v="0"/>
    <n v="39"/>
    <s v="month"/>
    <n v="63"/>
    <x v="6"/>
  </r>
  <r>
    <n v="153776370"/>
    <x v="35"/>
    <x v="100"/>
    <x v="0"/>
    <n v="39"/>
    <s v="month"/>
    <n v="61"/>
    <x v="0"/>
  </r>
  <r>
    <n v="157371444"/>
    <x v="35"/>
    <x v="86"/>
    <x v="0"/>
    <n v="39"/>
    <s v="month"/>
    <n v="63"/>
    <x v="0"/>
  </r>
  <r>
    <n v="157095464"/>
    <x v="35"/>
    <x v="148"/>
    <x v="0"/>
    <n v="39"/>
    <s v="month"/>
    <n v="280"/>
    <x v="0"/>
  </r>
  <r>
    <n v="153554190"/>
    <x v="36"/>
    <x v="0"/>
    <x v="0"/>
    <n v="39"/>
    <s v="month"/>
    <s v=""/>
    <x v="1"/>
  </r>
  <r>
    <n v="157411994"/>
    <x v="36"/>
    <x v="0"/>
    <x v="0"/>
    <n v="39"/>
    <s v="month"/>
    <s v=""/>
    <x v="1"/>
  </r>
  <r>
    <n v="157374056"/>
    <x v="36"/>
    <x v="149"/>
    <x v="0"/>
    <n v="39"/>
    <s v="month"/>
    <n v="31"/>
    <x v="1"/>
  </r>
  <r>
    <n v="157397941"/>
    <x v="36"/>
    <x v="52"/>
    <x v="0"/>
    <n v="39"/>
    <s v="month"/>
    <n v="27"/>
    <x v="1"/>
  </r>
  <r>
    <n v="157234944"/>
    <x v="36"/>
    <x v="112"/>
    <x v="0"/>
    <n v="39"/>
    <s v="month"/>
    <n v="17"/>
    <x v="1"/>
  </r>
  <r>
    <n v="157490039"/>
    <x v="37"/>
    <x v="142"/>
    <x v="0"/>
    <n v="39"/>
    <s v="month"/>
    <n v="158"/>
    <x v="2"/>
  </r>
  <r>
    <n v="157484010"/>
    <x v="37"/>
    <x v="142"/>
    <x v="0"/>
    <n v="39"/>
    <s v="month"/>
    <n v="158"/>
    <x v="2"/>
  </r>
  <r>
    <n v="125038257"/>
    <x v="37"/>
    <x v="116"/>
    <x v="0"/>
    <n v="39"/>
    <s v="month"/>
    <n v="40"/>
    <x v="2"/>
  </r>
  <r>
    <n v="157400730"/>
    <x v="37"/>
    <x v="110"/>
    <x v="0"/>
    <n v="39"/>
    <s v="month"/>
    <n v="18"/>
    <x v="2"/>
  </r>
  <r>
    <n v="157450645"/>
    <x v="37"/>
    <x v="18"/>
    <x v="0"/>
    <n v="39"/>
    <s v="month"/>
    <n v="10"/>
    <x v="2"/>
  </r>
  <r>
    <n v="156943008"/>
    <x v="38"/>
    <x v="140"/>
    <x v="0"/>
    <n v="39"/>
    <s v="month"/>
    <n v="1"/>
    <x v="3"/>
  </r>
  <r>
    <n v="127328047"/>
    <x v="38"/>
    <x v="104"/>
    <x v="0"/>
    <n v="39"/>
    <s v="month"/>
    <n v="99"/>
    <x v="3"/>
  </r>
  <r>
    <n v="157506842"/>
    <x v="38"/>
    <x v="102"/>
    <x v="0"/>
    <n v="39"/>
    <s v="month"/>
    <n v="37"/>
    <x v="3"/>
  </r>
  <r>
    <n v="150924853"/>
    <x v="38"/>
    <x v="6"/>
    <x v="0"/>
    <n v="39"/>
    <s v="month"/>
    <n v="45"/>
    <x v="3"/>
  </r>
  <r>
    <n v="156996568"/>
    <x v="39"/>
    <x v="0"/>
    <x v="0"/>
    <n v="39"/>
    <s v="month"/>
    <s v=""/>
    <x v="4"/>
  </r>
  <r>
    <n v="157627904"/>
    <x v="39"/>
    <x v="150"/>
    <x v="0"/>
    <n v="39"/>
    <s v="month"/>
    <n v="93"/>
    <x v="4"/>
  </r>
  <r>
    <n v="157058101"/>
    <x v="39"/>
    <x v="151"/>
    <x v="0"/>
    <n v="39"/>
    <s v="month"/>
    <n v="30"/>
    <x v="4"/>
  </r>
  <r>
    <n v="157394598"/>
    <x v="40"/>
    <x v="39"/>
    <x v="1"/>
    <n v="39"/>
    <s v="month"/>
    <n v="1"/>
    <x v="5"/>
  </r>
  <r>
    <n v="157765918"/>
    <x v="40"/>
    <x v="39"/>
    <x v="1"/>
    <n v="39"/>
    <s v="month"/>
    <n v="1"/>
    <x v="5"/>
  </r>
  <r>
    <n v="157746458"/>
    <x v="40"/>
    <x v="152"/>
    <x v="0"/>
    <n v="39"/>
    <s v="month"/>
    <n v="196"/>
    <x v="5"/>
  </r>
  <r>
    <n v="157590918"/>
    <x v="40"/>
    <x v="153"/>
    <x v="0"/>
    <n v="39"/>
    <s v="month"/>
    <n v="124"/>
    <x v="5"/>
  </r>
  <r>
    <n v="157290992"/>
    <x v="40"/>
    <x v="138"/>
    <x v="0"/>
    <n v="39"/>
    <s v="month"/>
    <n v="91"/>
    <x v="5"/>
  </r>
  <r>
    <n v="156895701"/>
    <x v="40"/>
    <x v="154"/>
    <x v="0"/>
    <n v="39"/>
    <s v="month"/>
    <n v="68"/>
    <x v="5"/>
  </r>
  <r>
    <n v="155926313"/>
    <x v="40"/>
    <x v="74"/>
    <x v="0"/>
    <n v="39"/>
    <s v="month"/>
    <n v="48"/>
    <x v="5"/>
  </r>
  <r>
    <n v="156110000"/>
    <x v="40"/>
    <x v="155"/>
    <x v="0"/>
    <n v="39"/>
    <s v="month"/>
    <n v="36"/>
    <x v="5"/>
  </r>
  <r>
    <n v="157851493"/>
    <x v="41"/>
    <x v="156"/>
    <x v="0"/>
    <n v="39"/>
    <s v="month"/>
    <n v="174"/>
    <x v="6"/>
  </r>
  <r>
    <n v="157792408"/>
    <x v="41"/>
    <x v="157"/>
    <x v="0"/>
    <n v="39"/>
    <s v="month"/>
    <n v="241"/>
    <x v="6"/>
  </r>
  <r>
    <n v="157868778"/>
    <x v="41"/>
    <x v="149"/>
    <x v="0"/>
    <n v="39"/>
    <s v="month"/>
    <n v="26"/>
    <x v="6"/>
  </r>
  <r>
    <n v="157833252"/>
    <x v="41"/>
    <x v="67"/>
    <x v="0"/>
    <n v="39"/>
    <s v="month"/>
    <n v="11"/>
    <x v="6"/>
  </r>
  <r>
    <n v="149662340"/>
    <x v="42"/>
    <x v="0"/>
    <x v="0"/>
    <n v="39"/>
    <s v="month"/>
    <s v=""/>
    <x v="0"/>
  </r>
  <r>
    <n v="126918448"/>
    <x v="42"/>
    <x v="0"/>
    <x v="0"/>
    <n v="39"/>
    <s v="month"/>
    <s v=""/>
    <x v="0"/>
  </r>
  <r>
    <n v="136897370"/>
    <x v="42"/>
    <x v="158"/>
    <x v="0"/>
    <n v="39"/>
    <s v="month"/>
    <n v="96"/>
    <x v="0"/>
  </r>
  <r>
    <n v="157921307"/>
    <x v="42"/>
    <x v="159"/>
    <x v="0"/>
    <n v="39"/>
    <s v="month"/>
    <n v="229"/>
    <x v="0"/>
  </r>
  <r>
    <n v="157905868"/>
    <x v="42"/>
    <x v="136"/>
    <x v="0"/>
    <n v="39"/>
    <s v="month"/>
    <n v="116"/>
    <x v="0"/>
  </r>
  <r>
    <n v="152377785"/>
    <x v="42"/>
    <x v="150"/>
    <x v="0"/>
    <n v="39"/>
    <s v="month"/>
    <n v="90"/>
    <x v="0"/>
  </r>
  <r>
    <n v="157567612"/>
    <x v="42"/>
    <x v="52"/>
    <x v="0"/>
    <n v="39"/>
    <s v="month"/>
    <n v="21"/>
    <x v="0"/>
  </r>
  <r>
    <n v="157993772"/>
    <x v="43"/>
    <x v="49"/>
    <x v="1"/>
    <n v="39"/>
    <s v="month"/>
    <n v="0"/>
    <x v="2"/>
  </r>
  <r>
    <n v="148769034"/>
    <x v="43"/>
    <x v="32"/>
    <x v="0"/>
    <n v="39"/>
    <s v="month"/>
    <n v="149"/>
    <x v="2"/>
  </r>
  <r>
    <n v="158050283"/>
    <x v="43"/>
    <x v="160"/>
    <x v="0"/>
    <n v="39"/>
    <s v="month"/>
    <n v="265"/>
    <x v="2"/>
  </r>
  <r>
    <n v="157436507"/>
    <x v="44"/>
    <x v="0"/>
    <x v="0"/>
    <n v="39"/>
    <s v="month"/>
    <s v=""/>
    <x v="3"/>
  </r>
  <r>
    <n v="123808301"/>
    <x v="44"/>
    <x v="12"/>
    <x v="0"/>
    <n v="39"/>
    <s v="month"/>
    <n v="11"/>
    <x v="3"/>
  </r>
  <r>
    <n v="158033452"/>
    <x v="44"/>
    <x v="161"/>
    <x v="0"/>
    <n v="39"/>
    <s v="month"/>
    <n v="137"/>
    <x v="3"/>
  </r>
  <r>
    <n v="156796659"/>
    <x v="44"/>
    <x v="162"/>
    <x v="0"/>
    <n v="39"/>
    <s v="month"/>
    <n v="144"/>
    <x v="3"/>
  </r>
  <r>
    <n v="158093021"/>
    <x v="44"/>
    <x v="163"/>
    <x v="0"/>
    <n v="39"/>
    <s v="month"/>
    <n v="72"/>
    <x v="3"/>
  </r>
  <r>
    <n v="157900412"/>
    <x v="44"/>
    <x v="151"/>
    <x v="0"/>
    <n v="39"/>
    <s v="month"/>
    <n v="24"/>
    <x v="3"/>
  </r>
  <r>
    <n v="152892719"/>
    <x v="44"/>
    <x v="54"/>
    <x v="0"/>
    <n v="39"/>
    <s v="month"/>
    <n v="0"/>
    <x v="3"/>
  </r>
  <r>
    <n v="158009130"/>
    <x v="45"/>
    <x v="0"/>
    <x v="0"/>
    <n v="39"/>
    <s v="month"/>
    <s v=""/>
    <x v="4"/>
  </r>
  <r>
    <n v="157904656"/>
    <x v="45"/>
    <x v="164"/>
    <x v="0"/>
    <n v="39"/>
    <s v="month"/>
    <n v="59"/>
    <x v="4"/>
  </r>
  <r>
    <n v="157838980"/>
    <x v="45"/>
    <x v="165"/>
    <x v="0"/>
    <n v="39"/>
    <s v="month"/>
    <n v="122"/>
    <x v="4"/>
  </r>
  <r>
    <n v="123402996"/>
    <x v="45"/>
    <x v="166"/>
    <x v="0"/>
    <n v="39"/>
    <s v="month"/>
    <n v="79"/>
    <x v="4"/>
  </r>
  <r>
    <n v="158112356"/>
    <x v="45"/>
    <x v="167"/>
    <x v="0"/>
    <n v="39"/>
    <s v="month"/>
    <n v="74"/>
    <x v="4"/>
  </r>
  <r>
    <n v="152410420"/>
    <x v="45"/>
    <x v="111"/>
    <x v="0"/>
    <n v="39"/>
    <s v="month"/>
    <n v="32"/>
    <x v="4"/>
  </r>
  <r>
    <n v="158164441"/>
    <x v="45"/>
    <x v="116"/>
    <x v="0"/>
    <n v="39"/>
    <s v="month"/>
    <n v="31"/>
    <x v="4"/>
  </r>
  <r>
    <n v="153956466"/>
    <x v="45"/>
    <x v="116"/>
    <x v="0"/>
    <n v="39"/>
    <s v="month"/>
    <n v="31"/>
    <x v="4"/>
  </r>
  <r>
    <n v="158100990"/>
    <x v="45"/>
    <x v="76"/>
    <x v="0"/>
    <n v="39"/>
    <s v="month"/>
    <n v="28"/>
    <x v="4"/>
  </r>
  <r>
    <n v="158096894"/>
    <x v="45"/>
    <x v="76"/>
    <x v="0"/>
    <n v="39"/>
    <s v="month"/>
    <n v="28"/>
    <x v="4"/>
  </r>
  <r>
    <n v="158066376"/>
    <x v="45"/>
    <x v="75"/>
    <x v="0"/>
    <n v="39"/>
    <s v="month"/>
    <n v="22"/>
    <x v="4"/>
  </r>
  <r>
    <n v="158220808"/>
    <x v="46"/>
    <x v="0"/>
    <x v="1"/>
    <n v="39"/>
    <s v="month"/>
    <s v=""/>
    <x v="5"/>
  </r>
  <r>
    <n v="131779624"/>
    <x v="46"/>
    <x v="168"/>
    <x v="0"/>
    <n v="39"/>
    <s v="month"/>
    <n v="38"/>
    <x v="5"/>
  </r>
  <r>
    <n v="158267390"/>
    <x v="46"/>
    <x v="169"/>
    <x v="0"/>
    <n v="39"/>
    <s v="month"/>
    <n v="68"/>
    <x v="5"/>
  </r>
  <r>
    <n v="152354478"/>
    <x v="46"/>
    <x v="170"/>
    <x v="0"/>
    <n v="39"/>
    <s v="month"/>
    <n v="107"/>
    <x v="5"/>
  </r>
  <r>
    <n v="146376235"/>
    <x v="46"/>
    <x v="71"/>
    <x v="0"/>
    <n v="39"/>
    <s v="month"/>
    <n v="50"/>
    <x v="5"/>
  </r>
  <r>
    <n v="153953296"/>
    <x v="46"/>
    <x v="27"/>
    <x v="0"/>
    <n v="39"/>
    <s v="month"/>
    <n v="15"/>
    <x v="5"/>
  </r>
  <r>
    <n v="154659594"/>
    <x v="46"/>
    <x v="76"/>
    <x v="0"/>
    <n v="39"/>
    <s v="month"/>
    <n v="27"/>
    <x v="5"/>
  </r>
  <r>
    <n v="157998778"/>
    <x v="46"/>
    <x v="168"/>
    <x v="0"/>
    <n v="39"/>
    <s v="month"/>
    <n v="38"/>
    <x v="5"/>
  </r>
  <r>
    <n v="150668840"/>
    <x v="46"/>
    <x v="28"/>
    <x v="0"/>
    <n v="39"/>
    <s v="month"/>
    <n v="14"/>
    <x v="5"/>
  </r>
  <r>
    <n v="158184958"/>
    <x v="46"/>
    <x v="27"/>
    <x v="0"/>
    <n v="39"/>
    <s v="month"/>
    <n v="15"/>
    <x v="5"/>
  </r>
  <r>
    <n v="158362440"/>
    <x v="47"/>
    <x v="171"/>
    <x v="0"/>
    <n v="39"/>
    <s v="month"/>
    <n v="212"/>
    <x v="6"/>
  </r>
  <r>
    <n v="158477370"/>
    <x v="47"/>
    <x v="56"/>
    <x v="0"/>
    <n v="39"/>
    <s v="month"/>
    <n v="125"/>
    <x v="6"/>
  </r>
  <r>
    <n v="158047538"/>
    <x v="47"/>
    <x v="172"/>
    <x v="0"/>
    <n v="39"/>
    <s v="month"/>
    <n v="95"/>
    <x v="6"/>
  </r>
  <r>
    <n v="157910445"/>
    <x v="47"/>
    <x v="25"/>
    <x v="0"/>
    <n v="39"/>
    <s v="month"/>
    <n v="88"/>
    <x v="6"/>
  </r>
  <r>
    <n v="154091460"/>
    <x v="47"/>
    <x v="173"/>
    <x v="0"/>
    <n v="39"/>
    <s v="month"/>
    <n v="245"/>
    <x v="6"/>
  </r>
  <r>
    <n v="158532103"/>
    <x v="48"/>
    <x v="174"/>
    <x v="0"/>
    <n v="39"/>
    <s v="month"/>
    <n v="205"/>
    <x v="0"/>
  </r>
  <r>
    <n v="158591698"/>
    <x v="48"/>
    <x v="137"/>
    <x v="0"/>
    <n v="39"/>
    <s v="month"/>
    <n v="148"/>
    <x v="0"/>
  </r>
  <r>
    <n v="158533909"/>
    <x v="48"/>
    <x v="175"/>
    <x v="0"/>
    <n v="39"/>
    <s v="month"/>
    <n v="99"/>
    <x v="0"/>
  </r>
  <r>
    <n v="156372496"/>
    <x v="48"/>
    <x v="164"/>
    <x v="0"/>
    <n v="39"/>
    <s v="month"/>
    <n v="56"/>
    <x v="0"/>
  </r>
  <r>
    <n v="158620475"/>
    <x v="48"/>
    <x v="176"/>
    <x v="0"/>
    <n v="39"/>
    <s v="month"/>
    <n v="281"/>
    <x v="0"/>
  </r>
  <r>
    <n v="158539824"/>
    <x v="48"/>
    <x v="177"/>
    <x v="0"/>
    <n v="39"/>
    <s v="month"/>
    <n v="243"/>
    <x v="0"/>
  </r>
  <r>
    <n v="158499042"/>
    <x v="49"/>
    <x v="0"/>
    <x v="0"/>
    <n v="39"/>
    <s v="month"/>
    <s v=""/>
    <x v="1"/>
  </r>
  <r>
    <n v="158755464"/>
    <x v="49"/>
    <x v="74"/>
    <x v="0"/>
    <n v="39"/>
    <s v="month"/>
    <n v="38"/>
    <x v="1"/>
  </r>
  <r>
    <n v="149112756"/>
    <x v="49"/>
    <x v="178"/>
    <x v="0"/>
    <n v="39"/>
    <s v="month"/>
    <n v="219"/>
    <x v="1"/>
  </r>
  <r>
    <n v="149065622"/>
    <x v="49"/>
    <x v="118"/>
    <x v="0"/>
    <n v="39"/>
    <s v="month"/>
    <n v="68"/>
    <x v="1"/>
  </r>
  <r>
    <n v="158656065"/>
    <x v="49"/>
    <x v="167"/>
    <x v="0"/>
    <n v="39"/>
    <s v="month"/>
    <n v="70"/>
    <x v="1"/>
  </r>
  <r>
    <n v="158756090"/>
    <x v="49"/>
    <x v="27"/>
    <x v="0"/>
    <n v="39"/>
    <s v="month"/>
    <n v="12"/>
    <x v="1"/>
  </r>
  <r>
    <n v="158447710"/>
    <x v="49"/>
    <x v="111"/>
    <x v="0"/>
    <n v="39"/>
    <s v="month"/>
    <n v="28"/>
    <x v="1"/>
  </r>
  <r>
    <n v="157568391"/>
    <x v="49"/>
    <x v="85"/>
    <x v="0"/>
    <n v="39"/>
    <s v="month"/>
    <n v="31"/>
    <x v="1"/>
  </r>
  <r>
    <n v="157505106"/>
    <x v="50"/>
    <x v="0"/>
    <x v="0"/>
    <n v="39"/>
    <s v="month"/>
    <s v=""/>
    <x v="2"/>
  </r>
  <r>
    <n v="158761363"/>
    <x v="50"/>
    <x v="179"/>
    <x v="0"/>
    <n v="39"/>
    <s v="month"/>
    <n v="127"/>
    <x v="2"/>
  </r>
  <r>
    <n v="144858980"/>
    <x v="50"/>
    <x v="80"/>
    <x v="0"/>
    <n v="39"/>
    <s v="month"/>
    <n v="61"/>
    <x v="2"/>
  </r>
  <r>
    <n v="151000288"/>
    <x v="50"/>
    <x v="80"/>
    <x v="0"/>
    <n v="39"/>
    <s v="month"/>
    <n v="61"/>
    <x v="2"/>
  </r>
  <r>
    <n v="136276852"/>
    <x v="50"/>
    <x v="121"/>
    <x v="0"/>
    <n v="39"/>
    <s v="month"/>
    <n v="31"/>
    <x v="2"/>
  </r>
  <r>
    <n v="158767852"/>
    <x v="50"/>
    <x v="130"/>
    <x v="0"/>
    <n v="39"/>
    <s v="month"/>
    <n v="38"/>
    <x v="2"/>
  </r>
  <r>
    <n v="158849640"/>
    <x v="51"/>
    <x v="0"/>
    <x v="0"/>
    <n v="39"/>
    <s v="month"/>
    <s v=""/>
    <x v="3"/>
  </r>
  <r>
    <n v="151491892"/>
    <x v="51"/>
    <x v="112"/>
    <x v="0"/>
    <n v="39"/>
    <s v="month"/>
    <n v="1"/>
    <x v="3"/>
  </r>
  <r>
    <n v="157474087"/>
    <x v="51"/>
    <x v="167"/>
    <x v="0"/>
    <n v="39"/>
    <s v="month"/>
    <n v="68"/>
    <x v="3"/>
  </r>
  <r>
    <n v="157997679"/>
    <x v="51"/>
    <x v="180"/>
    <x v="0"/>
    <n v="39"/>
    <s v="month"/>
    <n v="238"/>
    <x v="3"/>
  </r>
  <r>
    <n v="158566772"/>
    <x v="51"/>
    <x v="56"/>
    <x v="0"/>
    <n v="39"/>
    <s v="month"/>
    <n v="121"/>
    <x v="3"/>
  </r>
  <r>
    <n v="157788656"/>
    <x v="51"/>
    <x v="181"/>
    <x v="0"/>
    <n v="39"/>
    <s v="month"/>
    <n v="58"/>
    <x v="3"/>
  </r>
  <r>
    <n v="158832658"/>
    <x v="51"/>
    <x v="27"/>
    <x v="0"/>
    <n v="39"/>
    <s v="month"/>
    <n v="10"/>
    <x v="3"/>
  </r>
  <r>
    <n v="130837976"/>
    <x v="51"/>
    <x v="6"/>
    <x v="0"/>
    <n v="39"/>
    <s v="month"/>
    <n v="31"/>
    <x v="3"/>
  </r>
  <r>
    <n v="159095030"/>
    <x v="52"/>
    <x v="165"/>
    <x v="0"/>
    <n v="39"/>
    <s v="month"/>
    <n v="115"/>
    <x v="4"/>
  </r>
  <r>
    <n v="159028041"/>
    <x v="52"/>
    <x v="109"/>
    <x v="0"/>
    <n v="39"/>
    <s v="month"/>
    <n v="38"/>
    <x v="4"/>
  </r>
  <r>
    <n v="159018168"/>
    <x v="52"/>
    <x v="109"/>
    <x v="0"/>
    <n v="39"/>
    <s v="month"/>
    <n v="38"/>
    <x v="4"/>
  </r>
  <r>
    <n v="157981870"/>
    <x v="52"/>
    <x v="149"/>
    <x v="0"/>
    <n v="39"/>
    <s v="month"/>
    <n v="14"/>
    <x v="4"/>
  </r>
  <r>
    <n v="153061698"/>
    <x v="52"/>
    <x v="182"/>
    <x v="0"/>
    <n v="39"/>
    <s v="month"/>
    <n v="31"/>
    <x v="4"/>
  </r>
  <r>
    <n v="159204523"/>
    <x v="53"/>
    <x v="0"/>
    <x v="0"/>
    <n v="39"/>
    <s v="month"/>
    <s v=""/>
    <x v="5"/>
  </r>
  <r>
    <n v="159236268"/>
    <x v="53"/>
    <x v="0"/>
    <x v="1"/>
    <n v="39"/>
    <s v="month"/>
    <s v=""/>
    <x v="5"/>
  </r>
  <r>
    <n v="159256553"/>
    <x v="53"/>
    <x v="138"/>
    <x v="0"/>
    <n v="39"/>
    <s v="month"/>
    <n v="77"/>
    <x v="5"/>
  </r>
  <r>
    <n v="159211568"/>
    <x v="53"/>
    <x v="183"/>
    <x v="0"/>
    <n v="39"/>
    <s v="month"/>
    <n v="69"/>
    <x v="5"/>
  </r>
  <r>
    <n v="154778395"/>
    <x v="53"/>
    <x v="74"/>
    <x v="0"/>
    <n v="39"/>
    <s v="month"/>
    <n v="34"/>
    <x v="5"/>
  </r>
  <r>
    <n v="157961180"/>
    <x v="53"/>
    <x v="182"/>
    <x v="0"/>
    <n v="39"/>
    <s v="month"/>
    <n v="30"/>
    <x v="5"/>
  </r>
  <r>
    <n v="159281338"/>
    <x v="54"/>
    <x v="0"/>
    <x v="0"/>
    <n v="39"/>
    <s v="month"/>
    <s v=""/>
    <x v="6"/>
  </r>
  <r>
    <n v="159364232"/>
    <x v="54"/>
    <x v="0"/>
    <x v="0"/>
    <n v="39"/>
    <s v="month"/>
    <s v=""/>
    <x v="6"/>
  </r>
  <r>
    <n v="159276280"/>
    <x v="54"/>
    <x v="0"/>
    <x v="0"/>
    <n v="39"/>
    <s v="month"/>
    <s v=""/>
    <x v="6"/>
  </r>
  <r>
    <n v="159326830"/>
    <x v="54"/>
    <x v="12"/>
    <x v="0"/>
    <n v="39"/>
    <s v="month"/>
    <n v="1"/>
    <x v="6"/>
  </r>
  <r>
    <n v="158144924"/>
    <x v="54"/>
    <x v="184"/>
    <x v="0"/>
    <n v="39"/>
    <s v="month"/>
    <n v="120"/>
    <x v="6"/>
  </r>
  <r>
    <n v="159239867"/>
    <x v="54"/>
    <x v="164"/>
    <x v="0"/>
    <n v="39"/>
    <s v="month"/>
    <n v="50"/>
    <x v="6"/>
  </r>
  <r>
    <n v="159108970"/>
    <x v="54"/>
    <x v="181"/>
    <x v="0"/>
    <n v="39"/>
    <s v="month"/>
    <n v="55"/>
    <x v="6"/>
  </r>
  <r>
    <n v="158644133"/>
    <x v="54"/>
    <x v="5"/>
    <x v="0"/>
    <n v="39"/>
    <s v="month"/>
    <n v="31"/>
    <x v="6"/>
  </r>
  <r>
    <n v="153830193"/>
    <x v="54"/>
    <x v="12"/>
    <x v="0"/>
    <n v="39"/>
    <s v="month"/>
    <n v="1"/>
    <x v="6"/>
  </r>
  <r>
    <n v="159664292"/>
    <x v="55"/>
    <x v="0"/>
    <x v="0"/>
    <n v="39"/>
    <s v="month"/>
    <s v=""/>
    <x v="0"/>
  </r>
  <r>
    <n v="152937944"/>
    <x v="55"/>
    <x v="48"/>
    <x v="1"/>
    <n v="39"/>
    <s v="month"/>
    <n v="1"/>
    <x v="0"/>
  </r>
  <r>
    <n v="159446393"/>
    <x v="55"/>
    <x v="185"/>
    <x v="0"/>
    <n v="39"/>
    <s v="month"/>
    <n v="174"/>
    <x v="0"/>
  </r>
  <r>
    <n v="156837717"/>
    <x v="55"/>
    <x v="186"/>
    <x v="0"/>
    <n v="39"/>
    <s v="month"/>
    <n v="227"/>
    <x v="0"/>
  </r>
  <r>
    <n v="149000400"/>
    <x v="55"/>
    <x v="179"/>
    <x v="0"/>
    <n v="39"/>
    <s v="month"/>
    <n v="122"/>
    <x v="0"/>
  </r>
  <r>
    <n v="157923615"/>
    <x v="55"/>
    <x v="34"/>
    <x v="0"/>
    <n v="39"/>
    <s v="month"/>
    <n v="68"/>
    <x v="0"/>
  </r>
  <r>
    <n v="159699736"/>
    <x v="55"/>
    <x v="168"/>
    <x v="0"/>
    <n v="39"/>
    <s v="month"/>
    <n v="29"/>
    <x v="0"/>
  </r>
  <r>
    <n v="150816815"/>
    <x v="55"/>
    <x v="155"/>
    <x v="0"/>
    <n v="39"/>
    <s v="month"/>
    <n v="20"/>
    <x v="0"/>
  </r>
  <r>
    <n v="159634168"/>
    <x v="55"/>
    <x v="187"/>
    <x v="0"/>
    <n v="39"/>
    <s v="month"/>
    <n v="246"/>
    <x v="0"/>
  </r>
  <r>
    <n v="158114418"/>
    <x v="56"/>
    <x v="0"/>
    <x v="0"/>
    <n v="39"/>
    <s v="month"/>
    <s v=""/>
    <x v="1"/>
  </r>
  <r>
    <n v="159706104"/>
    <x v="56"/>
    <x v="0"/>
    <x v="0"/>
    <n v="39"/>
    <s v="month"/>
    <s v=""/>
    <x v="1"/>
  </r>
  <r>
    <n v="150704581"/>
    <x v="56"/>
    <x v="15"/>
    <x v="0"/>
    <n v="39"/>
    <s v="month"/>
    <n v="194"/>
    <x v="1"/>
  </r>
  <r>
    <n v="159733207"/>
    <x v="56"/>
    <x v="188"/>
    <x v="0"/>
    <n v="39"/>
    <s v="month"/>
    <n v="122"/>
    <x v="1"/>
  </r>
  <r>
    <n v="159775056"/>
    <x v="56"/>
    <x v="189"/>
    <x v="0"/>
    <n v="39"/>
    <s v="month"/>
    <n v="154"/>
    <x v="1"/>
  </r>
  <r>
    <n v="144328609"/>
    <x v="56"/>
    <x v="169"/>
    <x v="0"/>
    <n v="39"/>
    <s v="month"/>
    <n v="58"/>
    <x v="1"/>
  </r>
  <r>
    <n v="153172687"/>
    <x v="56"/>
    <x v="190"/>
    <x v="0"/>
    <n v="39"/>
    <s v="month"/>
    <n v="297"/>
    <x v="1"/>
  </r>
  <r>
    <n v="159861170"/>
    <x v="57"/>
    <x v="0"/>
    <x v="0"/>
    <n v="39"/>
    <s v="month"/>
    <s v=""/>
    <x v="2"/>
  </r>
  <r>
    <n v="133474642"/>
    <x v="57"/>
    <x v="181"/>
    <x v="0"/>
    <n v="39"/>
    <s v="month"/>
    <n v="52"/>
    <x v="2"/>
  </r>
  <r>
    <n v="159817608"/>
    <x v="57"/>
    <x v="78"/>
    <x v="0"/>
    <n v="39"/>
    <s v="month"/>
    <n v="145"/>
    <x v="2"/>
  </r>
  <r>
    <n v="159867686"/>
    <x v="57"/>
    <x v="79"/>
    <x v="0"/>
    <n v="39"/>
    <s v="month"/>
    <n v="68"/>
    <x v="2"/>
  </r>
  <r>
    <n v="158484064"/>
    <x v="57"/>
    <x v="79"/>
    <x v="0"/>
    <n v="39"/>
    <s v="month"/>
    <n v="68"/>
    <x v="2"/>
  </r>
  <r>
    <n v="159829834"/>
    <x v="58"/>
    <x v="0"/>
    <x v="0"/>
    <n v="39"/>
    <s v="month"/>
    <s v=""/>
    <x v="3"/>
  </r>
  <r>
    <n v="159875790"/>
    <x v="58"/>
    <x v="191"/>
    <x v="0"/>
    <n v="39"/>
    <s v="month"/>
    <n v="128"/>
    <x v="3"/>
  </r>
  <r>
    <n v="155520280"/>
    <x v="58"/>
    <x v="71"/>
    <x v="0"/>
    <n v="39"/>
    <s v="month"/>
    <n v="38"/>
    <x v="3"/>
  </r>
  <r>
    <n v="159783942"/>
    <x v="58"/>
    <x v="118"/>
    <x v="0"/>
    <n v="39"/>
    <s v="month"/>
    <n v="59"/>
    <x v="3"/>
  </r>
  <r>
    <n v="149696432"/>
    <x v="58"/>
    <x v="5"/>
    <x v="0"/>
    <n v="39"/>
    <s v="month"/>
    <n v="27"/>
    <x v="3"/>
  </r>
  <r>
    <n v="159979372"/>
    <x v="59"/>
    <x v="0"/>
    <x v="0"/>
    <n v="39"/>
    <s v="month"/>
    <s v=""/>
    <x v="4"/>
  </r>
  <r>
    <n v="153814649"/>
    <x v="59"/>
    <x v="0"/>
    <x v="0"/>
    <n v="39"/>
    <s v="month"/>
    <s v=""/>
    <x v="4"/>
  </r>
  <r>
    <n v="159931469"/>
    <x v="59"/>
    <x v="0"/>
    <x v="0"/>
    <n v="39"/>
    <s v="month"/>
    <s v=""/>
    <x v="4"/>
  </r>
  <r>
    <n v="138061210"/>
    <x v="59"/>
    <x v="8"/>
    <x v="0"/>
    <n v="39"/>
    <s v="month"/>
    <n v="0"/>
    <x v="4"/>
  </r>
  <r>
    <n v="141403460"/>
    <x v="59"/>
    <x v="104"/>
    <x v="0"/>
    <n v="39"/>
    <s v="month"/>
    <n v="77"/>
    <x v="4"/>
  </r>
  <r>
    <n v="159991922"/>
    <x v="59"/>
    <x v="92"/>
    <x v="0"/>
    <n v="39"/>
    <s v="month"/>
    <n v="47"/>
    <x v="4"/>
  </r>
  <r>
    <n v="159241648"/>
    <x v="59"/>
    <x v="93"/>
    <x v="0"/>
    <n v="39"/>
    <s v="month"/>
    <n v="44"/>
    <x v="4"/>
  </r>
  <r>
    <n v="150703411"/>
    <x v="59"/>
    <x v="109"/>
    <x v="0"/>
    <n v="39"/>
    <s v="month"/>
    <n v="31"/>
    <x v="4"/>
  </r>
  <r>
    <n v="159773641"/>
    <x v="59"/>
    <x v="102"/>
    <x v="0"/>
    <n v="39"/>
    <s v="month"/>
    <n v="15"/>
    <x v="4"/>
  </r>
  <r>
    <n v="128002797"/>
    <x v="59"/>
    <x v="106"/>
    <x v="0"/>
    <n v="39"/>
    <s v="month"/>
    <n v="30"/>
    <x v="4"/>
  </r>
  <r>
    <n v="155807489"/>
    <x v="60"/>
    <x v="27"/>
    <x v="1"/>
    <n v="39"/>
    <s v="month"/>
    <n v="1"/>
    <x v="5"/>
  </r>
  <r>
    <n v="143077712"/>
    <x v="60"/>
    <x v="27"/>
    <x v="1"/>
    <n v="39"/>
    <s v="month"/>
    <n v="1"/>
    <x v="5"/>
  </r>
  <r>
    <n v="159745646"/>
    <x v="60"/>
    <x v="122"/>
    <x v="0"/>
    <n v="39"/>
    <s v="month"/>
    <n v="164"/>
    <x v="5"/>
  </r>
  <r>
    <n v="139004918"/>
    <x v="60"/>
    <x v="109"/>
    <x v="0"/>
    <n v="39"/>
    <s v="month"/>
    <n v="30"/>
    <x v="5"/>
  </r>
  <r>
    <n v="153255183"/>
    <x v="60"/>
    <x v="165"/>
    <x v="0"/>
    <n v="39"/>
    <s v="month"/>
    <n v="107"/>
    <x v="5"/>
  </r>
  <r>
    <n v="157708746"/>
    <x v="60"/>
    <x v="192"/>
    <x v="0"/>
    <n v="39"/>
    <s v="month"/>
    <n v="91"/>
    <x v="5"/>
  </r>
  <r>
    <n v="155652993"/>
    <x v="60"/>
    <x v="193"/>
    <x v="0"/>
    <n v="39"/>
    <s v="month"/>
    <n v="68"/>
    <x v="5"/>
  </r>
  <r>
    <n v="159977918"/>
    <x v="60"/>
    <x v="194"/>
    <x v="0"/>
    <n v="39"/>
    <s v="month"/>
    <n v="84"/>
    <x v="5"/>
  </r>
  <r>
    <n v="160108159"/>
    <x v="60"/>
    <x v="113"/>
    <x v="0"/>
    <n v="39"/>
    <s v="month"/>
    <n v="33"/>
    <x v="5"/>
  </r>
  <r>
    <n v="160051910"/>
    <x v="60"/>
    <x v="151"/>
    <x v="0"/>
    <n v="39"/>
    <s v="month"/>
    <n v="8"/>
    <x v="5"/>
  </r>
  <r>
    <n v="146169043"/>
    <x v="60"/>
    <x v="195"/>
    <x v="0"/>
    <n v="39"/>
    <s v="month"/>
    <n v="282"/>
    <x v="5"/>
  </r>
  <r>
    <n v="159927090"/>
    <x v="61"/>
    <x v="0"/>
    <x v="0"/>
    <n v="39"/>
    <s v="month"/>
    <s v=""/>
    <x v="6"/>
  </r>
  <r>
    <n v="149188028"/>
    <x v="61"/>
    <x v="0"/>
    <x v="0"/>
    <n v="39"/>
    <s v="month"/>
    <s v=""/>
    <x v="6"/>
  </r>
  <r>
    <n v="138535334"/>
    <x v="61"/>
    <x v="164"/>
    <x v="0"/>
    <n v="39"/>
    <s v="month"/>
    <n v="43"/>
    <x v="6"/>
  </r>
  <r>
    <n v="159901871"/>
    <x v="61"/>
    <x v="11"/>
    <x v="0"/>
    <n v="39"/>
    <s v="month"/>
    <n v="37"/>
    <x v="6"/>
  </r>
  <r>
    <n v="159620660"/>
    <x v="61"/>
    <x v="36"/>
    <x v="0"/>
    <n v="39"/>
    <s v="month"/>
    <n v="40"/>
    <x v="6"/>
  </r>
  <r>
    <n v="160199525"/>
    <x v="61"/>
    <x v="6"/>
    <x v="0"/>
    <n v="39"/>
    <s v="month"/>
    <n v="21"/>
    <x v="6"/>
  </r>
  <r>
    <n v="160183686"/>
    <x v="62"/>
    <x v="196"/>
    <x v="1"/>
    <n v="39"/>
    <s v="month"/>
    <n v="1"/>
    <x v="0"/>
  </r>
  <r>
    <n v="152504354"/>
    <x v="62"/>
    <x v="197"/>
    <x v="0"/>
    <n v="39"/>
    <s v="month"/>
    <n v="120"/>
    <x v="0"/>
  </r>
  <r>
    <n v="143164854"/>
    <x v="62"/>
    <x v="198"/>
    <x v="0"/>
    <n v="39"/>
    <s v="month"/>
    <n v="107"/>
    <x v="0"/>
  </r>
  <r>
    <n v="160366020"/>
    <x v="62"/>
    <x v="199"/>
    <x v="0"/>
    <n v="39"/>
    <s v="month"/>
    <n v="30"/>
    <x v="0"/>
  </r>
  <r>
    <n v="160298168"/>
    <x v="62"/>
    <x v="51"/>
    <x v="0"/>
    <n v="39"/>
    <s v="month"/>
    <n v="29"/>
    <x v="0"/>
  </r>
  <r>
    <n v="160243008"/>
    <x v="62"/>
    <x v="123"/>
    <x v="0"/>
    <n v="39"/>
    <s v="month"/>
    <n v="56"/>
    <x v="0"/>
  </r>
  <r>
    <n v="150878120"/>
    <x v="62"/>
    <x v="200"/>
    <x v="0"/>
    <n v="39"/>
    <s v="month"/>
    <n v="37"/>
    <x v="0"/>
  </r>
  <r>
    <n v="160208723"/>
    <x v="63"/>
    <x v="0"/>
    <x v="0"/>
    <n v="39"/>
    <s v="month"/>
    <s v=""/>
    <x v="1"/>
  </r>
  <r>
    <n v="153539322"/>
    <x v="63"/>
    <x v="201"/>
    <x v="0"/>
    <n v="39"/>
    <s v="month"/>
    <n v="95"/>
    <x v="1"/>
  </r>
  <r>
    <n v="160164472"/>
    <x v="63"/>
    <x v="202"/>
    <x v="0"/>
    <n v="39"/>
    <s v="month"/>
    <n v="112"/>
    <x v="1"/>
  </r>
  <r>
    <n v="160193644"/>
    <x v="63"/>
    <x v="150"/>
    <x v="0"/>
    <n v="39"/>
    <s v="month"/>
    <n v="68"/>
    <x v="1"/>
  </r>
  <r>
    <n v="156294098"/>
    <x v="63"/>
    <x v="199"/>
    <x v="0"/>
    <n v="39"/>
    <s v="month"/>
    <n v="29"/>
    <x v="1"/>
  </r>
  <r>
    <n v="146625866"/>
    <x v="63"/>
    <x v="203"/>
    <x v="0"/>
    <n v="39"/>
    <s v="month"/>
    <n v="15"/>
    <x v="1"/>
  </r>
  <r>
    <n v="157663870"/>
    <x v="64"/>
    <x v="131"/>
    <x v="0"/>
    <n v="39"/>
    <s v="month"/>
    <n v="1"/>
    <x v="2"/>
  </r>
  <r>
    <n v="159679042"/>
    <x v="64"/>
    <x v="131"/>
    <x v="1"/>
    <n v="39"/>
    <s v="month"/>
    <n v="1"/>
    <x v="2"/>
  </r>
  <r>
    <n v="160558904"/>
    <x v="64"/>
    <x v="194"/>
    <x v="0"/>
    <n v="39"/>
    <s v="month"/>
    <n v="80"/>
    <x v="2"/>
  </r>
  <r>
    <n v="127836197"/>
    <x v="64"/>
    <x v="144"/>
    <x v="0"/>
    <n v="39"/>
    <s v="month"/>
    <n v="0"/>
    <x v="2"/>
  </r>
  <r>
    <n v="155334332"/>
    <x v="64"/>
    <x v="113"/>
    <x v="0"/>
    <n v="39"/>
    <s v="month"/>
    <n v="29"/>
    <x v="2"/>
  </r>
  <r>
    <n v="160523170"/>
    <x v="64"/>
    <x v="36"/>
    <x v="0"/>
    <n v="39"/>
    <s v="month"/>
    <n v="37"/>
    <x v="2"/>
  </r>
  <r>
    <n v="156907890"/>
    <x v="64"/>
    <x v="144"/>
    <x v="0"/>
    <n v="39"/>
    <s v="month"/>
    <n v="0"/>
    <x v="2"/>
  </r>
  <r>
    <n v="160608516"/>
    <x v="64"/>
    <x v="204"/>
    <x v="0"/>
    <n v="39"/>
    <s v="month"/>
    <n v="271"/>
    <x v="2"/>
  </r>
  <r>
    <n v="113181220"/>
    <x v="64"/>
    <x v="205"/>
    <x v="0"/>
    <n v="39"/>
    <s v="month"/>
    <n v="260"/>
    <x v="2"/>
  </r>
  <r>
    <n v="159790393"/>
    <x v="65"/>
    <x v="206"/>
    <x v="0"/>
    <n v="39"/>
    <s v="month"/>
    <n v="99"/>
    <x v="3"/>
  </r>
  <r>
    <n v="147813476"/>
    <x v="65"/>
    <x v="175"/>
    <x v="0"/>
    <n v="39"/>
    <s v="month"/>
    <n v="82"/>
    <x v="3"/>
  </r>
  <r>
    <n v="156078158"/>
    <x v="65"/>
    <x v="84"/>
    <x v="0"/>
    <n v="39"/>
    <s v="month"/>
    <n v="80"/>
    <x v="3"/>
  </r>
  <r>
    <n v="154879898"/>
    <x v="65"/>
    <x v="116"/>
    <x v="0"/>
    <n v="39"/>
    <s v="month"/>
    <n v="11"/>
    <x v="3"/>
  </r>
  <r>
    <n v="136157937"/>
    <x v="65"/>
    <x v="207"/>
    <x v="0"/>
    <n v="39"/>
    <s v="month"/>
    <n v="37"/>
    <x v="3"/>
  </r>
  <r>
    <n v="160176868"/>
    <x v="65"/>
    <x v="109"/>
    <x v="0"/>
    <n v="39"/>
    <s v="month"/>
    <n v="25"/>
    <x v="3"/>
  </r>
  <r>
    <n v="160622888"/>
    <x v="65"/>
    <x v="131"/>
    <x v="0"/>
    <n v="39"/>
    <s v="month"/>
    <n v="0"/>
    <x v="3"/>
  </r>
  <r>
    <n v="158736659"/>
    <x v="66"/>
    <x v="0"/>
    <x v="0"/>
    <n v="39"/>
    <s v="month"/>
    <s v=""/>
    <x v="4"/>
  </r>
  <r>
    <n v="160813660"/>
    <x v="66"/>
    <x v="0"/>
    <x v="0"/>
    <n v="39"/>
    <s v="month"/>
    <s v=""/>
    <x v="4"/>
  </r>
  <r>
    <n v="158524240"/>
    <x v="66"/>
    <x v="0"/>
    <x v="0"/>
    <n v="39"/>
    <s v="month"/>
    <s v=""/>
    <x v="4"/>
  </r>
  <r>
    <n v="160702738"/>
    <x v="66"/>
    <x v="0"/>
    <x v="0"/>
    <n v="39"/>
    <s v="month"/>
    <s v=""/>
    <x v="4"/>
  </r>
  <r>
    <n v="138919619"/>
    <x v="66"/>
    <x v="100"/>
    <x v="0"/>
    <n v="39"/>
    <s v="month"/>
    <n v="29"/>
    <x v="4"/>
  </r>
  <r>
    <n v="121571816"/>
    <x v="66"/>
    <x v="208"/>
    <x v="0"/>
    <n v="39"/>
    <s v="month"/>
    <n v="139"/>
    <x v="4"/>
  </r>
  <r>
    <n v="160623955"/>
    <x v="66"/>
    <x v="209"/>
    <x v="0"/>
    <n v="39"/>
    <s v="month"/>
    <n v="240"/>
    <x v="4"/>
  </r>
  <r>
    <n v="160010850"/>
    <x v="66"/>
    <x v="162"/>
    <x v="0"/>
    <n v="39"/>
    <s v="month"/>
    <n v="122"/>
    <x v="4"/>
  </r>
  <r>
    <n v="160823268"/>
    <x v="66"/>
    <x v="136"/>
    <x v="0"/>
    <n v="39"/>
    <s v="month"/>
    <n v="91"/>
    <x v="4"/>
  </r>
  <r>
    <n v="158992873"/>
    <x v="66"/>
    <x v="210"/>
    <x v="0"/>
    <n v="39"/>
    <s v="month"/>
    <n v="99"/>
    <x v="4"/>
  </r>
  <r>
    <n v="159878556"/>
    <x v="66"/>
    <x v="71"/>
    <x v="0"/>
    <n v="39"/>
    <s v="month"/>
    <n v="30"/>
    <x v="4"/>
  </r>
  <r>
    <n v="160833652"/>
    <x v="66"/>
    <x v="93"/>
    <x v="0"/>
    <n v="39"/>
    <s v="month"/>
    <n v="37"/>
    <x v="4"/>
  </r>
  <r>
    <n v="157663870"/>
    <x v="66"/>
    <x v="86"/>
    <x v="0"/>
    <n v="39"/>
    <s v="month"/>
    <n v="31"/>
    <x v="4"/>
  </r>
  <r>
    <n v="160615413"/>
    <x v="66"/>
    <x v="169"/>
    <x v="0"/>
    <n v="39"/>
    <s v="month"/>
    <n v="48"/>
    <x v="4"/>
  </r>
  <r>
    <n v="156207052"/>
    <x v="66"/>
    <x v="113"/>
    <x v="0"/>
    <n v="39"/>
    <s v="month"/>
    <n v="27"/>
    <x v="4"/>
  </r>
  <r>
    <n v="160103792"/>
    <x v="66"/>
    <x v="149"/>
    <x v="0"/>
    <n v="39"/>
    <s v="month"/>
    <n v="0"/>
    <x v="4"/>
  </r>
  <r>
    <n v="160969302"/>
    <x v="67"/>
    <x v="211"/>
    <x v="0"/>
    <n v="39"/>
    <s v="month"/>
    <n v="294"/>
    <x v="6"/>
  </r>
  <r>
    <n v="149648746"/>
    <x v="67"/>
    <x v="212"/>
    <x v="0"/>
    <n v="39"/>
    <s v="month"/>
    <n v="205"/>
    <x v="6"/>
  </r>
  <r>
    <n v="155643390"/>
    <x v="67"/>
    <x v="189"/>
    <x v="0"/>
    <n v="39"/>
    <s v="month"/>
    <n v="142"/>
    <x v="6"/>
  </r>
  <r>
    <n v="119294384"/>
    <x v="67"/>
    <x v="161"/>
    <x v="0"/>
    <n v="39"/>
    <s v="month"/>
    <n v="113"/>
    <x v="6"/>
  </r>
  <r>
    <n v="160171541"/>
    <x v="67"/>
    <x v="34"/>
    <x v="0"/>
    <n v="39"/>
    <s v="month"/>
    <n v="55"/>
    <x v="6"/>
  </r>
  <r>
    <n v="150569213"/>
    <x v="67"/>
    <x v="213"/>
    <x v="0"/>
    <n v="39"/>
    <s v="month"/>
    <n v="37"/>
    <x v="6"/>
  </r>
  <r>
    <n v="156710028"/>
    <x v="68"/>
    <x v="191"/>
    <x v="0"/>
    <n v="39"/>
    <s v="month"/>
    <n v="117"/>
    <x v="0"/>
  </r>
  <r>
    <n v="157670310"/>
    <x v="68"/>
    <x v="214"/>
    <x v="0"/>
    <n v="39"/>
    <s v="month"/>
    <n v="83"/>
    <x v="0"/>
  </r>
  <r>
    <n v="157091067"/>
    <x v="68"/>
    <x v="153"/>
    <x v="0"/>
    <n v="39"/>
    <s v="month"/>
    <n v="94"/>
    <x v="0"/>
  </r>
  <r>
    <n v="159639128"/>
    <x v="68"/>
    <x v="215"/>
    <x v="0"/>
    <n v="39"/>
    <s v="month"/>
    <n v="0"/>
    <x v="0"/>
  </r>
  <r>
    <n v="149728468"/>
    <x v="69"/>
    <x v="87"/>
    <x v="0"/>
    <n v="39"/>
    <s v="month"/>
    <n v="1"/>
    <x v="1"/>
  </r>
  <r>
    <n v="160714172"/>
    <x v="69"/>
    <x v="216"/>
    <x v="0"/>
    <n v="39"/>
    <s v="month"/>
    <n v="50"/>
    <x v="1"/>
  </r>
  <r>
    <n v="161464205"/>
    <x v="69"/>
    <x v="213"/>
    <x v="0"/>
    <n v="39"/>
    <s v="month"/>
    <n v="35"/>
    <x v="1"/>
  </r>
  <r>
    <n v="141084753"/>
    <x v="70"/>
    <x v="185"/>
    <x v="0"/>
    <n v="39"/>
    <s v="month"/>
    <n v="158"/>
    <x v="2"/>
  </r>
  <r>
    <n v="161768948"/>
    <x v="70"/>
    <x v="22"/>
    <x v="0"/>
    <n v="39"/>
    <s v="month"/>
    <n v="144"/>
    <x v="2"/>
  </r>
  <r>
    <n v="161692109"/>
    <x v="70"/>
    <x v="26"/>
    <x v="0"/>
    <n v="39"/>
    <s v="month"/>
    <n v="99"/>
    <x v="2"/>
  </r>
  <r>
    <n v="161424706"/>
    <x v="70"/>
    <x v="11"/>
    <x v="0"/>
    <n v="39"/>
    <s v="month"/>
    <n v="27"/>
    <x v="2"/>
  </r>
  <r>
    <n v="153186137"/>
    <x v="70"/>
    <x v="87"/>
    <x v="0"/>
    <n v="39"/>
    <s v="month"/>
    <n v="0"/>
    <x v="2"/>
  </r>
  <r>
    <n v="158906669"/>
    <x v="71"/>
    <x v="153"/>
    <x v="0"/>
    <n v="39"/>
    <s v="month"/>
    <n v="91"/>
    <x v="3"/>
  </r>
  <r>
    <n v="154085972"/>
    <x v="71"/>
    <x v="217"/>
    <x v="0"/>
    <n v="39"/>
    <s v="month"/>
    <n v="22"/>
    <x v="3"/>
  </r>
  <r>
    <n v="162409676"/>
    <x v="72"/>
    <x v="0"/>
    <x v="0"/>
    <n v="39"/>
    <s v="month"/>
    <s v=""/>
    <x v="4"/>
  </r>
  <r>
    <n v="157438261"/>
    <x v="72"/>
    <x v="0"/>
    <x v="0"/>
    <n v="39"/>
    <s v="month"/>
    <s v=""/>
    <x v="4"/>
  </r>
  <r>
    <n v="132579012"/>
    <x v="72"/>
    <x v="218"/>
    <x v="0"/>
    <n v="39"/>
    <s v="month"/>
    <n v="120"/>
    <x v="4"/>
  </r>
  <r>
    <n v="129140042"/>
    <x v="72"/>
    <x v="219"/>
    <x v="0"/>
    <n v="39"/>
    <s v="month"/>
    <n v="87"/>
    <x v="4"/>
  </r>
  <r>
    <n v="147100996"/>
    <x v="72"/>
    <x v="25"/>
    <x v="0"/>
    <n v="39"/>
    <s v="month"/>
    <n v="62"/>
    <x v="4"/>
  </r>
  <r>
    <n v="158437198"/>
    <x v="72"/>
    <x v="208"/>
    <x v="0"/>
    <n v="39"/>
    <s v="month"/>
    <n v="132"/>
    <x v="4"/>
  </r>
  <r>
    <n v="162343403"/>
    <x v="72"/>
    <x v="220"/>
    <x v="0"/>
    <n v="39"/>
    <s v="month"/>
    <n v="122"/>
    <x v="4"/>
  </r>
  <r>
    <n v="162218672"/>
    <x v="72"/>
    <x v="162"/>
    <x v="0"/>
    <n v="39"/>
    <s v="month"/>
    <n v="115"/>
    <x v="4"/>
  </r>
  <r>
    <n v="120738319"/>
    <x v="72"/>
    <x v="145"/>
    <x v="0"/>
    <n v="39"/>
    <s v="month"/>
    <n v="140"/>
    <x v="4"/>
  </r>
  <r>
    <n v="162147786"/>
    <x v="72"/>
    <x v="122"/>
    <x v="0"/>
    <n v="39"/>
    <s v="month"/>
    <n v="151"/>
    <x v="4"/>
  </r>
  <r>
    <n v="153165084"/>
    <x v="72"/>
    <x v="35"/>
    <x v="0"/>
    <n v="39"/>
    <s v="month"/>
    <n v="86"/>
    <x v="4"/>
  </r>
  <r>
    <n v="161815335"/>
    <x v="72"/>
    <x v="26"/>
    <x v="0"/>
    <n v="39"/>
    <s v="month"/>
    <n v="97"/>
    <x v="4"/>
  </r>
  <r>
    <n v="162294529"/>
    <x v="72"/>
    <x v="201"/>
    <x v="0"/>
    <n v="39"/>
    <s v="month"/>
    <n v="85"/>
    <x v="4"/>
  </r>
  <r>
    <n v="162176080"/>
    <x v="72"/>
    <x v="221"/>
    <x v="0"/>
    <n v="39"/>
    <s v="month"/>
    <n v="83"/>
    <x v="4"/>
  </r>
  <r>
    <n v="162412232"/>
    <x v="72"/>
    <x v="97"/>
    <x v="0"/>
    <n v="39"/>
    <s v="month"/>
    <n v="37"/>
    <x v="4"/>
  </r>
  <r>
    <n v="158575772"/>
    <x v="72"/>
    <x v="213"/>
    <x v="0"/>
    <n v="39"/>
    <s v="month"/>
    <n v="32"/>
    <x v="4"/>
  </r>
  <r>
    <n v="162247173"/>
    <x v="72"/>
    <x v="60"/>
    <x v="0"/>
    <n v="39"/>
    <s v="month"/>
    <n v="27"/>
    <x v="4"/>
  </r>
  <r>
    <n v="153630282"/>
    <x v="72"/>
    <x v="86"/>
    <x v="0"/>
    <n v="39"/>
    <s v="month"/>
    <n v="24"/>
    <x v="4"/>
  </r>
  <r>
    <n v="156699431"/>
    <x v="72"/>
    <x v="6"/>
    <x v="0"/>
    <n v="39"/>
    <s v="month"/>
    <n v="9"/>
    <x v="4"/>
  </r>
  <r>
    <n v="148018000"/>
    <x v="72"/>
    <x v="222"/>
    <x v="0"/>
    <n v="39"/>
    <s v="month"/>
    <n v="260"/>
    <x v="4"/>
  </r>
  <r>
    <n v="161623906"/>
    <x v="73"/>
    <x v="0"/>
    <x v="0"/>
    <n v="39"/>
    <s v="month"/>
    <s v=""/>
    <x v="5"/>
  </r>
  <r>
    <n v="145664226"/>
    <x v="73"/>
    <x v="0"/>
    <x v="0"/>
    <n v="39"/>
    <s v="month"/>
    <s v=""/>
    <x v="5"/>
  </r>
  <r>
    <n v="162529715"/>
    <x v="73"/>
    <x v="223"/>
    <x v="0"/>
    <n v="39"/>
    <s v="month"/>
    <n v="127"/>
    <x v="5"/>
  </r>
  <r>
    <n v="162581284"/>
    <x v="73"/>
    <x v="60"/>
    <x v="0"/>
    <n v="39"/>
    <s v="month"/>
    <n v="26"/>
    <x v="5"/>
  </r>
  <r>
    <n v="152655443"/>
    <x v="73"/>
    <x v="194"/>
    <x v="0"/>
    <n v="39"/>
    <s v="month"/>
    <n v="70"/>
    <x v="5"/>
  </r>
  <r>
    <n v="162443327"/>
    <x v="73"/>
    <x v="224"/>
    <x v="0"/>
    <n v="39"/>
    <s v="month"/>
    <n v="58"/>
    <x v="5"/>
  </r>
  <r>
    <n v="148348600"/>
    <x v="73"/>
    <x v="207"/>
    <x v="0"/>
    <n v="39"/>
    <s v="month"/>
    <n v="28"/>
    <x v="5"/>
  </r>
  <r>
    <n v="162992590"/>
    <x v="74"/>
    <x v="0"/>
    <x v="0"/>
    <n v="39"/>
    <s v="month"/>
    <s v=""/>
    <x v="6"/>
  </r>
  <r>
    <n v="156633222"/>
    <x v="74"/>
    <x v="155"/>
    <x v="1"/>
    <n v="39"/>
    <s v="month"/>
    <n v="0"/>
    <x v="6"/>
  </r>
  <r>
    <n v="133595094"/>
    <x v="74"/>
    <x v="197"/>
    <x v="0"/>
    <n v="39"/>
    <s v="month"/>
    <n v="107"/>
    <x v="6"/>
  </r>
  <r>
    <n v="147770763"/>
    <x v="74"/>
    <x v="197"/>
    <x v="0"/>
    <n v="39"/>
    <s v="month"/>
    <n v="107"/>
    <x v="6"/>
  </r>
  <r>
    <n v="155370139"/>
    <x v="74"/>
    <x v="78"/>
    <x v="0"/>
    <n v="39"/>
    <s v="month"/>
    <n v="127"/>
    <x v="6"/>
  </r>
  <r>
    <n v="151890876"/>
    <x v="74"/>
    <x v="184"/>
    <x v="0"/>
    <n v="39"/>
    <s v="month"/>
    <n v="99"/>
    <x v="6"/>
  </r>
  <r>
    <n v="162920304"/>
    <x v="74"/>
    <x v="25"/>
    <x v="0"/>
    <n v="39"/>
    <s v="month"/>
    <n v="60"/>
    <x v="6"/>
  </r>
  <r>
    <n v="148838269"/>
    <x v="74"/>
    <x v="155"/>
    <x v="0"/>
    <n v="39"/>
    <s v="month"/>
    <n v="0"/>
    <x v="6"/>
  </r>
  <r>
    <n v="162913792"/>
    <x v="74"/>
    <x v="225"/>
    <x v="0"/>
    <n v="39"/>
    <s v="month"/>
    <n v="280"/>
    <x v="6"/>
  </r>
  <r>
    <n v="152316740"/>
    <x v="75"/>
    <x v="0"/>
    <x v="0"/>
    <n v="39"/>
    <s v="month"/>
    <s v=""/>
    <x v="0"/>
  </r>
  <r>
    <n v="135480868"/>
    <x v="75"/>
    <x v="134"/>
    <x v="0"/>
    <n v="39"/>
    <s v="month"/>
    <n v="70"/>
    <x v="0"/>
  </r>
  <r>
    <n v="136315690"/>
    <x v="75"/>
    <x v="202"/>
    <x v="0"/>
    <n v="39"/>
    <s v="month"/>
    <n v="99"/>
    <x v="0"/>
  </r>
  <r>
    <n v="163224262"/>
    <x v="75"/>
    <x v="153"/>
    <x v="0"/>
    <n v="39"/>
    <s v="month"/>
    <n v="87"/>
    <x v="0"/>
  </r>
  <r>
    <n v="163330072"/>
    <x v="75"/>
    <x v="194"/>
    <x v="0"/>
    <n v="39"/>
    <s v="month"/>
    <n v="68"/>
    <x v="0"/>
  </r>
  <r>
    <n v="134646164"/>
    <x v="75"/>
    <x v="61"/>
    <x v="0"/>
    <n v="39"/>
    <s v="month"/>
    <n v="37"/>
    <x v="0"/>
  </r>
  <r>
    <n v="163282336"/>
    <x v="75"/>
    <x v="195"/>
    <x v="0"/>
    <n v="39"/>
    <s v="month"/>
    <n v="266"/>
    <x v="0"/>
  </r>
  <r>
    <n v="162490128"/>
    <x v="76"/>
    <x v="0"/>
    <x v="0"/>
    <n v="39"/>
    <s v="month"/>
    <s v=""/>
    <x v="1"/>
  </r>
  <r>
    <n v="147122277"/>
    <x v="76"/>
    <x v="203"/>
    <x v="1"/>
    <n v="39"/>
    <s v="month"/>
    <n v="1"/>
    <x v="1"/>
  </r>
  <r>
    <n v="163623375"/>
    <x v="76"/>
    <x v="203"/>
    <x v="1"/>
    <n v="39"/>
    <s v="month"/>
    <n v="1"/>
    <x v="1"/>
  </r>
  <r>
    <n v="132918654"/>
    <x v="76"/>
    <x v="117"/>
    <x v="0"/>
    <n v="39"/>
    <s v="month"/>
    <n v="61"/>
    <x v="1"/>
  </r>
  <r>
    <n v="160601062"/>
    <x v="76"/>
    <x v="226"/>
    <x v="0"/>
    <n v="39"/>
    <s v="month"/>
    <n v="52"/>
    <x v="1"/>
  </r>
  <r>
    <n v="144573808"/>
    <x v="76"/>
    <x v="117"/>
    <x v="0"/>
    <n v="39"/>
    <s v="month"/>
    <n v="61"/>
    <x v="1"/>
  </r>
  <r>
    <n v="114435366"/>
    <x v="76"/>
    <x v="111"/>
    <x v="0"/>
    <n v="39"/>
    <s v="month"/>
    <n v="0"/>
    <x v="1"/>
  </r>
  <r>
    <n v="163399934"/>
    <x v="76"/>
    <x v="111"/>
    <x v="0"/>
    <n v="39"/>
    <s v="month"/>
    <n v="0"/>
    <x v="1"/>
  </r>
  <r>
    <n v="133599090"/>
    <x v="77"/>
    <x v="227"/>
    <x v="0"/>
    <n v="39"/>
    <s v="month"/>
    <n v="112"/>
    <x v="2"/>
  </r>
  <r>
    <n v="154767246"/>
    <x v="77"/>
    <x v="181"/>
    <x v="0"/>
    <n v="39"/>
    <s v="month"/>
    <n v="31"/>
    <x v="2"/>
  </r>
  <r>
    <n v="164085988"/>
    <x v="77"/>
    <x v="181"/>
    <x v="0"/>
    <n v="39"/>
    <s v="month"/>
    <n v="31"/>
    <x v="2"/>
  </r>
  <r>
    <n v="164255751"/>
    <x v="78"/>
    <x v="190"/>
    <x v="0"/>
    <n v="39"/>
    <s v="month"/>
    <n v="274"/>
    <x v="3"/>
  </r>
  <r>
    <n v="150663530"/>
    <x v="78"/>
    <x v="228"/>
    <x v="0"/>
    <n v="39"/>
    <s v="month"/>
    <n v="158"/>
    <x v="3"/>
  </r>
  <r>
    <n v="155333508"/>
    <x v="78"/>
    <x v="229"/>
    <x v="0"/>
    <n v="39"/>
    <s v="month"/>
    <n v="60"/>
    <x v="3"/>
  </r>
  <r>
    <n v="163178244"/>
    <x v="79"/>
    <x v="0"/>
    <x v="1"/>
    <n v="39"/>
    <s v="month"/>
    <s v=""/>
    <x v="4"/>
  </r>
  <r>
    <n v="130245484"/>
    <x v="79"/>
    <x v="230"/>
    <x v="0"/>
    <n v="39"/>
    <s v="month"/>
    <n v="91"/>
    <x v="4"/>
  </r>
  <r>
    <n v="164578320"/>
    <x v="79"/>
    <x v="97"/>
    <x v="0"/>
    <n v="39"/>
    <s v="month"/>
    <n v="30"/>
    <x v="4"/>
  </r>
  <r>
    <n v="164542692"/>
    <x v="79"/>
    <x v="118"/>
    <x v="0"/>
    <n v="39"/>
    <s v="month"/>
    <n v="37"/>
    <x v="4"/>
  </r>
  <r>
    <n v="164087136"/>
    <x v="80"/>
    <x v="0"/>
    <x v="0"/>
    <n v="39"/>
    <s v="month"/>
    <s v=""/>
    <x v="5"/>
  </r>
  <r>
    <n v="155414052"/>
    <x v="80"/>
    <x v="6"/>
    <x v="1"/>
    <n v="39"/>
    <s v="month"/>
    <n v="1"/>
    <x v="5"/>
  </r>
  <r>
    <n v="152253972"/>
    <x v="80"/>
    <x v="231"/>
    <x v="0"/>
    <n v="39"/>
    <s v="month"/>
    <n v="127"/>
    <x v="5"/>
  </r>
  <r>
    <n v="152754329"/>
    <x v="80"/>
    <x v="115"/>
    <x v="0"/>
    <n v="39"/>
    <s v="month"/>
    <n v="62"/>
    <x v="5"/>
  </r>
  <r>
    <n v="159724071"/>
    <x v="81"/>
    <x v="229"/>
    <x v="0"/>
    <n v="39"/>
    <s v="month"/>
    <n v="57"/>
    <x v="6"/>
  </r>
  <r>
    <n v="165164673"/>
    <x v="81"/>
    <x v="5"/>
    <x v="0"/>
    <n v="39"/>
    <s v="month"/>
    <n v="3"/>
    <x v="6"/>
  </r>
  <r>
    <n v="165529460"/>
    <x v="82"/>
    <x v="141"/>
    <x v="0"/>
    <n v="39"/>
    <s v="month"/>
    <n v="148"/>
    <x v="0"/>
  </r>
  <r>
    <n v="163362190"/>
    <x v="83"/>
    <x v="0"/>
    <x v="0"/>
    <n v="39"/>
    <s v="month"/>
    <s v=""/>
    <x v="1"/>
  </r>
  <r>
    <n v="155810350"/>
    <x v="83"/>
    <x v="80"/>
    <x v="0"/>
    <n v="39"/>
    <s v="month"/>
    <n v="27"/>
    <x v="1"/>
  </r>
  <r>
    <n v="161793136"/>
    <x v="83"/>
    <x v="232"/>
    <x v="0"/>
    <n v="39"/>
    <s v="month"/>
    <n v="200"/>
    <x v="1"/>
  </r>
  <r>
    <n v="159255776"/>
    <x v="83"/>
    <x v="233"/>
    <x v="0"/>
    <n v="39"/>
    <s v="month"/>
    <n v="116"/>
    <x v="1"/>
  </r>
  <r>
    <n v="165807144"/>
    <x v="83"/>
    <x v="214"/>
    <x v="0"/>
    <n v="39"/>
    <s v="month"/>
    <n v="68"/>
    <x v="1"/>
  </r>
  <r>
    <n v="165788743"/>
    <x v="83"/>
    <x v="198"/>
    <x v="0"/>
    <n v="39"/>
    <s v="month"/>
    <n v="85"/>
    <x v="1"/>
  </r>
  <r>
    <n v="162513776"/>
    <x v="83"/>
    <x v="143"/>
    <x v="0"/>
    <n v="39"/>
    <s v="month"/>
    <n v="66"/>
    <x v="1"/>
  </r>
  <r>
    <n v="161841028"/>
    <x v="83"/>
    <x v="84"/>
    <x v="0"/>
    <n v="39"/>
    <s v="month"/>
    <n v="61"/>
    <x v="1"/>
  </r>
  <r>
    <n v="160597612"/>
    <x v="83"/>
    <x v="60"/>
    <x v="0"/>
    <n v="39"/>
    <s v="month"/>
    <n v="16"/>
    <x v="1"/>
  </r>
  <r>
    <n v="165937140"/>
    <x v="84"/>
    <x v="234"/>
    <x v="1"/>
    <n v="39"/>
    <s v="month"/>
    <n v="1"/>
    <x v="2"/>
  </r>
  <r>
    <n v="165613975"/>
    <x v="84"/>
    <x v="235"/>
    <x v="0"/>
    <n v="39"/>
    <s v="month"/>
    <n v="162"/>
    <x v="2"/>
  </r>
  <r>
    <n v="164662173"/>
    <x v="84"/>
    <x v="134"/>
    <x v="0"/>
    <n v="39"/>
    <s v="month"/>
    <n v="61"/>
    <x v="2"/>
  </r>
  <r>
    <n v="162411394"/>
    <x v="84"/>
    <x v="166"/>
    <x v="0"/>
    <n v="39"/>
    <s v="month"/>
    <n v="39"/>
    <x v="2"/>
  </r>
  <r>
    <n v="121439836"/>
    <x v="85"/>
    <x v="0"/>
    <x v="0"/>
    <n v="39"/>
    <s v="month"/>
    <s v=""/>
    <x v="3"/>
  </r>
  <r>
    <n v="157353623"/>
    <x v="85"/>
    <x v="234"/>
    <x v="1"/>
    <n v="39"/>
    <s v="month"/>
    <n v="0"/>
    <x v="3"/>
  </r>
  <r>
    <n v="165953219"/>
    <x v="85"/>
    <x v="34"/>
    <x v="0"/>
    <n v="39"/>
    <s v="month"/>
    <n v="37"/>
    <x v="3"/>
  </r>
  <r>
    <n v="154710805"/>
    <x v="86"/>
    <x v="0"/>
    <x v="0"/>
    <n v="39"/>
    <s v="month"/>
    <s v=""/>
    <x v="4"/>
  </r>
  <r>
    <n v="164084318"/>
    <x v="86"/>
    <x v="0"/>
    <x v="0"/>
    <n v="39"/>
    <s v="month"/>
    <s v=""/>
    <x v="4"/>
  </r>
  <r>
    <n v="160043327"/>
    <x v="86"/>
    <x v="130"/>
    <x v="1"/>
    <n v="39"/>
    <s v="month"/>
    <n v="1"/>
    <x v="4"/>
  </r>
  <r>
    <n v="131166579"/>
    <x v="86"/>
    <x v="166"/>
    <x v="0"/>
    <n v="39"/>
    <s v="month"/>
    <n v="37"/>
    <x v="4"/>
  </r>
  <r>
    <n v="166109726"/>
    <x v="86"/>
    <x v="224"/>
    <x v="0"/>
    <n v="39"/>
    <s v="month"/>
    <n v="45"/>
    <x v="4"/>
  </r>
  <r>
    <n v="155446081"/>
    <x v="86"/>
    <x v="133"/>
    <x v="0"/>
    <n v="39"/>
    <s v="month"/>
    <n v="34"/>
    <x v="4"/>
  </r>
  <r>
    <n v="166342075"/>
    <x v="86"/>
    <x v="118"/>
    <x v="0"/>
    <n v="39"/>
    <s v="month"/>
    <n v="30"/>
    <x v="4"/>
  </r>
  <r>
    <n v="154063985"/>
    <x v="86"/>
    <x v="236"/>
    <x v="0"/>
    <n v="39"/>
    <s v="month"/>
    <n v="249"/>
    <x v="4"/>
  </r>
  <r>
    <n v="164141888"/>
    <x v="87"/>
    <x v="0"/>
    <x v="0"/>
    <n v="39"/>
    <s v="month"/>
    <s v=""/>
    <x v="5"/>
  </r>
  <r>
    <n v="165244044"/>
    <x v="87"/>
    <x v="237"/>
    <x v="0"/>
    <n v="39"/>
    <s v="month"/>
    <n v="167"/>
    <x v="5"/>
  </r>
  <r>
    <n v="136149379"/>
    <x v="87"/>
    <x v="146"/>
    <x v="0"/>
    <n v="39"/>
    <s v="month"/>
    <n v="124"/>
    <x v="5"/>
  </r>
  <r>
    <n v="158227426"/>
    <x v="87"/>
    <x v="50"/>
    <x v="0"/>
    <n v="39"/>
    <s v="month"/>
    <n v="92"/>
    <x v="5"/>
  </r>
  <r>
    <n v="166366125"/>
    <x v="87"/>
    <x v="162"/>
    <x v="0"/>
    <n v="39"/>
    <s v="month"/>
    <n v="100"/>
    <x v="5"/>
  </r>
  <r>
    <n v="166753946"/>
    <x v="87"/>
    <x v="221"/>
    <x v="0"/>
    <n v="39"/>
    <s v="month"/>
    <n v="68"/>
    <x v="5"/>
  </r>
  <r>
    <n v="157883110"/>
    <x v="87"/>
    <x v="115"/>
    <x v="0"/>
    <n v="39"/>
    <s v="month"/>
    <n v="55"/>
    <x v="5"/>
  </r>
  <r>
    <n v="138475621"/>
    <x v="87"/>
    <x v="164"/>
    <x v="0"/>
    <n v="39"/>
    <s v="month"/>
    <n v="16"/>
    <x v="5"/>
  </r>
  <r>
    <n v="166529240"/>
    <x v="88"/>
    <x v="0"/>
    <x v="0"/>
    <n v="39"/>
    <s v="month"/>
    <s v=""/>
    <x v="6"/>
  </r>
  <r>
    <n v="125828506"/>
    <x v="88"/>
    <x v="210"/>
    <x v="0"/>
    <n v="39"/>
    <s v="month"/>
    <n v="76"/>
    <x v="6"/>
  </r>
  <r>
    <n v="148869381"/>
    <x v="88"/>
    <x v="192"/>
    <x v="0"/>
    <n v="39"/>
    <s v="month"/>
    <n v="62"/>
    <x v="6"/>
  </r>
  <r>
    <n v="134825962"/>
    <x v="88"/>
    <x v="133"/>
    <x v="0"/>
    <n v="39"/>
    <s v="month"/>
    <n v="32"/>
    <x v="6"/>
  </r>
  <r>
    <n v="151163143"/>
    <x v="88"/>
    <x v="129"/>
    <x v="0"/>
    <n v="39"/>
    <s v="month"/>
    <n v="37"/>
    <x v="6"/>
  </r>
  <r>
    <n v="156111982"/>
    <x v="88"/>
    <x v="238"/>
    <x v="0"/>
    <n v="39"/>
    <s v="month"/>
    <n v="23"/>
    <x v="6"/>
  </r>
  <r>
    <n v="166546201"/>
    <x v="88"/>
    <x v="60"/>
    <x v="0"/>
    <n v="39"/>
    <s v="month"/>
    <n v="11"/>
    <x v="6"/>
  </r>
  <r>
    <n v="162126074"/>
    <x v="89"/>
    <x v="0"/>
    <x v="0"/>
    <n v="39"/>
    <s v="month"/>
    <s v=""/>
    <x v="0"/>
  </r>
  <r>
    <n v="162640429"/>
    <x v="89"/>
    <x v="0"/>
    <x v="0"/>
    <n v="39"/>
    <s v="month"/>
    <s v=""/>
    <x v="0"/>
  </r>
  <r>
    <n v="164413682"/>
    <x v="89"/>
    <x v="0"/>
    <x v="0"/>
    <n v="39"/>
    <s v="month"/>
    <s v=""/>
    <x v="0"/>
  </r>
  <r>
    <n v="162850052"/>
    <x v="89"/>
    <x v="0"/>
    <x v="0"/>
    <n v="39"/>
    <s v="month"/>
    <s v=""/>
    <x v="0"/>
  </r>
  <r>
    <n v="162177746"/>
    <x v="89"/>
    <x v="123"/>
    <x v="0"/>
    <n v="39"/>
    <s v="month"/>
    <n v="28"/>
    <x v="0"/>
  </r>
  <r>
    <n v="135587508"/>
    <x v="89"/>
    <x v="219"/>
    <x v="0"/>
    <n v="39"/>
    <s v="month"/>
    <n v="70"/>
    <x v="0"/>
  </r>
  <r>
    <n v="161428649"/>
    <x v="89"/>
    <x v="239"/>
    <x v="0"/>
    <n v="39"/>
    <s v="month"/>
    <n v="128"/>
    <x v="0"/>
  </r>
  <r>
    <n v="166977144"/>
    <x v="89"/>
    <x v="239"/>
    <x v="0"/>
    <n v="39"/>
    <s v="month"/>
    <n v="128"/>
    <x v="0"/>
  </r>
  <r>
    <n v="161640666"/>
    <x v="89"/>
    <x v="50"/>
    <x v="0"/>
    <n v="39"/>
    <s v="month"/>
    <n v="90"/>
    <x v="0"/>
  </r>
  <r>
    <n v="165932696"/>
    <x v="89"/>
    <x v="50"/>
    <x v="0"/>
    <n v="39"/>
    <s v="month"/>
    <n v="90"/>
    <x v="0"/>
  </r>
  <r>
    <n v="165204032"/>
    <x v="89"/>
    <x v="210"/>
    <x v="0"/>
    <n v="39"/>
    <s v="month"/>
    <n v="75"/>
    <x v="0"/>
  </r>
  <r>
    <n v="162469903"/>
    <x v="89"/>
    <x v="35"/>
    <x v="0"/>
    <n v="39"/>
    <s v="month"/>
    <n v="69"/>
    <x v="0"/>
  </r>
  <r>
    <n v="166515564"/>
    <x v="89"/>
    <x v="229"/>
    <x v="0"/>
    <n v="39"/>
    <s v="month"/>
    <n v="49"/>
    <x v="0"/>
  </r>
  <r>
    <n v="139323228"/>
    <x v="89"/>
    <x v="194"/>
    <x v="0"/>
    <n v="39"/>
    <s v="month"/>
    <n v="54"/>
    <x v="0"/>
  </r>
  <r>
    <n v="162569750"/>
    <x v="89"/>
    <x v="113"/>
    <x v="0"/>
    <n v="39"/>
    <s v="month"/>
    <n v="3"/>
    <x v="0"/>
  </r>
  <r>
    <n v="165959602"/>
    <x v="89"/>
    <x v="238"/>
    <x v="0"/>
    <n v="39"/>
    <s v="month"/>
    <n v="22"/>
    <x v="0"/>
  </r>
  <r>
    <n v="160968524"/>
    <x v="89"/>
    <x v="240"/>
    <x v="0"/>
    <n v="39"/>
    <s v="month"/>
    <n v="231"/>
    <x v="0"/>
  </r>
  <r>
    <n v="163258260"/>
    <x v="90"/>
    <x v="0"/>
    <x v="0"/>
    <n v="39"/>
    <s v="month"/>
    <s v=""/>
    <x v="1"/>
  </r>
  <r>
    <n v="167051046"/>
    <x v="90"/>
    <x v="0"/>
    <x v="0"/>
    <n v="39"/>
    <s v="month"/>
    <s v=""/>
    <x v="1"/>
  </r>
  <r>
    <n v="161182367"/>
    <x v="90"/>
    <x v="199"/>
    <x v="0"/>
    <n v="39"/>
    <s v="month"/>
    <n v="1"/>
    <x v="1"/>
  </r>
  <r>
    <n v="167292985"/>
    <x v="90"/>
    <x v="199"/>
    <x v="1"/>
    <n v="39"/>
    <s v="month"/>
    <n v="1"/>
    <x v="1"/>
  </r>
  <r>
    <n v="166183014"/>
    <x v="90"/>
    <x v="199"/>
    <x v="1"/>
    <n v="39"/>
    <s v="month"/>
    <n v="1"/>
    <x v="1"/>
  </r>
  <r>
    <n v="165143920"/>
    <x v="90"/>
    <x v="212"/>
    <x v="0"/>
    <n v="39"/>
    <s v="month"/>
    <n v="182"/>
    <x v="1"/>
  </r>
  <r>
    <n v="165958089"/>
    <x v="90"/>
    <x v="219"/>
    <x v="0"/>
    <n v="39"/>
    <s v="month"/>
    <n v="69"/>
    <x v="1"/>
  </r>
  <r>
    <n v="165431576"/>
    <x v="90"/>
    <x v="214"/>
    <x v="0"/>
    <n v="39"/>
    <s v="month"/>
    <n v="61"/>
    <x v="1"/>
  </r>
  <r>
    <n v="163708513"/>
    <x v="90"/>
    <x v="167"/>
    <x v="0"/>
    <n v="39"/>
    <s v="month"/>
    <n v="28"/>
    <x v="1"/>
  </r>
  <r>
    <n v="164521419"/>
    <x v="90"/>
    <x v="123"/>
    <x v="0"/>
    <n v="39"/>
    <s v="month"/>
    <n v="27"/>
    <x v="1"/>
  </r>
  <r>
    <n v="166257164"/>
    <x v="90"/>
    <x v="97"/>
    <x v="0"/>
    <n v="39"/>
    <s v="month"/>
    <n v="19"/>
    <x v="1"/>
  </r>
  <r>
    <n v="121348156"/>
    <x v="90"/>
    <x v="100"/>
    <x v="0"/>
    <n v="39"/>
    <s v="month"/>
    <n v="4"/>
    <x v="1"/>
  </r>
  <r>
    <n v="167280894"/>
    <x v="90"/>
    <x v="241"/>
    <x v="0"/>
    <n v="39"/>
    <s v="month"/>
    <n v="216"/>
    <x v="1"/>
  </r>
  <r>
    <n v="160980795"/>
    <x v="91"/>
    <x v="0"/>
    <x v="0"/>
    <n v="39"/>
    <s v="month"/>
    <s v=""/>
    <x v="2"/>
  </r>
  <r>
    <n v="167544686"/>
    <x v="91"/>
    <x v="0"/>
    <x v="0"/>
    <n v="39"/>
    <s v="month"/>
    <s v=""/>
    <x v="2"/>
  </r>
  <r>
    <n v="161968719"/>
    <x v="91"/>
    <x v="0"/>
    <x v="0"/>
    <n v="39"/>
    <s v="month"/>
    <s v=""/>
    <x v="2"/>
  </r>
  <r>
    <n v="159070152"/>
    <x v="91"/>
    <x v="0"/>
    <x v="0"/>
    <n v="39"/>
    <s v="month"/>
    <s v=""/>
    <x v="2"/>
  </r>
  <r>
    <n v="167445788"/>
    <x v="91"/>
    <x v="113"/>
    <x v="1"/>
    <n v="39"/>
    <s v="month"/>
    <n v="1"/>
    <x v="2"/>
  </r>
  <r>
    <n v="167441263"/>
    <x v="91"/>
    <x v="157"/>
    <x v="0"/>
    <n v="39"/>
    <s v="month"/>
    <n v="189"/>
    <x v="2"/>
  </r>
  <r>
    <n v="167586100"/>
    <x v="91"/>
    <x v="161"/>
    <x v="0"/>
    <n v="39"/>
    <s v="month"/>
    <n v="89"/>
    <x v="2"/>
  </r>
  <r>
    <n v="139789436"/>
    <x v="91"/>
    <x v="242"/>
    <x v="0"/>
    <n v="39"/>
    <s v="month"/>
    <n v="57"/>
    <x v="2"/>
  </r>
  <r>
    <n v="116319450"/>
    <x v="92"/>
    <x v="185"/>
    <x v="0"/>
    <n v="39"/>
    <s v="month"/>
    <n v="136"/>
    <x v="3"/>
  </r>
  <r>
    <n v="162939264"/>
    <x v="92"/>
    <x v="243"/>
    <x v="0"/>
    <n v="39"/>
    <s v="month"/>
    <n v="151"/>
    <x v="3"/>
  </r>
  <r>
    <n v="167711417"/>
    <x v="92"/>
    <x v="120"/>
    <x v="0"/>
    <n v="39"/>
    <s v="month"/>
    <n v="111"/>
    <x v="3"/>
  </r>
  <r>
    <n v="157381517"/>
    <x v="93"/>
    <x v="0"/>
    <x v="0"/>
    <n v="39"/>
    <s v="month"/>
    <s v=""/>
    <x v="4"/>
  </r>
  <r>
    <n v="162912102"/>
    <x v="93"/>
    <x v="100"/>
    <x v="0"/>
    <n v="39"/>
    <s v="month"/>
    <n v="1"/>
    <x v="4"/>
  </r>
  <r>
    <n v="167833210"/>
    <x v="93"/>
    <x v="244"/>
    <x v="0"/>
    <n v="39"/>
    <s v="month"/>
    <n v="210"/>
    <x v="4"/>
  </r>
  <r>
    <n v="165676999"/>
    <x v="93"/>
    <x v="221"/>
    <x v="0"/>
    <n v="39"/>
    <s v="month"/>
    <n v="62"/>
    <x v="4"/>
  </r>
  <r>
    <n v="167253106"/>
    <x v="93"/>
    <x v="136"/>
    <x v="0"/>
    <n v="39"/>
    <s v="month"/>
    <n v="63"/>
    <x v="4"/>
  </r>
  <r>
    <n v="168022972"/>
    <x v="93"/>
    <x v="245"/>
    <x v="0"/>
    <n v="39"/>
    <s v="month"/>
    <n v="39"/>
    <x v="4"/>
  </r>
  <r>
    <n v="167315920"/>
    <x v="93"/>
    <x v="79"/>
    <x v="0"/>
    <n v="39"/>
    <s v="month"/>
    <n v="31"/>
    <x v="4"/>
  </r>
  <r>
    <n v="167928962"/>
    <x v="93"/>
    <x v="123"/>
    <x v="0"/>
    <n v="39"/>
    <s v="month"/>
    <n v="24"/>
    <x v="4"/>
  </r>
  <r>
    <n v="166211741"/>
    <x v="94"/>
    <x v="246"/>
    <x v="0"/>
    <n v="39"/>
    <s v="month"/>
    <n v="126"/>
    <x v="5"/>
  </r>
  <r>
    <n v="161450418"/>
    <x v="94"/>
    <x v="243"/>
    <x v="0"/>
    <n v="39"/>
    <s v="month"/>
    <n v="149"/>
    <x v="5"/>
  </r>
  <r>
    <n v="144961802"/>
    <x v="94"/>
    <x v="161"/>
    <x v="0"/>
    <n v="39"/>
    <s v="month"/>
    <n v="86"/>
    <x v="5"/>
  </r>
  <r>
    <n v="168137404"/>
    <x v="94"/>
    <x v="214"/>
    <x v="0"/>
    <n v="39"/>
    <s v="month"/>
    <n v="57"/>
    <x v="5"/>
  </r>
  <r>
    <n v="153441732"/>
    <x v="94"/>
    <x v="206"/>
    <x v="0"/>
    <n v="39"/>
    <s v="month"/>
    <n v="69"/>
    <x v="5"/>
  </r>
  <r>
    <n v="167649041"/>
    <x v="94"/>
    <x v="192"/>
    <x v="0"/>
    <n v="39"/>
    <s v="month"/>
    <n v="56"/>
    <x v="5"/>
  </r>
  <r>
    <n v="168089746"/>
    <x v="94"/>
    <x v="245"/>
    <x v="0"/>
    <n v="39"/>
    <s v="month"/>
    <n v="38"/>
    <x v="5"/>
  </r>
  <r>
    <n v="158177274"/>
    <x v="94"/>
    <x v="134"/>
    <x v="0"/>
    <n v="39"/>
    <s v="month"/>
    <n v="51"/>
    <x v="5"/>
  </r>
  <r>
    <n v="168061628"/>
    <x v="94"/>
    <x v="245"/>
    <x v="0"/>
    <n v="39"/>
    <s v="month"/>
    <n v="38"/>
    <x v="5"/>
  </r>
  <r>
    <n v="168436401"/>
    <x v="95"/>
    <x v="0"/>
    <x v="0"/>
    <n v="39"/>
    <s v="month"/>
    <s v=""/>
    <x v="6"/>
  </r>
  <r>
    <n v="126770376"/>
    <x v="95"/>
    <x v="183"/>
    <x v="0"/>
    <n v="39"/>
    <s v="month"/>
    <n v="26"/>
    <x v="6"/>
  </r>
  <r>
    <n v="153468957"/>
    <x v="95"/>
    <x v="210"/>
    <x v="0"/>
    <n v="39"/>
    <s v="month"/>
    <n v="69"/>
    <x v="6"/>
  </r>
  <r>
    <n v="168336474"/>
    <x v="95"/>
    <x v="188"/>
    <x v="0"/>
    <n v="39"/>
    <s v="month"/>
    <n v="82"/>
    <x v="6"/>
  </r>
  <r>
    <n v="166929423"/>
    <x v="95"/>
    <x v="118"/>
    <x v="0"/>
    <n v="39"/>
    <s v="month"/>
    <n v="21"/>
    <x v="6"/>
  </r>
  <r>
    <n v="163990458"/>
    <x v="95"/>
    <x v="80"/>
    <x v="0"/>
    <n v="39"/>
    <s v="month"/>
    <n v="15"/>
    <x v="6"/>
  </r>
  <r>
    <n v="166411463"/>
    <x v="96"/>
    <x v="0"/>
    <x v="0"/>
    <n v="39"/>
    <s v="month"/>
    <s v=""/>
    <x v="0"/>
  </r>
  <r>
    <n v="168433088"/>
    <x v="96"/>
    <x v="0"/>
    <x v="0"/>
    <n v="39"/>
    <s v="month"/>
    <s v=""/>
    <x v="0"/>
  </r>
  <r>
    <n v="155426075"/>
    <x v="96"/>
    <x v="0"/>
    <x v="0"/>
    <n v="39"/>
    <s v="month"/>
    <s v=""/>
    <x v="0"/>
  </r>
  <r>
    <n v="168555694"/>
    <x v="96"/>
    <x v="11"/>
    <x v="1"/>
    <n v="39"/>
    <s v="month"/>
    <n v="1"/>
    <x v="0"/>
  </r>
  <r>
    <n v="162912102"/>
    <x v="96"/>
    <x v="237"/>
    <x v="0"/>
    <n v="39"/>
    <s v="month"/>
    <n v="158"/>
    <x v="0"/>
  </r>
  <r>
    <n v="168471192"/>
    <x v="96"/>
    <x v="247"/>
    <x v="0"/>
    <n v="39"/>
    <s v="month"/>
    <n v="57"/>
    <x v="0"/>
  </r>
  <r>
    <n v="168825734"/>
    <x v="96"/>
    <x v="25"/>
    <x v="0"/>
    <n v="39"/>
    <s v="month"/>
    <n v="38"/>
    <x v="0"/>
  </r>
  <r>
    <n v="163852568"/>
    <x v="96"/>
    <x v="36"/>
    <x v="0"/>
    <n v="39"/>
    <s v="month"/>
    <n v="4"/>
    <x v="0"/>
  </r>
  <r>
    <n v="168460834"/>
    <x v="96"/>
    <x v="163"/>
    <x v="0"/>
    <n v="39"/>
    <s v="month"/>
    <n v="19"/>
    <x v="0"/>
  </r>
  <r>
    <n v="169085351"/>
    <x v="97"/>
    <x v="209"/>
    <x v="0"/>
    <n v="39"/>
    <s v="month"/>
    <n v="208"/>
    <x v="1"/>
  </r>
  <r>
    <n v="168456070"/>
    <x v="97"/>
    <x v="248"/>
    <x v="0"/>
    <n v="39"/>
    <s v="month"/>
    <n v="134"/>
    <x v="1"/>
  </r>
  <r>
    <n v="168900021"/>
    <x v="97"/>
    <x v="136"/>
    <x v="0"/>
    <n v="39"/>
    <s v="month"/>
    <n v="59"/>
    <x v="1"/>
  </r>
  <r>
    <n v="169113748"/>
    <x v="97"/>
    <x v="245"/>
    <x v="0"/>
    <n v="39"/>
    <s v="month"/>
    <n v="35"/>
    <x v="1"/>
  </r>
  <r>
    <n v="162193491"/>
    <x v="97"/>
    <x v="139"/>
    <x v="0"/>
    <n v="39"/>
    <s v="month"/>
    <n v="42"/>
    <x v="1"/>
  </r>
  <r>
    <n v="167761722"/>
    <x v="97"/>
    <x v="249"/>
    <x v="0"/>
    <n v="39"/>
    <s v="month"/>
    <n v="219"/>
    <x v="1"/>
  </r>
  <r>
    <n v="169244937"/>
    <x v="98"/>
    <x v="250"/>
    <x v="0"/>
    <n v="39"/>
    <s v="month"/>
    <n v="84"/>
    <x v="2"/>
  </r>
  <r>
    <n v="167923504"/>
    <x v="98"/>
    <x v="35"/>
    <x v="0"/>
    <n v="39"/>
    <s v="month"/>
    <n v="60"/>
    <x v="2"/>
  </r>
  <r>
    <n v="167459469"/>
    <x v="98"/>
    <x v="83"/>
    <x v="0"/>
    <n v="39"/>
    <s v="month"/>
    <n v="35"/>
    <x v="2"/>
  </r>
  <r>
    <n v="123169152"/>
    <x v="98"/>
    <x v="34"/>
    <x v="0"/>
    <n v="39"/>
    <s v="month"/>
    <n v="24"/>
    <x v="2"/>
  </r>
  <r>
    <n v="153157541"/>
    <x v="99"/>
    <x v="0"/>
    <x v="0"/>
    <n v="39"/>
    <s v="month"/>
    <s v=""/>
    <x v="3"/>
  </r>
  <r>
    <n v="169133180"/>
    <x v="99"/>
    <x v="0"/>
    <x v="0"/>
    <n v="39"/>
    <s v="month"/>
    <s v=""/>
    <x v="3"/>
  </r>
  <r>
    <n v="129447970"/>
    <x v="99"/>
    <x v="36"/>
    <x v="0"/>
    <n v="39"/>
    <s v="month"/>
    <n v="1"/>
    <x v="3"/>
  </r>
  <r>
    <n v="169388365"/>
    <x v="99"/>
    <x v="180"/>
    <x v="0"/>
    <n v="39"/>
    <s v="month"/>
    <n v="189"/>
    <x v="3"/>
  </r>
  <r>
    <n v="130872019"/>
    <x v="99"/>
    <x v="246"/>
    <x v="0"/>
    <n v="39"/>
    <s v="month"/>
    <n v="121"/>
    <x v="3"/>
  </r>
  <r>
    <n v="167674086"/>
    <x v="99"/>
    <x v="251"/>
    <x v="0"/>
    <n v="39"/>
    <s v="month"/>
    <n v="141"/>
    <x v="3"/>
  </r>
  <r>
    <n v="169590994"/>
    <x v="99"/>
    <x v="179"/>
    <x v="0"/>
    <n v="39"/>
    <s v="month"/>
    <n v="77"/>
    <x v="3"/>
  </r>
  <r>
    <n v="166199181"/>
    <x v="99"/>
    <x v="117"/>
    <x v="0"/>
    <n v="39"/>
    <s v="month"/>
    <n v="38"/>
    <x v="3"/>
  </r>
  <r>
    <n v="169895510"/>
    <x v="100"/>
    <x v="0"/>
    <x v="0"/>
    <n v="39"/>
    <s v="month"/>
    <s v=""/>
    <x v="4"/>
  </r>
  <r>
    <n v="169837410"/>
    <x v="100"/>
    <x v="0"/>
    <x v="0"/>
    <n v="39"/>
    <s v="month"/>
    <s v=""/>
    <x v="4"/>
  </r>
  <r>
    <n v="169854397"/>
    <x v="100"/>
    <x v="0"/>
    <x v="1"/>
    <n v="39"/>
    <s v="month"/>
    <s v=""/>
    <x v="4"/>
  </r>
  <r>
    <n v="145987169"/>
    <x v="100"/>
    <x v="175"/>
    <x v="0"/>
    <n v="39"/>
    <s v="month"/>
    <n v="46"/>
    <x v="4"/>
  </r>
  <r>
    <n v="169915574"/>
    <x v="100"/>
    <x v="32"/>
    <x v="0"/>
    <n v="39"/>
    <s v="month"/>
    <n v="91"/>
    <x v="4"/>
  </r>
  <r>
    <n v="164632485"/>
    <x v="100"/>
    <x v="191"/>
    <x v="0"/>
    <n v="39"/>
    <s v="month"/>
    <n v="85"/>
    <x v="4"/>
  </r>
  <r>
    <n v="169830063"/>
    <x v="100"/>
    <x v="143"/>
    <x v="0"/>
    <n v="39"/>
    <s v="month"/>
    <n v="49"/>
    <x v="4"/>
  </r>
  <r>
    <n v="162624984"/>
    <x v="100"/>
    <x v="115"/>
    <x v="0"/>
    <n v="39"/>
    <s v="month"/>
    <n v="42"/>
    <x v="4"/>
  </r>
  <r>
    <n v="169020452"/>
    <x v="100"/>
    <x v="252"/>
    <x v="0"/>
    <n v="39"/>
    <s v="month"/>
    <n v="240"/>
    <x v="4"/>
  </r>
  <r>
    <n v="170037760"/>
    <x v="101"/>
    <x v="0"/>
    <x v="0"/>
    <n v="39"/>
    <s v="month"/>
    <s v=""/>
    <x v="5"/>
  </r>
  <r>
    <n v="116060198"/>
    <x v="101"/>
    <x v="253"/>
    <x v="0"/>
    <n v="39"/>
    <s v="month"/>
    <n v="97"/>
    <x v="5"/>
  </r>
  <r>
    <n v="129798657"/>
    <x v="101"/>
    <x v="32"/>
    <x v="0"/>
    <n v="39"/>
    <s v="month"/>
    <n v="90"/>
    <x v="5"/>
  </r>
  <r>
    <n v="170426615"/>
    <x v="101"/>
    <x v="206"/>
    <x v="0"/>
    <n v="39"/>
    <s v="month"/>
    <n v="62"/>
    <x v="5"/>
  </r>
  <r>
    <n v="161574018"/>
    <x v="101"/>
    <x v="56"/>
    <x v="0"/>
    <n v="39"/>
    <s v="month"/>
    <n v="70"/>
    <x v="5"/>
  </r>
  <r>
    <n v="160272364"/>
    <x v="102"/>
    <x v="0"/>
    <x v="0"/>
    <n v="39"/>
    <s v="month"/>
    <s v=""/>
    <x v="6"/>
  </r>
  <r>
    <n v="144938943"/>
    <x v="102"/>
    <x v="0"/>
    <x v="1"/>
    <n v="39"/>
    <s v="month"/>
    <s v=""/>
    <x v="6"/>
  </r>
  <r>
    <n v="170004555"/>
    <x v="102"/>
    <x v="254"/>
    <x v="0"/>
    <n v="39"/>
    <s v="month"/>
    <n v="59"/>
    <x v="6"/>
  </r>
  <r>
    <n v="167673987"/>
    <x v="102"/>
    <x v="56"/>
    <x v="0"/>
    <n v="39"/>
    <s v="month"/>
    <n v="69"/>
    <x v="6"/>
  </r>
  <r>
    <n v="154448870"/>
    <x v="102"/>
    <x v="183"/>
    <x v="0"/>
    <n v="39"/>
    <s v="month"/>
    <n v="19"/>
    <x v="6"/>
  </r>
  <r>
    <n v="153508650"/>
    <x v="102"/>
    <x v="192"/>
    <x v="0"/>
    <n v="39"/>
    <s v="month"/>
    <n v="48"/>
    <x v="6"/>
  </r>
  <r>
    <n v="156521981"/>
    <x v="102"/>
    <x v="83"/>
    <x v="0"/>
    <n v="39"/>
    <s v="month"/>
    <n v="31"/>
    <x v="6"/>
  </r>
  <r>
    <n v="170897520"/>
    <x v="102"/>
    <x v="255"/>
    <x v="0"/>
    <n v="39"/>
    <s v="month"/>
    <n v="202"/>
    <x v="6"/>
  </r>
  <r>
    <n v="167076396"/>
    <x v="102"/>
    <x v="236"/>
    <x v="0"/>
    <n v="39"/>
    <s v="month"/>
    <n v="233"/>
    <x v="6"/>
  </r>
  <r>
    <n v="170968987"/>
    <x v="103"/>
    <x v="0"/>
    <x v="0"/>
    <n v="39"/>
    <s v="month"/>
    <s v=""/>
    <x v="0"/>
  </r>
  <r>
    <n v="170154956"/>
    <x v="103"/>
    <x v="256"/>
    <x v="0"/>
    <n v="39"/>
    <s v="month"/>
    <n v="124"/>
    <x v="0"/>
  </r>
  <r>
    <n v="170976924"/>
    <x v="103"/>
    <x v="159"/>
    <x v="0"/>
    <n v="39"/>
    <s v="month"/>
    <n v="166"/>
    <x v="0"/>
  </r>
  <r>
    <n v="171090027"/>
    <x v="103"/>
    <x v="218"/>
    <x v="0"/>
    <n v="39"/>
    <s v="month"/>
    <n v="89"/>
    <x v="0"/>
  </r>
  <r>
    <n v="167135160"/>
    <x v="103"/>
    <x v="117"/>
    <x v="0"/>
    <n v="39"/>
    <s v="month"/>
    <n v="34"/>
    <x v="0"/>
  </r>
  <r>
    <n v="171339244"/>
    <x v="103"/>
    <x v="164"/>
    <x v="0"/>
    <n v="39"/>
    <s v="month"/>
    <n v="0"/>
    <x v="0"/>
  </r>
  <r>
    <n v="169285280"/>
    <x v="104"/>
    <x v="92"/>
    <x v="1"/>
    <n v="39"/>
    <s v="month"/>
    <n v="1"/>
    <x v="1"/>
  </r>
  <r>
    <n v="137315832"/>
    <x v="104"/>
    <x v="78"/>
    <x v="0"/>
    <n v="39"/>
    <s v="month"/>
    <n v="97"/>
    <x v="1"/>
  </r>
  <r>
    <n v="171286538"/>
    <x v="104"/>
    <x v="257"/>
    <x v="0"/>
    <n v="39"/>
    <s v="month"/>
    <n v="118"/>
    <x v="1"/>
  </r>
  <r>
    <n v="154531106"/>
    <x v="104"/>
    <x v="122"/>
    <x v="0"/>
    <n v="39"/>
    <s v="month"/>
    <n v="119"/>
    <x v="1"/>
  </r>
  <r>
    <n v="169998988"/>
    <x v="104"/>
    <x v="258"/>
    <x v="0"/>
    <n v="39"/>
    <s v="month"/>
    <n v="152"/>
    <x v="1"/>
  </r>
  <r>
    <n v="171860036"/>
    <x v="104"/>
    <x v="259"/>
    <x v="0"/>
    <n v="39"/>
    <s v="month"/>
    <n v="92"/>
    <x v="1"/>
  </r>
  <r>
    <n v="169906376"/>
    <x v="104"/>
    <x v="206"/>
    <x v="0"/>
    <n v="39"/>
    <s v="month"/>
    <n v="59"/>
    <x v="1"/>
  </r>
  <r>
    <n v="171681744"/>
    <x v="104"/>
    <x v="46"/>
    <x v="0"/>
    <n v="39"/>
    <s v="month"/>
    <n v="68"/>
    <x v="1"/>
  </r>
  <r>
    <n v="171375108"/>
    <x v="104"/>
    <x v="104"/>
    <x v="0"/>
    <n v="39"/>
    <s v="month"/>
    <n v="31"/>
    <x v="1"/>
  </r>
  <r>
    <n v="166358674"/>
    <x v="104"/>
    <x v="115"/>
    <x v="0"/>
    <n v="39"/>
    <s v="month"/>
    <n v="38"/>
    <x v="1"/>
  </r>
  <r>
    <n v="168696864"/>
    <x v="105"/>
    <x v="154"/>
    <x v="0"/>
    <n v="39"/>
    <s v="month"/>
    <n v="1"/>
    <x v="2"/>
  </r>
  <r>
    <n v="149303812"/>
    <x v="105"/>
    <x v="230"/>
    <x v="0"/>
    <n v="39"/>
    <s v="month"/>
    <n v="65"/>
    <x v="2"/>
  </r>
  <r>
    <n v="145969392"/>
    <x v="105"/>
    <x v="214"/>
    <x v="0"/>
    <n v="39"/>
    <s v="month"/>
    <n v="46"/>
    <x v="2"/>
  </r>
  <r>
    <n v="169399624"/>
    <x v="105"/>
    <x v="91"/>
    <x v="0"/>
    <n v="39"/>
    <s v="month"/>
    <n v="55"/>
    <x v="2"/>
  </r>
  <r>
    <n v="162423643"/>
    <x v="105"/>
    <x v="92"/>
    <x v="0"/>
    <n v="39"/>
    <s v="month"/>
    <n v="0"/>
    <x v="2"/>
  </r>
  <r>
    <n v="171131528"/>
    <x v="106"/>
    <x v="0"/>
    <x v="0"/>
    <n v="39"/>
    <s v="month"/>
    <s v=""/>
    <x v="3"/>
  </r>
  <r>
    <n v="172370430"/>
    <x v="106"/>
    <x v="260"/>
    <x v="1"/>
    <n v="39"/>
    <s v="month"/>
    <n v="1"/>
    <x v="3"/>
  </r>
  <r>
    <n v="122646091"/>
    <x v="106"/>
    <x v="233"/>
    <x v="0"/>
    <n v="39"/>
    <s v="month"/>
    <n v="93"/>
    <x v="3"/>
  </r>
  <r>
    <n v="171688728"/>
    <x v="106"/>
    <x v="245"/>
    <x v="0"/>
    <n v="39"/>
    <s v="month"/>
    <n v="26"/>
    <x v="3"/>
  </r>
  <r>
    <n v="173037778"/>
    <x v="106"/>
    <x v="175"/>
    <x v="0"/>
    <n v="39"/>
    <s v="month"/>
    <n v="40"/>
    <x v="3"/>
  </r>
  <r>
    <n v="139247241"/>
    <x v="106"/>
    <x v="261"/>
    <x v="0"/>
    <n v="39"/>
    <s v="month"/>
    <n v="20"/>
    <x v="3"/>
  </r>
  <r>
    <n v="138235674"/>
    <x v="107"/>
    <x v="0"/>
    <x v="0"/>
    <n v="39"/>
    <s v="month"/>
    <s v=""/>
    <x v="4"/>
  </r>
  <r>
    <n v="173832314"/>
    <x v="107"/>
    <x v="179"/>
    <x v="0"/>
    <n v="39"/>
    <s v="month"/>
    <n v="69"/>
    <x v="4"/>
  </r>
  <r>
    <n v="170752898"/>
    <x v="107"/>
    <x v="184"/>
    <x v="0"/>
    <n v="39"/>
    <s v="month"/>
    <n v="66"/>
    <x v="4"/>
  </r>
  <r>
    <n v="172517999"/>
    <x v="107"/>
    <x v="134"/>
    <x v="0"/>
    <n v="39"/>
    <s v="month"/>
    <n v="38"/>
    <x v="4"/>
  </r>
  <r>
    <n v="150779000"/>
    <x v="107"/>
    <x v="183"/>
    <x v="0"/>
    <n v="39"/>
    <s v="month"/>
    <n v="14"/>
    <x v="4"/>
  </r>
  <r>
    <n v="171304646"/>
    <x v="107"/>
    <x v="262"/>
    <x v="0"/>
    <n v="39"/>
    <s v="month"/>
    <n v="250"/>
    <x v="4"/>
  </r>
  <r>
    <n v="168696864"/>
    <x v="108"/>
    <x v="0"/>
    <x v="0"/>
    <n v="39"/>
    <s v="month"/>
    <s v=""/>
    <x v="5"/>
  </r>
  <r>
    <n v="174268714"/>
    <x v="108"/>
    <x v="0"/>
    <x v="0"/>
    <n v="39"/>
    <s v="month"/>
    <s v=""/>
    <x v="5"/>
  </r>
  <r>
    <n v="147022677"/>
    <x v="108"/>
    <x v="0"/>
    <x v="0"/>
    <n v="39"/>
    <s v="month"/>
    <s v=""/>
    <x v="5"/>
  </r>
  <r>
    <n v="156864062"/>
    <x v="108"/>
    <x v="97"/>
    <x v="1"/>
    <n v="39"/>
    <s v="month"/>
    <n v="1"/>
    <x v="5"/>
  </r>
  <r>
    <n v="123065349"/>
    <x v="108"/>
    <x v="95"/>
    <x v="0"/>
    <n v="39"/>
    <s v="month"/>
    <n v="97"/>
    <x v="5"/>
  </r>
  <r>
    <n v="174258180"/>
    <x v="108"/>
    <x v="263"/>
    <x v="0"/>
    <n v="39"/>
    <s v="month"/>
    <n v="130"/>
    <x v="5"/>
  </r>
  <r>
    <n v="174269667"/>
    <x v="108"/>
    <x v="197"/>
    <x v="0"/>
    <n v="39"/>
    <s v="month"/>
    <n v="73"/>
    <x v="5"/>
  </r>
  <r>
    <n v="171889946"/>
    <x v="108"/>
    <x v="91"/>
    <x v="0"/>
    <n v="39"/>
    <s v="month"/>
    <n v="52"/>
    <x v="5"/>
  </r>
  <r>
    <n v="171613468"/>
    <x v="108"/>
    <x v="46"/>
    <x v="0"/>
    <n v="39"/>
    <s v="month"/>
    <n v="64"/>
    <x v="5"/>
  </r>
  <r>
    <n v="122922737"/>
    <x v="109"/>
    <x v="0"/>
    <x v="0"/>
    <n v="39"/>
    <s v="month"/>
    <s v=""/>
    <x v="6"/>
  </r>
  <r>
    <n v="174646924"/>
    <x v="109"/>
    <x v="125"/>
    <x v="0"/>
    <n v="39"/>
    <s v="month"/>
    <n v="97"/>
    <x v="6"/>
  </r>
  <r>
    <n v="174264280"/>
    <x v="109"/>
    <x v="125"/>
    <x v="0"/>
    <n v="39"/>
    <s v="month"/>
    <n v="97"/>
    <x v="6"/>
  </r>
  <r>
    <n v="174609120"/>
    <x v="109"/>
    <x v="259"/>
    <x v="0"/>
    <n v="39"/>
    <s v="month"/>
    <n v="87"/>
    <x v="6"/>
  </r>
  <r>
    <n v="174158995"/>
    <x v="109"/>
    <x v="264"/>
    <x v="0"/>
    <n v="39"/>
    <s v="month"/>
    <n v="66"/>
    <x v="6"/>
  </r>
  <r>
    <n v="174484311"/>
    <x v="109"/>
    <x v="264"/>
    <x v="0"/>
    <n v="39"/>
    <s v="month"/>
    <n v="66"/>
    <x v="6"/>
  </r>
  <r>
    <n v="169556175"/>
    <x v="109"/>
    <x v="172"/>
    <x v="0"/>
    <n v="39"/>
    <s v="month"/>
    <n v="32"/>
    <x v="6"/>
  </r>
  <r>
    <n v="153122282"/>
    <x v="109"/>
    <x v="97"/>
    <x v="0"/>
    <n v="39"/>
    <s v="month"/>
    <n v="0"/>
    <x v="6"/>
  </r>
  <r>
    <n v="174576654"/>
    <x v="109"/>
    <x v="160"/>
    <x v="0"/>
    <n v="39"/>
    <s v="month"/>
    <n v="198"/>
    <x v="6"/>
  </r>
  <r>
    <n v="154711077"/>
    <x v="110"/>
    <x v="0"/>
    <x v="0"/>
    <n v="39"/>
    <s v="month"/>
    <s v=""/>
    <x v="0"/>
  </r>
  <r>
    <n v="163619032"/>
    <x v="110"/>
    <x v="0"/>
    <x v="0"/>
    <n v="39"/>
    <s v="month"/>
    <s v=""/>
    <x v="0"/>
  </r>
  <r>
    <n v="171001864"/>
    <x v="110"/>
    <x v="0"/>
    <x v="0"/>
    <n v="39"/>
    <s v="month"/>
    <s v=""/>
    <x v="0"/>
  </r>
  <r>
    <n v="151890014"/>
    <x v="110"/>
    <x v="0"/>
    <x v="0"/>
    <n v="39"/>
    <s v="month"/>
    <s v=""/>
    <x v="0"/>
  </r>
  <r>
    <n v="158575772"/>
    <x v="110"/>
    <x v="238"/>
    <x v="0"/>
    <n v="39"/>
    <s v="month"/>
    <n v="1"/>
    <x v="0"/>
  </r>
  <r>
    <n v="164462665"/>
    <x v="110"/>
    <x v="238"/>
    <x v="1"/>
    <n v="39"/>
    <s v="month"/>
    <n v="1"/>
    <x v="0"/>
  </r>
  <r>
    <n v="121830768"/>
    <x v="110"/>
    <x v="194"/>
    <x v="0"/>
    <n v="39"/>
    <s v="month"/>
    <n v="33"/>
    <x v="0"/>
  </r>
  <r>
    <n v="174605216"/>
    <x v="110"/>
    <x v="82"/>
    <x v="0"/>
    <n v="39"/>
    <s v="month"/>
    <n v="141"/>
    <x v="0"/>
  </r>
  <r>
    <n v="174655316"/>
    <x v="110"/>
    <x v="142"/>
    <x v="0"/>
    <n v="39"/>
    <s v="month"/>
    <n v="83"/>
    <x v="0"/>
  </r>
  <r>
    <n v="174622570"/>
    <x v="110"/>
    <x v="133"/>
    <x v="0"/>
    <n v="39"/>
    <s v="month"/>
    <n v="10"/>
    <x v="0"/>
  </r>
  <r>
    <n v="174720005"/>
    <x v="110"/>
    <x v="238"/>
    <x v="0"/>
    <n v="39"/>
    <s v="month"/>
    <n v="1"/>
    <x v="0"/>
  </r>
  <r>
    <n v="174696512"/>
    <x v="111"/>
    <x v="0"/>
    <x v="0"/>
    <n v="39"/>
    <s v="month"/>
    <s v=""/>
    <x v="1"/>
  </r>
  <r>
    <n v="175314293"/>
    <x v="111"/>
    <x v="0"/>
    <x v="0"/>
    <n v="39"/>
    <s v="month"/>
    <s v=""/>
    <x v="1"/>
  </r>
  <r>
    <n v="175451863"/>
    <x v="111"/>
    <x v="253"/>
    <x v="0"/>
    <n v="39"/>
    <s v="month"/>
    <n v="87"/>
    <x v="1"/>
  </r>
  <r>
    <n v="174752844"/>
    <x v="111"/>
    <x v="143"/>
    <x v="0"/>
    <n v="39"/>
    <s v="month"/>
    <n v="38"/>
    <x v="1"/>
  </r>
  <r>
    <n v="175431141"/>
    <x v="112"/>
    <x v="0"/>
    <x v="0"/>
    <n v="39"/>
    <s v="month"/>
    <s v=""/>
    <x v="2"/>
  </r>
  <r>
    <n v="132228678"/>
    <x v="112"/>
    <x v="61"/>
    <x v="0"/>
    <n v="39"/>
    <s v="month"/>
    <n v="0"/>
    <x v="2"/>
  </r>
  <r>
    <n v="161151062"/>
    <x v="112"/>
    <x v="185"/>
    <x v="0"/>
    <n v="39"/>
    <s v="month"/>
    <n v="116"/>
    <x v="2"/>
  </r>
  <r>
    <n v="167653319"/>
    <x v="112"/>
    <x v="32"/>
    <x v="0"/>
    <n v="39"/>
    <s v="month"/>
    <n v="79"/>
    <x v="2"/>
  </r>
  <r>
    <n v="171659515"/>
    <x v="112"/>
    <x v="115"/>
    <x v="0"/>
    <n v="39"/>
    <s v="month"/>
    <n v="30"/>
    <x v="2"/>
  </r>
  <r>
    <n v="175720159"/>
    <x v="112"/>
    <x v="226"/>
    <x v="0"/>
    <n v="39"/>
    <s v="month"/>
    <n v="16"/>
    <x v="2"/>
  </r>
  <r>
    <n v="170593141"/>
    <x v="112"/>
    <x v="193"/>
    <x v="0"/>
    <n v="39"/>
    <s v="month"/>
    <n v="15"/>
    <x v="2"/>
  </r>
  <r>
    <n v="173981170"/>
    <x v="112"/>
    <x v="169"/>
    <x v="0"/>
    <n v="39"/>
    <s v="month"/>
    <n v="1"/>
    <x v="2"/>
  </r>
  <r>
    <n v="175166391"/>
    <x v="113"/>
    <x v="0"/>
    <x v="0"/>
    <n v="39"/>
    <s v="month"/>
    <s v=""/>
    <x v="3"/>
  </r>
  <r>
    <n v="161175048"/>
    <x v="113"/>
    <x v="46"/>
    <x v="0"/>
    <n v="39"/>
    <s v="month"/>
    <n v="59"/>
    <x v="3"/>
  </r>
  <r>
    <n v="164254865"/>
    <x v="113"/>
    <x v="194"/>
    <x v="0"/>
    <n v="39"/>
    <s v="month"/>
    <n v="30"/>
    <x v="3"/>
  </r>
  <r>
    <n v="143248615"/>
    <x v="114"/>
    <x v="0"/>
    <x v="0"/>
    <n v="39"/>
    <s v="month"/>
    <s v=""/>
    <x v="4"/>
  </r>
  <r>
    <n v="176032070"/>
    <x v="114"/>
    <x v="83"/>
    <x v="0"/>
    <n v="39"/>
    <s v="month"/>
    <n v="19"/>
    <x v="4"/>
  </r>
  <r>
    <n v="174132333"/>
    <x v="115"/>
    <x v="0"/>
    <x v="0"/>
    <n v="39"/>
    <s v="month"/>
    <s v=""/>
    <x v="5"/>
  </r>
  <r>
    <n v="177051147"/>
    <x v="115"/>
    <x v="118"/>
    <x v="0"/>
    <n v="39"/>
    <s v="month"/>
    <n v="1"/>
    <x v="5"/>
  </r>
  <r>
    <n v="176571319"/>
    <x v="115"/>
    <x v="16"/>
    <x v="0"/>
    <n v="39"/>
    <s v="month"/>
    <n v="95"/>
    <x v="5"/>
  </r>
  <r>
    <n v="166932902"/>
    <x v="115"/>
    <x v="70"/>
    <x v="0"/>
    <n v="39"/>
    <s v="month"/>
    <n v="69"/>
    <x v="5"/>
  </r>
  <r>
    <n v="175851244"/>
    <x v="115"/>
    <x v="247"/>
    <x v="0"/>
    <n v="39"/>
    <s v="month"/>
    <n v="38"/>
    <x v="5"/>
  </r>
  <r>
    <n v="155613371"/>
    <x v="115"/>
    <x v="247"/>
    <x v="0"/>
    <n v="39"/>
    <s v="month"/>
    <n v="38"/>
    <x v="5"/>
  </r>
  <r>
    <n v="167678290"/>
    <x v="115"/>
    <x v="175"/>
    <x v="0"/>
    <n v="39"/>
    <s v="month"/>
    <n v="31"/>
    <x v="5"/>
  </r>
  <r>
    <n v="176995917"/>
    <x v="115"/>
    <x v="3"/>
    <x v="0"/>
    <n v="39"/>
    <s v="month"/>
    <n v="184"/>
    <x v="5"/>
  </r>
  <r>
    <n v="161187523"/>
    <x v="115"/>
    <x v="265"/>
    <x v="0"/>
    <n v="39"/>
    <s v="month"/>
    <n v="204"/>
    <x v="5"/>
  </r>
  <r>
    <n v="175884318"/>
    <x v="116"/>
    <x v="83"/>
    <x v="0"/>
    <n v="39"/>
    <s v="month"/>
    <n v="17"/>
    <x v="6"/>
  </r>
  <r>
    <n v="173911972"/>
    <x v="116"/>
    <x v="266"/>
    <x v="0"/>
    <n v="39"/>
    <s v="month"/>
    <n v="117"/>
    <x v="6"/>
  </r>
  <r>
    <n v="177696301"/>
    <x v="116"/>
    <x v="267"/>
    <x v="0"/>
    <n v="39"/>
    <s v="month"/>
    <n v="150"/>
    <x v="6"/>
  </r>
  <r>
    <n v="165744582"/>
    <x v="116"/>
    <x v="153"/>
    <x v="0"/>
    <n v="39"/>
    <s v="month"/>
    <n v="46"/>
    <x v="6"/>
  </r>
  <r>
    <n v="177323966"/>
    <x v="116"/>
    <x v="118"/>
    <x v="0"/>
    <n v="39"/>
    <s v="month"/>
    <n v="0"/>
    <x v="6"/>
  </r>
  <r>
    <n v="178355844"/>
    <x v="117"/>
    <x v="0"/>
    <x v="0"/>
    <n v="39"/>
    <s v="month"/>
    <s v=""/>
    <x v="0"/>
  </r>
  <r>
    <n v="176989743"/>
    <x v="117"/>
    <x v="0"/>
    <x v="0"/>
    <n v="39"/>
    <s v="month"/>
    <s v=""/>
    <x v="0"/>
  </r>
  <r>
    <n v="177971827"/>
    <x v="117"/>
    <x v="0"/>
    <x v="0"/>
    <n v="39"/>
    <s v="month"/>
    <s v=""/>
    <x v="0"/>
  </r>
  <r>
    <n v="131147038"/>
    <x v="117"/>
    <x v="206"/>
    <x v="0"/>
    <n v="39"/>
    <s v="month"/>
    <n v="46"/>
    <x v="0"/>
  </r>
  <r>
    <n v="152142457"/>
    <x v="117"/>
    <x v="153"/>
    <x v="0"/>
    <n v="39"/>
    <s v="month"/>
    <n v="45"/>
    <x v="0"/>
  </r>
  <r>
    <n v="174293226"/>
    <x v="117"/>
    <x v="268"/>
    <x v="0"/>
    <n v="39"/>
    <s v="month"/>
    <n v="159"/>
    <x v="0"/>
  </r>
  <r>
    <n v="177051147"/>
    <x v="117"/>
    <x v="95"/>
    <x v="0"/>
    <n v="39"/>
    <s v="month"/>
    <n v="88"/>
    <x v="0"/>
  </r>
  <r>
    <n v="177963240"/>
    <x v="117"/>
    <x v="175"/>
    <x v="0"/>
    <n v="39"/>
    <s v="month"/>
    <n v="29"/>
    <x v="0"/>
  </r>
  <r>
    <n v="176639972"/>
    <x v="117"/>
    <x v="269"/>
    <x v="0"/>
    <n v="39"/>
    <s v="month"/>
    <n v="30"/>
    <x v="0"/>
  </r>
  <r>
    <n v="175818000"/>
    <x v="118"/>
    <x v="270"/>
    <x v="0"/>
    <n v="39"/>
    <s v="month"/>
    <n v="161"/>
    <x v="1"/>
  </r>
  <r>
    <n v="117856836"/>
    <x v="118"/>
    <x v="170"/>
    <x v="0"/>
    <n v="39"/>
    <s v="month"/>
    <n v="34"/>
    <x v="1"/>
  </r>
  <r>
    <n v="177266058"/>
    <x v="118"/>
    <x v="128"/>
    <x v="0"/>
    <n v="39"/>
    <s v="month"/>
    <n v="97"/>
    <x v="1"/>
  </r>
  <r>
    <n v="174203866"/>
    <x v="118"/>
    <x v="271"/>
    <x v="0"/>
    <n v="39"/>
    <s v="month"/>
    <n v="60"/>
    <x v="1"/>
  </r>
  <r>
    <n v="174991614"/>
    <x v="118"/>
    <x v="143"/>
    <x v="0"/>
    <n v="39"/>
    <s v="month"/>
    <n v="31"/>
    <x v="1"/>
  </r>
  <r>
    <n v="175354348"/>
    <x v="118"/>
    <x v="105"/>
    <x v="0"/>
    <n v="39"/>
    <s v="month"/>
    <n v="22"/>
    <x v="1"/>
  </r>
  <r>
    <n v="176573512"/>
    <x v="118"/>
    <x v="244"/>
    <x v="0"/>
    <n v="39"/>
    <s v="month"/>
    <n v="185"/>
    <x v="1"/>
  </r>
  <r>
    <n v="178379352"/>
    <x v="119"/>
    <x v="183"/>
    <x v="0"/>
    <n v="39"/>
    <s v="month"/>
    <n v="2"/>
    <x v="2"/>
  </r>
  <r>
    <n v="152980676"/>
    <x v="119"/>
    <x v="105"/>
    <x v="0"/>
    <n v="39"/>
    <s v="month"/>
    <n v="21"/>
    <x v="2"/>
  </r>
  <r>
    <n v="179551652"/>
    <x v="119"/>
    <x v="235"/>
    <x v="0"/>
    <n v="39"/>
    <s v="month"/>
    <n v="127"/>
    <x v="2"/>
  </r>
  <r>
    <n v="175899028"/>
    <x v="119"/>
    <x v="272"/>
    <x v="0"/>
    <n v="39"/>
    <s v="month"/>
    <n v="83"/>
    <x v="2"/>
  </r>
  <r>
    <n v="148427368"/>
    <x v="119"/>
    <x v="201"/>
    <x v="0"/>
    <n v="39"/>
    <s v="month"/>
    <n v="38"/>
    <x v="2"/>
  </r>
  <r>
    <n v="149335749"/>
    <x v="119"/>
    <x v="143"/>
    <x v="0"/>
    <n v="39"/>
    <s v="month"/>
    <n v="30"/>
    <x v="2"/>
  </r>
  <r>
    <n v="179395204"/>
    <x v="119"/>
    <x v="104"/>
    <x v="0"/>
    <n v="39"/>
    <s v="month"/>
    <n v="16"/>
    <x v="2"/>
  </r>
  <r>
    <n v="150870576"/>
    <x v="120"/>
    <x v="273"/>
    <x v="0"/>
    <n v="39"/>
    <s v="month"/>
    <n v="165"/>
    <x v="3"/>
  </r>
  <r>
    <n v="176200716"/>
    <x v="120"/>
    <x v="266"/>
    <x v="0"/>
    <n v="39"/>
    <s v="month"/>
    <n v="113"/>
    <x v="3"/>
  </r>
  <r>
    <n v="178097351"/>
    <x v="120"/>
    <x v="35"/>
    <x v="0"/>
    <n v="39"/>
    <s v="month"/>
    <n v="38"/>
    <x v="3"/>
  </r>
  <r>
    <n v="177238262"/>
    <x v="121"/>
    <x v="0"/>
    <x v="0"/>
    <n v="39"/>
    <s v="month"/>
    <s v=""/>
    <x v="4"/>
  </r>
  <r>
    <n v="173131478"/>
    <x v="121"/>
    <x v="0"/>
    <x v="0"/>
    <n v="39"/>
    <s v="month"/>
    <s v=""/>
    <x v="4"/>
  </r>
  <r>
    <n v="180123121"/>
    <x v="121"/>
    <x v="183"/>
    <x v="1"/>
    <n v="39"/>
    <s v="month"/>
    <n v="0"/>
    <x v="4"/>
  </r>
  <r>
    <n v="139136640"/>
    <x v="121"/>
    <x v="162"/>
    <x v="0"/>
    <n v="39"/>
    <s v="month"/>
    <n v="66"/>
    <x v="4"/>
  </r>
  <r>
    <n v="172951272"/>
    <x v="121"/>
    <x v="274"/>
    <x v="0"/>
    <n v="39"/>
    <s v="month"/>
    <n v="124"/>
    <x v="4"/>
  </r>
  <r>
    <n v="175473611"/>
    <x v="121"/>
    <x v="275"/>
    <x v="0"/>
    <n v="39"/>
    <s v="month"/>
    <n v="111"/>
    <x v="4"/>
  </r>
  <r>
    <n v="170776130"/>
    <x v="121"/>
    <x v="256"/>
    <x v="0"/>
    <n v="39"/>
    <s v="month"/>
    <n v="106"/>
    <x v="4"/>
  </r>
  <r>
    <n v="180558466"/>
    <x v="121"/>
    <x v="272"/>
    <x v="0"/>
    <n v="39"/>
    <s v="month"/>
    <n v="81"/>
    <x v="4"/>
  </r>
  <r>
    <n v="171398636"/>
    <x v="121"/>
    <x v="276"/>
    <x v="0"/>
    <n v="39"/>
    <s v="month"/>
    <n v="67"/>
    <x v="4"/>
  </r>
  <r>
    <n v="180424776"/>
    <x v="121"/>
    <x v="277"/>
    <x v="0"/>
    <n v="39"/>
    <s v="month"/>
    <n v="76"/>
    <x v="4"/>
  </r>
  <r>
    <n v="180198528"/>
    <x v="121"/>
    <x v="219"/>
    <x v="0"/>
    <n v="39"/>
    <s v="month"/>
    <n v="38"/>
    <x v="4"/>
  </r>
  <r>
    <n v="124634385"/>
    <x v="122"/>
    <x v="0"/>
    <x v="0"/>
    <n v="39"/>
    <s v="month"/>
    <s v=""/>
    <x v="5"/>
  </r>
  <r>
    <n v="180740092"/>
    <x v="122"/>
    <x v="0"/>
    <x v="0"/>
    <n v="39"/>
    <s v="month"/>
    <s v=""/>
    <x v="5"/>
  </r>
  <r>
    <n v="144385898"/>
    <x v="122"/>
    <x v="244"/>
    <x v="0"/>
    <n v="39"/>
    <s v="month"/>
    <n v="181"/>
    <x v="5"/>
  </r>
  <r>
    <n v="175138132"/>
    <x v="122"/>
    <x v="275"/>
    <x v="0"/>
    <n v="39"/>
    <s v="month"/>
    <n v="110"/>
    <x v="5"/>
  </r>
  <r>
    <n v="180968287"/>
    <x v="122"/>
    <x v="95"/>
    <x v="0"/>
    <n v="39"/>
    <s v="month"/>
    <n v="83"/>
    <x v="5"/>
  </r>
  <r>
    <n v="180959934"/>
    <x v="122"/>
    <x v="278"/>
    <x v="0"/>
    <n v="39"/>
    <s v="month"/>
    <n v="64"/>
    <x v="5"/>
  </r>
  <r>
    <n v="176445635"/>
    <x v="122"/>
    <x v="198"/>
    <x v="0"/>
    <n v="39"/>
    <s v="month"/>
    <n v="46"/>
    <x v="5"/>
  </r>
  <r>
    <n v="180798046"/>
    <x v="122"/>
    <x v="192"/>
    <x v="0"/>
    <n v="39"/>
    <s v="month"/>
    <n v="28"/>
    <x v="5"/>
  </r>
  <r>
    <n v="180718702"/>
    <x v="122"/>
    <x v="84"/>
    <x v="0"/>
    <n v="39"/>
    <s v="month"/>
    <n v="22"/>
    <x v="5"/>
  </r>
  <r>
    <n v="181052392"/>
    <x v="122"/>
    <x v="225"/>
    <x v="0"/>
    <n v="39"/>
    <s v="month"/>
    <n v="232"/>
    <x v="5"/>
  </r>
  <r>
    <n v="181717508"/>
    <x v="123"/>
    <x v="0"/>
    <x v="0"/>
    <n v="39"/>
    <s v="month"/>
    <s v=""/>
    <x v="6"/>
  </r>
  <r>
    <n v="163103592"/>
    <x v="123"/>
    <x v="79"/>
    <x v="1"/>
    <n v="39"/>
    <s v="month"/>
    <n v="1"/>
    <x v="6"/>
  </r>
  <r>
    <n v="146860806"/>
    <x v="123"/>
    <x v="250"/>
    <x v="0"/>
    <n v="39"/>
    <s v="month"/>
    <n v="59"/>
    <x v="6"/>
  </r>
  <r>
    <n v="160532210"/>
    <x v="123"/>
    <x v="153"/>
    <x v="0"/>
    <n v="39"/>
    <s v="month"/>
    <n v="39"/>
    <x v="6"/>
  </r>
  <r>
    <n v="181003342"/>
    <x v="123"/>
    <x v="271"/>
    <x v="0"/>
    <n v="39"/>
    <s v="month"/>
    <n v="55"/>
    <x v="6"/>
  </r>
  <r>
    <n v="178661698"/>
    <x v="123"/>
    <x v="279"/>
    <x v="0"/>
    <n v="39"/>
    <s v="month"/>
    <n v="188"/>
    <x v="6"/>
  </r>
  <r>
    <n v="178928897"/>
    <x v="124"/>
    <x v="0"/>
    <x v="0"/>
    <n v="39"/>
    <s v="month"/>
    <s v=""/>
    <x v="0"/>
  </r>
  <r>
    <n v="181840814"/>
    <x v="124"/>
    <x v="0"/>
    <x v="0"/>
    <n v="39"/>
    <s v="month"/>
    <s v=""/>
    <x v="0"/>
  </r>
  <r>
    <n v="166930287"/>
    <x v="124"/>
    <x v="129"/>
    <x v="1"/>
    <n v="39"/>
    <s v="month"/>
    <n v="1"/>
    <x v="0"/>
  </r>
  <r>
    <n v="155956314"/>
    <x v="124"/>
    <x v="79"/>
    <x v="1"/>
    <n v="39"/>
    <s v="month"/>
    <n v="0"/>
    <x v="0"/>
  </r>
  <r>
    <n v="182408564"/>
    <x v="124"/>
    <x v="243"/>
    <x v="0"/>
    <n v="39"/>
    <s v="month"/>
    <n v="119"/>
    <x v="0"/>
  </r>
  <r>
    <n v="182295766"/>
    <x v="124"/>
    <x v="33"/>
    <x v="0"/>
    <n v="39"/>
    <s v="month"/>
    <n v="66"/>
    <x v="0"/>
  </r>
  <r>
    <n v="155881023"/>
    <x v="124"/>
    <x v="161"/>
    <x v="0"/>
    <n v="39"/>
    <s v="month"/>
    <n v="56"/>
    <x v="0"/>
  </r>
  <r>
    <n v="152750569"/>
    <x v="124"/>
    <x v="153"/>
    <x v="0"/>
    <n v="39"/>
    <s v="month"/>
    <n v="38"/>
    <x v="0"/>
  </r>
  <r>
    <n v="178345451"/>
    <x v="124"/>
    <x v="153"/>
    <x v="0"/>
    <n v="39"/>
    <s v="month"/>
    <n v="38"/>
    <x v="0"/>
  </r>
  <r>
    <n v="179758181"/>
    <x v="125"/>
    <x v="0"/>
    <x v="0"/>
    <n v="39"/>
    <s v="month"/>
    <s v=""/>
    <x v="1"/>
  </r>
  <r>
    <n v="167266048"/>
    <x v="125"/>
    <x v="0"/>
    <x v="0"/>
    <n v="39"/>
    <s v="month"/>
    <s v=""/>
    <x v="1"/>
  </r>
  <r>
    <n v="182719870"/>
    <x v="125"/>
    <x v="243"/>
    <x v="0"/>
    <n v="39"/>
    <s v="month"/>
    <n v="118"/>
    <x v="1"/>
  </r>
  <r>
    <n v="182408430"/>
    <x v="125"/>
    <x v="15"/>
    <x v="0"/>
    <n v="39"/>
    <s v="month"/>
    <n v="124"/>
    <x v="1"/>
  </r>
  <r>
    <n v="181072524"/>
    <x v="125"/>
    <x v="187"/>
    <x v="0"/>
    <n v="39"/>
    <s v="month"/>
    <n v="175"/>
    <x v="1"/>
  </r>
  <r>
    <n v="182747824"/>
    <x v="125"/>
    <x v="257"/>
    <x v="0"/>
    <n v="39"/>
    <s v="month"/>
    <n v="97"/>
    <x v="1"/>
  </r>
  <r>
    <n v="182700534"/>
    <x v="125"/>
    <x v="208"/>
    <x v="0"/>
    <n v="39"/>
    <s v="month"/>
    <n v="79"/>
    <x v="1"/>
  </r>
  <r>
    <n v="182727349"/>
    <x v="125"/>
    <x v="136"/>
    <x v="0"/>
    <n v="39"/>
    <s v="month"/>
    <n v="31"/>
    <x v="1"/>
  </r>
  <r>
    <n v="182636324"/>
    <x v="125"/>
    <x v="247"/>
    <x v="0"/>
    <n v="39"/>
    <s v="month"/>
    <n v="28"/>
    <x v="1"/>
  </r>
  <r>
    <n v="170485769"/>
    <x v="125"/>
    <x v="129"/>
    <x v="0"/>
    <n v="39"/>
    <s v="month"/>
    <n v="0"/>
    <x v="1"/>
  </r>
  <r>
    <n v="182627508"/>
    <x v="125"/>
    <x v="129"/>
    <x v="0"/>
    <n v="39"/>
    <s v="month"/>
    <n v="0"/>
    <x v="1"/>
  </r>
  <r>
    <n v="182834016"/>
    <x v="126"/>
    <x v="69"/>
    <x v="0"/>
    <n v="39"/>
    <s v="month"/>
    <n v="158"/>
    <x v="2"/>
  </r>
  <r>
    <n v="163535855"/>
    <x v="126"/>
    <x v="173"/>
    <x v="0"/>
    <n v="39"/>
    <s v="month"/>
    <n v="165"/>
    <x v="2"/>
  </r>
  <r>
    <n v="183002853"/>
    <x v="126"/>
    <x v="239"/>
    <x v="0"/>
    <n v="39"/>
    <s v="month"/>
    <n v="91"/>
    <x v="2"/>
  </r>
  <r>
    <n v="148338824"/>
    <x v="126"/>
    <x v="201"/>
    <x v="0"/>
    <n v="39"/>
    <s v="month"/>
    <n v="31"/>
    <x v="2"/>
  </r>
  <r>
    <n v="181712692"/>
    <x v="126"/>
    <x v="261"/>
    <x v="0"/>
    <n v="39"/>
    <s v="month"/>
    <n v="0"/>
    <x v="2"/>
  </r>
  <r>
    <n v="181770777"/>
    <x v="127"/>
    <x v="0"/>
    <x v="0"/>
    <n v="39"/>
    <s v="month"/>
    <s v=""/>
    <x v="3"/>
  </r>
  <r>
    <n v="161269602"/>
    <x v="127"/>
    <x v="193"/>
    <x v="0"/>
    <n v="39"/>
    <s v="month"/>
    <n v="0"/>
    <x v="3"/>
  </r>
  <r>
    <n v="145799416"/>
    <x v="127"/>
    <x v="91"/>
    <x v="0"/>
    <n v="39"/>
    <s v="month"/>
    <n v="33"/>
    <x v="3"/>
  </r>
  <r>
    <n v="182753953"/>
    <x v="127"/>
    <x v="145"/>
    <x v="0"/>
    <n v="39"/>
    <s v="month"/>
    <n v="85"/>
    <x v="3"/>
  </r>
  <r>
    <n v="162944728"/>
    <x v="127"/>
    <x v="50"/>
    <x v="0"/>
    <n v="39"/>
    <s v="month"/>
    <n v="52"/>
    <x v="3"/>
  </r>
  <r>
    <n v="161249852"/>
    <x v="127"/>
    <x v="25"/>
    <x v="0"/>
    <n v="39"/>
    <s v="month"/>
    <n v="7"/>
    <x v="3"/>
  </r>
  <r>
    <n v="183916833"/>
    <x v="128"/>
    <x v="0"/>
    <x v="0"/>
    <n v="39"/>
    <s v="month"/>
    <s v=""/>
    <x v="4"/>
  </r>
  <r>
    <n v="169141612"/>
    <x v="128"/>
    <x v="138"/>
    <x v="1"/>
    <n v="39"/>
    <s v="month"/>
    <n v="1"/>
    <x v="4"/>
  </r>
  <r>
    <n v="128768010"/>
    <x v="128"/>
    <x v="224"/>
    <x v="0"/>
    <n v="39"/>
    <s v="month"/>
    <n v="3"/>
    <x v="4"/>
  </r>
  <r>
    <n v="138520918"/>
    <x v="128"/>
    <x v="226"/>
    <x v="0"/>
    <n v="39"/>
    <s v="month"/>
    <n v="0"/>
    <x v="4"/>
  </r>
  <r>
    <n v="162946328"/>
    <x v="128"/>
    <x v="4"/>
    <x v="0"/>
    <n v="39"/>
    <s v="month"/>
    <n v="119"/>
    <x v="4"/>
  </r>
  <r>
    <n v="182929556"/>
    <x v="128"/>
    <x v="17"/>
    <x v="0"/>
    <n v="39"/>
    <s v="month"/>
    <n v="91"/>
    <x v="4"/>
  </r>
  <r>
    <n v="153704184"/>
    <x v="128"/>
    <x v="239"/>
    <x v="0"/>
    <n v="39"/>
    <s v="month"/>
    <n v="89"/>
    <x v="4"/>
  </r>
  <r>
    <n v="136326172"/>
    <x v="128"/>
    <x v="278"/>
    <x v="0"/>
    <n v="39"/>
    <s v="month"/>
    <n v="58"/>
    <x v="4"/>
  </r>
  <r>
    <n v="182505210"/>
    <x v="128"/>
    <x v="35"/>
    <x v="0"/>
    <n v="39"/>
    <s v="month"/>
    <n v="30"/>
    <x v="4"/>
  </r>
  <r>
    <n v="184370857"/>
    <x v="129"/>
    <x v="0"/>
    <x v="0"/>
    <n v="39"/>
    <s v="month"/>
    <s v=""/>
    <x v="5"/>
  </r>
  <r>
    <n v="184310344"/>
    <x v="129"/>
    <x v="246"/>
    <x v="0"/>
    <n v="39"/>
    <s v="month"/>
    <n v="91"/>
    <x v="5"/>
  </r>
  <r>
    <n v="183346055"/>
    <x v="129"/>
    <x v="137"/>
    <x v="0"/>
    <n v="39"/>
    <s v="month"/>
    <n v="66"/>
    <x v="5"/>
  </r>
  <r>
    <n v="178952278"/>
    <x v="129"/>
    <x v="227"/>
    <x v="0"/>
    <n v="39"/>
    <s v="month"/>
    <n v="60"/>
    <x v="5"/>
  </r>
  <r>
    <n v="184345202"/>
    <x v="129"/>
    <x v="184"/>
    <x v="0"/>
    <n v="39"/>
    <s v="month"/>
    <n v="44"/>
    <x v="5"/>
  </r>
  <r>
    <n v="182837162"/>
    <x v="129"/>
    <x v="221"/>
    <x v="0"/>
    <n v="39"/>
    <s v="month"/>
    <n v="26"/>
    <x v="5"/>
  </r>
  <r>
    <n v="182927038"/>
    <x v="129"/>
    <x v="198"/>
    <x v="0"/>
    <n v="39"/>
    <s v="month"/>
    <n v="39"/>
    <x v="5"/>
  </r>
  <r>
    <n v="181739784"/>
    <x v="129"/>
    <x v="35"/>
    <x v="0"/>
    <n v="39"/>
    <s v="month"/>
    <n v="29"/>
    <x v="5"/>
  </r>
  <r>
    <n v="178605410"/>
    <x v="129"/>
    <x v="280"/>
    <x v="0"/>
    <n v="39"/>
    <s v="month"/>
    <n v="38"/>
    <x v="5"/>
  </r>
  <r>
    <n v="184334484"/>
    <x v="130"/>
    <x v="0"/>
    <x v="0"/>
    <n v="39"/>
    <s v="month"/>
    <s v=""/>
    <x v="6"/>
  </r>
  <r>
    <n v="181576265"/>
    <x v="130"/>
    <x v="0"/>
    <x v="0"/>
    <n v="39"/>
    <s v="month"/>
    <s v=""/>
    <x v="6"/>
  </r>
  <r>
    <n v="183645116"/>
    <x v="130"/>
    <x v="0"/>
    <x v="0"/>
    <n v="39"/>
    <s v="month"/>
    <s v=""/>
    <x v="6"/>
  </r>
  <r>
    <n v="184812094"/>
    <x v="130"/>
    <x v="114"/>
    <x v="0"/>
    <n v="39"/>
    <s v="month"/>
    <n v="86"/>
    <x v="6"/>
  </r>
  <r>
    <n v="152089648"/>
    <x v="130"/>
    <x v="259"/>
    <x v="0"/>
    <n v="39"/>
    <s v="month"/>
    <n v="66"/>
    <x v="6"/>
  </r>
  <r>
    <n v="148710968"/>
    <x v="130"/>
    <x v="201"/>
    <x v="0"/>
    <n v="39"/>
    <s v="month"/>
    <n v="27"/>
    <x v="6"/>
  </r>
  <r>
    <n v="183197132"/>
    <x v="131"/>
    <x v="0"/>
    <x v="0"/>
    <n v="39"/>
    <s v="month"/>
    <s v=""/>
    <x v="0"/>
  </r>
  <r>
    <n v="156239744"/>
    <x v="131"/>
    <x v="0"/>
    <x v="0"/>
    <n v="39"/>
    <s v="month"/>
    <s v=""/>
    <x v="0"/>
  </r>
  <r>
    <n v="184481262"/>
    <x v="131"/>
    <x v="0"/>
    <x v="0"/>
    <n v="39"/>
    <s v="month"/>
    <s v=""/>
    <x v="0"/>
  </r>
  <r>
    <n v="153186137"/>
    <x v="131"/>
    <x v="245"/>
    <x v="0"/>
    <n v="39"/>
    <s v="month"/>
    <n v="1"/>
    <x v="0"/>
  </r>
  <r>
    <n v="185374268"/>
    <x v="131"/>
    <x v="245"/>
    <x v="1"/>
    <n v="39"/>
    <s v="month"/>
    <n v="1"/>
    <x v="0"/>
  </r>
  <r>
    <n v="185367349"/>
    <x v="131"/>
    <x v="245"/>
    <x v="1"/>
    <n v="39"/>
    <s v="month"/>
    <n v="1"/>
    <x v="0"/>
  </r>
  <r>
    <n v="150793080"/>
    <x v="131"/>
    <x v="50"/>
    <x v="0"/>
    <n v="39"/>
    <s v="month"/>
    <n v="48"/>
    <x v="0"/>
  </r>
  <r>
    <n v="183406772"/>
    <x v="131"/>
    <x v="281"/>
    <x v="0"/>
    <n v="39"/>
    <s v="month"/>
    <n v="52"/>
    <x v="0"/>
  </r>
  <r>
    <n v="175760281"/>
    <x v="131"/>
    <x v="153"/>
    <x v="0"/>
    <n v="39"/>
    <s v="month"/>
    <n v="31"/>
    <x v="0"/>
  </r>
  <r>
    <n v="162095012"/>
    <x v="131"/>
    <x v="84"/>
    <x v="0"/>
    <n v="39"/>
    <s v="month"/>
    <n v="13"/>
    <x v="0"/>
  </r>
  <r>
    <n v="179356036"/>
    <x v="131"/>
    <x v="224"/>
    <x v="0"/>
    <n v="39"/>
    <s v="month"/>
    <n v="0"/>
    <x v="0"/>
  </r>
  <r>
    <n v="184567432"/>
    <x v="131"/>
    <x v="115"/>
    <x v="0"/>
    <n v="39"/>
    <s v="month"/>
    <n v="11"/>
    <x v="0"/>
  </r>
  <r>
    <n v="185503171"/>
    <x v="131"/>
    <x v="209"/>
    <x v="0"/>
    <n v="39"/>
    <s v="month"/>
    <n v="174"/>
    <x v="0"/>
  </r>
  <r>
    <n v="171922477"/>
    <x v="131"/>
    <x v="99"/>
    <x v="0"/>
    <n v="39"/>
    <s v="month"/>
    <n v="167"/>
    <x v="0"/>
  </r>
  <r>
    <n v="144830936"/>
    <x v="131"/>
    <x v="282"/>
    <x v="0"/>
    <n v="39"/>
    <s v="month"/>
    <n v="196"/>
    <x v="0"/>
  </r>
  <r>
    <n v="157474087"/>
    <x v="132"/>
    <x v="0"/>
    <x v="0"/>
    <n v="39"/>
    <s v="month"/>
    <s v=""/>
    <x v="1"/>
  </r>
  <r>
    <n v="182350116"/>
    <x v="132"/>
    <x v="0"/>
    <x v="0"/>
    <n v="39"/>
    <s v="month"/>
    <s v=""/>
    <x v="1"/>
  </r>
  <r>
    <n v="132867770"/>
    <x v="132"/>
    <x v="83"/>
    <x v="0"/>
    <n v="39"/>
    <s v="month"/>
    <n v="1"/>
    <x v="1"/>
  </r>
  <r>
    <n v="185561880"/>
    <x v="132"/>
    <x v="83"/>
    <x v="1"/>
    <n v="39"/>
    <s v="month"/>
    <n v="1"/>
    <x v="1"/>
  </r>
  <r>
    <n v="168884196"/>
    <x v="132"/>
    <x v="128"/>
    <x v="0"/>
    <n v="39"/>
    <s v="month"/>
    <n v="83"/>
    <x v="1"/>
  </r>
  <r>
    <n v="161269602"/>
    <x v="132"/>
    <x v="230"/>
    <x v="0"/>
    <n v="39"/>
    <s v="month"/>
    <n v="38"/>
    <x v="1"/>
  </r>
  <r>
    <n v="185729058"/>
    <x v="133"/>
    <x v="274"/>
    <x v="0"/>
    <n v="39"/>
    <s v="month"/>
    <n v="112"/>
    <x v="2"/>
  </r>
  <r>
    <n v="182527446"/>
    <x v="133"/>
    <x v="243"/>
    <x v="0"/>
    <n v="39"/>
    <s v="month"/>
    <n v="110"/>
    <x v="2"/>
  </r>
  <r>
    <n v="151217806"/>
    <x v="133"/>
    <x v="281"/>
    <x v="0"/>
    <n v="39"/>
    <s v="month"/>
    <n v="50"/>
    <x v="2"/>
  </r>
  <r>
    <n v="181789030"/>
    <x v="133"/>
    <x v="221"/>
    <x v="0"/>
    <n v="39"/>
    <s v="month"/>
    <n v="22"/>
    <x v="2"/>
  </r>
  <r>
    <n v="167939138"/>
    <x v="133"/>
    <x v="279"/>
    <x v="0"/>
    <n v="39"/>
    <s v="month"/>
    <n v="178"/>
    <x v="2"/>
  </r>
  <r>
    <n v="168531226"/>
    <x v="133"/>
    <x v="283"/>
    <x v="0"/>
    <n v="39"/>
    <s v="month"/>
    <n v="211"/>
    <x v="2"/>
  </r>
  <r>
    <n v="183965840"/>
    <x v="134"/>
    <x v="0"/>
    <x v="0"/>
    <n v="39"/>
    <s v="month"/>
    <s v=""/>
    <x v="3"/>
  </r>
  <r>
    <n v="185522938"/>
    <x v="134"/>
    <x v="284"/>
    <x v="0"/>
    <n v="39"/>
    <s v="month"/>
    <n v="108"/>
    <x v="3"/>
  </r>
  <r>
    <n v="186413122"/>
    <x v="134"/>
    <x v="101"/>
    <x v="0"/>
    <n v="39"/>
    <s v="month"/>
    <n v="107"/>
    <x v="3"/>
  </r>
  <r>
    <n v="186481916"/>
    <x v="134"/>
    <x v="23"/>
    <x v="0"/>
    <n v="39"/>
    <s v="month"/>
    <n v="91"/>
    <x v="3"/>
  </r>
  <r>
    <n v="186177212"/>
    <x v="134"/>
    <x v="191"/>
    <x v="0"/>
    <n v="39"/>
    <s v="month"/>
    <n v="51"/>
    <x v="3"/>
  </r>
  <r>
    <n v="184809175"/>
    <x v="134"/>
    <x v="191"/>
    <x v="0"/>
    <n v="39"/>
    <s v="month"/>
    <n v="51"/>
    <x v="3"/>
  </r>
  <r>
    <n v="186690790"/>
    <x v="134"/>
    <x v="33"/>
    <x v="0"/>
    <n v="39"/>
    <s v="month"/>
    <n v="56"/>
    <x v="3"/>
  </r>
  <r>
    <n v="185711685"/>
    <x v="134"/>
    <x v="136"/>
    <x v="0"/>
    <n v="39"/>
    <s v="month"/>
    <n v="22"/>
    <x v="3"/>
  </r>
  <r>
    <n v="179509273"/>
    <x v="134"/>
    <x v="187"/>
    <x v="0"/>
    <n v="39"/>
    <s v="month"/>
    <n v="166"/>
    <x v="3"/>
  </r>
  <r>
    <n v="186770408"/>
    <x v="135"/>
    <x v="0"/>
    <x v="0"/>
    <n v="39"/>
    <s v="month"/>
    <s v=""/>
    <x v="4"/>
  </r>
  <r>
    <n v="181025165"/>
    <x v="135"/>
    <x v="0"/>
    <x v="0"/>
    <n v="39"/>
    <s v="month"/>
    <s v=""/>
    <x v="4"/>
  </r>
  <r>
    <n v="157919304"/>
    <x v="135"/>
    <x v="58"/>
    <x v="0"/>
    <n v="39"/>
    <s v="month"/>
    <n v="120"/>
    <x v="4"/>
  </r>
  <r>
    <n v="187051266"/>
    <x v="135"/>
    <x v="285"/>
    <x v="0"/>
    <n v="39"/>
    <s v="month"/>
    <n v="135"/>
    <x v="4"/>
  </r>
  <r>
    <n v="179713052"/>
    <x v="135"/>
    <x v="286"/>
    <x v="0"/>
    <n v="39"/>
    <s v="month"/>
    <n v="89"/>
    <x v="4"/>
  </r>
  <r>
    <n v="185431487"/>
    <x v="135"/>
    <x v="287"/>
    <x v="0"/>
    <n v="39"/>
    <s v="month"/>
    <n v="100"/>
    <x v="4"/>
  </r>
  <r>
    <n v="157929345"/>
    <x v="135"/>
    <x v="114"/>
    <x v="0"/>
    <n v="39"/>
    <s v="month"/>
    <n v="81"/>
    <x v="4"/>
  </r>
  <r>
    <n v="154087095"/>
    <x v="135"/>
    <x v="32"/>
    <x v="0"/>
    <n v="39"/>
    <s v="month"/>
    <n v="56"/>
    <x v="4"/>
  </r>
  <r>
    <n v="186674235"/>
    <x v="135"/>
    <x v="218"/>
    <x v="0"/>
    <n v="39"/>
    <s v="month"/>
    <n v="57"/>
    <x v="4"/>
  </r>
  <r>
    <n v="182656156"/>
    <x v="135"/>
    <x v="59"/>
    <x v="0"/>
    <n v="39"/>
    <s v="month"/>
    <n v="30"/>
    <x v="4"/>
  </r>
  <r>
    <n v="170319875"/>
    <x v="135"/>
    <x v="104"/>
    <x v="0"/>
    <n v="39"/>
    <s v="month"/>
    <n v="0"/>
    <x v="4"/>
  </r>
  <r>
    <n v="188226033"/>
    <x v="136"/>
    <x v="0"/>
    <x v="1"/>
    <n v="39"/>
    <s v="month"/>
    <s v=""/>
    <x v="5"/>
  </r>
  <r>
    <n v="188137320"/>
    <x v="136"/>
    <x v="0"/>
    <x v="1"/>
    <n v="39"/>
    <s v="month"/>
    <s v=""/>
    <x v="5"/>
  </r>
  <r>
    <n v="163220556"/>
    <x v="136"/>
    <x v="117"/>
    <x v="0"/>
    <n v="39"/>
    <s v="month"/>
    <n v="1"/>
    <x v="5"/>
  </r>
  <r>
    <n v="182960960"/>
    <x v="136"/>
    <x v="272"/>
    <x v="0"/>
    <n v="39"/>
    <s v="month"/>
    <n v="66"/>
    <x v="5"/>
  </r>
  <r>
    <n v="188175982"/>
    <x v="136"/>
    <x v="280"/>
    <x v="0"/>
    <n v="39"/>
    <s v="month"/>
    <n v="31"/>
    <x v="5"/>
  </r>
  <r>
    <n v="169729060"/>
    <x v="136"/>
    <x v="26"/>
    <x v="0"/>
    <n v="39"/>
    <s v="month"/>
    <n v="33"/>
    <x v="5"/>
  </r>
  <r>
    <n v="186841270"/>
    <x v="136"/>
    <x v="202"/>
    <x v="0"/>
    <n v="39"/>
    <s v="month"/>
    <n v="38"/>
    <x v="5"/>
  </r>
  <r>
    <n v="154563993"/>
    <x v="136"/>
    <x v="264"/>
    <x v="0"/>
    <n v="39"/>
    <s v="month"/>
    <n v="39"/>
    <x v="5"/>
  </r>
  <r>
    <n v="159767828"/>
    <x v="136"/>
    <x v="202"/>
    <x v="0"/>
    <n v="39"/>
    <s v="month"/>
    <n v="38"/>
    <x v="5"/>
  </r>
  <r>
    <n v="183186612"/>
    <x v="136"/>
    <x v="176"/>
    <x v="0"/>
    <n v="39"/>
    <s v="month"/>
    <n v="192"/>
    <x v="5"/>
  </r>
  <r>
    <n v="128603349"/>
    <x v="137"/>
    <x v="0"/>
    <x v="0"/>
    <n v="39"/>
    <s v="month"/>
    <s v=""/>
    <x v="6"/>
  </r>
  <r>
    <n v="183736457"/>
    <x v="137"/>
    <x v="229"/>
    <x v="1"/>
    <n v="39"/>
    <s v="month"/>
    <n v="1"/>
    <x v="6"/>
  </r>
  <r>
    <n v="188115641"/>
    <x v="137"/>
    <x v="117"/>
    <x v="1"/>
    <n v="39"/>
    <s v="month"/>
    <n v="0"/>
    <x v="6"/>
  </r>
  <r>
    <n v="188460699"/>
    <x v="137"/>
    <x v="117"/>
    <x v="1"/>
    <n v="39"/>
    <s v="month"/>
    <n v="0"/>
    <x v="6"/>
  </r>
  <r>
    <n v="138228332"/>
    <x v="137"/>
    <x v="264"/>
    <x v="0"/>
    <n v="39"/>
    <s v="month"/>
    <n v="38"/>
    <x v="6"/>
  </r>
  <r>
    <n v="184143564"/>
    <x v="137"/>
    <x v="288"/>
    <x v="0"/>
    <n v="39"/>
    <s v="month"/>
    <n v="124"/>
    <x v="6"/>
  </r>
  <r>
    <n v="179508142"/>
    <x v="137"/>
    <x v="232"/>
    <x v="0"/>
    <n v="39"/>
    <s v="month"/>
    <n v="146"/>
    <x v="6"/>
  </r>
  <r>
    <n v="188269607"/>
    <x v="137"/>
    <x v="23"/>
    <x v="0"/>
    <n v="39"/>
    <s v="month"/>
    <n v="88"/>
    <x v="6"/>
  </r>
  <r>
    <n v="181890100"/>
    <x v="137"/>
    <x v="208"/>
    <x v="0"/>
    <n v="39"/>
    <s v="month"/>
    <n v="67"/>
    <x v="6"/>
  </r>
  <r>
    <n v="185642830"/>
    <x v="137"/>
    <x v="218"/>
    <x v="0"/>
    <n v="39"/>
    <s v="month"/>
    <n v="55"/>
    <x v="6"/>
  </r>
  <r>
    <n v="152223051"/>
    <x v="137"/>
    <x v="264"/>
    <x v="0"/>
    <n v="39"/>
    <s v="month"/>
    <n v="38"/>
    <x v="6"/>
  </r>
  <r>
    <n v="156067850"/>
    <x v="137"/>
    <x v="198"/>
    <x v="0"/>
    <n v="39"/>
    <s v="month"/>
    <n v="31"/>
    <x v="6"/>
  </r>
  <r>
    <n v="188701816"/>
    <x v="137"/>
    <x v="280"/>
    <x v="0"/>
    <n v="39"/>
    <s v="month"/>
    <n v="30"/>
    <x v="6"/>
  </r>
  <r>
    <n v="188133192"/>
    <x v="137"/>
    <x v="26"/>
    <x v="0"/>
    <n v="39"/>
    <s v="month"/>
    <n v="32"/>
    <x v="6"/>
  </r>
  <r>
    <n v="183936068"/>
    <x v="137"/>
    <x v="244"/>
    <x v="0"/>
    <n v="39"/>
    <s v="month"/>
    <n v="166"/>
    <x v="6"/>
  </r>
  <r>
    <n v="188119778"/>
    <x v="137"/>
    <x v="180"/>
    <x v="0"/>
    <n v="39"/>
    <s v="month"/>
    <n v="151"/>
    <x v="6"/>
  </r>
  <r>
    <n v="189410056"/>
    <x v="138"/>
    <x v="0"/>
    <x v="0"/>
    <n v="39"/>
    <s v="month"/>
    <s v=""/>
    <x v="0"/>
  </r>
  <r>
    <n v="184970659"/>
    <x v="138"/>
    <x v="0"/>
    <x v="0"/>
    <n v="39"/>
    <s v="month"/>
    <s v=""/>
    <x v="0"/>
  </r>
  <r>
    <n v="148476648"/>
    <x v="138"/>
    <x v="82"/>
    <x v="0"/>
    <n v="39"/>
    <s v="month"/>
    <n v="113"/>
    <x v="0"/>
  </r>
  <r>
    <n v="189289885"/>
    <x v="138"/>
    <x v="289"/>
    <x v="0"/>
    <n v="39"/>
    <s v="month"/>
    <n v="91"/>
    <x v="0"/>
  </r>
  <r>
    <n v="150442182"/>
    <x v="138"/>
    <x v="277"/>
    <x v="0"/>
    <n v="39"/>
    <s v="month"/>
    <n v="59"/>
    <x v="0"/>
  </r>
  <r>
    <n v="184826230"/>
    <x v="138"/>
    <x v="59"/>
    <x v="0"/>
    <n v="39"/>
    <s v="month"/>
    <n v="27"/>
    <x v="0"/>
  </r>
  <r>
    <n v="184786342"/>
    <x v="138"/>
    <x v="229"/>
    <x v="0"/>
    <n v="39"/>
    <s v="month"/>
    <n v="0"/>
    <x v="0"/>
  </r>
  <r>
    <n v="181565760"/>
    <x v="138"/>
    <x v="134"/>
    <x v="0"/>
    <n v="39"/>
    <s v="month"/>
    <n v="7"/>
    <x v="0"/>
  </r>
  <r>
    <n v="189278478"/>
    <x v="139"/>
    <x v="0"/>
    <x v="0"/>
    <n v="39"/>
    <s v="month"/>
    <s v=""/>
    <x v="1"/>
  </r>
  <r>
    <n v="184066428"/>
    <x v="139"/>
    <x v="0"/>
    <x v="0"/>
    <n v="39"/>
    <s v="month"/>
    <s v=""/>
    <x v="1"/>
  </r>
  <r>
    <n v="135771077"/>
    <x v="139"/>
    <x v="0"/>
    <x v="0"/>
    <n v="39"/>
    <s v="month"/>
    <s v=""/>
    <x v="1"/>
  </r>
  <r>
    <n v="184831280"/>
    <x v="139"/>
    <x v="96"/>
    <x v="0"/>
    <n v="39"/>
    <s v="month"/>
    <n v="109"/>
    <x v="1"/>
  </r>
  <r>
    <n v="188828652"/>
    <x v="139"/>
    <x v="251"/>
    <x v="0"/>
    <n v="39"/>
    <s v="month"/>
    <n v="101"/>
    <x v="1"/>
  </r>
  <r>
    <n v="188666673"/>
    <x v="139"/>
    <x v="278"/>
    <x v="0"/>
    <n v="39"/>
    <s v="month"/>
    <n v="47"/>
    <x v="1"/>
  </r>
  <r>
    <n v="189880452"/>
    <x v="139"/>
    <x v="26"/>
    <x v="0"/>
    <n v="39"/>
    <s v="month"/>
    <n v="30"/>
    <x v="1"/>
  </r>
  <r>
    <n v="160986271"/>
    <x v="139"/>
    <x v="188"/>
    <x v="0"/>
    <n v="39"/>
    <s v="month"/>
    <n v="38"/>
    <x v="1"/>
  </r>
  <r>
    <n v="187895888"/>
    <x v="139"/>
    <x v="206"/>
    <x v="0"/>
    <n v="39"/>
    <s v="month"/>
    <n v="24"/>
    <x v="1"/>
  </r>
  <r>
    <n v="190871376"/>
    <x v="140"/>
    <x v="0"/>
    <x v="0"/>
    <n v="39"/>
    <s v="month"/>
    <s v=""/>
    <x v="2"/>
  </r>
  <r>
    <n v="166750222"/>
    <x v="140"/>
    <x v="101"/>
    <x v="0"/>
    <n v="39"/>
    <s v="month"/>
    <n v="101"/>
    <x v="2"/>
  </r>
  <r>
    <n v="189360536"/>
    <x v="140"/>
    <x v="152"/>
    <x v="0"/>
    <n v="39"/>
    <s v="month"/>
    <n v="94"/>
    <x v="2"/>
  </r>
  <r>
    <n v="188197564"/>
    <x v="140"/>
    <x v="289"/>
    <x v="0"/>
    <n v="39"/>
    <s v="month"/>
    <n v="89"/>
    <x v="2"/>
  </r>
  <r>
    <n v="191034251"/>
    <x v="140"/>
    <x v="59"/>
    <x v="0"/>
    <n v="39"/>
    <s v="month"/>
    <n v="25"/>
    <x v="2"/>
  </r>
  <r>
    <n v="182972593"/>
    <x v="140"/>
    <x v="247"/>
    <x v="0"/>
    <n v="39"/>
    <s v="month"/>
    <n v="13"/>
    <x v="2"/>
  </r>
  <r>
    <n v="182958960"/>
    <x v="141"/>
    <x v="115"/>
    <x v="0"/>
    <n v="39"/>
    <s v="month"/>
    <n v="1"/>
    <x v="3"/>
  </r>
  <r>
    <n v="163220556"/>
    <x v="141"/>
    <x v="162"/>
    <x v="0"/>
    <n v="39"/>
    <s v="month"/>
    <n v="46"/>
    <x v="3"/>
  </r>
  <r>
    <n v="191730833"/>
    <x v="141"/>
    <x v="233"/>
    <x v="0"/>
    <n v="39"/>
    <s v="month"/>
    <n v="58"/>
    <x v="3"/>
  </r>
  <r>
    <n v="189680563"/>
    <x v="141"/>
    <x v="233"/>
    <x v="0"/>
    <n v="39"/>
    <s v="month"/>
    <n v="58"/>
    <x v="3"/>
  </r>
  <r>
    <n v="190666110"/>
    <x v="142"/>
    <x v="0"/>
    <x v="0"/>
    <n v="39"/>
    <s v="month"/>
    <s v=""/>
    <x v="4"/>
  </r>
  <r>
    <n v="180622613"/>
    <x v="142"/>
    <x v="0"/>
    <x v="0"/>
    <n v="39"/>
    <s v="month"/>
    <s v=""/>
    <x v="4"/>
  </r>
  <r>
    <n v="188827172"/>
    <x v="142"/>
    <x v="0"/>
    <x v="0"/>
    <n v="39"/>
    <s v="month"/>
    <s v=""/>
    <x v="4"/>
  </r>
  <r>
    <n v="188068965"/>
    <x v="142"/>
    <x v="159"/>
    <x v="0"/>
    <n v="39"/>
    <s v="month"/>
    <n v="127"/>
    <x v="4"/>
  </r>
  <r>
    <n v="182958960"/>
    <x v="142"/>
    <x v="161"/>
    <x v="0"/>
    <n v="39"/>
    <s v="month"/>
    <n v="38"/>
    <x v="4"/>
  </r>
  <r>
    <n v="191999674"/>
    <x v="142"/>
    <x v="206"/>
    <x v="0"/>
    <n v="39"/>
    <s v="month"/>
    <n v="21"/>
    <x v="4"/>
  </r>
  <r>
    <n v="183451114"/>
    <x v="142"/>
    <x v="211"/>
    <x v="0"/>
    <n v="39"/>
    <s v="month"/>
    <n v="219"/>
    <x v="4"/>
  </r>
  <r>
    <n v="191807491"/>
    <x v="143"/>
    <x v="0"/>
    <x v="0"/>
    <n v="39"/>
    <s v="month"/>
    <s v=""/>
    <x v="5"/>
  </r>
  <r>
    <n v="157833252"/>
    <x v="143"/>
    <x v="290"/>
    <x v="0"/>
    <n v="39"/>
    <s v="month"/>
    <n v="226"/>
    <x v="5"/>
  </r>
  <r>
    <n v="188162430"/>
    <x v="143"/>
    <x v="291"/>
    <x v="0"/>
    <n v="39"/>
    <s v="month"/>
    <n v="143"/>
    <x v="5"/>
  </r>
  <r>
    <n v="190733249"/>
    <x v="143"/>
    <x v="253"/>
    <x v="0"/>
    <n v="39"/>
    <s v="month"/>
    <n v="55"/>
    <x v="5"/>
  </r>
  <r>
    <n v="192539054"/>
    <x v="143"/>
    <x v="271"/>
    <x v="0"/>
    <n v="39"/>
    <s v="month"/>
    <n v="35"/>
    <x v="5"/>
  </r>
  <r>
    <n v="193572822"/>
    <x v="143"/>
    <x v="230"/>
    <x v="0"/>
    <n v="39"/>
    <s v="month"/>
    <n v="27"/>
    <x v="5"/>
  </r>
  <r>
    <n v="141399368"/>
    <x v="144"/>
    <x v="0"/>
    <x v="0"/>
    <n v="39"/>
    <s v="month"/>
    <s v=""/>
    <x v="6"/>
  </r>
  <r>
    <n v="193285633"/>
    <x v="144"/>
    <x v="0"/>
    <x v="0"/>
    <n v="39"/>
    <s v="month"/>
    <s v=""/>
    <x v="6"/>
  </r>
  <r>
    <n v="193891378"/>
    <x v="144"/>
    <x v="0"/>
    <x v="0"/>
    <n v="39"/>
    <s v="month"/>
    <s v=""/>
    <x v="6"/>
  </r>
  <r>
    <n v="153628260"/>
    <x v="144"/>
    <x v="134"/>
    <x v="0"/>
    <n v="39"/>
    <s v="month"/>
    <n v="1"/>
    <x v="6"/>
  </r>
  <r>
    <n v="194719566"/>
    <x v="144"/>
    <x v="84"/>
    <x v="1"/>
    <n v="39"/>
    <s v="month"/>
    <n v="0"/>
    <x v="6"/>
  </r>
  <r>
    <n v="176559401"/>
    <x v="144"/>
    <x v="84"/>
    <x v="1"/>
    <n v="39"/>
    <s v="month"/>
    <n v="0"/>
    <x v="6"/>
  </r>
  <r>
    <n v="150178354"/>
    <x v="144"/>
    <x v="45"/>
    <x v="0"/>
    <n v="39"/>
    <s v="month"/>
    <n v="120"/>
    <x v="6"/>
  </r>
  <r>
    <n v="192395073"/>
    <x v="144"/>
    <x v="128"/>
    <x v="0"/>
    <n v="39"/>
    <s v="month"/>
    <n v="71"/>
    <x v="6"/>
  </r>
  <r>
    <n v="152690237"/>
    <x v="144"/>
    <x v="223"/>
    <x v="0"/>
    <n v="39"/>
    <s v="month"/>
    <n v="56"/>
    <x v="6"/>
  </r>
  <r>
    <n v="151572886"/>
    <x v="144"/>
    <x v="33"/>
    <x v="0"/>
    <n v="39"/>
    <s v="month"/>
    <n v="46"/>
    <x v="6"/>
  </r>
  <r>
    <n v="193869975"/>
    <x v="144"/>
    <x v="142"/>
    <x v="0"/>
    <n v="39"/>
    <s v="month"/>
    <n v="49"/>
    <x v="6"/>
  </r>
  <r>
    <n v="175077871"/>
    <x v="144"/>
    <x v="142"/>
    <x v="0"/>
    <n v="39"/>
    <s v="month"/>
    <n v="49"/>
    <x v="6"/>
  </r>
  <r>
    <n v="193229869"/>
    <x v="144"/>
    <x v="50"/>
    <x v="0"/>
    <n v="39"/>
    <s v="month"/>
    <n v="35"/>
    <x v="6"/>
  </r>
  <r>
    <n v="189257579"/>
    <x v="145"/>
    <x v="0"/>
    <x v="0"/>
    <n v="39"/>
    <s v="month"/>
    <s v=""/>
    <x v="0"/>
  </r>
  <r>
    <n v="184333409"/>
    <x v="145"/>
    <x v="0"/>
    <x v="0"/>
    <n v="39"/>
    <s v="month"/>
    <s v=""/>
    <x v="0"/>
  </r>
  <r>
    <n v="144719454"/>
    <x v="145"/>
    <x v="0"/>
    <x v="0"/>
    <n v="39"/>
    <s v="month"/>
    <s v=""/>
    <x v="0"/>
  </r>
  <r>
    <n v="195759475"/>
    <x v="145"/>
    <x v="0"/>
    <x v="0"/>
    <n v="39"/>
    <s v="month"/>
    <s v=""/>
    <x v="0"/>
  </r>
  <r>
    <n v="167602454"/>
    <x v="145"/>
    <x v="0"/>
    <x v="0"/>
    <n v="39"/>
    <s v="month"/>
    <s v=""/>
    <x v="0"/>
  </r>
  <r>
    <n v="148838269"/>
    <x v="145"/>
    <x v="0"/>
    <x v="0"/>
    <n v="39"/>
    <s v="month"/>
    <s v=""/>
    <x v="0"/>
  </r>
  <r>
    <n v="195938394"/>
    <x v="145"/>
    <x v="147"/>
    <x v="0"/>
    <n v="39"/>
    <s v="month"/>
    <n v="148"/>
    <x v="0"/>
  </r>
  <r>
    <n v="194091086"/>
    <x v="145"/>
    <x v="156"/>
    <x v="0"/>
    <n v="39"/>
    <s v="month"/>
    <n v="68"/>
    <x v="0"/>
  </r>
  <r>
    <n v="181456580"/>
    <x v="145"/>
    <x v="275"/>
    <x v="0"/>
    <n v="39"/>
    <s v="month"/>
    <n v="87"/>
    <x v="0"/>
  </r>
  <r>
    <n v="169302100"/>
    <x v="145"/>
    <x v="292"/>
    <x v="0"/>
    <n v="39"/>
    <s v="month"/>
    <n v="63"/>
    <x v="0"/>
  </r>
  <r>
    <n v="180997025"/>
    <x v="145"/>
    <x v="281"/>
    <x v="0"/>
    <n v="39"/>
    <s v="month"/>
    <n v="38"/>
    <x v="0"/>
  </r>
  <r>
    <n v="196091620"/>
    <x v="145"/>
    <x v="170"/>
    <x v="0"/>
    <n v="39"/>
    <s v="month"/>
    <n v="7"/>
    <x v="0"/>
  </r>
  <r>
    <n v="189277140"/>
    <x v="145"/>
    <x v="184"/>
    <x v="0"/>
    <n v="39"/>
    <s v="month"/>
    <n v="28"/>
    <x v="0"/>
  </r>
  <r>
    <n v="195279352"/>
    <x v="145"/>
    <x v="184"/>
    <x v="0"/>
    <n v="39"/>
    <s v="month"/>
    <n v="28"/>
    <x v="0"/>
  </r>
  <r>
    <n v="191113428"/>
    <x v="145"/>
    <x v="134"/>
    <x v="0"/>
    <n v="39"/>
    <s v="month"/>
    <n v="0"/>
    <x v="0"/>
  </r>
  <r>
    <n v="193802414"/>
    <x v="145"/>
    <x v="293"/>
    <x v="0"/>
    <n v="39"/>
    <s v="month"/>
    <n v="152"/>
    <x v="0"/>
  </r>
  <r>
    <n v="115735280"/>
    <x v="146"/>
    <x v="0"/>
    <x v="0"/>
    <n v="39"/>
    <s v="month"/>
    <s v=""/>
    <x v="1"/>
  </r>
  <r>
    <n v="153026024"/>
    <x v="146"/>
    <x v="0"/>
    <x v="0"/>
    <n v="39"/>
    <s v="month"/>
    <s v=""/>
    <x v="1"/>
  </r>
  <r>
    <n v="196069557"/>
    <x v="146"/>
    <x v="0"/>
    <x v="0"/>
    <n v="39"/>
    <s v="month"/>
    <s v=""/>
    <x v="1"/>
  </r>
  <r>
    <n v="193666586"/>
    <x v="146"/>
    <x v="0"/>
    <x v="0"/>
    <n v="39"/>
    <s v="month"/>
    <s v=""/>
    <x v="1"/>
  </r>
  <r>
    <n v="192550222"/>
    <x v="146"/>
    <x v="0"/>
    <x v="0"/>
    <n v="39"/>
    <s v="month"/>
    <s v=""/>
    <x v="1"/>
  </r>
  <r>
    <n v="196022560"/>
    <x v="146"/>
    <x v="294"/>
    <x v="0"/>
    <n v="39"/>
    <s v="month"/>
    <n v="221"/>
    <x v="1"/>
  </r>
  <r>
    <n v="196715854"/>
    <x v="146"/>
    <x v="269"/>
    <x v="1"/>
    <n v="39"/>
    <s v="month"/>
    <n v="1"/>
    <x v="1"/>
  </r>
  <r>
    <n v="196969212"/>
    <x v="146"/>
    <x v="266"/>
    <x v="0"/>
    <n v="39"/>
    <s v="month"/>
    <n v="87"/>
    <x v="1"/>
  </r>
  <r>
    <n v="196308725"/>
    <x v="146"/>
    <x v="189"/>
    <x v="0"/>
    <n v="39"/>
    <s v="month"/>
    <n v="63"/>
    <x v="1"/>
  </r>
  <r>
    <n v="196245690"/>
    <x v="146"/>
    <x v="95"/>
    <x v="0"/>
    <n v="39"/>
    <s v="month"/>
    <n v="59"/>
    <x v="1"/>
  </r>
  <r>
    <n v="195988242"/>
    <x v="146"/>
    <x v="70"/>
    <x v="0"/>
    <n v="39"/>
    <s v="month"/>
    <n v="38"/>
    <x v="1"/>
  </r>
  <r>
    <n v="192068317"/>
    <x v="146"/>
    <x v="125"/>
    <x v="0"/>
    <n v="39"/>
    <s v="month"/>
    <n v="60"/>
    <x v="1"/>
  </r>
  <r>
    <n v="195039185"/>
    <x v="146"/>
    <x v="184"/>
    <x v="0"/>
    <n v="39"/>
    <s v="month"/>
    <n v="27"/>
    <x v="1"/>
  </r>
  <r>
    <n v="188563149"/>
    <x v="146"/>
    <x v="55"/>
    <x v="0"/>
    <n v="39"/>
    <s v="month"/>
    <n v="201"/>
    <x v="1"/>
  </r>
  <r>
    <n v="188748439"/>
    <x v="146"/>
    <x v="295"/>
    <x v="0"/>
    <n v="39"/>
    <s v="month"/>
    <n v="204"/>
    <x v="1"/>
  </r>
  <r>
    <n v="160873880"/>
    <x v="147"/>
    <x v="0"/>
    <x v="0"/>
    <n v="39"/>
    <s v="month"/>
    <s v=""/>
    <x v="2"/>
  </r>
  <r>
    <n v="160379194"/>
    <x v="147"/>
    <x v="269"/>
    <x v="0"/>
    <n v="39"/>
    <s v="month"/>
    <n v="0"/>
    <x v="2"/>
  </r>
  <r>
    <n v="194169961"/>
    <x v="147"/>
    <x v="272"/>
    <x v="0"/>
    <n v="39"/>
    <s v="month"/>
    <n v="55"/>
    <x v="2"/>
  </r>
  <r>
    <n v="184209232"/>
    <x v="147"/>
    <x v="191"/>
    <x v="0"/>
    <n v="39"/>
    <s v="month"/>
    <n v="38"/>
    <x v="2"/>
  </r>
  <r>
    <n v="195198228"/>
    <x v="147"/>
    <x v="280"/>
    <x v="0"/>
    <n v="39"/>
    <s v="month"/>
    <n v="20"/>
    <x v="2"/>
  </r>
  <r>
    <n v="153657568"/>
    <x v="148"/>
    <x v="0"/>
    <x v="0"/>
    <n v="39"/>
    <s v="month"/>
    <s v=""/>
    <x v="3"/>
  </r>
  <r>
    <n v="127697219"/>
    <x v="148"/>
    <x v="45"/>
    <x v="0"/>
    <n v="39"/>
    <s v="month"/>
    <n v="116"/>
    <x v="3"/>
  </r>
  <r>
    <n v="198448283"/>
    <x v="148"/>
    <x v="241"/>
    <x v="0"/>
    <n v="39"/>
    <s v="month"/>
    <n v="158"/>
    <x v="3"/>
  </r>
  <r>
    <n v="159483118"/>
    <x v="148"/>
    <x v="50"/>
    <x v="0"/>
    <n v="39"/>
    <s v="month"/>
    <n v="31"/>
    <x v="3"/>
  </r>
  <r>
    <n v="152433647"/>
    <x v="148"/>
    <x v="32"/>
    <x v="0"/>
    <n v="39"/>
    <s v="month"/>
    <n v="43"/>
    <x v="3"/>
  </r>
  <r>
    <n v="154790198"/>
    <x v="148"/>
    <x v="59"/>
    <x v="0"/>
    <n v="39"/>
    <s v="month"/>
    <n v="17"/>
    <x v="3"/>
  </r>
  <r>
    <n v="191896242"/>
    <x v="149"/>
    <x v="0"/>
    <x v="0"/>
    <n v="39"/>
    <s v="month"/>
    <s v=""/>
    <x v="4"/>
  </r>
  <r>
    <n v="136407072"/>
    <x v="149"/>
    <x v="296"/>
    <x v="0"/>
    <n v="39"/>
    <s v="month"/>
    <n v="182"/>
    <x v="4"/>
  </r>
  <r>
    <n v="199439964"/>
    <x v="149"/>
    <x v="268"/>
    <x v="0"/>
    <n v="39"/>
    <s v="month"/>
    <n v="127"/>
    <x v="4"/>
  </r>
  <r>
    <n v="199255574"/>
    <x v="149"/>
    <x v="173"/>
    <x v="0"/>
    <n v="39"/>
    <s v="month"/>
    <n v="142"/>
    <x v="4"/>
  </r>
  <r>
    <n v="167938302"/>
    <x v="149"/>
    <x v="128"/>
    <x v="0"/>
    <n v="39"/>
    <s v="month"/>
    <n v="66"/>
    <x v="4"/>
  </r>
  <r>
    <n v="154173057"/>
    <x v="149"/>
    <x v="297"/>
    <x v="0"/>
    <n v="39"/>
    <s v="month"/>
    <n v="5"/>
    <x v="4"/>
  </r>
  <r>
    <n v="153199550"/>
    <x v="149"/>
    <x v="170"/>
    <x v="0"/>
    <n v="39"/>
    <s v="month"/>
    <n v="3"/>
    <x v="4"/>
  </r>
  <r>
    <n v="199302158"/>
    <x v="149"/>
    <x v="170"/>
    <x v="0"/>
    <n v="39"/>
    <s v="month"/>
    <n v="3"/>
    <x v="4"/>
  </r>
  <r>
    <n v="187482966"/>
    <x v="149"/>
    <x v="252"/>
    <x v="0"/>
    <n v="39"/>
    <s v="month"/>
    <n v="191"/>
    <x v="4"/>
  </r>
  <r>
    <n v="168436547"/>
    <x v="149"/>
    <x v="240"/>
    <x v="0"/>
    <n v="39"/>
    <s v="month"/>
    <n v="171"/>
    <x v="4"/>
  </r>
  <r>
    <n v="195007481"/>
    <x v="150"/>
    <x v="0"/>
    <x v="0"/>
    <n v="39"/>
    <s v="month"/>
    <s v=""/>
    <x v="5"/>
  </r>
  <r>
    <n v="181830574"/>
    <x v="150"/>
    <x v="0"/>
    <x v="0"/>
    <n v="39"/>
    <s v="month"/>
    <s v=""/>
    <x v="5"/>
  </r>
  <r>
    <n v="198691553"/>
    <x v="150"/>
    <x v="0"/>
    <x v="0"/>
    <n v="39"/>
    <s v="month"/>
    <s v=""/>
    <x v="5"/>
  </r>
  <r>
    <n v="200001674"/>
    <x v="150"/>
    <x v="178"/>
    <x v="0"/>
    <n v="39"/>
    <s v="month"/>
    <n v="117"/>
    <x v="5"/>
  </r>
  <r>
    <n v="200252155"/>
    <x v="150"/>
    <x v="298"/>
    <x v="0"/>
    <n v="39"/>
    <s v="month"/>
    <n v="127"/>
    <x v="5"/>
  </r>
  <r>
    <n v="188206991"/>
    <x v="150"/>
    <x v="299"/>
    <x v="0"/>
    <n v="39"/>
    <s v="month"/>
    <n v="76"/>
    <x v="5"/>
  </r>
  <r>
    <n v="184330352"/>
    <x v="150"/>
    <x v="300"/>
    <x v="0"/>
    <n v="39"/>
    <s v="month"/>
    <n v="89"/>
    <x v="5"/>
  </r>
  <r>
    <n v="198701510"/>
    <x v="150"/>
    <x v="286"/>
    <x v="0"/>
    <n v="39"/>
    <s v="month"/>
    <n v="74"/>
    <x v="5"/>
  </r>
  <r>
    <n v="164909402"/>
    <x v="150"/>
    <x v="188"/>
    <x v="0"/>
    <n v="39"/>
    <s v="month"/>
    <n v="27"/>
    <x v="5"/>
  </r>
  <r>
    <n v="126737063"/>
    <x v="150"/>
    <x v="63"/>
    <x v="0"/>
    <n v="39"/>
    <s v="month"/>
    <n v="199"/>
    <x v="5"/>
  </r>
  <r>
    <n v="194472898"/>
    <x v="151"/>
    <x v="0"/>
    <x v="0"/>
    <n v="39"/>
    <s v="month"/>
    <s v=""/>
    <x v="6"/>
  </r>
  <r>
    <n v="200962065"/>
    <x v="151"/>
    <x v="0"/>
    <x v="0"/>
    <n v="39"/>
    <s v="month"/>
    <s v=""/>
    <x v="6"/>
  </r>
  <r>
    <n v="196821289"/>
    <x v="151"/>
    <x v="0"/>
    <x v="0"/>
    <n v="39"/>
    <s v="month"/>
    <s v=""/>
    <x v="6"/>
  </r>
  <r>
    <n v="200867442"/>
    <x v="151"/>
    <x v="0"/>
    <x v="0"/>
    <n v="39"/>
    <s v="month"/>
    <s v=""/>
    <x v="6"/>
  </r>
  <r>
    <n v="187855576"/>
    <x v="151"/>
    <x v="0"/>
    <x v="0"/>
    <n v="39"/>
    <s v="month"/>
    <s v=""/>
    <x v="6"/>
  </r>
  <r>
    <n v="198475060"/>
    <x v="151"/>
    <x v="170"/>
    <x v="1"/>
    <n v="39"/>
    <s v="month"/>
    <n v="1"/>
    <x v="6"/>
  </r>
  <r>
    <n v="137201021"/>
    <x v="151"/>
    <x v="3"/>
    <x v="0"/>
    <n v="39"/>
    <s v="month"/>
    <n v="148"/>
    <x v="6"/>
  </r>
  <r>
    <n v="192942271"/>
    <x v="151"/>
    <x v="293"/>
    <x v="0"/>
    <n v="39"/>
    <s v="month"/>
    <n v="146"/>
    <x v="6"/>
  </r>
  <r>
    <n v="155088727"/>
    <x v="151"/>
    <x v="45"/>
    <x v="0"/>
    <n v="39"/>
    <s v="month"/>
    <n v="113"/>
    <x v="6"/>
  </r>
  <r>
    <n v="145416349"/>
    <x v="151"/>
    <x v="251"/>
    <x v="0"/>
    <n v="39"/>
    <s v="month"/>
    <n v="89"/>
    <x v="6"/>
  </r>
  <r>
    <n v="154064672"/>
    <x v="151"/>
    <x v="152"/>
    <x v="0"/>
    <n v="39"/>
    <s v="month"/>
    <n v="83"/>
    <x v="6"/>
  </r>
  <r>
    <n v="174670793"/>
    <x v="151"/>
    <x v="275"/>
    <x v="0"/>
    <n v="39"/>
    <s v="month"/>
    <n v="81"/>
    <x v="6"/>
  </r>
  <r>
    <n v="200600365"/>
    <x v="151"/>
    <x v="257"/>
    <x v="0"/>
    <n v="39"/>
    <s v="month"/>
    <n v="71"/>
    <x v="6"/>
  </r>
  <r>
    <n v="196253752"/>
    <x v="151"/>
    <x v="26"/>
    <x v="0"/>
    <n v="39"/>
    <s v="month"/>
    <n v="18"/>
    <x v="6"/>
  </r>
  <r>
    <n v="148710722"/>
    <x v="151"/>
    <x v="247"/>
    <x v="0"/>
    <n v="39"/>
    <s v="month"/>
    <n v="2"/>
    <x v="6"/>
  </r>
  <r>
    <n v="201015936"/>
    <x v="151"/>
    <x v="210"/>
    <x v="0"/>
    <n v="39"/>
    <s v="month"/>
    <n v="13"/>
    <x v="6"/>
  </r>
  <r>
    <n v="200766423"/>
    <x v="151"/>
    <x v="136"/>
    <x v="0"/>
    <n v="39"/>
    <s v="month"/>
    <n v="5"/>
    <x v="6"/>
  </r>
  <r>
    <n v="188152753"/>
    <x v="151"/>
    <x v="276"/>
    <x v="0"/>
    <n v="39"/>
    <s v="month"/>
    <n v="37"/>
    <x v="6"/>
  </r>
  <r>
    <n v="194406214"/>
    <x v="151"/>
    <x v="301"/>
    <x v="0"/>
    <n v="39"/>
    <s v="month"/>
    <n v="191"/>
    <x v="6"/>
  </r>
  <r>
    <n v="199388324"/>
    <x v="152"/>
    <x v="0"/>
    <x v="0"/>
    <n v="39"/>
    <s v="month"/>
    <s v=""/>
    <x v="0"/>
  </r>
  <r>
    <n v="202030516"/>
    <x v="152"/>
    <x v="0"/>
    <x v="0"/>
    <n v="39"/>
    <s v="month"/>
    <s v=""/>
    <x v="0"/>
  </r>
  <r>
    <n v="196926212"/>
    <x v="152"/>
    <x v="0"/>
    <x v="0"/>
    <n v="39"/>
    <s v="month"/>
    <s v=""/>
    <x v="0"/>
  </r>
  <r>
    <n v="199374328"/>
    <x v="152"/>
    <x v="241"/>
    <x v="0"/>
    <n v="39"/>
    <s v="month"/>
    <n v="154"/>
    <x v="0"/>
  </r>
  <r>
    <n v="201313318"/>
    <x v="152"/>
    <x v="159"/>
    <x v="0"/>
    <n v="39"/>
    <s v="month"/>
    <n v="117"/>
    <x v="0"/>
  </r>
  <r>
    <n v="200960179"/>
    <x v="152"/>
    <x v="285"/>
    <x v="0"/>
    <n v="39"/>
    <s v="month"/>
    <n v="118"/>
    <x v="0"/>
  </r>
  <r>
    <n v="180890046"/>
    <x v="152"/>
    <x v="267"/>
    <x v="0"/>
    <n v="39"/>
    <s v="month"/>
    <n v="114"/>
    <x v="0"/>
  </r>
  <r>
    <n v="159227956"/>
    <x v="152"/>
    <x v="96"/>
    <x v="0"/>
    <n v="39"/>
    <s v="month"/>
    <n v="96"/>
    <x v="0"/>
  </r>
  <r>
    <n v="182325407"/>
    <x v="152"/>
    <x v="145"/>
    <x v="0"/>
    <n v="39"/>
    <s v="month"/>
    <n v="60"/>
    <x v="0"/>
  </r>
  <r>
    <n v="194828965"/>
    <x v="152"/>
    <x v="146"/>
    <x v="0"/>
    <n v="39"/>
    <s v="month"/>
    <n v="59"/>
    <x v="0"/>
  </r>
  <r>
    <n v="202139613"/>
    <x v="152"/>
    <x v="70"/>
    <x v="0"/>
    <n v="39"/>
    <s v="month"/>
    <n v="32"/>
    <x v="0"/>
  </r>
  <r>
    <n v="202137510"/>
    <x v="152"/>
    <x v="276"/>
    <x v="0"/>
    <n v="39"/>
    <s v="month"/>
    <n v="36"/>
    <x v="0"/>
  </r>
  <r>
    <n v="201182176"/>
    <x v="152"/>
    <x v="161"/>
    <x v="0"/>
    <n v="39"/>
    <s v="month"/>
    <n v="28"/>
    <x v="0"/>
  </r>
  <r>
    <n v="202010803"/>
    <x v="152"/>
    <x v="50"/>
    <x v="0"/>
    <n v="39"/>
    <s v="month"/>
    <n v="27"/>
    <x v="0"/>
  </r>
  <r>
    <n v="131734107"/>
    <x v="153"/>
    <x v="302"/>
    <x v="0"/>
    <n v="39"/>
    <s v="month"/>
    <n v="212"/>
    <x v="1"/>
  </r>
  <r>
    <n v="202277130"/>
    <x v="153"/>
    <x v="16"/>
    <x v="0"/>
    <n v="39"/>
    <s v="month"/>
    <n v="57"/>
    <x v="1"/>
  </r>
  <r>
    <n v="137196428"/>
    <x v="153"/>
    <x v="162"/>
    <x v="0"/>
    <n v="39"/>
    <s v="month"/>
    <n v="34"/>
    <x v="1"/>
  </r>
  <r>
    <n v="153568282"/>
    <x v="153"/>
    <x v="165"/>
    <x v="0"/>
    <n v="39"/>
    <s v="month"/>
    <n v="13"/>
    <x v="1"/>
  </r>
  <r>
    <n v="199895190"/>
    <x v="153"/>
    <x v="32"/>
    <x v="0"/>
    <n v="39"/>
    <s v="month"/>
    <n v="38"/>
    <x v="1"/>
  </r>
  <r>
    <n v="200894076"/>
    <x v="153"/>
    <x v="292"/>
    <x v="0"/>
    <n v="39"/>
    <s v="month"/>
    <n v="55"/>
    <x v="1"/>
  </r>
  <r>
    <n v="201162862"/>
    <x v="153"/>
    <x v="276"/>
    <x v="0"/>
    <n v="39"/>
    <s v="month"/>
    <n v="35"/>
    <x v="1"/>
  </r>
  <r>
    <n v="198748705"/>
    <x v="153"/>
    <x v="208"/>
    <x v="0"/>
    <n v="39"/>
    <s v="month"/>
    <n v="51"/>
    <x v="1"/>
  </r>
  <r>
    <n v="202308735"/>
    <x v="153"/>
    <x v="190"/>
    <x v="0"/>
    <n v="39"/>
    <s v="month"/>
    <n v="199"/>
    <x v="1"/>
  </r>
  <r>
    <n v="202276540"/>
    <x v="153"/>
    <x v="244"/>
    <x v="0"/>
    <n v="39"/>
    <s v="month"/>
    <n v="150"/>
    <x v="1"/>
  </r>
  <r>
    <n v="202401357"/>
    <x v="154"/>
    <x v="0"/>
    <x v="0"/>
    <n v="39"/>
    <s v="month"/>
    <s v=""/>
    <x v="2"/>
  </r>
  <r>
    <n v="184539258"/>
    <x v="154"/>
    <x v="101"/>
    <x v="0"/>
    <n v="39"/>
    <s v="month"/>
    <n v="87"/>
    <x v="2"/>
  </r>
  <r>
    <n v="202349754"/>
    <x v="154"/>
    <x v="4"/>
    <x v="0"/>
    <n v="39"/>
    <s v="month"/>
    <n v="93"/>
    <x v="2"/>
  </r>
  <r>
    <n v="202410436"/>
    <x v="154"/>
    <x v="264"/>
    <x v="0"/>
    <n v="39"/>
    <s v="month"/>
    <n v="21"/>
    <x v="2"/>
  </r>
  <r>
    <n v="197151544"/>
    <x v="154"/>
    <x v="233"/>
    <x v="0"/>
    <n v="39"/>
    <s v="month"/>
    <n v="45"/>
    <x v="2"/>
  </r>
  <r>
    <n v="202305934"/>
    <x v="154"/>
    <x v="277"/>
    <x v="0"/>
    <n v="39"/>
    <s v="month"/>
    <n v="43"/>
    <x v="2"/>
  </r>
  <r>
    <n v="202304812"/>
    <x v="155"/>
    <x v="0"/>
    <x v="0"/>
    <n v="39"/>
    <s v="month"/>
    <s v=""/>
    <x v="3"/>
  </r>
  <r>
    <n v="160030890"/>
    <x v="155"/>
    <x v="0"/>
    <x v="0"/>
    <n v="39"/>
    <s v="month"/>
    <s v=""/>
    <x v="3"/>
  </r>
  <r>
    <n v="202524608"/>
    <x v="155"/>
    <x v="0"/>
    <x v="0"/>
    <n v="39"/>
    <s v="month"/>
    <s v=""/>
    <x v="3"/>
  </r>
  <r>
    <n v="198447368"/>
    <x v="155"/>
    <x v="0"/>
    <x v="0"/>
    <n v="39"/>
    <s v="month"/>
    <s v=""/>
    <x v="3"/>
  </r>
  <r>
    <n v="202458624"/>
    <x v="155"/>
    <x v="0"/>
    <x v="0"/>
    <n v="39"/>
    <s v="month"/>
    <s v=""/>
    <x v="3"/>
  </r>
  <r>
    <n v="132256211"/>
    <x v="155"/>
    <x v="33"/>
    <x v="0"/>
    <n v="39"/>
    <s v="month"/>
    <n v="35"/>
    <x v="3"/>
  </r>
  <r>
    <n v="202504135"/>
    <x v="155"/>
    <x v="303"/>
    <x v="0"/>
    <n v="39"/>
    <s v="month"/>
    <n v="127"/>
    <x v="3"/>
  </r>
  <r>
    <n v="192182455"/>
    <x v="155"/>
    <x v="274"/>
    <x v="0"/>
    <n v="39"/>
    <s v="month"/>
    <n v="90"/>
    <x v="3"/>
  </r>
  <r>
    <n v="202505276"/>
    <x v="155"/>
    <x v="218"/>
    <x v="0"/>
    <n v="39"/>
    <s v="month"/>
    <n v="37"/>
    <x v="3"/>
  </r>
  <r>
    <n v="152050632"/>
    <x v="156"/>
    <x v="0"/>
    <x v="0"/>
    <n v="39"/>
    <s v="month"/>
    <s v=""/>
    <x v="4"/>
  </r>
  <r>
    <n v="201313284"/>
    <x v="156"/>
    <x v="0"/>
    <x v="0"/>
    <n v="39"/>
    <s v="month"/>
    <s v=""/>
    <x v="4"/>
  </r>
  <r>
    <n v="202118292"/>
    <x v="156"/>
    <x v="0"/>
    <x v="0"/>
    <n v="39"/>
    <s v="month"/>
    <s v=""/>
    <x v="4"/>
  </r>
  <r>
    <n v="202298964"/>
    <x v="156"/>
    <x v="0"/>
    <x v="0"/>
    <n v="39"/>
    <s v="month"/>
    <s v=""/>
    <x v="4"/>
  </r>
  <r>
    <n v="202496216"/>
    <x v="156"/>
    <x v="0"/>
    <x v="0"/>
    <n v="39"/>
    <s v="month"/>
    <s v=""/>
    <x v="4"/>
  </r>
  <r>
    <n v="152354478"/>
    <x v="156"/>
    <x v="0"/>
    <x v="0"/>
    <n v="39"/>
    <s v="month"/>
    <s v=""/>
    <x v="4"/>
  </r>
  <r>
    <n v="200490112"/>
    <x v="156"/>
    <x v="201"/>
    <x v="1"/>
    <n v="39"/>
    <s v="month"/>
    <n v="1"/>
    <x v="4"/>
  </r>
  <r>
    <n v="131310280"/>
    <x v="156"/>
    <x v="280"/>
    <x v="0"/>
    <n v="39"/>
    <s v="month"/>
    <n v="11"/>
    <x v="4"/>
  </r>
  <r>
    <n v="154161250"/>
    <x v="156"/>
    <x v="233"/>
    <x v="0"/>
    <n v="39"/>
    <s v="month"/>
    <n v="43"/>
    <x v="4"/>
  </r>
  <r>
    <n v="150521180"/>
    <x v="156"/>
    <x v="304"/>
    <x v="0"/>
    <n v="39"/>
    <s v="month"/>
    <n v="119"/>
    <x v="4"/>
  </r>
  <r>
    <n v="195280988"/>
    <x v="156"/>
    <x v="173"/>
    <x v="0"/>
    <n v="39"/>
    <s v="month"/>
    <n v="135"/>
    <x v="4"/>
  </r>
  <r>
    <n v="201231494"/>
    <x v="156"/>
    <x v="96"/>
    <x v="0"/>
    <n v="39"/>
    <s v="month"/>
    <n v="92"/>
    <x v="4"/>
  </r>
  <r>
    <n v="199554496"/>
    <x v="156"/>
    <x v="35"/>
    <x v="0"/>
    <n v="39"/>
    <s v="month"/>
    <n v="2"/>
    <x v="4"/>
  </r>
  <r>
    <n v="125747106"/>
    <x v="156"/>
    <x v="250"/>
    <x v="0"/>
    <n v="39"/>
    <s v="month"/>
    <n v="26"/>
    <x v="4"/>
  </r>
  <r>
    <n v="195345030"/>
    <x v="156"/>
    <x v="250"/>
    <x v="0"/>
    <n v="39"/>
    <s v="month"/>
    <n v="26"/>
    <x v="4"/>
  </r>
  <r>
    <n v="202269874"/>
    <x v="156"/>
    <x v="120"/>
    <x v="0"/>
    <n v="39"/>
    <s v="month"/>
    <n v="47"/>
    <x v="4"/>
  </r>
  <r>
    <n v="191036527"/>
    <x v="156"/>
    <x v="191"/>
    <x v="0"/>
    <n v="39"/>
    <s v="month"/>
    <n v="29"/>
    <x v="4"/>
  </r>
  <r>
    <n v="202633556"/>
    <x v="156"/>
    <x v="46"/>
    <x v="0"/>
    <n v="39"/>
    <s v="month"/>
    <n v="16"/>
    <x v="4"/>
  </r>
  <r>
    <n v="202750328"/>
    <x v="156"/>
    <x v="305"/>
    <x v="0"/>
    <n v="39"/>
    <s v="month"/>
    <n v="177"/>
    <x v="4"/>
  </r>
  <r>
    <n v="192781688"/>
    <x v="157"/>
    <x v="0"/>
    <x v="0"/>
    <n v="39"/>
    <s v="month"/>
    <s v=""/>
    <x v="5"/>
  </r>
  <r>
    <n v="196859472"/>
    <x v="157"/>
    <x v="0"/>
    <x v="0"/>
    <n v="39"/>
    <s v="month"/>
    <s v=""/>
    <x v="5"/>
  </r>
  <r>
    <n v="200333728"/>
    <x v="157"/>
    <x v="0"/>
    <x v="0"/>
    <n v="39"/>
    <s v="month"/>
    <s v=""/>
    <x v="5"/>
  </r>
  <r>
    <n v="129896329"/>
    <x v="157"/>
    <x v="0"/>
    <x v="0"/>
    <n v="39"/>
    <s v="month"/>
    <s v=""/>
    <x v="5"/>
  </r>
  <r>
    <n v="168202891"/>
    <x v="157"/>
    <x v="201"/>
    <x v="1"/>
    <n v="39"/>
    <s v="month"/>
    <n v="0"/>
    <x v="5"/>
  </r>
  <r>
    <n v="202924219"/>
    <x v="157"/>
    <x v="177"/>
    <x v="0"/>
    <n v="39"/>
    <s v="month"/>
    <n v="133"/>
    <x v="5"/>
  </r>
  <r>
    <n v="202863670"/>
    <x v="157"/>
    <x v="122"/>
    <x v="0"/>
    <n v="39"/>
    <s v="month"/>
    <n v="66"/>
    <x v="5"/>
  </r>
  <r>
    <n v="202398629"/>
    <x v="157"/>
    <x v="70"/>
    <x v="0"/>
    <n v="39"/>
    <s v="month"/>
    <n v="27"/>
    <x v="5"/>
  </r>
  <r>
    <n v="188448878"/>
    <x v="157"/>
    <x v="201"/>
    <x v="0"/>
    <n v="39"/>
    <s v="month"/>
    <n v="0"/>
    <x v="5"/>
  </r>
  <r>
    <n v="203254948"/>
    <x v="158"/>
    <x v="0"/>
    <x v="0"/>
    <n v="39"/>
    <s v="month"/>
    <s v=""/>
    <x v="6"/>
  </r>
  <r>
    <n v="203120229"/>
    <x v="158"/>
    <x v="306"/>
    <x v="0"/>
    <n v="39"/>
    <s v="month"/>
    <n v="129"/>
    <x v="6"/>
  </r>
  <r>
    <n v="203225874"/>
    <x v="158"/>
    <x v="243"/>
    <x v="0"/>
    <n v="39"/>
    <s v="month"/>
    <n v="85"/>
    <x v="6"/>
  </r>
  <r>
    <n v="203107308"/>
    <x v="158"/>
    <x v="58"/>
    <x v="0"/>
    <n v="39"/>
    <s v="month"/>
    <n v="97"/>
    <x v="6"/>
  </r>
  <r>
    <n v="156558244"/>
    <x v="158"/>
    <x v="296"/>
    <x v="0"/>
    <n v="39"/>
    <s v="month"/>
    <n v="173"/>
    <x v="6"/>
  </r>
  <r>
    <n v="194306726"/>
    <x v="158"/>
    <x v="50"/>
    <x v="0"/>
    <n v="39"/>
    <s v="month"/>
    <n v="21"/>
    <x v="6"/>
  </r>
  <r>
    <n v="202410948"/>
    <x v="158"/>
    <x v="142"/>
    <x v="0"/>
    <n v="39"/>
    <s v="month"/>
    <n v="35"/>
    <x v="6"/>
  </r>
  <r>
    <n v="203166018"/>
    <x v="158"/>
    <x v="278"/>
    <x v="0"/>
    <n v="39"/>
    <s v="month"/>
    <n v="28"/>
    <x v="6"/>
  </r>
  <r>
    <n v="203116697"/>
    <x v="158"/>
    <x v="78"/>
    <x v="0"/>
    <n v="39"/>
    <s v="month"/>
    <n v="43"/>
    <x v="6"/>
  </r>
  <r>
    <n v="202982608"/>
    <x v="158"/>
    <x v="161"/>
    <x v="0"/>
    <n v="39"/>
    <s v="month"/>
    <n v="22"/>
    <x v="6"/>
  </r>
  <r>
    <n v="198167700"/>
    <x v="158"/>
    <x v="254"/>
    <x v="0"/>
    <n v="39"/>
    <s v="month"/>
    <n v="3"/>
    <x v="6"/>
  </r>
  <r>
    <n v="190567582"/>
    <x v="158"/>
    <x v="46"/>
    <x v="0"/>
    <n v="39"/>
    <s v="month"/>
    <n v="14"/>
    <x v="6"/>
  </r>
  <r>
    <n v="202699972"/>
    <x v="158"/>
    <x v="307"/>
    <x v="0"/>
    <n v="39"/>
    <s v="month"/>
    <n v="180"/>
    <x v="6"/>
  </r>
  <r>
    <n v="203242766"/>
    <x v="159"/>
    <x v="0"/>
    <x v="0"/>
    <n v="39"/>
    <s v="month"/>
    <s v=""/>
    <x v="0"/>
  </r>
  <r>
    <n v="203398103"/>
    <x v="159"/>
    <x v="0"/>
    <x v="0"/>
    <n v="39"/>
    <s v="month"/>
    <s v=""/>
    <x v="0"/>
  </r>
  <r>
    <n v="203243685"/>
    <x v="159"/>
    <x v="0"/>
    <x v="0"/>
    <n v="39"/>
    <s v="month"/>
    <s v=""/>
    <x v="0"/>
  </r>
  <r>
    <n v="203370322"/>
    <x v="159"/>
    <x v="0"/>
    <x v="0"/>
    <n v="39"/>
    <s v="month"/>
    <s v=""/>
    <x v="0"/>
  </r>
  <r>
    <n v="138689458"/>
    <x v="159"/>
    <x v="0"/>
    <x v="0"/>
    <n v="39"/>
    <s v="month"/>
    <s v=""/>
    <x v="0"/>
  </r>
  <r>
    <n v="203315186"/>
    <x v="159"/>
    <x v="0"/>
    <x v="0"/>
    <n v="39"/>
    <s v="month"/>
    <s v=""/>
    <x v="0"/>
  </r>
  <r>
    <n v="203292575"/>
    <x v="159"/>
    <x v="0"/>
    <x v="0"/>
    <n v="39"/>
    <s v="month"/>
    <s v=""/>
    <x v="0"/>
  </r>
  <r>
    <n v="144830936"/>
    <x v="159"/>
    <x v="91"/>
    <x v="0"/>
    <n v="39"/>
    <s v="month"/>
    <n v="1"/>
    <x v="0"/>
  </r>
  <r>
    <n v="168980588"/>
    <x v="159"/>
    <x v="219"/>
    <x v="1"/>
    <n v="39"/>
    <s v="month"/>
    <n v="0"/>
    <x v="0"/>
  </r>
  <r>
    <n v="136832520"/>
    <x v="159"/>
    <x v="276"/>
    <x v="0"/>
    <n v="39"/>
    <s v="month"/>
    <n v="29"/>
    <x v="0"/>
  </r>
  <r>
    <n v="202103959"/>
    <x v="159"/>
    <x v="267"/>
    <x v="0"/>
    <n v="39"/>
    <s v="month"/>
    <n v="107"/>
    <x v="0"/>
  </r>
  <r>
    <n v="148764147"/>
    <x v="159"/>
    <x v="239"/>
    <x v="0"/>
    <n v="39"/>
    <s v="month"/>
    <n v="58"/>
    <x v="0"/>
  </r>
  <r>
    <n v="182748610"/>
    <x v="159"/>
    <x v="246"/>
    <x v="0"/>
    <n v="39"/>
    <s v="month"/>
    <n v="61"/>
    <x v="0"/>
  </r>
  <r>
    <n v="197883626"/>
    <x v="159"/>
    <x v="220"/>
    <x v="0"/>
    <n v="39"/>
    <s v="month"/>
    <n v="35"/>
    <x v="0"/>
  </r>
  <r>
    <n v="195893842"/>
    <x v="159"/>
    <x v="271"/>
    <x v="0"/>
    <n v="39"/>
    <s v="month"/>
    <n v="19"/>
    <x v="0"/>
  </r>
  <r>
    <n v="169081778"/>
    <x v="159"/>
    <x v="55"/>
    <x v="0"/>
    <n v="39"/>
    <s v="month"/>
    <n v="188"/>
    <x v="0"/>
  </r>
  <r>
    <n v="150422738"/>
    <x v="160"/>
    <x v="254"/>
    <x v="0"/>
    <n v="39"/>
    <s v="month"/>
    <n v="1"/>
    <x v="1"/>
  </r>
  <r>
    <n v="190839721"/>
    <x v="160"/>
    <x v="137"/>
    <x v="0"/>
    <n v="39"/>
    <s v="month"/>
    <n v="35"/>
    <x v="1"/>
  </r>
  <r>
    <n v="152193617"/>
    <x v="161"/>
    <x v="0"/>
    <x v="0"/>
    <n v="39"/>
    <s v="month"/>
    <s v=""/>
    <x v="2"/>
  </r>
  <r>
    <n v="133869989"/>
    <x v="161"/>
    <x v="153"/>
    <x v="0"/>
    <n v="39"/>
    <s v="month"/>
    <n v="1"/>
    <x v="2"/>
  </r>
  <r>
    <n v="186843516"/>
    <x v="161"/>
    <x v="185"/>
    <x v="0"/>
    <n v="39"/>
    <s v="month"/>
    <n v="67"/>
    <x v="2"/>
  </r>
  <r>
    <n v="138913080"/>
    <x v="161"/>
    <x v="248"/>
    <x v="0"/>
    <n v="39"/>
    <s v="month"/>
    <n v="70"/>
    <x v="2"/>
  </r>
  <r>
    <n v="134879280"/>
    <x v="161"/>
    <x v="191"/>
    <x v="0"/>
    <n v="39"/>
    <s v="month"/>
    <n v="24"/>
    <x v="2"/>
  </r>
  <r>
    <n v="160878134"/>
    <x v="162"/>
    <x v="0"/>
    <x v="0"/>
    <n v="39"/>
    <s v="month"/>
    <s v=""/>
    <x v="4"/>
  </r>
  <r>
    <n v="144423338"/>
    <x v="162"/>
    <x v="190"/>
    <x v="0"/>
    <n v="39"/>
    <s v="month"/>
    <n v="189"/>
    <x v="4"/>
  </r>
  <r>
    <n v="136218542"/>
    <x v="162"/>
    <x v="174"/>
    <x v="0"/>
    <n v="39"/>
    <s v="month"/>
    <n v="89"/>
    <x v="4"/>
  </r>
  <r>
    <n v="204121686"/>
    <x v="162"/>
    <x v="303"/>
    <x v="0"/>
    <n v="39"/>
    <s v="month"/>
    <n v="119"/>
    <x v="4"/>
  </r>
  <r>
    <n v="204114138"/>
    <x v="162"/>
    <x v="15"/>
    <x v="0"/>
    <n v="39"/>
    <s v="month"/>
    <n v="86"/>
    <x v="4"/>
  </r>
  <r>
    <n v="152197442"/>
    <x v="162"/>
    <x v="32"/>
    <x v="0"/>
    <n v="39"/>
    <s v="month"/>
    <n v="28"/>
    <x v="4"/>
  </r>
  <r>
    <n v="151695881"/>
    <x v="162"/>
    <x v="95"/>
    <x v="0"/>
    <n v="39"/>
    <s v="month"/>
    <n v="42"/>
    <x v="4"/>
  </r>
  <r>
    <n v="204378294"/>
    <x v="163"/>
    <x v="0"/>
    <x v="0"/>
    <n v="39"/>
    <s v="month"/>
    <s v=""/>
    <x v="5"/>
  </r>
  <r>
    <n v="204376665"/>
    <x v="163"/>
    <x v="0"/>
    <x v="0"/>
    <n v="39"/>
    <s v="month"/>
    <s v=""/>
    <x v="5"/>
  </r>
  <r>
    <n v="204270637"/>
    <x v="163"/>
    <x v="0"/>
    <x v="0"/>
    <n v="39"/>
    <s v="month"/>
    <s v=""/>
    <x v="5"/>
  </r>
  <r>
    <n v="204380751"/>
    <x v="163"/>
    <x v="210"/>
    <x v="0"/>
    <n v="39"/>
    <s v="month"/>
    <n v="0"/>
    <x v="5"/>
  </r>
  <r>
    <n v="204402989"/>
    <x v="163"/>
    <x v="308"/>
    <x v="0"/>
    <n v="39"/>
    <s v="month"/>
    <n v="114"/>
    <x v="5"/>
  </r>
  <r>
    <n v="203403136"/>
    <x v="163"/>
    <x v="303"/>
    <x v="0"/>
    <n v="39"/>
    <s v="month"/>
    <n v="118"/>
    <x v="5"/>
  </r>
  <r>
    <n v="198453918"/>
    <x v="163"/>
    <x v="237"/>
    <x v="0"/>
    <n v="39"/>
    <s v="month"/>
    <n v="90"/>
    <x v="5"/>
  </r>
  <r>
    <n v="133514912"/>
    <x v="163"/>
    <x v="191"/>
    <x v="0"/>
    <n v="39"/>
    <s v="month"/>
    <n v="21"/>
    <x v="5"/>
  </r>
  <r>
    <n v="203414698"/>
    <x v="163"/>
    <x v="208"/>
    <x v="0"/>
    <n v="39"/>
    <s v="month"/>
    <n v="40"/>
    <x v="5"/>
  </r>
  <r>
    <n v="190400854"/>
    <x v="163"/>
    <x v="240"/>
    <x v="0"/>
    <n v="39"/>
    <s v="month"/>
    <n v="156"/>
    <x v="5"/>
  </r>
  <r>
    <n v="204114797"/>
    <x v="163"/>
    <x v="180"/>
    <x v="0"/>
    <n v="39"/>
    <s v="month"/>
    <n v="124"/>
    <x v="5"/>
  </r>
  <r>
    <n v="202377942"/>
    <x v="164"/>
    <x v="0"/>
    <x v="0"/>
    <n v="39"/>
    <s v="month"/>
    <s v=""/>
    <x v="6"/>
  </r>
  <r>
    <n v="204555612"/>
    <x v="164"/>
    <x v="59"/>
    <x v="1"/>
    <n v="39"/>
    <s v="month"/>
    <n v="0"/>
    <x v="6"/>
  </r>
  <r>
    <n v="204556376"/>
    <x v="164"/>
    <x v="59"/>
    <x v="1"/>
    <n v="39"/>
    <s v="month"/>
    <n v="0"/>
    <x v="6"/>
  </r>
  <r>
    <n v="204515997"/>
    <x v="164"/>
    <x v="69"/>
    <x v="0"/>
    <n v="39"/>
    <s v="month"/>
    <n v="119"/>
    <x v="6"/>
  </r>
  <r>
    <n v="153342734"/>
    <x v="164"/>
    <x v="223"/>
    <x v="0"/>
    <n v="39"/>
    <s v="month"/>
    <n v="35"/>
    <x v="6"/>
  </r>
  <r>
    <n v="204650391"/>
    <x v="165"/>
    <x v="0"/>
    <x v="0"/>
    <n v="39"/>
    <s v="month"/>
    <s v=""/>
    <x v="0"/>
  </r>
  <r>
    <n v="150906486"/>
    <x v="165"/>
    <x v="137"/>
    <x v="0"/>
    <n v="39"/>
    <s v="month"/>
    <n v="29"/>
    <x v="0"/>
  </r>
  <r>
    <n v="153961940"/>
    <x v="165"/>
    <x v="165"/>
    <x v="0"/>
    <n v="39"/>
    <s v="month"/>
    <n v="0"/>
    <x v="0"/>
  </r>
  <r>
    <n v="154175766"/>
    <x v="165"/>
    <x v="142"/>
    <x v="0"/>
    <n v="39"/>
    <s v="month"/>
    <n v="27"/>
    <x v="0"/>
  </r>
  <r>
    <n v="204631298"/>
    <x v="165"/>
    <x v="299"/>
    <x v="0"/>
    <n v="39"/>
    <s v="month"/>
    <n v="60"/>
    <x v="0"/>
  </r>
  <r>
    <n v="195534585"/>
    <x v="165"/>
    <x v="122"/>
    <x v="0"/>
    <n v="39"/>
    <s v="month"/>
    <n v="57"/>
    <x v="0"/>
  </r>
  <r>
    <n v="176421166"/>
    <x v="165"/>
    <x v="122"/>
    <x v="0"/>
    <n v="39"/>
    <s v="month"/>
    <n v="57"/>
    <x v="0"/>
  </r>
  <r>
    <n v="204679416"/>
    <x v="165"/>
    <x v="137"/>
    <x v="0"/>
    <n v="39"/>
    <s v="month"/>
    <n v="29"/>
    <x v="0"/>
  </r>
  <r>
    <n v="204448721"/>
    <x v="165"/>
    <x v="198"/>
    <x v="0"/>
    <n v="39"/>
    <s v="month"/>
    <n v="2"/>
    <x v="0"/>
  </r>
  <r>
    <n v="151908347"/>
    <x v="165"/>
    <x v="180"/>
    <x v="0"/>
    <n v="39"/>
    <s v="month"/>
    <n v="122"/>
    <x v="0"/>
  </r>
  <r>
    <n v="150652956"/>
    <x v="166"/>
    <x v="198"/>
    <x v="0"/>
    <n v="39"/>
    <s v="month"/>
    <n v="1"/>
    <x v="1"/>
  </r>
  <r>
    <n v="183321644"/>
    <x v="166"/>
    <x v="280"/>
    <x v="1"/>
    <n v="39"/>
    <s v="month"/>
    <n v="0"/>
    <x v="1"/>
  </r>
  <r>
    <n v="204740476"/>
    <x v="166"/>
    <x v="218"/>
    <x v="1"/>
    <n v="39"/>
    <s v="month"/>
    <n v="25"/>
    <x v="1"/>
  </r>
  <r>
    <n v="204439086"/>
    <x v="166"/>
    <x v="291"/>
    <x v="0"/>
    <n v="39"/>
    <s v="month"/>
    <n v="119"/>
    <x v="1"/>
  </r>
  <r>
    <n v="204685109"/>
    <x v="166"/>
    <x v="309"/>
    <x v="0"/>
    <n v="39"/>
    <s v="month"/>
    <n v="95"/>
    <x v="1"/>
  </r>
  <r>
    <n v="175211528"/>
    <x v="166"/>
    <x v="184"/>
    <x v="0"/>
    <n v="39"/>
    <s v="month"/>
    <n v="6"/>
    <x v="1"/>
  </r>
  <r>
    <n v="204646698"/>
    <x v="166"/>
    <x v="280"/>
    <x v="0"/>
    <n v="39"/>
    <s v="month"/>
    <n v="0"/>
    <x v="1"/>
  </r>
  <r>
    <n v="204728203"/>
    <x v="166"/>
    <x v="310"/>
    <x v="0"/>
    <n v="39"/>
    <s v="month"/>
    <n v="170"/>
    <x v="1"/>
  </r>
  <r>
    <n v="166674547"/>
    <x v="166"/>
    <x v="311"/>
    <x v="0"/>
    <n v="39"/>
    <s v="month"/>
    <n v="125"/>
    <x v="1"/>
  </r>
  <r>
    <n v="202459470"/>
    <x v="167"/>
    <x v="0"/>
    <x v="0"/>
    <n v="39"/>
    <s v="month"/>
    <s v=""/>
    <x v="2"/>
  </r>
  <r>
    <n v="155508761"/>
    <x v="167"/>
    <x v="0"/>
    <x v="0"/>
    <n v="39"/>
    <s v="month"/>
    <s v=""/>
    <x v="2"/>
  </r>
  <r>
    <n v="168484421"/>
    <x v="167"/>
    <x v="198"/>
    <x v="1"/>
    <n v="39"/>
    <s v="month"/>
    <n v="0"/>
    <x v="2"/>
  </r>
  <r>
    <n v="130864124"/>
    <x v="167"/>
    <x v="26"/>
    <x v="0"/>
    <n v="39"/>
    <s v="month"/>
    <n v="1"/>
    <x v="2"/>
  </r>
  <r>
    <n v="204752959"/>
    <x v="167"/>
    <x v="312"/>
    <x v="0"/>
    <n v="39"/>
    <s v="month"/>
    <n v="127"/>
    <x v="2"/>
  </r>
  <r>
    <n v="204761235"/>
    <x v="167"/>
    <x v="258"/>
    <x v="0"/>
    <n v="39"/>
    <s v="month"/>
    <n v="88"/>
    <x v="2"/>
  </r>
  <r>
    <n v="159142615"/>
    <x v="167"/>
    <x v="178"/>
    <x v="0"/>
    <n v="39"/>
    <s v="month"/>
    <n v="99"/>
    <x v="2"/>
  </r>
  <r>
    <n v="204753316"/>
    <x v="167"/>
    <x v="120"/>
    <x v="0"/>
    <n v="39"/>
    <s v="month"/>
    <n v="35"/>
    <x v="2"/>
  </r>
  <r>
    <n v="195188483"/>
    <x v="168"/>
    <x v="0"/>
    <x v="0"/>
    <n v="39"/>
    <s v="month"/>
    <s v=""/>
    <x v="3"/>
  </r>
  <r>
    <n v="204773056"/>
    <x v="168"/>
    <x v="0"/>
    <x v="0"/>
    <n v="39"/>
    <s v="month"/>
    <s v=""/>
    <x v="3"/>
  </r>
  <r>
    <n v="204814698"/>
    <x v="168"/>
    <x v="313"/>
    <x v="0"/>
    <n v="39"/>
    <s v="month"/>
    <n v="184"/>
    <x v="3"/>
  </r>
  <r>
    <n v="204732463"/>
    <x v="168"/>
    <x v="303"/>
    <x v="0"/>
    <n v="39"/>
    <s v="month"/>
    <n v="113"/>
    <x v="3"/>
  </r>
  <r>
    <n v="204772360"/>
    <x v="168"/>
    <x v="256"/>
    <x v="0"/>
    <n v="39"/>
    <s v="month"/>
    <n v="58"/>
    <x v="3"/>
  </r>
  <r>
    <n v="204812582"/>
    <x v="168"/>
    <x v="114"/>
    <x v="0"/>
    <n v="39"/>
    <s v="month"/>
    <n v="47"/>
    <x v="3"/>
  </r>
  <r>
    <n v="204662556"/>
    <x v="168"/>
    <x v="146"/>
    <x v="0"/>
    <n v="39"/>
    <s v="month"/>
    <n v="42"/>
    <x v="3"/>
  </r>
  <r>
    <n v="163781430"/>
    <x v="168"/>
    <x v="287"/>
    <x v="0"/>
    <n v="39"/>
    <s v="month"/>
    <n v="66"/>
    <x v="3"/>
  </r>
  <r>
    <n v="143963064"/>
    <x v="168"/>
    <x v="314"/>
    <x v="0"/>
    <n v="39"/>
    <s v="month"/>
    <n v="149"/>
    <x v="3"/>
  </r>
  <r>
    <n v="204797166"/>
    <x v="168"/>
    <x v="70"/>
    <x v="0"/>
    <n v="39"/>
    <s v="month"/>
    <n v="15"/>
    <x v="3"/>
  </r>
  <r>
    <n v="204774421"/>
    <x v="168"/>
    <x v="218"/>
    <x v="0"/>
    <n v="39"/>
    <s v="month"/>
    <n v="23"/>
    <x v="3"/>
  </r>
  <r>
    <n v="204801675"/>
    <x v="168"/>
    <x v="223"/>
    <x v="0"/>
    <n v="39"/>
    <s v="month"/>
    <n v="31"/>
    <x v="3"/>
  </r>
  <r>
    <n v="204518099"/>
    <x v="168"/>
    <x v="202"/>
    <x v="0"/>
    <n v="39"/>
    <s v="month"/>
    <n v="5"/>
    <x v="3"/>
  </r>
  <r>
    <n v="204814320"/>
    <x v="169"/>
    <x v="0"/>
    <x v="0"/>
    <n v="39"/>
    <s v="month"/>
    <s v=""/>
    <x v="4"/>
  </r>
  <r>
    <n v="126851221"/>
    <x v="169"/>
    <x v="0"/>
    <x v="0"/>
    <n v="39"/>
    <s v="month"/>
    <s v=""/>
    <x v="4"/>
  </r>
  <r>
    <n v="204845935"/>
    <x v="169"/>
    <x v="0"/>
    <x v="0"/>
    <n v="39"/>
    <s v="month"/>
    <s v=""/>
    <x v="4"/>
  </r>
  <r>
    <n v="122215146"/>
    <x v="169"/>
    <x v="56"/>
    <x v="0"/>
    <n v="39"/>
    <s v="month"/>
    <n v="1"/>
    <x v="4"/>
  </r>
  <r>
    <n v="147300748"/>
    <x v="169"/>
    <x v="315"/>
    <x v="0"/>
    <n v="39"/>
    <s v="month"/>
    <n v="142"/>
    <x v="4"/>
  </r>
  <r>
    <n v="162596645"/>
    <x v="169"/>
    <x v="99"/>
    <x v="0"/>
    <n v="39"/>
    <s v="month"/>
    <n v="128"/>
    <x v="4"/>
  </r>
  <r>
    <n v="177666771"/>
    <x v="169"/>
    <x v="303"/>
    <x v="0"/>
    <n v="39"/>
    <s v="month"/>
    <n v="112"/>
    <x v="4"/>
  </r>
  <r>
    <n v="204884248"/>
    <x v="169"/>
    <x v="101"/>
    <x v="0"/>
    <n v="39"/>
    <s v="month"/>
    <n v="71"/>
    <x v="4"/>
  </r>
  <r>
    <n v="204826054"/>
    <x v="169"/>
    <x v="285"/>
    <x v="0"/>
    <n v="39"/>
    <s v="month"/>
    <n v="100"/>
    <x v="4"/>
  </r>
  <r>
    <n v="145096572"/>
    <x v="169"/>
    <x v="218"/>
    <x v="0"/>
    <n v="39"/>
    <s v="month"/>
    <n v="22"/>
    <x v="4"/>
  </r>
  <r>
    <n v="158472404"/>
    <x v="169"/>
    <x v="276"/>
    <x v="0"/>
    <n v="39"/>
    <s v="month"/>
    <n v="18"/>
    <x v="4"/>
  </r>
  <r>
    <n v="204907118"/>
    <x v="169"/>
    <x v="17"/>
    <x v="0"/>
    <n v="39"/>
    <s v="month"/>
    <n v="49"/>
    <x v="4"/>
  </r>
  <r>
    <n v="204602410"/>
    <x v="169"/>
    <x v="253"/>
    <x v="0"/>
    <n v="39"/>
    <s v="month"/>
    <n v="28"/>
    <x v="4"/>
  </r>
  <r>
    <n v="204853460"/>
    <x v="169"/>
    <x v="265"/>
    <x v="0"/>
    <n v="39"/>
    <s v="month"/>
    <n v="149"/>
    <x v="4"/>
  </r>
  <r>
    <n v="194310997"/>
    <x v="169"/>
    <x v="316"/>
    <x v="0"/>
    <n v="39"/>
    <s v="month"/>
    <n v="147"/>
    <x v="4"/>
  </r>
  <r>
    <n v="204902258"/>
    <x v="170"/>
    <x v="0"/>
    <x v="0"/>
    <n v="39"/>
    <s v="month"/>
    <s v=""/>
    <x v="5"/>
  </r>
  <r>
    <n v="162865034"/>
    <x v="170"/>
    <x v="125"/>
    <x v="0"/>
    <n v="39"/>
    <s v="month"/>
    <n v="35"/>
    <x v="5"/>
  </r>
  <r>
    <n v="204467695"/>
    <x v="170"/>
    <x v="96"/>
    <x v="0"/>
    <n v="39"/>
    <s v="month"/>
    <n v="77"/>
    <x v="5"/>
  </r>
  <r>
    <n v="204774193"/>
    <x v="170"/>
    <x v="159"/>
    <x v="0"/>
    <n v="39"/>
    <s v="month"/>
    <n v="98"/>
    <x v="5"/>
  </r>
  <r>
    <n v="189046085"/>
    <x v="170"/>
    <x v="317"/>
    <x v="0"/>
    <n v="39"/>
    <s v="month"/>
    <n v="86"/>
    <x v="5"/>
  </r>
  <r>
    <n v="188082436"/>
    <x v="170"/>
    <x v="156"/>
    <x v="0"/>
    <n v="39"/>
    <s v="month"/>
    <n v="42"/>
    <x v="5"/>
  </r>
  <r>
    <n v="204947361"/>
    <x v="170"/>
    <x v="22"/>
    <x v="0"/>
    <n v="39"/>
    <s v="month"/>
    <n v="43"/>
    <x v="5"/>
  </r>
  <r>
    <n v="158852962"/>
    <x v="170"/>
    <x v="122"/>
    <x v="0"/>
    <n v="39"/>
    <s v="month"/>
    <n v="52"/>
    <x v="5"/>
  </r>
  <r>
    <n v="204742960"/>
    <x v="170"/>
    <x v="70"/>
    <x v="0"/>
    <n v="39"/>
    <s v="month"/>
    <n v="13"/>
    <x v="5"/>
  </r>
  <r>
    <n v="204726042"/>
    <x v="170"/>
    <x v="137"/>
    <x v="0"/>
    <n v="39"/>
    <s v="month"/>
    <n v="24"/>
    <x v="5"/>
  </r>
  <r>
    <n v="204997225"/>
    <x v="171"/>
    <x v="0"/>
    <x v="0"/>
    <n v="39"/>
    <s v="month"/>
    <s v=""/>
    <x v="6"/>
  </r>
  <r>
    <n v="126103612"/>
    <x v="171"/>
    <x v="0"/>
    <x v="0"/>
    <n v="39"/>
    <s v="month"/>
    <s v=""/>
    <x v="6"/>
  </r>
  <r>
    <n v="204934860"/>
    <x v="171"/>
    <x v="184"/>
    <x v="1"/>
    <n v="39"/>
    <s v="month"/>
    <n v="1"/>
    <x v="6"/>
  </r>
  <r>
    <n v="197086298"/>
    <x v="171"/>
    <x v="101"/>
    <x v="0"/>
    <n v="39"/>
    <s v="month"/>
    <n v="69"/>
    <x v="6"/>
  </r>
  <r>
    <n v="204732760"/>
    <x v="171"/>
    <x v="141"/>
    <x v="0"/>
    <n v="39"/>
    <s v="month"/>
    <n v="58"/>
    <x v="6"/>
  </r>
  <r>
    <n v="204985175"/>
    <x v="171"/>
    <x v="257"/>
    <x v="0"/>
    <n v="39"/>
    <s v="month"/>
    <n v="50"/>
    <x v="6"/>
  </r>
  <r>
    <n v="189387698"/>
    <x v="171"/>
    <x v="114"/>
    <x v="0"/>
    <n v="39"/>
    <s v="month"/>
    <n v="44"/>
    <x v="6"/>
  </r>
  <r>
    <n v="144160302"/>
    <x v="171"/>
    <x v="128"/>
    <x v="0"/>
    <n v="39"/>
    <s v="month"/>
    <n v="43"/>
    <x v="6"/>
  </r>
  <r>
    <n v="195774465"/>
    <x v="171"/>
    <x v="263"/>
    <x v="0"/>
    <n v="39"/>
    <s v="month"/>
    <n v="66"/>
    <x v="6"/>
  </r>
  <r>
    <n v="204890622"/>
    <x v="171"/>
    <x v="259"/>
    <x v="0"/>
    <n v="39"/>
    <s v="month"/>
    <n v="24"/>
    <x v="6"/>
  </r>
  <r>
    <n v="204206841"/>
    <x v="171"/>
    <x v="278"/>
    <x v="0"/>
    <n v="39"/>
    <s v="month"/>
    <n v="14"/>
    <x v="6"/>
  </r>
  <r>
    <n v="204955216"/>
    <x v="171"/>
    <x v="253"/>
    <x v="0"/>
    <n v="39"/>
    <s v="month"/>
    <n v="26"/>
    <x v="6"/>
  </r>
  <r>
    <n v="204992891"/>
    <x v="171"/>
    <x v="204"/>
    <x v="0"/>
    <n v="39"/>
    <s v="month"/>
    <n v="162"/>
    <x v="6"/>
  </r>
  <r>
    <n v="139152786"/>
    <x v="172"/>
    <x v="0"/>
    <x v="0"/>
    <n v="39"/>
    <s v="month"/>
    <s v=""/>
    <x v="0"/>
  </r>
  <r>
    <n v="204753108"/>
    <x v="172"/>
    <x v="0"/>
    <x v="0"/>
    <n v="39"/>
    <s v="month"/>
    <s v=""/>
    <x v="0"/>
  </r>
  <r>
    <n v="136703646"/>
    <x v="172"/>
    <x v="114"/>
    <x v="0"/>
    <n v="39"/>
    <s v="month"/>
    <n v="43"/>
    <x v="0"/>
  </r>
  <r>
    <n v="204294672"/>
    <x v="172"/>
    <x v="285"/>
    <x v="0"/>
    <n v="39"/>
    <s v="month"/>
    <n v="97"/>
    <x v="0"/>
  </r>
  <r>
    <n v="189505981"/>
    <x v="172"/>
    <x v="300"/>
    <x v="0"/>
    <n v="39"/>
    <s v="month"/>
    <n v="66"/>
    <x v="0"/>
  </r>
  <r>
    <n v="115899168"/>
    <x v="172"/>
    <x v="145"/>
    <x v="0"/>
    <n v="39"/>
    <s v="month"/>
    <n v="39"/>
    <x v="0"/>
  </r>
  <r>
    <n v="200117920"/>
    <x v="172"/>
    <x v="223"/>
    <x v="0"/>
    <n v="39"/>
    <s v="month"/>
    <n v="27"/>
    <x v="0"/>
  </r>
  <r>
    <n v="205057455"/>
    <x v="172"/>
    <x v="208"/>
    <x v="0"/>
    <n v="39"/>
    <s v="month"/>
    <n v="31"/>
    <x v="0"/>
  </r>
  <r>
    <n v="205028691"/>
    <x v="172"/>
    <x v="276"/>
    <x v="0"/>
    <n v="39"/>
    <s v="month"/>
    <n v="15"/>
    <x v="0"/>
  </r>
  <r>
    <n v="204857146"/>
    <x v="172"/>
    <x v="276"/>
    <x v="0"/>
    <n v="39"/>
    <s v="month"/>
    <n v="15"/>
    <x v="0"/>
  </r>
  <r>
    <n v="134131772"/>
    <x v="173"/>
    <x v="291"/>
    <x v="0"/>
    <n v="39"/>
    <s v="month"/>
    <n v="112"/>
    <x v="1"/>
  </r>
  <r>
    <n v="148942254"/>
    <x v="173"/>
    <x v="186"/>
    <x v="0"/>
    <n v="39"/>
    <s v="month"/>
    <n v="107"/>
    <x v="1"/>
  </r>
  <r>
    <n v="204512235"/>
    <x v="173"/>
    <x v="291"/>
    <x v="0"/>
    <n v="39"/>
    <s v="month"/>
    <n v="112"/>
    <x v="1"/>
  </r>
  <r>
    <n v="204977028"/>
    <x v="173"/>
    <x v="251"/>
    <x v="0"/>
    <n v="39"/>
    <s v="month"/>
    <n v="66"/>
    <x v="1"/>
  </r>
  <r>
    <n v="205122220"/>
    <x v="173"/>
    <x v="257"/>
    <x v="0"/>
    <n v="39"/>
    <s v="month"/>
    <n v="48"/>
    <x v="1"/>
  </r>
  <r>
    <n v="179578904"/>
    <x v="173"/>
    <x v="256"/>
    <x v="0"/>
    <n v="39"/>
    <s v="month"/>
    <n v="53"/>
    <x v="1"/>
  </r>
  <r>
    <n v="205120086"/>
    <x v="173"/>
    <x v="156"/>
    <x v="0"/>
    <n v="39"/>
    <s v="month"/>
    <n v="39"/>
    <x v="1"/>
  </r>
  <r>
    <n v="158097854"/>
    <x v="173"/>
    <x v="292"/>
    <x v="0"/>
    <n v="39"/>
    <s v="month"/>
    <n v="34"/>
    <x v="1"/>
  </r>
  <r>
    <n v="204760569"/>
    <x v="173"/>
    <x v="142"/>
    <x v="0"/>
    <n v="39"/>
    <s v="month"/>
    <n v="19"/>
    <x v="1"/>
  </r>
  <r>
    <n v="204982432"/>
    <x v="173"/>
    <x v="189"/>
    <x v="0"/>
    <n v="39"/>
    <s v="month"/>
    <n v="35"/>
    <x v="1"/>
  </r>
  <r>
    <n v="158351648"/>
    <x v="173"/>
    <x v="318"/>
    <x v="0"/>
    <n v="39"/>
    <s v="month"/>
    <n v="189"/>
    <x v="1"/>
  </r>
  <r>
    <n v="195325206"/>
    <x v="174"/>
    <x v="0"/>
    <x v="0"/>
    <n v="39"/>
    <s v="month"/>
    <s v=""/>
    <x v="2"/>
  </r>
  <r>
    <n v="205102955"/>
    <x v="174"/>
    <x v="0"/>
    <x v="0"/>
    <n v="39"/>
    <s v="month"/>
    <s v=""/>
    <x v="2"/>
  </r>
  <r>
    <n v="188092110"/>
    <x v="174"/>
    <x v="319"/>
    <x v="0"/>
    <n v="39"/>
    <s v="month"/>
    <n v="43"/>
    <x v="2"/>
  </r>
  <r>
    <n v="147615998"/>
    <x v="174"/>
    <x v="23"/>
    <x v="0"/>
    <n v="39"/>
    <s v="month"/>
    <n v="50"/>
    <x v="2"/>
  </r>
  <r>
    <n v="164751472"/>
    <x v="174"/>
    <x v="23"/>
    <x v="0"/>
    <n v="39"/>
    <s v="month"/>
    <n v="50"/>
    <x v="2"/>
  </r>
  <r>
    <n v="205215538"/>
    <x v="174"/>
    <x v="161"/>
    <x v="0"/>
    <n v="39"/>
    <s v="month"/>
    <n v="5"/>
    <x v="2"/>
  </r>
  <r>
    <n v="162962849"/>
    <x v="175"/>
    <x v="320"/>
    <x v="0"/>
    <n v="39"/>
    <s v="month"/>
    <n v="68"/>
    <x v="3"/>
  </r>
  <r>
    <n v="154229833"/>
    <x v="175"/>
    <x v="218"/>
    <x v="0"/>
    <n v="39"/>
    <s v="month"/>
    <n v="16"/>
    <x v="3"/>
  </r>
  <r>
    <n v="205338718"/>
    <x v="175"/>
    <x v="95"/>
    <x v="0"/>
    <n v="39"/>
    <s v="month"/>
    <n v="29"/>
    <x v="3"/>
  </r>
  <r>
    <n v="180798046"/>
    <x v="176"/>
    <x v="0"/>
    <x v="0"/>
    <n v="39"/>
    <s v="month"/>
    <s v=""/>
    <x v="4"/>
  </r>
  <r>
    <n v="135298992"/>
    <x v="176"/>
    <x v="277"/>
    <x v="0"/>
    <n v="39"/>
    <s v="month"/>
    <n v="20"/>
    <x v="4"/>
  </r>
  <r>
    <n v="153141802"/>
    <x v="176"/>
    <x v="127"/>
    <x v="0"/>
    <n v="39"/>
    <s v="month"/>
    <n v="96"/>
    <x v="4"/>
  </r>
  <r>
    <n v="189149014"/>
    <x v="176"/>
    <x v="177"/>
    <x v="0"/>
    <n v="39"/>
    <s v="month"/>
    <n v="113"/>
    <x v="4"/>
  </r>
  <r>
    <n v="180438277"/>
    <x v="176"/>
    <x v="171"/>
    <x v="0"/>
    <n v="39"/>
    <s v="month"/>
    <n v="81"/>
    <x v="4"/>
  </r>
  <r>
    <n v="205471532"/>
    <x v="176"/>
    <x v="228"/>
    <x v="0"/>
    <n v="39"/>
    <s v="month"/>
    <n v="59"/>
    <x v="4"/>
  </r>
  <r>
    <n v="188065488"/>
    <x v="176"/>
    <x v="152"/>
    <x v="0"/>
    <n v="39"/>
    <s v="month"/>
    <n v="57"/>
    <x v="4"/>
  </r>
  <r>
    <n v="205387672"/>
    <x v="176"/>
    <x v="319"/>
    <x v="0"/>
    <n v="39"/>
    <s v="month"/>
    <n v="41"/>
    <x v="4"/>
  </r>
  <r>
    <n v="196251908"/>
    <x v="176"/>
    <x v="188"/>
    <x v="0"/>
    <n v="39"/>
    <s v="month"/>
    <n v="0"/>
    <x v="4"/>
  </r>
  <r>
    <n v="157884031"/>
    <x v="176"/>
    <x v="292"/>
    <x v="0"/>
    <n v="39"/>
    <s v="month"/>
    <n v="31"/>
    <x v="4"/>
  </r>
  <r>
    <n v="204571386"/>
    <x v="176"/>
    <x v="78"/>
    <x v="0"/>
    <n v="39"/>
    <s v="month"/>
    <n v="24"/>
    <x v="4"/>
  </r>
  <r>
    <n v="162909529"/>
    <x v="176"/>
    <x v="222"/>
    <x v="0"/>
    <n v="39"/>
    <s v="month"/>
    <n v="155"/>
    <x v="4"/>
  </r>
  <r>
    <n v="152043244"/>
    <x v="177"/>
    <x v="0"/>
    <x v="0"/>
    <n v="39"/>
    <s v="month"/>
    <s v=""/>
    <x v="5"/>
  </r>
  <r>
    <n v="204567111"/>
    <x v="177"/>
    <x v="0"/>
    <x v="0"/>
    <n v="39"/>
    <s v="month"/>
    <s v=""/>
    <x v="5"/>
  </r>
  <r>
    <n v="205487880"/>
    <x v="177"/>
    <x v="0"/>
    <x v="0"/>
    <n v="39"/>
    <s v="month"/>
    <s v=""/>
    <x v="5"/>
  </r>
  <r>
    <n v="205489808"/>
    <x v="177"/>
    <x v="0"/>
    <x v="0"/>
    <n v="39"/>
    <s v="month"/>
    <s v=""/>
    <x v="5"/>
  </r>
  <r>
    <n v="125828506"/>
    <x v="177"/>
    <x v="50"/>
    <x v="0"/>
    <n v="39"/>
    <s v="month"/>
    <n v="1"/>
    <x v="5"/>
  </r>
  <r>
    <n v="154701159"/>
    <x v="177"/>
    <x v="95"/>
    <x v="0"/>
    <n v="39"/>
    <s v="month"/>
    <n v="27"/>
    <x v="5"/>
  </r>
  <r>
    <n v="204865394"/>
    <x v="177"/>
    <x v="156"/>
    <x v="0"/>
    <n v="39"/>
    <s v="month"/>
    <n v="35"/>
    <x v="5"/>
  </r>
  <r>
    <n v="205044276"/>
    <x v="177"/>
    <x v="228"/>
    <x v="0"/>
    <n v="39"/>
    <s v="month"/>
    <n v="58"/>
    <x v="5"/>
  </r>
  <r>
    <n v="194873337"/>
    <x v="177"/>
    <x v="256"/>
    <x v="0"/>
    <n v="39"/>
    <s v="month"/>
    <n v="49"/>
    <x v="5"/>
  </r>
  <r>
    <n v="205492734"/>
    <x v="177"/>
    <x v="223"/>
    <x v="0"/>
    <n v="39"/>
    <s v="month"/>
    <n v="22"/>
    <x v="5"/>
  </r>
  <r>
    <n v="205548739"/>
    <x v="178"/>
    <x v="0"/>
    <x v="0"/>
    <n v="39"/>
    <s v="month"/>
    <s v=""/>
    <x v="6"/>
  </r>
  <r>
    <n v="202228372"/>
    <x v="178"/>
    <x v="0"/>
    <x v="0"/>
    <n v="39"/>
    <s v="month"/>
    <s v=""/>
    <x v="6"/>
  </r>
  <r>
    <n v="205034931"/>
    <x v="178"/>
    <x v="161"/>
    <x v="1"/>
    <n v="39"/>
    <s v="month"/>
    <n v="1"/>
    <x v="6"/>
  </r>
  <r>
    <n v="205129178"/>
    <x v="178"/>
    <x v="173"/>
    <x v="0"/>
    <n v="39"/>
    <s v="month"/>
    <n v="112"/>
    <x v="6"/>
  </r>
  <r>
    <n v="160114911"/>
    <x v="178"/>
    <x v="239"/>
    <x v="0"/>
    <n v="39"/>
    <s v="month"/>
    <n v="38"/>
    <x v="6"/>
  </r>
  <r>
    <n v="168200039"/>
    <x v="178"/>
    <x v="239"/>
    <x v="0"/>
    <n v="39"/>
    <s v="month"/>
    <n v="38"/>
    <x v="6"/>
  </r>
  <r>
    <n v="190622411"/>
    <x v="178"/>
    <x v="156"/>
    <x v="0"/>
    <n v="39"/>
    <s v="month"/>
    <n v="34"/>
    <x v="6"/>
  </r>
  <r>
    <n v="204528713"/>
    <x v="178"/>
    <x v="256"/>
    <x v="0"/>
    <n v="39"/>
    <s v="month"/>
    <n v="48"/>
    <x v="6"/>
  </r>
  <r>
    <n v="205573796"/>
    <x v="178"/>
    <x v="257"/>
    <x v="0"/>
    <n v="39"/>
    <s v="month"/>
    <n v="43"/>
    <x v="6"/>
  </r>
  <r>
    <n v="182009986"/>
    <x v="178"/>
    <x v="231"/>
    <x v="0"/>
    <n v="39"/>
    <s v="month"/>
    <n v="28"/>
    <x v="6"/>
  </r>
  <r>
    <n v="205606022"/>
    <x v="178"/>
    <x v="233"/>
    <x v="0"/>
    <n v="39"/>
    <s v="month"/>
    <n v="20"/>
    <x v="6"/>
  </r>
  <r>
    <n v="205580089"/>
    <x v="178"/>
    <x v="292"/>
    <x v="0"/>
    <n v="39"/>
    <s v="month"/>
    <n v="29"/>
    <x v="6"/>
  </r>
  <r>
    <n v="192949504"/>
    <x v="178"/>
    <x v="125"/>
    <x v="0"/>
    <n v="39"/>
    <s v="month"/>
    <n v="27"/>
    <x v="6"/>
  </r>
  <r>
    <n v="205658636"/>
    <x v="179"/>
    <x v="0"/>
    <x v="0"/>
    <n v="39"/>
    <s v="month"/>
    <s v=""/>
    <x v="0"/>
  </r>
  <r>
    <n v="205615727"/>
    <x v="179"/>
    <x v="321"/>
    <x v="0"/>
    <n v="39"/>
    <s v="month"/>
    <n v="116"/>
    <x v="0"/>
  </r>
  <r>
    <n v="205448424"/>
    <x v="179"/>
    <x v="159"/>
    <x v="0"/>
    <n v="39"/>
    <s v="month"/>
    <n v="89"/>
    <x v="0"/>
  </r>
  <r>
    <n v="196009696"/>
    <x v="179"/>
    <x v="101"/>
    <x v="0"/>
    <n v="39"/>
    <s v="month"/>
    <n v="61"/>
    <x v="0"/>
  </r>
  <r>
    <n v="205026372"/>
    <x v="179"/>
    <x v="101"/>
    <x v="0"/>
    <n v="39"/>
    <s v="month"/>
    <n v="61"/>
    <x v="0"/>
  </r>
  <r>
    <n v="167165752"/>
    <x v="179"/>
    <x v="159"/>
    <x v="0"/>
    <n v="39"/>
    <s v="month"/>
    <n v="89"/>
    <x v="0"/>
  </r>
  <r>
    <n v="205664425"/>
    <x v="179"/>
    <x v="152"/>
    <x v="0"/>
    <n v="39"/>
    <s v="month"/>
    <n v="54"/>
    <x v="0"/>
  </r>
  <r>
    <n v="199179611"/>
    <x v="179"/>
    <x v="275"/>
    <x v="0"/>
    <n v="39"/>
    <s v="month"/>
    <n v="52"/>
    <x v="0"/>
  </r>
  <r>
    <n v="205660933"/>
    <x v="179"/>
    <x v="146"/>
    <x v="0"/>
    <n v="39"/>
    <s v="month"/>
    <n v="31"/>
    <x v="0"/>
  </r>
  <r>
    <n v="205660195"/>
    <x v="179"/>
    <x v="145"/>
    <x v="0"/>
    <n v="39"/>
    <s v="month"/>
    <n v="32"/>
    <x v="0"/>
  </r>
  <r>
    <n v="168598418"/>
    <x v="179"/>
    <x v="248"/>
    <x v="0"/>
    <n v="39"/>
    <s v="month"/>
    <n v="51"/>
    <x v="0"/>
  </r>
  <r>
    <n v="161182367"/>
    <x v="179"/>
    <x v="319"/>
    <x v="0"/>
    <n v="39"/>
    <s v="month"/>
    <n v="38"/>
    <x v="0"/>
  </r>
  <r>
    <n v="156943008"/>
    <x v="179"/>
    <x v="161"/>
    <x v="0"/>
    <n v="39"/>
    <s v="month"/>
    <n v="0"/>
    <x v="0"/>
  </r>
  <r>
    <n v="190657026"/>
    <x v="179"/>
    <x v="231"/>
    <x v="0"/>
    <n v="39"/>
    <s v="month"/>
    <n v="27"/>
    <x v="0"/>
  </r>
  <r>
    <n v="205700946"/>
    <x v="180"/>
    <x v="0"/>
    <x v="0"/>
    <n v="39"/>
    <s v="month"/>
    <s v=""/>
    <x v="1"/>
  </r>
  <r>
    <n v="165807144"/>
    <x v="180"/>
    <x v="0"/>
    <x v="0"/>
    <n v="39"/>
    <s v="month"/>
    <s v=""/>
    <x v="1"/>
  </r>
  <r>
    <n v="125635419"/>
    <x v="180"/>
    <x v="250"/>
    <x v="0"/>
    <n v="39"/>
    <s v="month"/>
    <n v="1"/>
    <x v="1"/>
  </r>
  <r>
    <n v="205707486"/>
    <x v="180"/>
    <x v="250"/>
    <x v="1"/>
    <n v="39"/>
    <s v="month"/>
    <n v="1"/>
    <x v="1"/>
  </r>
  <r>
    <n v="150663700"/>
    <x v="180"/>
    <x v="250"/>
    <x v="1"/>
    <n v="39"/>
    <s v="month"/>
    <n v="1"/>
    <x v="1"/>
  </r>
  <r>
    <n v="149157588"/>
    <x v="180"/>
    <x v="15"/>
    <x v="0"/>
    <n v="39"/>
    <s v="month"/>
    <n v="68"/>
    <x v="1"/>
  </r>
  <r>
    <n v="205686881"/>
    <x v="180"/>
    <x v="157"/>
    <x v="0"/>
    <n v="39"/>
    <s v="month"/>
    <n v="99"/>
    <x v="1"/>
  </r>
  <r>
    <n v="138347540"/>
    <x v="180"/>
    <x v="4"/>
    <x v="0"/>
    <n v="39"/>
    <s v="month"/>
    <n v="66"/>
    <x v="1"/>
  </r>
  <r>
    <n v="154344817"/>
    <x v="180"/>
    <x v="289"/>
    <x v="0"/>
    <n v="39"/>
    <s v="month"/>
    <n v="48"/>
    <x v="1"/>
  </r>
  <r>
    <n v="205530810"/>
    <x v="180"/>
    <x v="17"/>
    <x v="0"/>
    <n v="39"/>
    <s v="month"/>
    <n v="38"/>
    <x v="1"/>
  </r>
  <r>
    <n v="205731473"/>
    <x v="180"/>
    <x v="277"/>
    <x v="0"/>
    <n v="39"/>
    <s v="month"/>
    <n v="16"/>
    <x v="1"/>
  </r>
  <r>
    <n v="205692510"/>
    <x v="181"/>
    <x v="0"/>
    <x v="0"/>
    <n v="39"/>
    <s v="month"/>
    <s v=""/>
    <x v="2"/>
  </r>
  <r>
    <n v="191670525"/>
    <x v="181"/>
    <x v="82"/>
    <x v="0"/>
    <n v="39"/>
    <s v="month"/>
    <n v="69"/>
    <x v="2"/>
  </r>
  <r>
    <n v="205492489"/>
    <x v="181"/>
    <x v="322"/>
    <x v="0"/>
    <n v="39"/>
    <s v="month"/>
    <n v="68"/>
    <x v="2"/>
  </r>
  <r>
    <n v="205026942"/>
    <x v="181"/>
    <x v="243"/>
    <x v="0"/>
    <n v="39"/>
    <s v="month"/>
    <n v="61"/>
    <x v="2"/>
  </r>
  <r>
    <n v="205768824"/>
    <x v="181"/>
    <x v="16"/>
    <x v="0"/>
    <n v="39"/>
    <s v="month"/>
    <n v="28"/>
    <x v="2"/>
  </r>
  <r>
    <n v="160824884"/>
    <x v="181"/>
    <x v="146"/>
    <x v="0"/>
    <n v="39"/>
    <s v="month"/>
    <n v="29"/>
    <x v="2"/>
  </r>
  <r>
    <n v="205742224"/>
    <x v="181"/>
    <x v="250"/>
    <x v="0"/>
    <n v="39"/>
    <s v="month"/>
    <n v="0"/>
    <x v="2"/>
  </r>
  <r>
    <n v="205804144"/>
    <x v="182"/>
    <x v="321"/>
    <x v="0"/>
    <n v="39"/>
    <s v="month"/>
    <n v="113"/>
    <x v="3"/>
  </r>
  <r>
    <n v="205703512"/>
    <x v="182"/>
    <x v="323"/>
    <x v="0"/>
    <n v="39"/>
    <s v="month"/>
    <n v="85"/>
    <x v="3"/>
  </r>
  <r>
    <n v="131181843"/>
    <x v="182"/>
    <x v="281"/>
    <x v="0"/>
    <n v="39"/>
    <s v="month"/>
    <n v="0"/>
    <x v="3"/>
  </r>
  <r>
    <n v="205713052"/>
    <x v="183"/>
    <x v="0"/>
    <x v="0"/>
    <n v="39"/>
    <s v="month"/>
    <s v=""/>
    <x v="4"/>
  </r>
  <r>
    <n v="138121122"/>
    <x v="183"/>
    <x v="0"/>
    <x v="0"/>
    <n v="39"/>
    <s v="month"/>
    <s v=""/>
    <x v="4"/>
  </r>
  <r>
    <n v="191326286"/>
    <x v="183"/>
    <x v="0"/>
    <x v="0"/>
    <n v="39"/>
    <s v="month"/>
    <s v=""/>
    <x v="4"/>
  </r>
  <r>
    <n v="178838732"/>
    <x v="183"/>
    <x v="0"/>
    <x v="0"/>
    <n v="39"/>
    <s v="month"/>
    <s v=""/>
    <x v="4"/>
  </r>
  <r>
    <n v="205871342"/>
    <x v="183"/>
    <x v="0"/>
    <x v="0"/>
    <n v="39"/>
    <s v="month"/>
    <s v=""/>
    <x v="4"/>
  </r>
  <r>
    <n v="202160641"/>
    <x v="183"/>
    <x v="304"/>
    <x v="0"/>
    <n v="39"/>
    <s v="month"/>
    <n v="91"/>
    <x v="4"/>
  </r>
  <r>
    <n v="205786362"/>
    <x v="183"/>
    <x v="324"/>
    <x v="0"/>
    <n v="39"/>
    <s v="month"/>
    <n v="81"/>
    <x v="4"/>
  </r>
  <r>
    <n v="159798906"/>
    <x v="183"/>
    <x v="114"/>
    <x v="0"/>
    <n v="39"/>
    <s v="month"/>
    <n v="32"/>
    <x v="4"/>
  </r>
  <r>
    <n v="166276152"/>
    <x v="183"/>
    <x v="145"/>
    <x v="0"/>
    <n v="39"/>
    <s v="month"/>
    <n v="28"/>
    <x v="4"/>
  </r>
  <r>
    <n v="156353738"/>
    <x v="183"/>
    <x v="32"/>
    <x v="0"/>
    <n v="39"/>
    <s v="month"/>
    <n v="7"/>
    <x v="4"/>
  </r>
  <r>
    <n v="205864612"/>
    <x v="183"/>
    <x v="259"/>
    <x v="0"/>
    <n v="39"/>
    <s v="month"/>
    <n v="12"/>
    <x v="4"/>
  </r>
  <r>
    <n v="142757196"/>
    <x v="184"/>
    <x v="325"/>
    <x v="0"/>
    <n v="39"/>
    <s v="month"/>
    <n v="124"/>
    <x v="5"/>
  </r>
  <r>
    <n v="205971108"/>
    <x v="184"/>
    <x v="311"/>
    <x v="0"/>
    <n v="39"/>
    <s v="month"/>
    <n v="107"/>
    <x v="5"/>
  </r>
  <r>
    <n v="206001231"/>
    <x v="184"/>
    <x v="285"/>
    <x v="0"/>
    <n v="39"/>
    <s v="month"/>
    <n v="85"/>
    <x v="5"/>
  </r>
  <r>
    <n v="205878686"/>
    <x v="184"/>
    <x v="191"/>
    <x v="0"/>
    <n v="39"/>
    <s v="month"/>
    <n v="0"/>
    <x v="5"/>
  </r>
  <r>
    <n v="206052140"/>
    <x v="185"/>
    <x v="0"/>
    <x v="0"/>
    <n v="39"/>
    <s v="month"/>
    <s v=""/>
    <x v="6"/>
  </r>
  <r>
    <n v="154082747"/>
    <x v="185"/>
    <x v="162"/>
    <x v="0"/>
    <n v="39"/>
    <s v="month"/>
    <n v="1"/>
    <x v="6"/>
  </r>
  <r>
    <n v="206017161"/>
    <x v="185"/>
    <x v="162"/>
    <x v="1"/>
    <n v="39"/>
    <s v="month"/>
    <n v="1"/>
    <x v="6"/>
  </r>
  <r>
    <n v="203152686"/>
    <x v="185"/>
    <x v="326"/>
    <x v="0"/>
    <n v="39"/>
    <s v="month"/>
    <n v="74"/>
    <x v="6"/>
  </r>
  <r>
    <n v="203320717"/>
    <x v="185"/>
    <x v="114"/>
    <x v="0"/>
    <n v="39"/>
    <s v="month"/>
    <n v="30"/>
    <x v="6"/>
  </r>
  <r>
    <n v="206076518"/>
    <x v="186"/>
    <x v="0"/>
    <x v="0"/>
    <n v="39"/>
    <s v="month"/>
    <s v=""/>
    <x v="0"/>
  </r>
  <r>
    <n v="205881578"/>
    <x v="186"/>
    <x v="66"/>
    <x v="0"/>
    <n v="39"/>
    <s v="month"/>
    <n v="171"/>
    <x v="0"/>
  </r>
  <r>
    <n v="152513944"/>
    <x v="186"/>
    <x v="276"/>
    <x v="0"/>
    <n v="39"/>
    <s v="month"/>
    <n v="1"/>
    <x v="0"/>
  </r>
  <r>
    <n v="132371176"/>
    <x v="186"/>
    <x v="276"/>
    <x v="1"/>
    <n v="39"/>
    <s v="month"/>
    <n v="1"/>
    <x v="0"/>
  </r>
  <r>
    <n v="135092264"/>
    <x v="186"/>
    <x v="279"/>
    <x v="0"/>
    <n v="39"/>
    <s v="month"/>
    <n v="124"/>
    <x v="0"/>
  </r>
  <r>
    <n v="151297084"/>
    <x v="186"/>
    <x v="45"/>
    <x v="0"/>
    <n v="39"/>
    <s v="month"/>
    <n v="77"/>
    <x v="0"/>
  </r>
  <r>
    <n v="167010855"/>
    <x v="186"/>
    <x v="308"/>
    <x v="0"/>
    <n v="39"/>
    <s v="month"/>
    <n v="91"/>
    <x v="0"/>
  </r>
  <r>
    <n v="206122788"/>
    <x v="186"/>
    <x v="291"/>
    <x v="0"/>
    <n v="39"/>
    <s v="month"/>
    <n v="99"/>
    <x v="0"/>
  </r>
  <r>
    <n v="158439764"/>
    <x v="186"/>
    <x v="251"/>
    <x v="0"/>
    <n v="39"/>
    <s v="month"/>
    <n v="53"/>
    <x v="0"/>
  </r>
  <r>
    <n v="136723151"/>
    <x v="186"/>
    <x v="114"/>
    <x v="0"/>
    <n v="39"/>
    <s v="month"/>
    <n v="29"/>
    <x v="0"/>
  </r>
  <r>
    <n v="205875358"/>
    <x v="186"/>
    <x v="248"/>
    <x v="0"/>
    <n v="39"/>
    <s v="month"/>
    <n v="44"/>
    <x v="0"/>
  </r>
  <r>
    <n v="206082900"/>
    <x v="186"/>
    <x v="222"/>
    <x v="0"/>
    <n v="39"/>
    <s v="month"/>
    <n v="145"/>
    <x v="0"/>
  </r>
  <r>
    <n v="206139451"/>
    <x v="187"/>
    <x v="0"/>
    <x v="0"/>
    <n v="39"/>
    <s v="month"/>
    <s v=""/>
    <x v="1"/>
  </r>
  <r>
    <n v="206196328"/>
    <x v="187"/>
    <x v="0"/>
    <x v="0"/>
    <n v="39"/>
    <s v="month"/>
    <s v=""/>
    <x v="1"/>
  </r>
  <r>
    <n v="201122030"/>
    <x v="187"/>
    <x v="304"/>
    <x v="0"/>
    <n v="39"/>
    <s v="month"/>
    <n v="87"/>
    <x v="1"/>
  </r>
  <r>
    <n v="156218152"/>
    <x v="187"/>
    <x v="270"/>
    <x v="0"/>
    <n v="39"/>
    <s v="month"/>
    <n v="91"/>
    <x v="1"/>
  </r>
  <r>
    <n v="162718092"/>
    <x v="187"/>
    <x v="15"/>
    <x v="0"/>
    <n v="39"/>
    <s v="month"/>
    <n v="61"/>
    <x v="1"/>
  </r>
  <r>
    <n v="174606946"/>
    <x v="187"/>
    <x v="96"/>
    <x v="0"/>
    <n v="39"/>
    <s v="month"/>
    <n v="60"/>
    <x v="1"/>
  </r>
  <r>
    <n v="206159331"/>
    <x v="187"/>
    <x v="120"/>
    <x v="0"/>
    <n v="39"/>
    <s v="month"/>
    <n v="15"/>
    <x v="1"/>
  </r>
  <r>
    <n v="206272716"/>
    <x v="188"/>
    <x v="0"/>
    <x v="0"/>
    <n v="39"/>
    <s v="month"/>
    <s v=""/>
    <x v="2"/>
  </r>
  <r>
    <n v="138104184"/>
    <x v="188"/>
    <x v="290"/>
    <x v="0"/>
    <n v="39"/>
    <s v="month"/>
    <n v="180"/>
    <x v="2"/>
  </r>
  <r>
    <n v="168264884"/>
    <x v="188"/>
    <x v="15"/>
    <x v="0"/>
    <n v="39"/>
    <s v="month"/>
    <n v="60"/>
    <x v="2"/>
  </r>
  <r>
    <n v="153200640"/>
    <x v="188"/>
    <x v="327"/>
    <x v="0"/>
    <n v="39"/>
    <s v="month"/>
    <n v="32"/>
    <x v="2"/>
  </r>
  <r>
    <n v="206251362"/>
    <x v="188"/>
    <x v="256"/>
    <x v="0"/>
    <n v="39"/>
    <s v="month"/>
    <n v="38"/>
    <x v="2"/>
  </r>
  <r>
    <n v="192386902"/>
    <x v="188"/>
    <x v="256"/>
    <x v="0"/>
    <n v="39"/>
    <s v="month"/>
    <n v="38"/>
    <x v="2"/>
  </r>
  <r>
    <n v="205851263"/>
    <x v="188"/>
    <x v="218"/>
    <x v="0"/>
    <n v="39"/>
    <s v="month"/>
    <n v="3"/>
    <x v="2"/>
  </r>
  <r>
    <n v="197873706"/>
    <x v="189"/>
    <x v="328"/>
    <x v="0"/>
    <n v="39"/>
    <s v="month"/>
    <n v="153"/>
    <x v="3"/>
  </r>
  <r>
    <n v="206284048"/>
    <x v="189"/>
    <x v="259"/>
    <x v="0"/>
    <n v="39"/>
    <s v="month"/>
    <n v="6"/>
    <x v="3"/>
  </r>
  <r>
    <n v="149761545"/>
    <x v="189"/>
    <x v="329"/>
    <x v="0"/>
    <n v="39"/>
    <s v="month"/>
    <n v="134"/>
    <x v="3"/>
  </r>
  <r>
    <n v="155010717"/>
    <x v="190"/>
    <x v="285"/>
    <x v="0"/>
    <n v="39"/>
    <s v="month"/>
    <n v="79"/>
    <x v="4"/>
  </r>
  <r>
    <n v="151407531"/>
    <x v="190"/>
    <x v="327"/>
    <x v="0"/>
    <n v="39"/>
    <s v="month"/>
    <n v="30"/>
    <x v="4"/>
  </r>
  <r>
    <n v="206407796"/>
    <x v="190"/>
    <x v="82"/>
    <x v="0"/>
    <n v="39"/>
    <s v="month"/>
    <n v="60"/>
    <x v="4"/>
  </r>
  <r>
    <n v="206247835"/>
    <x v="190"/>
    <x v="45"/>
    <x v="0"/>
    <n v="39"/>
    <s v="month"/>
    <n v="73"/>
    <x v="4"/>
  </r>
  <r>
    <n v="206382927"/>
    <x v="190"/>
    <x v="330"/>
    <x v="0"/>
    <n v="39"/>
    <s v="month"/>
    <n v="72"/>
    <x v="4"/>
  </r>
  <r>
    <n v="206147500"/>
    <x v="190"/>
    <x v="317"/>
    <x v="0"/>
    <n v="39"/>
    <s v="month"/>
    <n v="66"/>
    <x v="4"/>
  </r>
  <r>
    <n v="206330714"/>
    <x v="190"/>
    <x v="114"/>
    <x v="0"/>
    <n v="39"/>
    <s v="month"/>
    <n v="25"/>
    <x v="4"/>
  </r>
  <r>
    <n v="206121650"/>
    <x v="190"/>
    <x v="319"/>
    <x v="0"/>
    <n v="39"/>
    <s v="month"/>
    <n v="27"/>
    <x v="4"/>
  </r>
  <r>
    <n v="182504578"/>
    <x v="190"/>
    <x v="289"/>
    <x v="0"/>
    <n v="39"/>
    <s v="month"/>
    <n v="38"/>
    <x v="4"/>
  </r>
  <r>
    <n v="204362311"/>
    <x v="190"/>
    <x v="69"/>
    <x v="0"/>
    <n v="39"/>
    <s v="month"/>
    <n v="93"/>
    <x v="4"/>
  </r>
  <r>
    <n v="206504573"/>
    <x v="191"/>
    <x v="0"/>
    <x v="0"/>
    <n v="39"/>
    <s v="month"/>
    <s v=""/>
    <x v="5"/>
  </r>
  <r>
    <n v="206490851"/>
    <x v="191"/>
    <x v="0"/>
    <x v="0"/>
    <n v="39"/>
    <s v="month"/>
    <s v=""/>
    <x v="5"/>
  </r>
  <r>
    <n v="206468868"/>
    <x v="191"/>
    <x v="0"/>
    <x v="0"/>
    <n v="39"/>
    <s v="month"/>
    <s v=""/>
    <x v="5"/>
  </r>
  <r>
    <n v="206316124"/>
    <x v="191"/>
    <x v="0"/>
    <x v="0"/>
    <n v="39"/>
    <s v="month"/>
    <s v=""/>
    <x v="5"/>
  </r>
  <r>
    <n v="203404034"/>
    <x v="191"/>
    <x v="311"/>
    <x v="0"/>
    <n v="39"/>
    <s v="month"/>
    <n v="100"/>
    <x v="5"/>
  </r>
  <r>
    <n v="206284545"/>
    <x v="191"/>
    <x v="127"/>
    <x v="0"/>
    <n v="39"/>
    <s v="month"/>
    <n v="81"/>
    <x v="5"/>
  </r>
  <r>
    <n v="206470657"/>
    <x v="191"/>
    <x v="284"/>
    <x v="0"/>
    <n v="39"/>
    <s v="month"/>
    <n v="50"/>
    <x v="5"/>
  </r>
  <r>
    <n v="206458744"/>
    <x v="191"/>
    <x v="266"/>
    <x v="0"/>
    <n v="39"/>
    <s v="month"/>
    <n v="41"/>
    <x v="5"/>
  </r>
  <r>
    <n v="206122814"/>
    <x v="191"/>
    <x v="257"/>
    <x v="0"/>
    <n v="39"/>
    <s v="month"/>
    <n v="30"/>
    <x v="5"/>
  </r>
  <r>
    <n v="206549666"/>
    <x v="192"/>
    <x v="0"/>
    <x v="0"/>
    <n v="39"/>
    <s v="month"/>
    <s v=""/>
    <x v="6"/>
  </r>
  <r>
    <n v="133623621"/>
    <x v="192"/>
    <x v="0"/>
    <x v="0"/>
    <n v="39"/>
    <s v="month"/>
    <s v=""/>
    <x v="6"/>
  </r>
  <r>
    <n v="130982816"/>
    <x v="192"/>
    <x v="0"/>
    <x v="0"/>
    <n v="39"/>
    <s v="month"/>
    <s v=""/>
    <x v="6"/>
  </r>
  <r>
    <n v="143776119"/>
    <x v="192"/>
    <x v="331"/>
    <x v="0"/>
    <n v="39"/>
    <s v="month"/>
    <n v="166"/>
    <x v="6"/>
  </r>
  <r>
    <n v="206542743"/>
    <x v="192"/>
    <x v="220"/>
    <x v="1"/>
    <n v="39"/>
    <s v="month"/>
    <n v="1"/>
    <x v="6"/>
  </r>
  <r>
    <n v="206158603"/>
    <x v="192"/>
    <x v="220"/>
    <x v="1"/>
    <n v="39"/>
    <s v="month"/>
    <n v="1"/>
    <x v="6"/>
  </r>
  <r>
    <n v="206548046"/>
    <x v="192"/>
    <x v="308"/>
    <x v="0"/>
    <n v="39"/>
    <s v="month"/>
    <n v="85"/>
    <x v="6"/>
  </r>
  <r>
    <n v="168464004"/>
    <x v="192"/>
    <x v="73"/>
    <x v="0"/>
    <n v="39"/>
    <s v="month"/>
    <n v="78"/>
    <x v="6"/>
  </r>
  <r>
    <n v="146330379"/>
    <x v="192"/>
    <x v="185"/>
    <x v="0"/>
    <n v="39"/>
    <s v="month"/>
    <n v="35"/>
    <x v="6"/>
  </r>
  <r>
    <n v="206006946"/>
    <x v="192"/>
    <x v="288"/>
    <x v="0"/>
    <n v="39"/>
    <s v="month"/>
    <n v="68"/>
    <x v="6"/>
  </r>
  <r>
    <n v="206531388"/>
    <x v="192"/>
    <x v="22"/>
    <x v="0"/>
    <n v="39"/>
    <s v="month"/>
    <n v="21"/>
    <x v="6"/>
  </r>
  <r>
    <n v="206512820"/>
    <x v="192"/>
    <x v="315"/>
    <x v="0"/>
    <n v="39"/>
    <s v="month"/>
    <n v="119"/>
    <x v="6"/>
  </r>
  <r>
    <n v="206501414"/>
    <x v="193"/>
    <x v="0"/>
    <x v="0"/>
    <n v="39"/>
    <s v="month"/>
    <s v=""/>
    <x v="0"/>
  </r>
  <r>
    <n v="181175226"/>
    <x v="193"/>
    <x v="189"/>
    <x v="0"/>
    <n v="39"/>
    <s v="month"/>
    <n v="15"/>
    <x v="0"/>
  </r>
  <r>
    <n v="148758550"/>
    <x v="194"/>
    <x v="0"/>
    <x v="0"/>
    <n v="39"/>
    <s v="month"/>
    <s v=""/>
    <x v="1"/>
  </r>
  <r>
    <n v="206682036"/>
    <x v="194"/>
    <x v="0"/>
    <x v="0"/>
    <n v="39"/>
    <s v="month"/>
    <s v=""/>
    <x v="1"/>
  </r>
  <r>
    <n v="206149654"/>
    <x v="194"/>
    <x v="0"/>
    <x v="0"/>
    <n v="39"/>
    <s v="month"/>
    <s v=""/>
    <x v="1"/>
  </r>
  <r>
    <n v="206653056"/>
    <x v="194"/>
    <x v="0"/>
    <x v="0"/>
    <n v="39"/>
    <s v="month"/>
    <s v=""/>
    <x v="1"/>
  </r>
  <r>
    <n v="198466025"/>
    <x v="194"/>
    <x v="0"/>
    <x v="0"/>
    <n v="39"/>
    <s v="month"/>
    <s v=""/>
    <x v="1"/>
  </r>
  <r>
    <n v="206685935"/>
    <x v="194"/>
    <x v="259"/>
    <x v="1"/>
    <n v="39"/>
    <s v="month"/>
    <n v="1"/>
    <x v="1"/>
  </r>
  <r>
    <n v="206659390"/>
    <x v="194"/>
    <x v="259"/>
    <x v="1"/>
    <n v="39"/>
    <s v="month"/>
    <n v="1"/>
    <x v="1"/>
  </r>
  <r>
    <n v="206550926"/>
    <x v="194"/>
    <x v="299"/>
    <x v="0"/>
    <n v="39"/>
    <s v="month"/>
    <n v="31"/>
    <x v="1"/>
  </r>
  <r>
    <n v="206673590"/>
    <x v="194"/>
    <x v="292"/>
    <x v="0"/>
    <n v="39"/>
    <s v="month"/>
    <n v="13"/>
    <x v="1"/>
  </r>
  <r>
    <n v="205593462"/>
    <x v="194"/>
    <x v="195"/>
    <x v="0"/>
    <n v="39"/>
    <s v="month"/>
    <n v="146"/>
    <x v="1"/>
  </r>
  <r>
    <n v="205889926"/>
    <x v="195"/>
    <x v="0"/>
    <x v="0"/>
    <n v="39"/>
    <s v="month"/>
    <s v=""/>
    <x v="2"/>
  </r>
  <r>
    <n v="151713121"/>
    <x v="195"/>
    <x v="0"/>
    <x v="0"/>
    <n v="39"/>
    <s v="month"/>
    <s v=""/>
    <x v="2"/>
  </r>
  <r>
    <n v="206759898"/>
    <x v="195"/>
    <x v="277"/>
    <x v="1"/>
    <n v="39"/>
    <s v="month"/>
    <n v="1"/>
    <x v="2"/>
  </r>
  <r>
    <n v="206750792"/>
    <x v="195"/>
    <x v="277"/>
    <x v="1"/>
    <n v="39"/>
    <s v="month"/>
    <n v="1"/>
    <x v="2"/>
  </r>
  <r>
    <n v="206742592"/>
    <x v="195"/>
    <x v="277"/>
    <x v="1"/>
    <n v="39"/>
    <s v="month"/>
    <n v="1"/>
    <x v="2"/>
  </r>
  <r>
    <n v="206700008"/>
    <x v="195"/>
    <x v="277"/>
    <x v="1"/>
    <n v="39"/>
    <s v="month"/>
    <n v="1"/>
    <x v="2"/>
  </r>
  <r>
    <n v="156170916"/>
    <x v="195"/>
    <x v="332"/>
    <x v="0"/>
    <n v="39"/>
    <s v="month"/>
    <n v="149"/>
    <x v="2"/>
  </r>
  <r>
    <n v="206607664"/>
    <x v="195"/>
    <x v="152"/>
    <x v="0"/>
    <n v="39"/>
    <s v="month"/>
    <n v="38"/>
    <x v="2"/>
  </r>
  <r>
    <n v="183332399"/>
    <x v="196"/>
    <x v="0"/>
    <x v="0"/>
    <n v="39"/>
    <s v="month"/>
    <s v=""/>
    <x v="3"/>
  </r>
  <r>
    <n v="176705210"/>
    <x v="196"/>
    <x v="253"/>
    <x v="0"/>
    <n v="39"/>
    <s v="month"/>
    <n v="1"/>
    <x v="3"/>
  </r>
  <r>
    <n v="154901722"/>
    <x v="196"/>
    <x v="277"/>
    <x v="0"/>
    <n v="39"/>
    <s v="month"/>
    <n v="0"/>
    <x v="3"/>
  </r>
  <r>
    <n v="153438676"/>
    <x v="196"/>
    <x v="324"/>
    <x v="0"/>
    <n v="39"/>
    <s v="month"/>
    <n v="68"/>
    <x v="3"/>
  </r>
  <r>
    <n v="154901722"/>
    <x v="196"/>
    <x v="243"/>
    <x v="0"/>
    <n v="39"/>
    <s v="month"/>
    <n v="46"/>
    <x v="3"/>
  </r>
  <r>
    <n v="123768696"/>
    <x v="196"/>
    <x v="246"/>
    <x v="0"/>
    <n v="39"/>
    <s v="month"/>
    <n v="23"/>
    <x v="3"/>
  </r>
  <r>
    <n v="142976081"/>
    <x v="196"/>
    <x v="185"/>
    <x v="0"/>
    <n v="39"/>
    <s v="month"/>
    <n v="31"/>
    <x v="3"/>
  </r>
  <r>
    <n v="152223051"/>
    <x v="197"/>
    <x v="0"/>
    <x v="0"/>
    <n v="39"/>
    <s v="month"/>
    <s v=""/>
    <x v="4"/>
  </r>
  <r>
    <n v="206865174"/>
    <x v="197"/>
    <x v="0"/>
    <x v="0"/>
    <n v="39"/>
    <s v="month"/>
    <s v=""/>
    <x v="4"/>
  </r>
  <r>
    <n v="143327052"/>
    <x v="197"/>
    <x v="0"/>
    <x v="0"/>
    <n v="39"/>
    <s v="month"/>
    <s v=""/>
    <x v="4"/>
  </r>
  <r>
    <n v="202270426"/>
    <x v="197"/>
    <x v="233"/>
    <x v="0"/>
    <n v="39"/>
    <s v="month"/>
    <n v="1"/>
    <x v="4"/>
  </r>
  <r>
    <n v="185602413"/>
    <x v="197"/>
    <x v="293"/>
    <x v="0"/>
    <n v="39"/>
    <s v="month"/>
    <n v="99"/>
    <x v="4"/>
  </r>
  <r>
    <n v="206679618"/>
    <x v="197"/>
    <x v="251"/>
    <x v="0"/>
    <n v="39"/>
    <s v="month"/>
    <n v="42"/>
    <x v="4"/>
  </r>
  <r>
    <n v="127561439"/>
    <x v="197"/>
    <x v="185"/>
    <x v="0"/>
    <n v="39"/>
    <s v="month"/>
    <n v="30"/>
    <x v="4"/>
  </r>
  <r>
    <n v="176705210"/>
    <x v="197"/>
    <x v="253"/>
    <x v="0"/>
    <n v="39"/>
    <s v="month"/>
    <n v="0"/>
    <x v="4"/>
  </r>
  <r>
    <n v="206693452"/>
    <x v="198"/>
    <x v="0"/>
    <x v="0"/>
    <n v="39"/>
    <s v="month"/>
    <s v=""/>
    <x v="5"/>
  </r>
  <r>
    <n v="193499084"/>
    <x v="198"/>
    <x v="0"/>
    <x v="0"/>
    <n v="39"/>
    <s v="month"/>
    <s v=""/>
    <x v="5"/>
  </r>
  <r>
    <n v="206995576"/>
    <x v="198"/>
    <x v="333"/>
    <x v="0"/>
    <n v="39"/>
    <s v="month"/>
    <n v="157"/>
    <x v="5"/>
  </r>
  <r>
    <n v="154783053"/>
    <x v="198"/>
    <x v="243"/>
    <x v="0"/>
    <n v="39"/>
    <s v="month"/>
    <n v="44"/>
    <x v="5"/>
  </r>
  <r>
    <n v="158349405"/>
    <x v="198"/>
    <x v="55"/>
    <x v="0"/>
    <n v="39"/>
    <s v="month"/>
    <n v="148"/>
    <x v="5"/>
  </r>
  <r>
    <n v="205554002"/>
    <x v="198"/>
    <x v="334"/>
    <x v="0"/>
    <n v="39"/>
    <s v="month"/>
    <n v="147"/>
    <x v="5"/>
  </r>
  <r>
    <n v="207045565"/>
    <x v="199"/>
    <x v="0"/>
    <x v="0"/>
    <n v="39"/>
    <s v="month"/>
    <s v=""/>
    <x v="6"/>
  </r>
  <r>
    <n v="205483607"/>
    <x v="199"/>
    <x v="0"/>
    <x v="0"/>
    <n v="39"/>
    <s v="month"/>
    <s v=""/>
    <x v="6"/>
  </r>
  <r>
    <n v="147662374"/>
    <x v="199"/>
    <x v="0"/>
    <x v="0"/>
    <n v="39"/>
    <s v="month"/>
    <s v=""/>
    <x v="6"/>
  </r>
  <r>
    <n v="150652956"/>
    <x v="199"/>
    <x v="246"/>
    <x v="0"/>
    <n v="39"/>
    <s v="month"/>
    <n v="20"/>
    <x v="6"/>
  </r>
  <r>
    <n v="206527656"/>
    <x v="199"/>
    <x v="308"/>
    <x v="0"/>
    <n v="39"/>
    <s v="month"/>
    <n v="78"/>
    <x v="6"/>
  </r>
  <r>
    <n v="207041353"/>
    <x v="199"/>
    <x v="171"/>
    <x v="0"/>
    <n v="39"/>
    <s v="month"/>
    <n v="58"/>
    <x v="6"/>
  </r>
  <r>
    <n v="204448911"/>
    <x v="199"/>
    <x v="141"/>
    <x v="0"/>
    <n v="39"/>
    <s v="month"/>
    <n v="30"/>
    <x v="6"/>
  </r>
  <r>
    <n v="206951785"/>
    <x v="199"/>
    <x v="289"/>
    <x v="0"/>
    <n v="39"/>
    <s v="month"/>
    <n v="29"/>
    <x v="6"/>
  </r>
  <r>
    <n v="206892555"/>
    <x v="199"/>
    <x v="272"/>
    <x v="0"/>
    <n v="39"/>
    <s v="month"/>
    <n v="2"/>
    <x v="6"/>
  </r>
  <r>
    <n v="207051401"/>
    <x v="200"/>
    <x v="0"/>
    <x v="0"/>
    <n v="39"/>
    <s v="month"/>
    <s v=""/>
    <x v="0"/>
  </r>
  <r>
    <n v="206904848"/>
    <x v="200"/>
    <x v="0"/>
    <x v="0"/>
    <n v="39"/>
    <s v="month"/>
    <s v=""/>
    <x v="0"/>
  </r>
  <r>
    <n v="204598188"/>
    <x v="200"/>
    <x v="335"/>
    <x v="0"/>
    <n v="39"/>
    <s v="month"/>
    <n v="161"/>
    <x v="0"/>
  </r>
  <r>
    <n v="206447228"/>
    <x v="200"/>
    <x v="324"/>
    <x v="0"/>
    <n v="39"/>
    <s v="month"/>
    <n v="64"/>
    <x v="0"/>
  </r>
  <r>
    <n v="206190599"/>
    <x v="200"/>
    <x v="322"/>
    <x v="0"/>
    <n v="39"/>
    <s v="month"/>
    <n v="49"/>
    <x v="0"/>
  </r>
  <r>
    <n v="207014740"/>
    <x v="200"/>
    <x v="114"/>
    <x v="0"/>
    <n v="39"/>
    <s v="month"/>
    <n v="15"/>
    <x v="0"/>
  </r>
  <r>
    <n v="156762690"/>
    <x v="200"/>
    <x v="141"/>
    <x v="0"/>
    <n v="39"/>
    <s v="month"/>
    <n v="29"/>
    <x v="0"/>
  </r>
  <r>
    <n v="207116463"/>
    <x v="200"/>
    <x v="141"/>
    <x v="0"/>
    <n v="39"/>
    <s v="month"/>
    <n v="29"/>
    <x v="0"/>
  </r>
  <r>
    <n v="206555111"/>
    <x v="200"/>
    <x v="299"/>
    <x v="0"/>
    <n v="39"/>
    <s v="month"/>
    <n v="25"/>
    <x v="0"/>
  </r>
  <r>
    <n v="169543155"/>
    <x v="200"/>
    <x v="300"/>
    <x v="0"/>
    <n v="39"/>
    <s v="month"/>
    <n v="38"/>
    <x v="0"/>
  </r>
  <r>
    <n v="202270426"/>
    <x v="200"/>
    <x v="300"/>
    <x v="0"/>
    <n v="39"/>
    <s v="month"/>
    <n v="38"/>
    <x v="0"/>
  </r>
  <r>
    <n v="207005361"/>
    <x v="200"/>
    <x v="279"/>
    <x v="0"/>
    <n v="39"/>
    <s v="month"/>
    <n v="110"/>
    <x v="0"/>
  </r>
  <r>
    <n v="206105763"/>
    <x v="201"/>
    <x v="0"/>
    <x v="0"/>
    <n v="39"/>
    <s v="month"/>
    <s v=""/>
    <x v="1"/>
  </r>
  <r>
    <n v="198968224"/>
    <x v="201"/>
    <x v="0"/>
    <x v="0"/>
    <n v="39"/>
    <s v="month"/>
    <s v=""/>
    <x v="1"/>
  </r>
  <r>
    <n v="205342230"/>
    <x v="201"/>
    <x v="0"/>
    <x v="0"/>
    <n v="39"/>
    <s v="month"/>
    <s v=""/>
    <x v="1"/>
  </r>
  <r>
    <n v="207224044"/>
    <x v="201"/>
    <x v="0"/>
    <x v="0"/>
    <n v="39"/>
    <s v="month"/>
    <s v=""/>
    <x v="1"/>
  </r>
  <r>
    <n v="174232231"/>
    <x v="201"/>
    <x v="0"/>
    <x v="0"/>
    <n v="39"/>
    <s v="month"/>
    <s v=""/>
    <x v="1"/>
  </r>
  <r>
    <n v="207017124"/>
    <x v="201"/>
    <x v="272"/>
    <x v="1"/>
    <n v="39"/>
    <s v="month"/>
    <n v="0"/>
    <x v="1"/>
  </r>
  <r>
    <n v="194006146"/>
    <x v="201"/>
    <x v="291"/>
    <x v="0"/>
    <n v="39"/>
    <s v="month"/>
    <n v="84"/>
    <x v="1"/>
  </r>
  <r>
    <n v="150509580"/>
    <x v="201"/>
    <x v="270"/>
    <x v="0"/>
    <n v="39"/>
    <s v="month"/>
    <n v="77"/>
    <x v="1"/>
  </r>
  <r>
    <n v="207120479"/>
    <x v="201"/>
    <x v="159"/>
    <x v="0"/>
    <n v="39"/>
    <s v="month"/>
    <n v="67"/>
    <x v="1"/>
  </r>
  <r>
    <n v="162069198"/>
    <x v="201"/>
    <x v="275"/>
    <x v="0"/>
    <n v="39"/>
    <s v="month"/>
    <n v="30"/>
    <x v="1"/>
  </r>
  <r>
    <n v="206742272"/>
    <x v="201"/>
    <x v="336"/>
    <x v="0"/>
    <n v="39"/>
    <s v="month"/>
    <n v="35"/>
    <x v="1"/>
  </r>
  <r>
    <n v="207433836"/>
    <x v="202"/>
    <x v="0"/>
    <x v="0"/>
    <n v="39"/>
    <s v="month"/>
    <s v=""/>
    <x v="2"/>
  </r>
  <r>
    <n v="207382183"/>
    <x v="202"/>
    <x v="0"/>
    <x v="0"/>
    <n v="39"/>
    <s v="month"/>
    <s v=""/>
    <x v="2"/>
  </r>
  <r>
    <n v="205051942"/>
    <x v="202"/>
    <x v="0"/>
    <x v="0"/>
    <n v="39"/>
    <s v="month"/>
    <s v=""/>
    <x v="2"/>
  </r>
  <r>
    <n v="132631414"/>
    <x v="202"/>
    <x v="135"/>
    <x v="0"/>
    <n v="39"/>
    <s v="month"/>
    <n v="99"/>
    <x v="2"/>
  </r>
  <r>
    <n v="207529664"/>
    <x v="202"/>
    <x v="189"/>
    <x v="0"/>
    <n v="39"/>
    <s v="month"/>
    <n v="6"/>
    <x v="2"/>
  </r>
  <r>
    <n v="207022940"/>
    <x v="202"/>
    <x v="337"/>
    <x v="0"/>
    <n v="39"/>
    <s v="month"/>
    <n v="107"/>
    <x v="2"/>
  </r>
  <r>
    <n v="207388337"/>
    <x v="202"/>
    <x v="204"/>
    <x v="0"/>
    <n v="39"/>
    <s v="month"/>
    <n v="131"/>
    <x v="2"/>
  </r>
  <r>
    <n v="205883858"/>
    <x v="203"/>
    <x v="0"/>
    <x v="0"/>
    <n v="39"/>
    <s v="month"/>
    <s v=""/>
    <x v="3"/>
  </r>
  <r>
    <n v="173711359"/>
    <x v="203"/>
    <x v="157"/>
    <x v="0"/>
    <n v="39"/>
    <s v="month"/>
    <n v="76"/>
    <x v="3"/>
  </r>
  <r>
    <n v="207078726"/>
    <x v="203"/>
    <x v="232"/>
    <x v="0"/>
    <n v="39"/>
    <s v="month"/>
    <n v="79"/>
    <x v="3"/>
  </r>
  <r>
    <n v="207415911"/>
    <x v="203"/>
    <x v="285"/>
    <x v="0"/>
    <n v="39"/>
    <s v="month"/>
    <n v="66"/>
    <x v="3"/>
  </r>
  <r>
    <n v="207391012"/>
    <x v="203"/>
    <x v="128"/>
    <x v="0"/>
    <n v="39"/>
    <s v="month"/>
    <n v="11"/>
    <x v="3"/>
  </r>
  <r>
    <n v="207699946"/>
    <x v="203"/>
    <x v="266"/>
    <x v="0"/>
    <n v="39"/>
    <s v="month"/>
    <n v="29"/>
    <x v="3"/>
  </r>
  <r>
    <n v="207665488"/>
    <x v="203"/>
    <x v="208"/>
    <x v="0"/>
    <n v="39"/>
    <s v="month"/>
    <n v="0"/>
    <x v="3"/>
  </r>
  <r>
    <n v="207742153"/>
    <x v="203"/>
    <x v="160"/>
    <x v="0"/>
    <n v="39"/>
    <s v="month"/>
    <n v="103"/>
    <x v="3"/>
  </r>
  <r>
    <n v="207288677"/>
    <x v="204"/>
    <x v="0"/>
    <x v="0"/>
    <n v="39"/>
    <s v="month"/>
    <s v=""/>
    <x v="4"/>
  </r>
  <r>
    <n v="208151007"/>
    <x v="204"/>
    <x v="0"/>
    <x v="0"/>
    <n v="39"/>
    <s v="month"/>
    <s v=""/>
    <x v="4"/>
  </r>
  <r>
    <n v="207218336"/>
    <x v="204"/>
    <x v="0"/>
    <x v="0"/>
    <n v="39"/>
    <s v="month"/>
    <s v=""/>
    <x v="4"/>
  </r>
  <r>
    <n v="208105889"/>
    <x v="204"/>
    <x v="0"/>
    <x v="0"/>
    <n v="39"/>
    <s v="month"/>
    <s v=""/>
    <x v="4"/>
  </r>
  <r>
    <n v="152221925"/>
    <x v="204"/>
    <x v="338"/>
    <x v="0"/>
    <n v="39"/>
    <s v="month"/>
    <n v="84"/>
    <x v="4"/>
  </r>
  <r>
    <n v="207090754"/>
    <x v="204"/>
    <x v="73"/>
    <x v="0"/>
    <n v="39"/>
    <s v="month"/>
    <n v="66"/>
    <x v="4"/>
  </r>
  <r>
    <n v="128283235"/>
    <x v="204"/>
    <x v="282"/>
    <x v="0"/>
    <n v="39"/>
    <s v="month"/>
    <n v="122"/>
    <x v="4"/>
  </r>
  <r>
    <n v="206686106"/>
    <x v="204"/>
    <x v="243"/>
    <x v="0"/>
    <n v="39"/>
    <s v="month"/>
    <n v="38"/>
    <x v="4"/>
  </r>
  <r>
    <n v="208090380"/>
    <x v="204"/>
    <x v="17"/>
    <x v="0"/>
    <n v="39"/>
    <s v="month"/>
    <n v="14"/>
    <x v="4"/>
  </r>
  <r>
    <n v="153281230"/>
    <x v="204"/>
    <x v="299"/>
    <x v="0"/>
    <n v="39"/>
    <s v="month"/>
    <n v="21"/>
    <x v="4"/>
  </r>
  <r>
    <n v="205049710"/>
    <x v="204"/>
    <x v="125"/>
    <x v="0"/>
    <n v="39"/>
    <s v="month"/>
    <n v="1"/>
    <x v="4"/>
  </r>
  <r>
    <n v="208618235"/>
    <x v="205"/>
    <x v="0"/>
    <x v="0"/>
    <n v="39"/>
    <s v="month"/>
    <s v=""/>
    <x v="5"/>
  </r>
  <r>
    <n v="167713351"/>
    <x v="205"/>
    <x v="0"/>
    <x v="0"/>
    <n v="39"/>
    <s v="month"/>
    <s v=""/>
    <x v="5"/>
  </r>
  <r>
    <n v="149975492"/>
    <x v="205"/>
    <x v="0"/>
    <x v="0"/>
    <n v="39"/>
    <s v="month"/>
    <s v=""/>
    <x v="5"/>
  </r>
  <r>
    <n v="208286745"/>
    <x v="205"/>
    <x v="0"/>
    <x v="0"/>
    <n v="39"/>
    <s v="month"/>
    <s v=""/>
    <x v="5"/>
  </r>
  <r>
    <n v="208473540"/>
    <x v="205"/>
    <x v="125"/>
    <x v="0"/>
    <n v="39"/>
    <s v="month"/>
    <n v="0"/>
    <x v="5"/>
  </r>
  <r>
    <n v="137721176"/>
    <x v="205"/>
    <x v="296"/>
    <x v="0"/>
    <n v="39"/>
    <s v="month"/>
    <n v="125"/>
    <x v="5"/>
  </r>
  <r>
    <n v="140062581"/>
    <x v="205"/>
    <x v="174"/>
    <x v="0"/>
    <n v="39"/>
    <s v="month"/>
    <n v="46"/>
    <x v="5"/>
  </r>
  <r>
    <n v="208488674"/>
    <x v="205"/>
    <x v="73"/>
    <x v="0"/>
    <n v="39"/>
    <s v="month"/>
    <n v="65"/>
    <x v="5"/>
  </r>
  <r>
    <n v="162752410"/>
    <x v="205"/>
    <x v="339"/>
    <x v="0"/>
    <n v="39"/>
    <s v="month"/>
    <n v="145"/>
    <x v="5"/>
  </r>
  <r>
    <n v="208598415"/>
    <x v="205"/>
    <x v="284"/>
    <x v="0"/>
    <n v="39"/>
    <s v="month"/>
    <n v="36"/>
    <x v="5"/>
  </r>
  <r>
    <n v="143427096"/>
    <x v="205"/>
    <x v="251"/>
    <x v="0"/>
    <n v="39"/>
    <s v="month"/>
    <n v="34"/>
    <x v="5"/>
  </r>
  <r>
    <n v="208480650"/>
    <x v="205"/>
    <x v="122"/>
    <x v="0"/>
    <n v="39"/>
    <s v="month"/>
    <n v="17"/>
    <x v="5"/>
  </r>
  <r>
    <n v="147000442"/>
    <x v="206"/>
    <x v="0"/>
    <x v="0"/>
    <n v="39"/>
    <s v="month"/>
    <s v=""/>
    <x v="6"/>
  </r>
  <r>
    <n v="207062508"/>
    <x v="206"/>
    <x v="0"/>
    <x v="0"/>
    <n v="39"/>
    <s v="month"/>
    <s v=""/>
    <x v="6"/>
  </r>
  <r>
    <n v="206862916"/>
    <x v="206"/>
    <x v="0"/>
    <x v="0"/>
    <n v="39"/>
    <s v="month"/>
    <s v=""/>
    <x v="6"/>
  </r>
  <r>
    <n v="208706866"/>
    <x v="206"/>
    <x v="0"/>
    <x v="0"/>
    <n v="39"/>
    <s v="month"/>
    <s v=""/>
    <x v="6"/>
  </r>
  <r>
    <n v="134719816"/>
    <x v="206"/>
    <x v="180"/>
    <x v="0"/>
    <n v="39"/>
    <s v="month"/>
    <n v="81"/>
    <x v="6"/>
  </r>
  <r>
    <n v="138548670"/>
    <x v="206"/>
    <x v="159"/>
    <x v="0"/>
    <n v="39"/>
    <s v="month"/>
    <n v="62"/>
    <x v="6"/>
  </r>
  <r>
    <n v="208745476"/>
    <x v="206"/>
    <x v="173"/>
    <x v="0"/>
    <n v="39"/>
    <s v="month"/>
    <n v="84"/>
    <x v="6"/>
  </r>
  <r>
    <n v="182584521"/>
    <x v="206"/>
    <x v="274"/>
    <x v="0"/>
    <n v="39"/>
    <s v="month"/>
    <n v="38"/>
    <x v="6"/>
  </r>
  <r>
    <n v="206463427"/>
    <x v="206"/>
    <x v="243"/>
    <x v="0"/>
    <n v="39"/>
    <s v="month"/>
    <n v="36"/>
    <x v="6"/>
  </r>
  <r>
    <n v="158947936"/>
    <x v="206"/>
    <x v="336"/>
    <x v="0"/>
    <n v="39"/>
    <s v="month"/>
    <n v="30"/>
    <x v="6"/>
  </r>
  <r>
    <n v="182737296"/>
    <x v="206"/>
    <x v="263"/>
    <x v="0"/>
    <n v="39"/>
    <s v="month"/>
    <n v="31"/>
    <x v="6"/>
  </r>
  <r>
    <n v="156550538"/>
    <x v="207"/>
    <x v="0"/>
    <x v="0"/>
    <n v="39"/>
    <s v="month"/>
    <s v=""/>
    <x v="0"/>
  </r>
  <r>
    <n v="208897557"/>
    <x v="207"/>
    <x v="0"/>
    <x v="0"/>
    <n v="39"/>
    <s v="month"/>
    <s v=""/>
    <x v="0"/>
  </r>
  <r>
    <n v="157484010"/>
    <x v="207"/>
    <x v="0"/>
    <x v="0"/>
    <n v="39"/>
    <s v="month"/>
    <s v=""/>
    <x v="0"/>
  </r>
  <r>
    <n v="146450388"/>
    <x v="207"/>
    <x v="268"/>
    <x v="0"/>
    <n v="39"/>
    <s v="month"/>
    <n v="68"/>
    <x v="0"/>
  </r>
  <r>
    <n v="208610366"/>
    <x v="207"/>
    <x v="160"/>
    <x v="0"/>
    <n v="39"/>
    <s v="month"/>
    <n v="99"/>
    <x v="0"/>
  </r>
  <r>
    <n v="208913022"/>
    <x v="207"/>
    <x v="171"/>
    <x v="0"/>
    <n v="39"/>
    <s v="month"/>
    <n v="50"/>
    <x v="0"/>
  </r>
  <r>
    <n v="205813846"/>
    <x v="207"/>
    <x v="171"/>
    <x v="0"/>
    <n v="39"/>
    <s v="month"/>
    <n v="50"/>
    <x v="0"/>
  </r>
  <r>
    <n v="208762353"/>
    <x v="207"/>
    <x v="141"/>
    <x v="0"/>
    <n v="39"/>
    <s v="month"/>
    <n v="22"/>
    <x v="0"/>
  </r>
  <r>
    <n v="153099249"/>
    <x v="207"/>
    <x v="257"/>
    <x v="0"/>
    <n v="39"/>
    <s v="month"/>
    <n v="14"/>
    <x v="0"/>
  </r>
  <r>
    <n v="208734252"/>
    <x v="207"/>
    <x v="300"/>
    <x v="0"/>
    <n v="39"/>
    <s v="month"/>
    <n v="31"/>
    <x v="0"/>
  </r>
  <r>
    <n v="208320510"/>
    <x v="208"/>
    <x v="0"/>
    <x v="0"/>
    <n v="39"/>
    <s v="month"/>
    <s v=""/>
    <x v="1"/>
  </r>
  <r>
    <n v="207229509"/>
    <x v="208"/>
    <x v="189"/>
    <x v="1"/>
    <n v="39"/>
    <s v="month"/>
    <n v="0"/>
    <x v="1"/>
  </r>
  <r>
    <n v="208492287"/>
    <x v="208"/>
    <x v="298"/>
    <x v="0"/>
    <n v="39"/>
    <s v="month"/>
    <n v="68"/>
    <x v="1"/>
  </r>
  <r>
    <n v="195047202"/>
    <x v="208"/>
    <x v="309"/>
    <x v="0"/>
    <n v="39"/>
    <s v="month"/>
    <n v="53"/>
    <x v="1"/>
  </r>
  <r>
    <n v="208890352"/>
    <x v="208"/>
    <x v="324"/>
    <x v="0"/>
    <n v="39"/>
    <s v="month"/>
    <n v="56"/>
    <x v="1"/>
  </r>
  <r>
    <n v="151282537"/>
    <x v="208"/>
    <x v="340"/>
    <x v="0"/>
    <n v="39"/>
    <s v="month"/>
    <n v="92"/>
    <x v="1"/>
  </r>
  <r>
    <n v="206625246"/>
    <x v="209"/>
    <x v="0"/>
    <x v="0"/>
    <n v="39"/>
    <s v="month"/>
    <s v=""/>
    <x v="2"/>
  </r>
  <r>
    <n v="208748964"/>
    <x v="209"/>
    <x v="0"/>
    <x v="0"/>
    <n v="39"/>
    <s v="month"/>
    <s v=""/>
    <x v="2"/>
  </r>
  <r>
    <n v="151904783"/>
    <x v="209"/>
    <x v="0"/>
    <x v="0"/>
    <n v="39"/>
    <s v="month"/>
    <s v=""/>
    <x v="2"/>
  </r>
  <r>
    <n v="160351988"/>
    <x v="209"/>
    <x v="341"/>
    <x v="0"/>
    <n v="39"/>
    <s v="month"/>
    <n v="98"/>
    <x v="2"/>
  </r>
  <r>
    <n v="145622106"/>
    <x v="209"/>
    <x v="16"/>
    <x v="0"/>
    <n v="39"/>
    <s v="month"/>
    <n v="0"/>
    <x v="2"/>
  </r>
  <r>
    <n v="192475408"/>
    <x v="209"/>
    <x v="287"/>
    <x v="0"/>
    <n v="39"/>
    <s v="month"/>
    <n v="25"/>
    <x v="2"/>
  </r>
  <r>
    <n v="208597905"/>
    <x v="210"/>
    <x v="0"/>
    <x v="0"/>
    <n v="39"/>
    <s v="month"/>
    <s v=""/>
    <x v="3"/>
  </r>
  <r>
    <n v="209469556"/>
    <x v="210"/>
    <x v="145"/>
    <x v="1"/>
    <n v="39"/>
    <s v="month"/>
    <n v="1"/>
    <x v="3"/>
  </r>
  <r>
    <n v="207183892"/>
    <x v="210"/>
    <x v="145"/>
    <x v="1"/>
    <n v="39"/>
    <s v="month"/>
    <n v="1"/>
    <x v="3"/>
  </r>
  <r>
    <n v="125980506"/>
    <x v="210"/>
    <x v="135"/>
    <x v="0"/>
    <n v="39"/>
    <s v="month"/>
    <n v="91"/>
    <x v="3"/>
  </r>
  <r>
    <n v="162635107"/>
    <x v="210"/>
    <x v="209"/>
    <x v="0"/>
    <n v="39"/>
    <s v="month"/>
    <n v="94"/>
    <x v="3"/>
  </r>
  <r>
    <n v="154655775"/>
    <x v="210"/>
    <x v="329"/>
    <x v="0"/>
    <n v="39"/>
    <s v="month"/>
    <n v="113"/>
    <x v="3"/>
  </r>
  <r>
    <n v="154911229"/>
    <x v="211"/>
    <x v="0"/>
    <x v="0"/>
    <n v="39"/>
    <s v="month"/>
    <s v=""/>
    <x v="4"/>
  </r>
  <r>
    <n v="206812076"/>
    <x v="211"/>
    <x v="0"/>
    <x v="0"/>
    <n v="39"/>
    <s v="month"/>
    <s v=""/>
    <x v="4"/>
  </r>
  <r>
    <n v="208490747"/>
    <x v="211"/>
    <x v="0"/>
    <x v="0"/>
    <n v="39"/>
    <s v="month"/>
    <s v=""/>
    <x v="4"/>
  </r>
  <r>
    <n v="131761056"/>
    <x v="211"/>
    <x v="0"/>
    <x v="0"/>
    <n v="39"/>
    <s v="month"/>
    <s v=""/>
    <x v="4"/>
  </r>
  <r>
    <n v="208115534"/>
    <x v="211"/>
    <x v="15"/>
    <x v="1"/>
    <n v="39"/>
    <s v="month"/>
    <n v="37"/>
    <x v="4"/>
  </r>
  <r>
    <n v="202126471"/>
    <x v="211"/>
    <x v="293"/>
    <x v="0"/>
    <n v="39"/>
    <s v="month"/>
    <n v="85"/>
    <x v="4"/>
  </r>
  <r>
    <n v="209738836"/>
    <x v="211"/>
    <x v="342"/>
    <x v="0"/>
    <n v="39"/>
    <s v="month"/>
    <n v="41"/>
    <x v="4"/>
  </r>
  <r>
    <n v="209470128"/>
    <x v="211"/>
    <x v="159"/>
    <x v="0"/>
    <n v="39"/>
    <s v="month"/>
    <n v="57"/>
    <x v="4"/>
  </r>
  <r>
    <n v="209745334"/>
    <x v="211"/>
    <x v="318"/>
    <x v="0"/>
    <n v="39"/>
    <s v="month"/>
    <n v="151"/>
    <x v="4"/>
  </r>
  <r>
    <n v="209751690"/>
    <x v="212"/>
    <x v="0"/>
    <x v="0"/>
    <n v="39"/>
    <s v="month"/>
    <s v=""/>
    <x v="5"/>
  </r>
  <r>
    <n v="209730490"/>
    <x v="212"/>
    <x v="22"/>
    <x v="1"/>
    <n v="39"/>
    <s v="month"/>
    <n v="1"/>
    <x v="5"/>
  </r>
  <r>
    <n v="208115648"/>
    <x v="212"/>
    <x v="304"/>
    <x v="0"/>
    <n v="39"/>
    <s v="month"/>
    <n v="62"/>
    <x v="5"/>
  </r>
  <r>
    <n v="210087900"/>
    <x v="212"/>
    <x v="4"/>
    <x v="0"/>
    <n v="39"/>
    <s v="month"/>
    <n v="34"/>
    <x v="5"/>
  </r>
  <r>
    <n v="208890316"/>
    <x v="212"/>
    <x v="330"/>
    <x v="0"/>
    <n v="39"/>
    <s v="month"/>
    <n v="50"/>
    <x v="5"/>
  </r>
  <r>
    <n v="143706140"/>
    <x v="212"/>
    <x v="114"/>
    <x v="0"/>
    <n v="39"/>
    <s v="month"/>
    <n v="3"/>
    <x v="5"/>
  </r>
  <r>
    <n v="209950443"/>
    <x v="212"/>
    <x v="122"/>
    <x v="0"/>
    <n v="39"/>
    <s v="month"/>
    <n v="10"/>
    <x v="5"/>
  </r>
  <r>
    <n v="208892072"/>
    <x v="212"/>
    <x v="152"/>
    <x v="0"/>
    <n v="39"/>
    <s v="month"/>
    <n v="21"/>
    <x v="5"/>
  </r>
  <r>
    <n v="205767174"/>
    <x v="212"/>
    <x v="328"/>
    <x v="0"/>
    <n v="39"/>
    <s v="month"/>
    <n v="130"/>
    <x v="5"/>
  </r>
  <r>
    <n v="206676416"/>
    <x v="212"/>
    <x v="316"/>
    <x v="0"/>
    <n v="39"/>
    <s v="month"/>
    <n v="104"/>
    <x v="5"/>
  </r>
  <r>
    <n v="160676837"/>
    <x v="213"/>
    <x v="0"/>
    <x v="0"/>
    <n v="39"/>
    <s v="month"/>
    <s v=""/>
    <x v="6"/>
  </r>
  <r>
    <n v="204274153"/>
    <x v="213"/>
    <x v="0"/>
    <x v="0"/>
    <n v="39"/>
    <s v="month"/>
    <s v=""/>
    <x v="6"/>
  </r>
  <r>
    <n v="210327236"/>
    <x v="213"/>
    <x v="128"/>
    <x v="1"/>
    <n v="39"/>
    <s v="month"/>
    <n v="1"/>
    <x v="6"/>
  </r>
  <r>
    <n v="210326352"/>
    <x v="213"/>
    <x v="22"/>
    <x v="1"/>
    <n v="39"/>
    <s v="month"/>
    <n v="0"/>
    <x v="6"/>
  </r>
  <r>
    <n v="124155104"/>
    <x v="213"/>
    <x v="82"/>
    <x v="0"/>
    <n v="39"/>
    <s v="month"/>
    <n v="37"/>
    <x v="6"/>
  </r>
  <r>
    <n v="209517408"/>
    <x v="213"/>
    <x v="243"/>
    <x v="0"/>
    <n v="39"/>
    <s v="month"/>
    <n v="29"/>
    <x v="6"/>
  </r>
  <r>
    <n v="210432450"/>
    <x v="213"/>
    <x v="327"/>
    <x v="0"/>
    <n v="39"/>
    <s v="month"/>
    <n v="7"/>
    <x v="6"/>
  </r>
  <r>
    <n v="210138564"/>
    <x v="214"/>
    <x v="0"/>
    <x v="0"/>
    <n v="39"/>
    <s v="month"/>
    <s v=""/>
    <x v="0"/>
  </r>
  <r>
    <n v="210617010"/>
    <x v="214"/>
    <x v="128"/>
    <x v="0"/>
    <n v="39"/>
    <s v="month"/>
    <n v="0"/>
    <x v="0"/>
  </r>
  <r>
    <n v="134894187"/>
    <x v="214"/>
    <x v="317"/>
    <x v="0"/>
    <n v="39"/>
    <s v="month"/>
    <n v="42"/>
    <x v="0"/>
  </r>
  <r>
    <n v="150643785"/>
    <x v="214"/>
    <x v="268"/>
    <x v="0"/>
    <n v="39"/>
    <s v="month"/>
    <n v="61"/>
    <x v="0"/>
  </r>
  <r>
    <n v="149986782"/>
    <x v="214"/>
    <x v="343"/>
    <x v="0"/>
    <n v="39"/>
    <s v="month"/>
    <n v="59"/>
    <x v="0"/>
  </r>
  <r>
    <n v="205463099"/>
    <x v="214"/>
    <x v="291"/>
    <x v="0"/>
    <n v="39"/>
    <s v="month"/>
    <n v="71"/>
    <x v="0"/>
  </r>
  <r>
    <n v="210565466"/>
    <x v="214"/>
    <x v="174"/>
    <x v="0"/>
    <n v="39"/>
    <s v="month"/>
    <n v="37"/>
    <x v="0"/>
  </r>
  <r>
    <n v="209072132"/>
    <x v="215"/>
    <x v="0"/>
    <x v="0"/>
    <n v="39"/>
    <s v="month"/>
    <s v=""/>
    <x v="1"/>
  </r>
  <r>
    <n v="210388772"/>
    <x v="215"/>
    <x v="0"/>
    <x v="0"/>
    <n v="39"/>
    <s v="month"/>
    <s v=""/>
    <x v="1"/>
  </r>
  <r>
    <n v="210617010"/>
    <x v="215"/>
    <x v="270"/>
    <x v="0"/>
    <n v="39"/>
    <s v="month"/>
    <n v="63"/>
    <x v="1"/>
  </r>
  <r>
    <n v="210694562"/>
    <x v="215"/>
    <x v="342"/>
    <x v="0"/>
    <n v="39"/>
    <s v="month"/>
    <n v="37"/>
    <x v="1"/>
  </r>
  <r>
    <n v="134833306"/>
    <x v="215"/>
    <x v="4"/>
    <x v="0"/>
    <n v="39"/>
    <s v="month"/>
    <n v="31"/>
    <x v="1"/>
  </r>
  <r>
    <n v="211220014"/>
    <x v="216"/>
    <x v="0"/>
    <x v="0"/>
    <n v="39"/>
    <s v="month"/>
    <s v=""/>
    <x v="2"/>
  </r>
  <r>
    <n v="121571816"/>
    <x v="216"/>
    <x v="0"/>
    <x v="0"/>
    <n v="39"/>
    <s v="month"/>
    <s v=""/>
    <x v="2"/>
  </r>
  <r>
    <n v="211216060"/>
    <x v="216"/>
    <x v="0"/>
    <x v="0"/>
    <n v="39"/>
    <s v="month"/>
    <s v=""/>
    <x v="2"/>
  </r>
  <r>
    <n v="211114276"/>
    <x v="216"/>
    <x v="0"/>
    <x v="0"/>
    <n v="39"/>
    <s v="month"/>
    <s v=""/>
    <x v="2"/>
  </r>
  <r>
    <n v="211224883"/>
    <x v="216"/>
    <x v="319"/>
    <x v="1"/>
    <n v="39"/>
    <s v="month"/>
    <n v="1"/>
    <x v="2"/>
  </r>
  <r>
    <n v="211212313"/>
    <x v="216"/>
    <x v="268"/>
    <x v="0"/>
    <n v="39"/>
    <s v="month"/>
    <n v="59"/>
    <x v="2"/>
  </r>
  <r>
    <n v="210135815"/>
    <x v="216"/>
    <x v="256"/>
    <x v="0"/>
    <n v="39"/>
    <s v="month"/>
    <n v="10"/>
    <x v="2"/>
  </r>
  <r>
    <n v="211381659"/>
    <x v="217"/>
    <x v="0"/>
    <x v="0"/>
    <n v="39"/>
    <s v="month"/>
    <s v=""/>
    <x v="3"/>
  </r>
  <r>
    <n v="183363812"/>
    <x v="217"/>
    <x v="0"/>
    <x v="0"/>
    <n v="39"/>
    <s v="month"/>
    <s v=""/>
    <x v="3"/>
  </r>
  <r>
    <n v="211289909"/>
    <x v="217"/>
    <x v="0"/>
    <x v="0"/>
    <n v="39"/>
    <s v="month"/>
    <s v=""/>
    <x v="3"/>
  </r>
  <r>
    <n v="211266858"/>
    <x v="217"/>
    <x v="101"/>
    <x v="0"/>
    <n v="39"/>
    <s v="month"/>
    <n v="23"/>
    <x v="3"/>
  </r>
  <r>
    <n v="153163612"/>
    <x v="217"/>
    <x v="266"/>
    <x v="0"/>
    <n v="39"/>
    <s v="month"/>
    <n v="15"/>
    <x v="3"/>
  </r>
  <r>
    <n v="209505551"/>
    <x v="217"/>
    <x v="152"/>
    <x v="0"/>
    <n v="39"/>
    <s v="month"/>
    <n v="16"/>
    <x v="3"/>
  </r>
  <r>
    <n v="211389716"/>
    <x v="218"/>
    <x v="0"/>
    <x v="0"/>
    <n v="39"/>
    <s v="month"/>
    <s v=""/>
    <x v="4"/>
  </r>
  <r>
    <n v="211636708"/>
    <x v="218"/>
    <x v="0"/>
    <x v="0"/>
    <n v="39"/>
    <s v="month"/>
    <s v=""/>
    <x v="4"/>
  </r>
  <r>
    <n v="176884824"/>
    <x v="218"/>
    <x v="0"/>
    <x v="0"/>
    <n v="39"/>
    <s v="month"/>
    <s v=""/>
    <x v="4"/>
  </r>
  <r>
    <n v="211352758"/>
    <x v="218"/>
    <x v="0"/>
    <x v="0"/>
    <n v="39"/>
    <s v="month"/>
    <s v=""/>
    <x v="4"/>
  </r>
  <r>
    <n v="210814163"/>
    <x v="218"/>
    <x v="0"/>
    <x v="0"/>
    <n v="39"/>
    <s v="month"/>
    <s v=""/>
    <x v="4"/>
  </r>
  <r>
    <n v="210893245"/>
    <x v="218"/>
    <x v="0"/>
    <x v="0"/>
    <n v="39"/>
    <s v="month"/>
    <s v=""/>
    <x v="4"/>
  </r>
  <r>
    <n v="130967112"/>
    <x v="218"/>
    <x v="0"/>
    <x v="0"/>
    <n v="39"/>
    <s v="month"/>
    <s v=""/>
    <x v="4"/>
  </r>
  <r>
    <n v="199116000"/>
    <x v="218"/>
    <x v="0"/>
    <x v="0"/>
    <n v="39"/>
    <s v="month"/>
    <s v=""/>
    <x v="4"/>
  </r>
  <r>
    <n v="161182706"/>
    <x v="218"/>
    <x v="258"/>
    <x v="0"/>
    <n v="39"/>
    <s v="month"/>
    <n v="37"/>
    <x v="4"/>
  </r>
  <r>
    <n v="211576047"/>
    <x v="219"/>
    <x v="0"/>
    <x v="0"/>
    <n v="39"/>
    <s v="month"/>
    <s v=""/>
    <x v="5"/>
  </r>
  <r>
    <n v="211897884"/>
    <x v="219"/>
    <x v="0"/>
    <x v="0"/>
    <n v="39"/>
    <s v="month"/>
    <s v=""/>
    <x v="5"/>
  </r>
  <r>
    <n v="211661733"/>
    <x v="219"/>
    <x v="0"/>
    <x v="0"/>
    <n v="39"/>
    <s v="month"/>
    <s v=""/>
    <x v="5"/>
  </r>
  <r>
    <n v="211561665"/>
    <x v="219"/>
    <x v="0"/>
    <x v="1"/>
    <n v="39"/>
    <s v="month"/>
    <s v=""/>
    <x v="5"/>
  </r>
  <r>
    <n v="211911280"/>
    <x v="219"/>
    <x v="225"/>
    <x v="0"/>
    <n v="39"/>
    <s v="month"/>
    <n v="134"/>
    <x v="5"/>
  </r>
  <r>
    <n v="123946316"/>
    <x v="219"/>
    <x v="306"/>
    <x v="0"/>
    <n v="39"/>
    <s v="month"/>
    <n v="67"/>
    <x v="5"/>
  </r>
  <r>
    <n v="144469362"/>
    <x v="219"/>
    <x v="251"/>
    <x v="0"/>
    <n v="39"/>
    <s v="month"/>
    <n v="20"/>
    <x v="5"/>
  </r>
  <r>
    <n v="187268085"/>
    <x v="219"/>
    <x v="4"/>
    <x v="0"/>
    <n v="39"/>
    <s v="month"/>
    <n v="27"/>
    <x v="5"/>
  </r>
  <r>
    <n v="210088359"/>
    <x v="219"/>
    <x v="321"/>
    <x v="0"/>
    <n v="39"/>
    <s v="month"/>
    <n v="76"/>
    <x v="5"/>
  </r>
  <r>
    <n v="211906202"/>
    <x v="219"/>
    <x v="288"/>
    <x v="0"/>
    <n v="39"/>
    <s v="month"/>
    <n v="41"/>
    <x v="5"/>
  </r>
  <r>
    <n v="126391978"/>
    <x v="219"/>
    <x v="240"/>
    <x v="0"/>
    <n v="39"/>
    <s v="month"/>
    <n v="100"/>
    <x v="5"/>
  </r>
  <r>
    <n v="154753462"/>
    <x v="220"/>
    <x v="0"/>
    <x v="0"/>
    <n v="39"/>
    <s v="month"/>
    <s v=""/>
    <x v="6"/>
  </r>
  <r>
    <n v="212049757"/>
    <x v="220"/>
    <x v="0"/>
    <x v="0"/>
    <n v="39"/>
    <s v="month"/>
    <s v=""/>
    <x v="6"/>
  </r>
  <r>
    <n v="147015210"/>
    <x v="220"/>
    <x v="0"/>
    <x v="0"/>
    <n v="39"/>
    <s v="month"/>
    <s v=""/>
    <x v="6"/>
  </r>
  <r>
    <n v="212057431"/>
    <x v="220"/>
    <x v="257"/>
    <x v="1"/>
    <n v="39"/>
    <s v="month"/>
    <n v="1"/>
    <x v="6"/>
  </r>
  <r>
    <n v="205734465"/>
    <x v="220"/>
    <x v="308"/>
    <x v="0"/>
    <n v="39"/>
    <s v="month"/>
    <n v="57"/>
    <x v="6"/>
  </r>
  <r>
    <n v="208772540"/>
    <x v="220"/>
    <x v="300"/>
    <x v="0"/>
    <n v="39"/>
    <s v="month"/>
    <n v="18"/>
    <x v="6"/>
  </r>
  <r>
    <n v="182357706"/>
    <x v="220"/>
    <x v="255"/>
    <x v="0"/>
    <n v="39"/>
    <s v="month"/>
    <n v="83"/>
    <x v="6"/>
  </r>
  <r>
    <n v="211333348"/>
    <x v="220"/>
    <x v="341"/>
    <x v="0"/>
    <n v="39"/>
    <s v="month"/>
    <n v="87"/>
    <x v="6"/>
  </r>
  <r>
    <n v="211334702"/>
    <x v="220"/>
    <x v="344"/>
    <x v="0"/>
    <n v="39"/>
    <s v="month"/>
    <n v="104"/>
    <x v="6"/>
  </r>
  <r>
    <n v="212129575"/>
    <x v="221"/>
    <x v="0"/>
    <x v="0"/>
    <n v="39"/>
    <s v="month"/>
    <s v=""/>
    <x v="0"/>
  </r>
  <r>
    <n v="209733088"/>
    <x v="221"/>
    <x v="0"/>
    <x v="0"/>
    <n v="39"/>
    <s v="month"/>
    <s v=""/>
    <x v="0"/>
  </r>
  <r>
    <n v="152792045"/>
    <x v="221"/>
    <x v="177"/>
    <x v="0"/>
    <n v="39"/>
    <s v="month"/>
    <n v="68"/>
    <x v="0"/>
  </r>
  <r>
    <n v="212163568"/>
    <x v="221"/>
    <x v="323"/>
    <x v="0"/>
    <n v="39"/>
    <s v="month"/>
    <n v="46"/>
    <x v="0"/>
  </r>
  <r>
    <n v="212260363"/>
    <x v="221"/>
    <x v="15"/>
    <x v="0"/>
    <n v="39"/>
    <s v="month"/>
    <n v="27"/>
    <x v="0"/>
  </r>
  <r>
    <n v="212164158"/>
    <x v="221"/>
    <x v="293"/>
    <x v="0"/>
    <n v="39"/>
    <s v="month"/>
    <n v="75"/>
    <x v="0"/>
  </r>
  <r>
    <n v="155604779"/>
    <x v="221"/>
    <x v="255"/>
    <x v="0"/>
    <n v="39"/>
    <s v="month"/>
    <n v="82"/>
    <x v="0"/>
  </r>
  <r>
    <n v="150421022"/>
    <x v="221"/>
    <x v="273"/>
    <x v="0"/>
    <n v="39"/>
    <s v="month"/>
    <n v="63"/>
    <x v="0"/>
  </r>
  <r>
    <n v="122616012"/>
    <x v="221"/>
    <x v="3"/>
    <x v="0"/>
    <n v="39"/>
    <s v="month"/>
    <n v="77"/>
    <x v="0"/>
  </r>
  <r>
    <n v="209356278"/>
    <x v="222"/>
    <x v="0"/>
    <x v="0"/>
    <n v="39"/>
    <s v="month"/>
    <s v=""/>
    <x v="1"/>
  </r>
  <r>
    <n v="212604642"/>
    <x v="222"/>
    <x v="0"/>
    <x v="0"/>
    <n v="39"/>
    <s v="month"/>
    <s v=""/>
    <x v="1"/>
  </r>
  <r>
    <n v="210730447"/>
    <x v="222"/>
    <x v="0"/>
    <x v="0"/>
    <n v="39"/>
    <s v="month"/>
    <s v=""/>
    <x v="1"/>
  </r>
  <r>
    <n v="212388726"/>
    <x v="222"/>
    <x v="0"/>
    <x v="1"/>
    <n v="39"/>
    <s v="month"/>
    <s v=""/>
    <x v="1"/>
  </r>
  <r>
    <n v="127793951"/>
    <x v="222"/>
    <x v="335"/>
    <x v="0"/>
    <n v="39"/>
    <s v="month"/>
    <n v="139"/>
    <x v="1"/>
  </r>
  <r>
    <n v="189715793"/>
    <x v="222"/>
    <x v="326"/>
    <x v="0"/>
    <n v="39"/>
    <s v="month"/>
    <n v="37"/>
    <x v="1"/>
  </r>
  <r>
    <n v="148369126"/>
    <x v="223"/>
    <x v="0"/>
    <x v="0"/>
    <n v="39"/>
    <s v="month"/>
    <s v=""/>
    <x v="2"/>
  </r>
  <r>
    <n v="157503290"/>
    <x v="223"/>
    <x v="288"/>
    <x v="0"/>
    <n v="39"/>
    <s v="month"/>
    <n v="37"/>
    <x v="2"/>
  </r>
  <r>
    <n v="212712986"/>
    <x v="223"/>
    <x v="285"/>
    <x v="0"/>
    <n v="39"/>
    <s v="month"/>
    <n v="46"/>
    <x v="2"/>
  </r>
  <r>
    <n v="204512028"/>
    <x v="223"/>
    <x v="237"/>
    <x v="0"/>
    <n v="39"/>
    <s v="month"/>
    <n v="30"/>
    <x v="2"/>
  </r>
  <r>
    <n v="147066240"/>
    <x v="223"/>
    <x v="300"/>
    <x v="0"/>
    <n v="39"/>
    <s v="month"/>
    <n v="15"/>
    <x v="2"/>
  </r>
  <r>
    <n v="212759443"/>
    <x v="224"/>
    <x v="23"/>
    <x v="0"/>
    <n v="39"/>
    <s v="month"/>
    <n v="0"/>
    <x v="3"/>
  </r>
  <r>
    <n v="212042832"/>
    <x v="225"/>
    <x v="0"/>
    <x v="0"/>
    <n v="39"/>
    <s v="month"/>
    <s v=""/>
    <x v="4"/>
  </r>
  <r>
    <n v="212113682"/>
    <x v="225"/>
    <x v="0"/>
    <x v="0"/>
    <n v="39"/>
    <s v="month"/>
    <s v=""/>
    <x v="4"/>
  </r>
  <r>
    <n v="181175226"/>
    <x v="225"/>
    <x v="0"/>
    <x v="0"/>
    <n v="39"/>
    <s v="month"/>
    <s v=""/>
    <x v="4"/>
  </r>
  <r>
    <n v="201817514"/>
    <x v="225"/>
    <x v="256"/>
    <x v="0"/>
    <n v="39"/>
    <s v="month"/>
    <n v="1"/>
    <x v="4"/>
  </r>
  <r>
    <n v="168698174"/>
    <x v="225"/>
    <x v="299"/>
    <x v="0"/>
    <n v="39"/>
    <s v="month"/>
    <n v="0"/>
    <x v="4"/>
  </r>
  <r>
    <n v="170512298"/>
    <x v="225"/>
    <x v="237"/>
    <x v="0"/>
    <n v="39"/>
    <s v="month"/>
    <n v="28"/>
    <x v="4"/>
  </r>
  <r>
    <n v="213181546"/>
    <x v="225"/>
    <x v="73"/>
    <x v="0"/>
    <n v="39"/>
    <s v="month"/>
    <n v="45"/>
    <x v="4"/>
  </r>
  <r>
    <n v="154535908"/>
    <x v="225"/>
    <x v="345"/>
    <x v="0"/>
    <n v="39"/>
    <s v="month"/>
    <n v="68"/>
    <x v="4"/>
  </r>
  <r>
    <n v="151540809"/>
    <x v="225"/>
    <x v="309"/>
    <x v="0"/>
    <n v="39"/>
    <s v="month"/>
    <n v="36"/>
    <x v="4"/>
  </r>
  <r>
    <n v="212334937"/>
    <x v="225"/>
    <x v="317"/>
    <x v="0"/>
    <n v="39"/>
    <s v="month"/>
    <n v="31"/>
    <x v="4"/>
  </r>
  <r>
    <n v="204766175"/>
    <x v="225"/>
    <x v="346"/>
    <x v="0"/>
    <n v="39"/>
    <s v="month"/>
    <n v="88"/>
    <x v="4"/>
  </r>
  <r>
    <n v="212055738"/>
    <x v="225"/>
    <x v="347"/>
    <x v="0"/>
    <n v="39"/>
    <s v="month"/>
    <n v="129"/>
    <x v="4"/>
  </r>
  <r>
    <n v="211907956"/>
    <x v="226"/>
    <x v="0"/>
    <x v="0"/>
    <n v="39"/>
    <s v="month"/>
    <s v=""/>
    <x v="5"/>
  </r>
  <r>
    <n v="212759443"/>
    <x v="226"/>
    <x v="0"/>
    <x v="0"/>
    <n v="39"/>
    <s v="month"/>
    <s v=""/>
    <x v="5"/>
  </r>
  <r>
    <n v="213182327"/>
    <x v="226"/>
    <x v="0"/>
    <x v="0"/>
    <n v="39"/>
    <s v="month"/>
    <s v=""/>
    <x v="5"/>
  </r>
  <r>
    <n v="213442067"/>
    <x v="226"/>
    <x v="0"/>
    <x v="0"/>
    <n v="39"/>
    <s v="month"/>
    <s v=""/>
    <x v="5"/>
  </r>
  <r>
    <n v="213427247"/>
    <x v="226"/>
    <x v="0"/>
    <x v="0"/>
    <n v="39"/>
    <s v="month"/>
    <s v=""/>
    <x v="5"/>
  </r>
  <r>
    <n v="172476368"/>
    <x v="226"/>
    <x v="237"/>
    <x v="0"/>
    <n v="39"/>
    <s v="month"/>
    <n v="27"/>
    <x v="5"/>
  </r>
  <r>
    <n v="148900262"/>
    <x v="226"/>
    <x v="322"/>
    <x v="0"/>
    <n v="39"/>
    <s v="month"/>
    <n v="23"/>
    <x v="5"/>
  </r>
  <r>
    <n v="213450505"/>
    <x v="226"/>
    <x v="58"/>
    <x v="0"/>
    <n v="39"/>
    <s v="month"/>
    <n v="28"/>
    <x v="5"/>
  </r>
  <r>
    <n v="168261038"/>
    <x v="226"/>
    <x v="324"/>
    <x v="0"/>
    <n v="39"/>
    <s v="month"/>
    <n v="38"/>
    <x v="5"/>
  </r>
  <r>
    <n v="207018786"/>
    <x v="226"/>
    <x v="344"/>
    <x v="0"/>
    <n v="39"/>
    <s v="month"/>
    <n v="98"/>
    <x v="5"/>
  </r>
  <r>
    <n v="213781045"/>
    <x v="227"/>
    <x v="0"/>
    <x v="0"/>
    <n v="39"/>
    <s v="month"/>
    <s v=""/>
    <x v="6"/>
  </r>
  <r>
    <n v="213785402"/>
    <x v="227"/>
    <x v="225"/>
    <x v="0"/>
    <n v="39"/>
    <s v="month"/>
    <n v="126"/>
    <x v="6"/>
  </r>
  <r>
    <n v="213689187"/>
    <x v="227"/>
    <x v="289"/>
    <x v="1"/>
    <n v="39"/>
    <s v="month"/>
    <n v="1"/>
    <x v="6"/>
  </r>
  <r>
    <n v="213413298"/>
    <x v="227"/>
    <x v="185"/>
    <x v="1"/>
    <n v="39"/>
    <s v="month"/>
    <n v="0"/>
    <x v="6"/>
  </r>
  <r>
    <n v="184458429"/>
    <x v="227"/>
    <x v="308"/>
    <x v="0"/>
    <n v="39"/>
    <s v="month"/>
    <n v="50"/>
    <x v="6"/>
  </r>
  <r>
    <n v="212190070"/>
    <x v="227"/>
    <x v="338"/>
    <x v="0"/>
    <n v="39"/>
    <s v="month"/>
    <n v="61"/>
    <x v="6"/>
  </r>
  <r>
    <n v="212737739"/>
    <x v="227"/>
    <x v="285"/>
    <x v="0"/>
    <n v="39"/>
    <s v="month"/>
    <n v="42"/>
    <x v="6"/>
  </r>
  <r>
    <n v="211904660"/>
    <x v="228"/>
    <x v="0"/>
    <x v="0"/>
    <n v="39"/>
    <s v="month"/>
    <s v=""/>
    <x v="0"/>
  </r>
  <r>
    <n v="112792926"/>
    <x v="228"/>
    <x v="0"/>
    <x v="0"/>
    <n v="39"/>
    <s v="month"/>
    <s v=""/>
    <x v="0"/>
  </r>
  <r>
    <n v="213914942"/>
    <x v="228"/>
    <x v="0"/>
    <x v="0"/>
    <n v="39"/>
    <s v="month"/>
    <s v=""/>
    <x v="0"/>
  </r>
  <r>
    <n v="189220435"/>
    <x v="228"/>
    <x v="300"/>
    <x v="0"/>
    <n v="39"/>
    <s v="month"/>
    <n v="10"/>
    <x v="0"/>
  </r>
  <r>
    <n v="203237584"/>
    <x v="228"/>
    <x v="152"/>
    <x v="0"/>
    <n v="39"/>
    <s v="month"/>
    <n v="5"/>
    <x v="0"/>
  </r>
  <r>
    <n v="213179140"/>
    <x v="228"/>
    <x v="258"/>
    <x v="0"/>
    <n v="39"/>
    <s v="month"/>
    <n v="27"/>
    <x v="0"/>
  </r>
  <r>
    <n v="211629536"/>
    <x v="228"/>
    <x v="267"/>
    <x v="0"/>
    <n v="39"/>
    <s v="month"/>
    <n v="37"/>
    <x v="0"/>
  </r>
  <r>
    <n v="204953211"/>
    <x v="228"/>
    <x v="267"/>
    <x v="0"/>
    <n v="39"/>
    <s v="month"/>
    <n v="37"/>
    <x v="0"/>
  </r>
  <r>
    <n v="111394466"/>
    <x v="228"/>
    <x v="311"/>
    <x v="0"/>
    <n v="39"/>
    <s v="month"/>
    <n v="63"/>
    <x v="0"/>
  </r>
  <r>
    <n v="214107134"/>
    <x v="229"/>
    <x v="0"/>
    <x v="0"/>
    <n v="39"/>
    <s v="month"/>
    <s v=""/>
    <x v="1"/>
  </r>
  <r>
    <n v="214105034"/>
    <x v="229"/>
    <x v="0"/>
    <x v="0"/>
    <n v="39"/>
    <s v="month"/>
    <s v=""/>
    <x v="1"/>
  </r>
  <r>
    <n v="214124745"/>
    <x v="229"/>
    <x v="290"/>
    <x v="0"/>
    <n v="39"/>
    <s v="month"/>
    <n v="139"/>
    <x v="1"/>
  </r>
  <r>
    <n v="214107426"/>
    <x v="229"/>
    <x v="248"/>
    <x v="1"/>
    <n v="39"/>
    <s v="month"/>
    <n v="1"/>
    <x v="1"/>
  </r>
  <r>
    <n v="213980322"/>
    <x v="229"/>
    <x v="177"/>
    <x v="0"/>
    <n v="39"/>
    <s v="month"/>
    <n v="60"/>
    <x v="1"/>
  </r>
  <r>
    <n v="213434919"/>
    <x v="229"/>
    <x v="141"/>
    <x v="0"/>
    <n v="39"/>
    <s v="month"/>
    <n v="0"/>
    <x v="1"/>
  </r>
  <r>
    <n v="214129448"/>
    <x v="229"/>
    <x v="176"/>
    <x v="0"/>
    <n v="39"/>
    <s v="month"/>
    <n v="98"/>
    <x v="1"/>
  </r>
  <r>
    <n v="213944536"/>
    <x v="229"/>
    <x v="173"/>
    <x v="0"/>
    <n v="39"/>
    <s v="month"/>
    <n v="61"/>
    <x v="1"/>
  </r>
  <r>
    <n v="214052531"/>
    <x v="229"/>
    <x v="331"/>
    <x v="0"/>
    <n v="39"/>
    <s v="month"/>
    <n v="129"/>
    <x v="1"/>
  </r>
  <r>
    <n v="214196608"/>
    <x v="230"/>
    <x v="0"/>
    <x v="0"/>
    <n v="39"/>
    <s v="month"/>
    <s v=""/>
    <x v="2"/>
  </r>
  <r>
    <n v="125299295"/>
    <x v="230"/>
    <x v="338"/>
    <x v="0"/>
    <n v="39"/>
    <s v="month"/>
    <n v="58"/>
    <x v="2"/>
  </r>
  <r>
    <n v="214199386"/>
    <x v="230"/>
    <x v="235"/>
    <x v="0"/>
    <n v="39"/>
    <s v="month"/>
    <n v="15"/>
    <x v="2"/>
  </r>
  <r>
    <n v="214191851"/>
    <x v="230"/>
    <x v="82"/>
    <x v="0"/>
    <n v="39"/>
    <s v="month"/>
    <n v="20"/>
    <x v="2"/>
  </r>
  <r>
    <n v="214174478"/>
    <x v="230"/>
    <x v="288"/>
    <x v="0"/>
    <n v="39"/>
    <s v="month"/>
    <n v="30"/>
    <x v="2"/>
  </r>
  <r>
    <n v="214264465"/>
    <x v="231"/>
    <x v="0"/>
    <x v="0"/>
    <n v="39"/>
    <s v="month"/>
    <s v=""/>
    <x v="3"/>
  </r>
  <r>
    <n v="214261616"/>
    <x v="231"/>
    <x v="0"/>
    <x v="0"/>
    <n v="39"/>
    <s v="month"/>
    <s v=""/>
    <x v="3"/>
  </r>
  <r>
    <n v="214178644"/>
    <x v="231"/>
    <x v="0"/>
    <x v="0"/>
    <n v="39"/>
    <s v="month"/>
    <s v=""/>
    <x v="3"/>
  </r>
  <r>
    <n v="214202809"/>
    <x v="231"/>
    <x v="288"/>
    <x v="0"/>
    <n v="39"/>
    <s v="month"/>
    <n v="29"/>
    <x v="3"/>
  </r>
  <r>
    <n v="214220188"/>
    <x v="232"/>
    <x v="0"/>
    <x v="0"/>
    <n v="39"/>
    <s v="month"/>
    <s v=""/>
    <x v="4"/>
  </r>
  <r>
    <n v="212113435"/>
    <x v="232"/>
    <x v="0"/>
    <x v="0"/>
    <n v="39"/>
    <s v="month"/>
    <s v=""/>
    <x v="4"/>
  </r>
  <r>
    <n v="213431638"/>
    <x v="232"/>
    <x v="0"/>
    <x v="0"/>
    <n v="39"/>
    <s v="month"/>
    <s v=""/>
    <x v="4"/>
  </r>
  <r>
    <n v="214102994"/>
    <x v="232"/>
    <x v="0"/>
    <x v="0"/>
    <n v="39"/>
    <s v="month"/>
    <s v=""/>
    <x v="4"/>
  </r>
  <r>
    <n v="177266058"/>
    <x v="232"/>
    <x v="0"/>
    <x v="0"/>
    <n v="39"/>
    <s v="month"/>
    <s v=""/>
    <x v="4"/>
  </r>
  <r>
    <n v="116060198"/>
    <x v="232"/>
    <x v="0"/>
    <x v="0"/>
    <n v="39"/>
    <s v="month"/>
    <s v=""/>
    <x v="4"/>
  </r>
  <r>
    <n v="214312843"/>
    <x v="232"/>
    <x v="0"/>
    <x v="0"/>
    <n v="39"/>
    <s v="month"/>
    <s v=""/>
    <x v="4"/>
  </r>
  <r>
    <n v="156245288"/>
    <x v="232"/>
    <x v="322"/>
    <x v="0"/>
    <n v="39"/>
    <s v="month"/>
    <n v="17"/>
    <x v="4"/>
  </r>
  <r>
    <n v="148869972"/>
    <x v="232"/>
    <x v="15"/>
    <x v="0"/>
    <n v="39"/>
    <s v="month"/>
    <n v="16"/>
    <x v="4"/>
  </r>
  <r>
    <n v="156186115"/>
    <x v="232"/>
    <x v="258"/>
    <x v="0"/>
    <n v="39"/>
    <s v="month"/>
    <n v="23"/>
    <x v="4"/>
  </r>
  <r>
    <n v="207235755"/>
    <x v="232"/>
    <x v="288"/>
    <x v="0"/>
    <n v="39"/>
    <s v="month"/>
    <n v="28"/>
    <x v="4"/>
  </r>
  <r>
    <n v="169235213"/>
    <x v="232"/>
    <x v="285"/>
    <x v="0"/>
    <n v="39"/>
    <s v="month"/>
    <n v="37"/>
    <x v="4"/>
  </r>
  <r>
    <n v="213692152"/>
    <x v="232"/>
    <x v="45"/>
    <x v="0"/>
    <n v="39"/>
    <s v="month"/>
    <n v="31"/>
    <x v="4"/>
  </r>
  <r>
    <n v="214352003"/>
    <x v="232"/>
    <x v="225"/>
    <x v="0"/>
    <n v="39"/>
    <s v="month"/>
    <n v="121"/>
    <x v="4"/>
  </r>
  <r>
    <n v="139691790"/>
    <x v="233"/>
    <x v="312"/>
    <x v="0"/>
    <n v="39"/>
    <s v="month"/>
    <n v="61"/>
    <x v="5"/>
  </r>
  <r>
    <n v="210646453"/>
    <x v="233"/>
    <x v="345"/>
    <x v="0"/>
    <n v="39"/>
    <s v="month"/>
    <n v="60"/>
    <x v="5"/>
  </r>
  <r>
    <n v="206891005"/>
    <x v="233"/>
    <x v="258"/>
    <x v="0"/>
    <n v="39"/>
    <s v="month"/>
    <n v="22"/>
    <x v="5"/>
  </r>
  <r>
    <n v="212293354"/>
    <x v="233"/>
    <x v="152"/>
    <x v="0"/>
    <n v="39"/>
    <s v="month"/>
    <n v="0"/>
    <x v="5"/>
  </r>
  <r>
    <n v="214464069"/>
    <x v="234"/>
    <x v="0"/>
    <x v="0"/>
    <n v="39"/>
    <s v="month"/>
    <s v=""/>
    <x v="6"/>
  </r>
  <r>
    <n v="214446543"/>
    <x v="234"/>
    <x v="0"/>
    <x v="0"/>
    <n v="39"/>
    <s v="month"/>
    <s v=""/>
    <x v="6"/>
  </r>
  <r>
    <n v="212376935"/>
    <x v="234"/>
    <x v="303"/>
    <x v="0"/>
    <n v="39"/>
    <s v="month"/>
    <n v="47"/>
    <x v="6"/>
  </r>
  <r>
    <n v="173118928"/>
    <x v="234"/>
    <x v="212"/>
    <x v="0"/>
    <n v="39"/>
    <s v="month"/>
    <n v="37"/>
    <x v="6"/>
  </r>
  <r>
    <n v="214410106"/>
    <x v="234"/>
    <x v="258"/>
    <x v="0"/>
    <n v="39"/>
    <s v="month"/>
    <n v="21"/>
    <x v="6"/>
  </r>
  <r>
    <n v="214093520"/>
    <x v="234"/>
    <x v="330"/>
    <x v="0"/>
    <n v="39"/>
    <s v="month"/>
    <n v="28"/>
    <x v="6"/>
  </r>
  <r>
    <n v="214441521"/>
    <x v="234"/>
    <x v="330"/>
    <x v="0"/>
    <n v="39"/>
    <s v="month"/>
    <n v="28"/>
    <x v="6"/>
  </r>
  <r>
    <n v="214519787"/>
    <x v="235"/>
    <x v="0"/>
    <x v="0"/>
    <n v="39"/>
    <s v="month"/>
    <s v=""/>
    <x v="0"/>
  </r>
  <r>
    <n v="213177724"/>
    <x v="235"/>
    <x v="0"/>
    <x v="0"/>
    <n v="39"/>
    <s v="month"/>
    <s v=""/>
    <x v="0"/>
  </r>
  <r>
    <n v="213421956"/>
    <x v="235"/>
    <x v="336"/>
    <x v="1"/>
    <n v="39"/>
    <s v="month"/>
    <n v="1"/>
    <x v="0"/>
  </r>
  <r>
    <n v="151094649"/>
    <x v="235"/>
    <x v="267"/>
    <x v="0"/>
    <n v="39"/>
    <s v="month"/>
    <n v="30"/>
    <x v="0"/>
  </r>
  <r>
    <n v="160056180"/>
    <x v="235"/>
    <x v="178"/>
    <x v="0"/>
    <n v="39"/>
    <s v="month"/>
    <n v="31"/>
    <x v="0"/>
  </r>
  <r>
    <n v="166480898"/>
    <x v="235"/>
    <x v="45"/>
    <x v="0"/>
    <n v="39"/>
    <s v="month"/>
    <n v="28"/>
    <x v="0"/>
  </r>
  <r>
    <n v="182085396"/>
    <x v="235"/>
    <x v="127"/>
    <x v="0"/>
    <n v="39"/>
    <s v="month"/>
    <n v="37"/>
    <x v="0"/>
  </r>
  <r>
    <n v="214519010"/>
    <x v="235"/>
    <x v="178"/>
    <x v="0"/>
    <n v="39"/>
    <s v="month"/>
    <n v="31"/>
    <x v="0"/>
  </r>
  <r>
    <n v="148657735"/>
    <x v="235"/>
    <x v="324"/>
    <x v="0"/>
    <n v="39"/>
    <s v="month"/>
    <n v="29"/>
    <x v="0"/>
  </r>
  <r>
    <n v="214555461"/>
    <x v="236"/>
    <x v="0"/>
    <x v="0"/>
    <n v="39"/>
    <s v="month"/>
    <s v=""/>
    <x v="1"/>
  </r>
  <r>
    <n v="148042512"/>
    <x v="236"/>
    <x v="0"/>
    <x v="0"/>
    <n v="39"/>
    <s v="month"/>
    <s v=""/>
    <x v="1"/>
  </r>
  <r>
    <n v="214534717"/>
    <x v="236"/>
    <x v="0"/>
    <x v="0"/>
    <n v="39"/>
    <s v="month"/>
    <s v=""/>
    <x v="1"/>
  </r>
  <r>
    <n v="211223610"/>
    <x v="236"/>
    <x v="209"/>
    <x v="0"/>
    <n v="39"/>
    <s v="month"/>
    <n v="68"/>
    <x v="1"/>
  </r>
  <r>
    <n v="214444866"/>
    <x v="236"/>
    <x v="99"/>
    <x v="0"/>
    <n v="39"/>
    <s v="month"/>
    <n v="61"/>
    <x v="1"/>
  </r>
  <r>
    <n v="206477826"/>
    <x v="236"/>
    <x v="343"/>
    <x v="0"/>
    <n v="39"/>
    <s v="month"/>
    <n v="37"/>
    <x v="1"/>
  </r>
  <r>
    <n v="214589440"/>
    <x v="236"/>
    <x v="178"/>
    <x v="0"/>
    <n v="39"/>
    <s v="month"/>
    <n v="30"/>
    <x v="1"/>
  </r>
  <r>
    <n v="214516527"/>
    <x v="236"/>
    <x v="323"/>
    <x v="0"/>
    <n v="39"/>
    <s v="month"/>
    <n v="31"/>
    <x v="1"/>
  </r>
  <r>
    <n v="158980862"/>
    <x v="236"/>
    <x v="258"/>
    <x v="0"/>
    <n v="39"/>
    <s v="month"/>
    <n v="19"/>
    <x v="1"/>
  </r>
  <r>
    <n v="144769275"/>
    <x v="236"/>
    <x v="336"/>
    <x v="0"/>
    <n v="39"/>
    <s v="month"/>
    <n v="0"/>
    <x v="1"/>
  </r>
  <r>
    <n v="214508205"/>
    <x v="236"/>
    <x v="255"/>
    <x v="0"/>
    <n v="39"/>
    <s v="month"/>
    <n v="67"/>
    <x v="1"/>
  </r>
  <r>
    <n v="156178486"/>
    <x v="237"/>
    <x v="0"/>
    <x v="0"/>
    <n v="39"/>
    <s v="month"/>
    <s v=""/>
    <x v="2"/>
  </r>
  <r>
    <n v="214584458"/>
    <x v="237"/>
    <x v="240"/>
    <x v="0"/>
    <n v="39"/>
    <s v="month"/>
    <n v="82"/>
    <x v="2"/>
  </r>
  <r>
    <n v="181935574"/>
    <x v="238"/>
    <x v="0"/>
    <x v="0"/>
    <n v="39"/>
    <s v="month"/>
    <s v=""/>
    <x v="3"/>
  </r>
  <r>
    <n v="153006404"/>
    <x v="238"/>
    <x v="126"/>
    <x v="0"/>
    <n v="39"/>
    <s v="month"/>
    <n v="20"/>
    <x v="3"/>
  </r>
  <r>
    <n v="214423891"/>
    <x v="238"/>
    <x v="212"/>
    <x v="0"/>
    <n v="39"/>
    <s v="month"/>
    <n v="33"/>
    <x v="3"/>
  </r>
  <r>
    <n v="214510838"/>
    <x v="238"/>
    <x v="268"/>
    <x v="0"/>
    <n v="39"/>
    <s v="month"/>
    <n v="37"/>
    <x v="3"/>
  </r>
  <r>
    <n v="211383216"/>
    <x v="238"/>
    <x v="101"/>
    <x v="0"/>
    <n v="39"/>
    <s v="month"/>
    <n v="2"/>
    <x v="3"/>
  </r>
  <r>
    <n v="214641741"/>
    <x v="238"/>
    <x v="251"/>
    <x v="0"/>
    <n v="39"/>
    <s v="month"/>
    <n v="1"/>
    <x v="3"/>
  </r>
  <r>
    <n v="214643362"/>
    <x v="238"/>
    <x v="187"/>
    <x v="0"/>
    <n v="39"/>
    <s v="month"/>
    <n v="61"/>
    <x v="3"/>
  </r>
  <r>
    <n v="214419772"/>
    <x v="239"/>
    <x v="0"/>
    <x v="0"/>
    <n v="39"/>
    <s v="month"/>
    <s v=""/>
    <x v="4"/>
  </r>
  <r>
    <n v="213227787"/>
    <x v="239"/>
    <x v="0"/>
    <x v="0"/>
    <n v="39"/>
    <s v="month"/>
    <s v=""/>
    <x v="4"/>
  </r>
  <r>
    <n v="214666572"/>
    <x v="239"/>
    <x v="0"/>
    <x v="0"/>
    <n v="39"/>
    <s v="month"/>
    <s v=""/>
    <x v="4"/>
  </r>
  <r>
    <n v="126780716"/>
    <x v="239"/>
    <x v="73"/>
    <x v="0"/>
    <n v="39"/>
    <s v="month"/>
    <n v="31"/>
    <x v="4"/>
  </r>
  <r>
    <n v="214682826"/>
    <x v="239"/>
    <x v="73"/>
    <x v="0"/>
    <n v="39"/>
    <s v="month"/>
    <n v="31"/>
    <x v="4"/>
  </r>
  <r>
    <n v="212392663"/>
    <x v="239"/>
    <x v="330"/>
    <x v="0"/>
    <n v="39"/>
    <s v="month"/>
    <n v="23"/>
    <x v="4"/>
  </r>
  <r>
    <n v="147118133"/>
    <x v="239"/>
    <x v="98"/>
    <x v="0"/>
    <n v="39"/>
    <s v="month"/>
    <n v="99"/>
    <x v="4"/>
  </r>
  <r>
    <n v="157031617"/>
    <x v="240"/>
    <x v="0"/>
    <x v="0"/>
    <n v="39"/>
    <s v="month"/>
    <s v=""/>
    <x v="5"/>
  </r>
  <r>
    <n v="211958379"/>
    <x v="240"/>
    <x v="0"/>
    <x v="0"/>
    <n v="39"/>
    <s v="month"/>
    <s v=""/>
    <x v="5"/>
  </r>
  <r>
    <n v="152310842"/>
    <x v="240"/>
    <x v="0"/>
    <x v="0"/>
    <n v="39"/>
    <s v="month"/>
    <s v=""/>
    <x v="5"/>
  </r>
  <r>
    <n v="214711907"/>
    <x v="240"/>
    <x v="0"/>
    <x v="0"/>
    <n v="39"/>
    <s v="month"/>
    <s v=""/>
    <x v="5"/>
  </r>
  <r>
    <n v="150342446"/>
    <x v="240"/>
    <x v="284"/>
    <x v="0"/>
    <n v="39"/>
    <s v="month"/>
    <n v="1"/>
    <x v="5"/>
  </r>
  <r>
    <n v="214741130"/>
    <x v="240"/>
    <x v="325"/>
    <x v="0"/>
    <n v="39"/>
    <s v="month"/>
    <n v="68"/>
    <x v="5"/>
  </r>
  <r>
    <n v="214734037"/>
    <x v="240"/>
    <x v="338"/>
    <x v="0"/>
    <n v="39"/>
    <s v="month"/>
    <n v="48"/>
    <x v="5"/>
  </r>
  <r>
    <n v="214500293"/>
    <x v="240"/>
    <x v="268"/>
    <x v="0"/>
    <n v="39"/>
    <s v="month"/>
    <n v="35"/>
    <x v="5"/>
  </r>
  <r>
    <n v="214587827"/>
    <x v="240"/>
    <x v="222"/>
    <x v="0"/>
    <n v="39"/>
    <s v="month"/>
    <n v="91"/>
    <x v="5"/>
  </r>
  <r>
    <n v="214739055"/>
    <x v="240"/>
    <x v="252"/>
    <x v="0"/>
    <n v="39"/>
    <s v="month"/>
    <n v="99"/>
    <x v="5"/>
  </r>
  <r>
    <n v="163103693"/>
    <x v="240"/>
    <x v="313"/>
    <x v="0"/>
    <n v="39"/>
    <s v="month"/>
    <n v="112"/>
    <x v="5"/>
  </r>
  <r>
    <n v="214483378"/>
    <x v="241"/>
    <x v="0"/>
    <x v="0"/>
    <n v="39"/>
    <s v="month"/>
    <s v=""/>
    <x v="6"/>
  </r>
  <r>
    <n v="157883110"/>
    <x v="241"/>
    <x v="0"/>
    <x v="0"/>
    <n v="39"/>
    <s v="month"/>
    <s v=""/>
    <x v="6"/>
  </r>
  <r>
    <n v="132424181"/>
    <x v="241"/>
    <x v="348"/>
    <x v="0"/>
    <n v="39"/>
    <s v="month"/>
    <n v="73"/>
    <x v="6"/>
  </r>
  <r>
    <n v="214805206"/>
    <x v="241"/>
    <x v="177"/>
    <x v="0"/>
    <n v="39"/>
    <s v="month"/>
    <n v="48"/>
    <x v="6"/>
  </r>
  <r>
    <n v="214641940"/>
    <x v="241"/>
    <x v="157"/>
    <x v="0"/>
    <n v="39"/>
    <s v="month"/>
    <n v="38"/>
    <x v="6"/>
  </r>
  <r>
    <n v="206112289"/>
    <x v="241"/>
    <x v="303"/>
    <x v="0"/>
    <n v="39"/>
    <s v="month"/>
    <n v="40"/>
    <x v="6"/>
  </r>
  <r>
    <n v="214781323"/>
    <x v="241"/>
    <x v="330"/>
    <x v="0"/>
    <n v="39"/>
    <s v="month"/>
    <n v="21"/>
    <x v="6"/>
  </r>
  <r>
    <n v="214767936"/>
    <x v="241"/>
    <x v="284"/>
    <x v="0"/>
    <n v="39"/>
    <s v="month"/>
    <n v="0"/>
    <x v="6"/>
  </r>
  <r>
    <n v="182023209"/>
    <x v="241"/>
    <x v="342"/>
    <x v="0"/>
    <n v="39"/>
    <s v="month"/>
    <n v="11"/>
    <x v="6"/>
  </r>
  <r>
    <n v="148513036"/>
    <x v="242"/>
    <x v="0"/>
    <x v="0"/>
    <n v="39"/>
    <s v="month"/>
    <s v=""/>
    <x v="0"/>
  </r>
  <r>
    <n v="157910445"/>
    <x v="242"/>
    <x v="0"/>
    <x v="0"/>
    <n v="39"/>
    <s v="month"/>
    <s v=""/>
    <x v="0"/>
  </r>
  <r>
    <n v="213810773"/>
    <x v="242"/>
    <x v="294"/>
    <x v="0"/>
    <n v="39"/>
    <s v="month"/>
    <n v="124"/>
    <x v="0"/>
  </r>
  <r>
    <n v="154820233"/>
    <x v="242"/>
    <x v="209"/>
    <x v="0"/>
    <n v="39"/>
    <s v="month"/>
    <n v="62"/>
    <x v="0"/>
  </r>
  <r>
    <n v="214248197"/>
    <x v="242"/>
    <x v="212"/>
    <x v="0"/>
    <n v="39"/>
    <s v="month"/>
    <n v="29"/>
    <x v="0"/>
  </r>
  <r>
    <n v="214818730"/>
    <x v="242"/>
    <x v="73"/>
    <x v="0"/>
    <n v="39"/>
    <s v="month"/>
    <n v="28"/>
    <x v="0"/>
  </r>
  <r>
    <n v="186667733"/>
    <x v="242"/>
    <x v="73"/>
    <x v="0"/>
    <n v="39"/>
    <s v="month"/>
    <n v="28"/>
    <x v="0"/>
  </r>
  <r>
    <n v="214901781"/>
    <x v="243"/>
    <x v="0"/>
    <x v="0"/>
    <n v="39"/>
    <s v="month"/>
    <s v=""/>
    <x v="1"/>
  </r>
  <r>
    <n v="214884589"/>
    <x v="243"/>
    <x v="0"/>
    <x v="0"/>
    <n v="39"/>
    <s v="month"/>
    <s v=""/>
    <x v="1"/>
  </r>
  <r>
    <n v="210344586"/>
    <x v="243"/>
    <x v="0"/>
    <x v="0"/>
    <n v="39"/>
    <s v="month"/>
    <s v=""/>
    <x v="1"/>
  </r>
  <r>
    <n v="214813191"/>
    <x v="243"/>
    <x v="0"/>
    <x v="0"/>
    <n v="39"/>
    <s v="month"/>
    <s v=""/>
    <x v="1"/>
  </r>
  <r>
    <n v="214880602"/>
    <x v="243"/>
    <x v="0"/>
    <x v="0"/>
    <n v="39"/>
    <s v="month"/>
    <s v=""/>
    <x v="1"/>
  </r>
  <r>
    <n v="186140999"/>
    <x v="243"/>
    <x v="127"/>
    <x v="0"/>
    <n v="39"/>
    <s v="month"/>
    <n v="29"/>
    <x v="1"/>
  </r>
  <r>
    <n v="214860336"/>
    <x v="243"/>
    <x v="244"/>
    <x v="0"/>
    <n v="39"/>
    <s v="month"/>
    <n v="59"/>
    <x v="1"/>
  </r>
  <r>
    <n v="138725699"/>
    <x v="243"/>
    <x v="303"/>
    <x v="0"/>
    <n v="39"/>
    <s v="month"/>
    <n v="38"/>
    <x v="1"/>
  </r>
  <r>
    <n v="132315255"/>
    <x v="243"/>
    <x v="320"/>
    <x v="0"/>
    <n v="39"/>
    <s v="month"/>
    <n v="0"/>
    <x v="1"/>
  </r>
  <r>
    <n v="208202304"/>
    <x v="243"/>
    <x v="320"/>
    <x v="0"/>
    <n v="39"/>
    <s v="month"/>
    <n v="0"/>
    <x v="1"/>
  </r>
  <r>
    <n v="214869362"/>
    <x v="243"/>
    <x v="285"/>
    <x v="0"/>
    <n v="39"/>
    <s v="month"/>
    <n v="26"/>
    <x v="1"/>
  </r>
  <r>
    <n v="207118054"/>
    <x v="244"/>
    <x v="0"/>
    <x v="0"/>
    <n v="39"/>
    <s v="month"/>
    <s v=""/>
    <x v="2"/>
  </r>
  <r>
    <n v="214856586"/>
    <x v="244"/>
    <x v="0"/>
    <x v="0"/>
    <n v="39"/>
    <s v="month"/>
    <s v=""/>
    <x v="2"/>
  </r>
  <r>
    <n v="201945254"/>
    <x v="244"/>
    <x v="212"/>
    <x v="0"/>
    <n v="39"/>
    <s v="month"/>
    <n v="27"/>
    <x v="2"/>
  </r>
  <r>
    <n v="134531651"/>
    <x v="245"/>
    <x v="0"/>
    <x v="0"/>
    <n v="39"/>
    <s v="month"/>
    <s v=""/>
    <x v="3"/>
  </r>
  <r>
    <n v="204865394"/>
    <x v="245"/>
    <x v="0"/>
    <x v="0"/>
    <n v="39"/>
    <s v="month"/>
    <s v=""/>
    <x v="3"/>
  </r>
  <r>
    <n v="158906669"/>
    <x v="245"/>
    <x v="0"/>
    <x v="0"/>
    <n v="39"/>
    <s v="month"/>
    <s v=""/>
    <x v="3"/>
  </r>
  <r>
    <n v="125591366"/>
    <x v="245"/>
    <x v="310"/>
    <x v="0"/>
    <n v="39"/>
    <s v="month"/>
    <n v="91"/>
    <x v="3"/>
  </r>
  <r>
    <n v="214839844"/>
    <x v="245"/>
    <x v="160"/>
    <x v="0"/>
    <n v="39"/>
    <s v="month"/>
    <n v="61"/>
    <x v="3"/>
  </r>
  <r>
    <n v="214939612"/>
    <x v="245"/>
    <x v="244"/>
    <x v="0"/>
    <n v="39"/>
    <s v="month"/>
    <n v="57"/>
    <x v="3"/>
  </r>
  <r>
    <n v="204670100"/>
    <x v="245"/>
    <x v="346"/>
    <x v="0"/>
    <n v="39"/>
    <s v="month"/>
    <n v="68"/>
    <x v="3"/>
  </r>
  <r>
    <n v="214830539"/>
    <x v="245"/>
    <x v="69"/>
    <x v="0"/>
    <n v="39"/>
    <s v="month"/>
    <n v="38"/>
    <x v="3"/>
  </r>
  <r>
    <n v="185952990"/>
    <x v="245"/>
    <x v="157"/>
    <x v="0"/>
    <n v="39"/>
    <s v="month"/>
    <n v="34"/>
    <x v="3"/>
  </r>
  <r>
    <n v="214936311"/>
    <x v="245"/>
    <x v="235"/>
    <x v="0"/>
    <n v="39"/>
    <s v="month"/>
    <n v="0"/>
    <x v="3"/>
  </r>
  <r>
    <n v="214620392"/>
    <x v="245"/>
    <x v="160"/>
    <x v="0"/>
    <n v="39"/>
    <s v="month"/>
    <n v="61"/>
    <x v="3"/>
  </r>
  <r>
    <n v="157935884"/>
    <x v="246"/>
    <x v="0"/>
    <x v="0"/>
    <n v="39"/>
    <s v="month"/>
    <s v=""/>
    <x v="4"/>
  </r>
  <r>
    <n v="214945706"/>
    <x v="246"/>
    <x v="0"/>
    <x v="0"/>
    <n v="39"/>
    <s v="month"/>
    <s v=""/>
    <x v="4"/>
  </r>
  <r>
    <n v="214999374"/>
    <x v="246"/>
    <x v="0"/>
    <x v="0"/>
    <n v="39"/>
    <s v="month"/>
    <s v=""/>
    <x v="4"/>
  </r>
  <r>
    <n v="214986467"/>
    <x v="246"/>
    <x v="0"/>
    <x v="0"/>
    <n v="39"/>
    <s v="month"/>
    <s v=""/>
    <x v="4"/>
  </r>
  <r>
    <n v="214984741"/>
    <x v="246"/>
    <x v="0"/>
    <x v="0"/>
    <n v="39"/>
    <s v="month"/>
    <s v=""/>
    <x v="4"/>
  </r>
  <r>
    <n v="214993166"/>
    <x v="246"/>
    <x v="0"/>
    <x v="0"/>
    <n v="39"/>
    <s v="month"/>
    <s v=""/>
    <x v="4"/>
  </r>
  <r>
    <n v="203116697"/>
    <x v="246"/>
    <x v="0"/>
    <x v="0"/>
    <n v="39"/>
    <s v="month"/>
    <s v=""/>
    <x v="4"/>
  </r>
  <r>
    <n v="214906741"/>
    <x v="246"/>
    <x v="0"/>
    <x v="0"/>
    <n v="39"/>
    <s v="month"/>
    <s v=""/>
    <x v="4"/>
  </r>
  <r>
    <n v="128977818"/>
    <x v="246"/>
    <x v="349"/>
    <x v="0"/>
    <n v="39"/>
    <s v="month"/>
    <n v="121"/>
    <x v="4"/>
  </r>
  <r>
    <n v="209743418"/>
    <x v="246"/>
    <x v="96"/>
    <x v="0"/>
    <n v="39"/>
    <s v="month"/>
    <n v="1"/>
    <x v="4"/>
  </r>
  <r>
    <n v="209743418"/>
    <x v="246"/>
    <x v="341"/>
    <x v="0"/>
    <n v="39"/>
    <s v="month"/>
    <n v="61"/>
    <x v="4"/>
  </r>
  <r>
    <n v="130868671"/>
    <x v="246"/>
    <x v="69"/>
    <x v="0"/>
    <n v="39"/>
    <s v="month"/>
    <n v="37"/>
    <x v="4"/>
  </r>
  <r>
    <n v="146963394"/>
    <x v="246"/>
    <x v="255"/>
    <x v="0"/>
    <n v="39"/>
    <s v="month"/>
    <n v="57"/>
    <x v="4"/>
  </r>
  <r>
    <n v="214960770"/>
    <x v="246"/>
    <x v="244"/>
    <x v="0"/>
    <n v="39"/>
    <s v="month"/>
    <n v="56"/>
    <x v="4"/>
  </r>
  <r>
    <n v="207344872"/>
    <x v="246"/>
    <x v="298"/>
    <x v="0"/>
    <n v="39"/>
    <s v="month"/>
    <n v="30"/>
    <x v="4"/>
  </r>
  <r>
    <n v="202925989"/>
    <x v="246"/>
    <x v="273"/>
    <x v="0"/>
    <n v="39"/>
    <s v="month"/>
    <n v="38"/>
    <x v="4"/>
  </r>
  <r>
    <n v="214991976"/>
    <x v="246"/>
    <x v="311"/>
    <x v="0"/>
    <n v="39"/>
    <s v="month"/>
    <n v="45"/>
    <x v="4"/>
  </r>
  <r>
    <n v="211917633"/>
    <x v="246"/>
    <x v="45"/>
    <x v="0"/>
    <n v="39"/>
    <s v="month"/>
    <n v="17"/>
    <x v="4"/>
  </r>
  <r>
    <n v="214623264"/>
    <x v="246"/>
    <x v="348"/>
    <x v="0"/>
    <n v="39"/>
    <s v="month"/>
    <n v="68"/>
    <x v="4"/>
  </r>
  <r>
    <n v="205339362"/>
    <x v="246"/>
    <x v="341"/>
    <x v="0"/>
    <n v="39"/>
    <s v="month"/>
    <n v="61"/>
    <x v="4"/>
  </r>
  <r>
    <n v="214956352"/>
    <x v="247"/>
    <x v="0"/>
    <x v="0"/>
    <n v="39"/>
    <s v="month"/>
    <s v=""/>
    <x v="5"/>
  </r>
  <r>
    <n v="196061402"/>
    <x v="247"/>
    <x v="0"/>
    <x v="0"/>
    <n v="39"/>
    <s v="month"/>
    <s v=""/>
    <x v="5"/>
  </r>
  <r>
    <n v="215019022"/>
    <x v="247"/>
    <x v="0"/>
    <x v="0"/>
    <n v="39"/>
    <s v="month"/>
    <s v=""/>
    <x v="5"/>
  </r>
  <r>
    <n v="185517087"/>
    <x v="247"/>
    <x v="0"/>
    <x v="0"/>
    <n v="39"/>
    <s v="month"/>
    <s v=""/>
    <x v="5"/>
  </r>
  <r>
    <n v="151513254"/>
    <x v="247"/>
    <x v="96"/>
    <x v="0"/>
    <n v="39"/>
    <s v="month"/>
    <n v="0"/>
    <x v="5"/>
  </r>
  <r>
    <n v="214952558"/>
    <x v="247"/>
    <x v="15"/>
    <x v="1"/>
    <n v="39"/>
    <s v="month"/>
    <n v="1"/>
    <x v="5"/>
  </r>
  <r>
    <n v="139339380"/>
    <x v="247"/>
    <x v="180"/>
    <x v="0"/>
    <n v="39"/>
    <s v="month"/>
    <n v="40"/>
    <x v="5"/>
  </r>
  <r>
    <n v="208188866"/>
    <x v="247"/>
    <x v="270"/>
    <x v="0"/>
    <n v="39"/>
    <s v="month"/>
    <n v="31"/>
    <x v="5"/>
  </r>
  <r>
    <n v="150342446"/>
    <x v="247"/>
    <x v="291"/>
    <x v="0"/>
    <n v="39"/>
    <s v="month"/>
    <n v="38"/>
    <x v="5"/>
  </r>
  <r>
    <n v="188748372"/>
    <x v="247"/>
    <x v="291"/>
    <x v="0"/>
    <n v="39"/>
    <s v="month"/>
    <n v="38"/>
    <x v="5"/>
  </r>
  <r>
    <n v="215034356"/>
    <x v="247"/>
    <x v="96"/>
    <x v="0"/>
    <n v="39"/>
    <s v="month"/>
    <n v="0"/>
    <x v="5"/>
  </r>
  <r>
    <n v="145013444"/>
    <x v="247"/>
    <x v="323"/>
    <x v="0"/>
    <n v="39"/>
    <s v="month"/>
    <n v="20"/>
    <x v="5"/>
  </r>
  <r>
    <n v="164548755"/>
    <x v="247"/>
    <x v="249"/>
    <x v="0"/>
    <n v="39"/>
    <s v="month"/>
    <n v="68"/>
    <x v="5"/>
  </r>
  <r>
    <n v="193315330"/>
    <x v="247"/>
    <x v="55"/>
    <x v="0"/>
    <n v="39"/>
    <s v="month"/>
    <n v="99"/>
    <x v="5"/>
  </r>
  <r>
    <n v="147592201"/>
    <x v="248"/>
    <x v="0"/>
    <x v="0"/>
    <n v="39"/>
    <s v="month"/>
    <s v=""/>
    <x v="6"/>
  </r>
  <r>
    <n v="192068317"/>
    <x v="248"/>
    <x v="0"/>
    <x v="0"/>
    <n v="39"/>
    <s v="month"/>
    <s v=""/>
    <x v="6"/>
  </r>
  <r>
    <n v="214396083"/>
    <x v="248"/>
    <x v="0"/>
    <x v="0"/>
    <n v="39"/>
    <s v="month"/>
    <s v=""/>
    <x v="6"/>
  </r>
  <r>
    <n v="214698924"/>
    <x v="248"/>
    <x v="15"/>
    <x v="0"/>
    <n v="39"/>
    <s v="month"/>
    <n v="0"/>
    <x v="6"/>
  </r>
  <r>
    <n v="153402484"/>
    <x v="248"/>
    <x v="270"/>
    <x v="0"/>
    <n v="39"/>
    <s v="month"/>
    <n v="30"/>
    <x v="6"/>
  </r>
  <r>
    <n v="214809412"/>
    <x v="248"/>
    <x v="252"/>
    <x v="0"/>
    <n v="39"/>
    <s v="month"/>
    <n v="91"/>
    <x v="6"/>
  </r>
  <r>
    <n v="215062365"/>
    <x v="248"/>
    <x v="204"/>
    <x v="0"/>
    <n v="39"/>
    <s v="month"/>
    <n v="85"/>
    <x v="6"/>
  </r>
  <r>
    <n v="135185873"/>
    <x v="249"/>
    <x v="0"/>
    <x v="0"/>
    <n v="39"/>
    <s v="month"/>
    <s v=""/>
    <x v="0"/>
  </r>
  <r>
    <n v="144898968"/>
    <x v="249"/>
    <x v="0"/>
    <x v="0"/>
    <n v="39"/>
    <s v="month"/>
    <s v=""/>
    <x v="0"/>
  </r>
  <r>
    <n v="214973231"/>
    <x v="249"/>
    <x v="0"/>
    <x v="0"/>
    <n v="39"/>
    <s v="month"/>
    <s v=""/>
    <x v="0"/>
  </r>
  <r>
    <n v="214971897"/>
    <x v="249"/>
    <x v="0"/>
    <x v="0"/>
    <n v="39"/>
    <s v="month"/>
    <s v=""/>
    <x v="0"/>
  </r>
  <r>
    <n v="134919488"/>
    <x v="249"/>
    <x v="307"/>
    <x v="0"/>
    <n v="39"/>
    <s v="month"/>
    <n v="88"/>
    <x v="0"/>
  </r>
  <r>
    <n v="214912916"/>
    <x v="249"/>
    <x v="186"/>
    <x v="0"/>
    <n v="39"/>
    <s v="month"/>
    <n v="31"/>
    <x v="0"/>
  </r>
  <r>
    <n v="215138344"/>
    <x v="249"/>
    <x v="212"/>
    <x v="0"/>
    <n v="39"/>
    <s v="month"/>
    <n v="22"/>
    <x v="0"/>
  </r>
  <r>
    <n v="215132378"/>
    <x v="249"/>
    <x v="304"/>
    <x v="0"/>
    <n v="39"/>
    <s v="month"/>
    <n v="25"/>
    <x v="0"/>
  </r>
  <r>
    <n v="206145911"/>
    <x v="249"/>
    <x v="322"/>
    <x v="0"/>
    <n v="39"/>
    <s v="month"/>
    <n v="0"/>
    <x v="0"/>
  </r>
  <r>
    <n v="215146368"/>
    <x v="249"/>
    <x v="171"/>
    <x v="0"/>
    <n v="39"/>
    <s v="month"/>
    <n v="8"/>
    <x v="0"/>
  </r>
  <r>
    <n v="133199506"/>
    <x v="250"/>
    <x v="0"/>
    <x v="0"/>
    <n v="39"/>
    <s v="month"/>
    <s v=""/>
    <x v="1"/>
  </r>
  <r>
    <n v="202763494"/>
    <x v="250"/>
    <x v="0"/>
    <x v="0"/>
    <n v="39"/>
    <s v="month"/>
    <s v=""/>
    <x v="1"/>
  </r>
  <r>
    <n v="215113205"/>
    <x v="250"/>
    <x v="0"/>
    <x v="0"/>
    <n v="39"/>
    <s v="month"/>
    <s v=""/>
    <x v="1"/>
  </r>
  <r>
    <n v="147097108"/>
    <x v="250"/>
    <x v="0"/>
    <x v="0"/>
    <n v="39"/>
    <s v="month"/>
    <s v=""/>
    <x v="1"/>
  </r>
  <r>
    <n v="186692270"/>
    <x v="250"/>
    <x v="0"/>
    <x v="0"/>
    <n v="39"/>
    <s v="month"/>
    <s v=""/>
    <x v="1"/>
  </r>
  <r>
    <n v="215169444"/>
    <x v="250"/>
    <x v="0"/>
    <x v="0"/>
    <n v="39"/>
    <s v="month"/>
    <s v=""/>
    <x v="1"/>
  </r>
  <r>
    <n v="114992353"/>
    <x v="250"/>
    <x v="332"/>
    <x v="0"/>
    <n v="39"/>
    <s v="month"/>
    <n v="94"/>
    <x v="1"/>
  </r>
  <r>
    <n v="212339137"/>
    <x v="250"/>
    <x v="174"/>
    <x v="0"/>
    <n v="39"/>
    <s v="month"/>
    <n v="1"/>
    <x v="1"/>
  </r>
  <r>
    <n v="175564124"/>
    <x v="250"/>
    <x v="343"/>
    <x v="0"/>
    <n v="39"/>
    <s v="month"/>
    <n v="23"/>
    <x v="1"/>
  </r>
  <r>
    <n v="174646950"/>
    <x v="250"/>
    <x v="338"/>
    <x v="0"/>
    <n v="39"/>
    <s v="month"/>
    <n v="38"/>
    <x v="1"/>
  </r>
  <r>
    <n v="215075697"/>
    <x v="250"/>
    <x v="186"/>
    <x v="0"/>
    <n v="39"/>
    <s v="month"/>
    <n v="30"/>
    <x v="1"/>
  </r>
  <r>
    <n v="215149530"/>
    <x v="250"/>
    <x v="187"/>
    <x v="0"/>
    <n v="39"/>
    <s v="month"/>
    <n v="49"/>
    <x v="1"/>
  </r>
  <r>
    <n v="215226464"/>
    <x v="251"/>
    <x v="0"/>
    <x v="0"/>
    <n v="39"/>
    <s v="month"/>
    <s v=""/>
    <x v="2"/>
  </r>
  <r>
    <n v="215221354"/>
    <x v="251"/>
    <x v="0"/>
    <x v="0"/>
    <n v="39"/>
    <s v="month"/>
    <s v=""/>
    <x v="2"/>
  </r>
  <r>
    <n v="215031638"/>
    <x v="251"/>
    <x v="0"/>
    <x v="0"/>
    <n v="39"/>
    <s v="month"/>
    <s v=""/>
    <x v="2"/>
  </r>
  <r>
    <n v="182019861"/>
    <x v="252"/>
    <x v="0"/>
    <x v="0"/>
    <n v="39"/>
    <s v="month"/>
    <s v=""/>
    <x v="3"/>
  </r>
  <r>
    <n v="210072231"/>
    <x v="252"/>
    <x v="0"/>
    <x v="0"/>
    <n v="39"/>
    <s v="month"/>
    <s v=""/>
    <x v="3"/>
  </r>
  <r>
    <n v="127328847"/>
    <x v="252"/>
    <x v="237"/>
    <x v="0"/>
    <n v="39"/>
    <s v="month"/>
    <n v="1"/>
    <x v="3"/>
  </r>
  <r>
    <n v="155566052"/>
    <x v="252"/>
    <x v="303"/>
    <x v="0"/>
    <n v="39"/>
    <s v="month"/>
    <n v="29"/>
    <x v="3"/>
  </r>
  <r>
    <n v="151513254"/>
    <x v="252"/>
    <x v="177"/>
    <x v="0"/>
    <n v="39"/>
    <s v="month"/>
    <n v="37"/>
    <x v="3"/>
  </r>
  <r>
    <n v="152236400"/>
    <x v="252"/>
    <x v="241"/>
    <x v="0"/>
    <n v="39"/>
    <s v="month"/>
    <n v="53"/>
    <x v="3"/>
  </r>
  <r>
    <n v="215030324"/>
    <x v="252"/>
    <x v="332"/>
    <x v="0"/>
    <n v="39"/>
    <s v="month"/>
    <n v="92"/>
    <x v="3"/>
  </r>
  <r>
    <n v="206087650"/>
    <x v="252"/>
    <x v="350"/>
    <x v="0"/>
    <n v="39"/>
    <s v="month"/>
    <n v="68"/>
    <x v="3"/>
  </r>
  <r>
    <n v="136252657"/>
    <x v="253"/>
    <x v="209"/>
    <x v="0"/>
    <n v="39"/>
    <s v="month"/>
    <n v="51"/>
    <x v="4"/>
  </r>
  <r>
    <n v="134753801"/>
    <x v="253"/>
    <x v="315"/>
    <x v="0"/>
    <n v="39"/>
    <s v="month"/>
    <n v="58"/>
    <x v="4"/>
  </r>
  <r>
    <n v="155245092"/>
    <x v="253"/>
    <x v="291"/>
    <x v="0"/>
    <n v="39"/>
    <s v="month"/>
    <n v="32"/>
    <x v="4"/>
  </r>
  <r>
    <n v="214905500"/>
    <x v="253"/>
    <x v="313"/>
    <x v="0"/>
    <n v="39"/>
    <s v="month"/>
    <n v="99"/>
    <x v="4"/>
  </r>
  <r>
    <n v="215152504"/>
    <x v="254"/>
    <x v="0"/>
    <x v="0"/>
    <n v="39"/>
    <s v="month"/>
    <s v=""/>
    <x v="5"/>
  </r>
  <r>
    <n v="215336639"/>
    <x v="254"/>
    <x v="0"/>
    <x v="0"/>
    <n v="39"/>
    <s v="month"/>
    <s v=""/>
    <x v="5"/>
  </r>
  <r>
    <n v="215220026"/>
    <x v="254"/>
    <x v="0"/>
    <x v="0"/>
    <n v="39"/>
    <s v="month"/>
    <s v=""/>
    <x v="5"/>
  </r>
  <r>
    <n v="202395800"/>
    <x v="254"/>
    <x v="0"/>
    <x v="0"/>
    <n v="39"/>
    <s v="month"/>
    <s v=""/>
    <x v="5"/>
  </r>
  <r>
    <n v="215289431"/>
    <x v="254"/>
    <x v="313"/>
    <x v="0"/>
    <n v="39"/>
    <s v="month"/>
    <n v="98"/>
    <x v="5"/>
  </r>
  <r>
    <n v="182102820"/>
    <x v="254"/>
    <x v="258"/>
    <x v="0"/>
    <n v="39"/>
    <s v="month"/>
    <n v="1"/>
    <x v="5"/>
  </r>
  <r>
    <n v="215322558"/>
    <x v="254"/>
    <x v="147"/>
    <x v="0"/>
    <n v="39"/>
    <s v="month"/>
    <n v="38"/>
    <x v="5"/>
  </r>
  <r>
    <n v="215347417"/>
    <x v="254"/>
    <x v="45"/>
    <x v="0"/>
    <n v="39"/>
    <s v="month"/>
    <n v="9"/>
    <x v="5"/>
  </r>
  <r>
    <n v="215203944"/>
    <x v="254"/>
    <x v="279"/>
    <x v="0"/>
    <n v="39"/>
    <s v="month"/>
    <n v="56"/>
    <x v="5"/>
  </r>
  <r>
    <n v="215350747"/>
    <x v="254"/>
    <x v="204"/>
    <x v="0"/>
    <n v="39"/>
    <s v="month"/>
    <n v="79"/>
    <x v="5"/>
  </r>
  <r>
    <n v="215254830"/>
    <x v="254"/>
    <x v="305"/>
    <x v="0"/>
    <n v="39"/>
    <s v="month"/>
    <n v="78"/>
    <x v="5"/>
  </r>
  <r>
    <n v="192908537"/>
    <x v="254"/>
    <x v="291"/>
    <x v="0"/>
    <n v="39"/>
    <s v="month"/>
    <n v="31"/>
    <x v="5"/>
  </r>
  <r>
    <n v="123007965"/>
    <x v="255"/>
    <x v="0"/>
    <x v="0"/>
    <n v="39"/>
    <s v="month"/>
    <s v=""/>
    <x v="6"/>
  </r>
  <r>
    <n v="151711223"/>
    <x v="255"/>
    <x v="0"/>
    <x v="0"/>
    <n v="39"/>
    <s v="month"/>
    <s v=""/>
    <x v="6"/>
  </r>
  <r>
    <n v="130751382"/>
    <x v="255"/>
    <x v="0"/>
    <x v="0"/>
    <n v="39"/>
    <s v="month"/>
    <s v=""/>
    <x v="6"/>
  </r>
  <r>
    <n v="126037254"/>
    <x v="255"/>
    <x v="0"/>
    <x v="0"/>
    <n v="39"/>
    <s v="month"/>
    <s v=""/>
    <x v="6"/>
  </r>
  <r>
    <n v="133469770"/>
    <x v="255"/>
    <x v="0"/>
    <x v="0"/>
    <n v="39"/>
    <s v="month"/>
    <s v=""/>
    <x v="6"/>
  </r>
  <r>
    <n v="133565657"/>
    <x v="255"/>
    <x v="195"/>
    <x v="0"/>
    <n v="39"/>
    <s v="month"/>
    <n v="85"/>
    <x v="6"/>
  </r>
  <r>
    <n v="215307979"/>
    <x v="255"/>
    <x v="345"/>
    <x v="0"/>
    <n v="39"/>
    <s v="month"/>
    <n v="38"/>
    <x v="6"/>
  </r>
  <r>
    <n v="174289942"/>
    <x v="255"/>
    <x v="350"/>
    <x v="0"/>
    <n v="39"/>
    <s v="month"/>
    <n v="65"/>
    <x v="6"/>
  </r>
  <r>
    <n v="215366550"/>
    <x v="255"/>
    <x v="222"/>
    <x v="0"/>
    <n v="39"/>
    <s v="month"/>
    <n v="76"/>
    <x v="6"/>
  </r>
  <r>
    <n v="210361390"/>
    <x v="256"/>
    <x v="0"/>
    <x v="0"/>
    <n v="39"/>
    <s v="month"/>
    <s v=""/>
    <x v="0"/>
  </r>
  <r>
    <n v="120738319"/>
    <x v="256"/>
    <x v="0"/>
    <x v="0"/>
    <n v="39"/>
    <s v="month"/>
    <s v=""/>
    <x v="0"/>
  </r>
  <r>
    <n v="214122861"/>
    <x v="256"/>
    <x v="0"/>
    <x v="0"/>
    <n v="39"/>
    <s v="month"/>
    <s v=""/>
    <x v="0"/>
  </r>
  <r>
    <n v="214793162"/>
    <x v="256"/>
    <x v="0"/>
    <x v="0"/>
    <n v="39"/>
    <s v="month"/>
    <s v=""/>
    <x v="0"/>
  </r>
  <r>
    <n v="215420480"/>
    <x v="256"/>
    <x v="349"/>
    <x v="0"/>
    <n v="39"/>
    <s v="month"/>
    <n v="111"/>
    <x v="0"/>
  </r>
  <r>
    <n v="215415792"/>
    <x v="256"/>
    <x v="171"/>
    <x v="1"/>
    <n v="39"/>
    <s v="month"/>
    <n v="1"/>
    <x v="0"/>
  </r>
  <r>
    <n v="152705871"/>
    <x v="256"/>
    <x v="45"/>
    <x v="0"/>
    <n v="39"/>
    <s v="month"/>
    <n v="7"/>
    <x v="0"/>
  </r>
  <r>
    <n v="168265029"/>
    <x v="256"/>
    <x v="285"/>
    <x v="0"/>
    <n v="39"/>
    <s v="month"/>
    <n v="13"/>
    <x v="0"/>
  </r>
  <r>
    <n v="215428908"/>
    <x v="256"/>
    <x v="338"/>
    <x v="0"/>
    <n v="39"/>
    <s v="month"/>
    <n v="32"/>
    <x v="0"/>
  </r>
  <r>
    <n v="215189952"/>
    <x v="256"/>
    <x v="3"/>
    <x v="0"/>
    <n v="39"/>
    <s v="month"/>
    <n v="42"/>
    <x v="0"/>
  </r>
  <r>
    <n v="208168256"/>
    <x v="256"/>
    <x v="180"/>
    <x v="0"/>
    <n v="39"/>
    <s v="month"/>
    <n v="31"/>
    <x v="0"/>
  </r>
  <r>
    <n v="163193072"/>
    <x v="257"/>
    <x v="0"/>
    <x v="0"/>
    <n v="39"/>
    <s v="month"/>
    <s v=""/>
    <x v="1"/>
  </r>
  <r>
    <n v="153449481"/>
    <x v="257"/>
    <x v="126"/>
    <x v="0"/>
    <n v="39"/>
    <s v="month"/>
    <n v="1"/>
    <x v="1"/>
  </r>
  <r>
    <n v="215384745"/>
    <x v="257"/>
    <x v="180"/>
    <x v="0"/>
    <n v="39"/>
    <s v="month"/>
    <n v="30"/>
    <x v="1"/>
  </r>
  <r>
    <n v="160904253"/>
    <x v="257"/>
    <x v="321"/>
    <x v="0"/>
    <n v="39"/>
    <s v="month"/>
    <n v="38"/>
    <x v="1"/>
  </r>
  <r>
    <n v="215476119"/>
    <x v="257"/>
    <x v="321"/>
    <x v="0"/>
    <n v="39"/>
    <s v="month"/>
    <n v="38"/>
    <x v="1"/>
  </r>
  <r>
    <n v="214624328"/>
    <x v="257"/>
    <x v="69"/>
    <x v="0"/>
    <n v="39"/>
    <s v="month"/>
    <n v="26"/>
    <x v="1"/>
  </r>
  <r>
    <n v="215463105"/>
    <x v="257"/>
    <x v="267"/>
    <x v="0"/>
    <n v="39"/>
    <s v="month"/>
    <n v="8"/>
    <x v="1"/>
  </r>
  <r>
    <n v="187368519"/>
    <x v="257"/>
    <x v="262"/>
    <x v="0"/>
    <n v="39"/>
    <s v="month"/>
    <n v="99"/>
    <x v="1"/>
  </r>
  <r>
    <n v="206139986"/>
    <x v="257"/>
    <x v="314"/>
    <x v="0"/>
    <n v="39"/>
    <s v="month"/>
    <n v="60"/>
    <x v="1"/>
  </r>
  <r>
    <n v="215473481"/>
    <x v="257"/>
    <x v="346"/>
    <x v="0"/>
    <n v="39"/>
    <s v="month"/>
    <n v="56"/>
    <x v="1"/>
  </r>
  <r>
    <n v="214967111"/>
    <x v="258"/>
    <x v="0"/>
    <x v="0"/>
    <n v="39"/>
    <s v="month"/>
    <s v=""/>
    <x v="2"/>
  </r>
  <r>
    <n v="215472324"/>
    <x v="258"/>
    <x v="293"/>
    <x v="0"/>
    <n v="39"/>
    <s v="month"/>
    <n v="38"/>
    <x v="2"/>
  </r>
  <r>
    <n v="146557284"/>
    <x v="258"/>
    <x v="173"/>
    <x v="0"/>
    <n v="39"/>
    <s v="month"/>
    <n v="32"/>
    <x v="2"/>
  </r>
  <r>
    <n v="215486098"/>
    <x v="259"/>
    <x v="0"/>
    <x v="0"/>
    <n v="39"/>
    <s v="month"/>
    <s v=""/>
    <x v="3"/>
  </r>
  <r>
    <n v="119436804"/>
    <x v="259"/>
    <x v="0"/>
    <x v="0"/>
    <n v="39"/>
    <s v="month"/>
    <s v=""/>
    <x v="3"/>
  </r>
  <r>
    <n v="127100688"/>
    <x v="259"/>
    <x v="288"/>
    <x v="0"/>
    <n v="39"/>
    <s v="month"/>
    <n v="1"/>
    <x v="3"/>
  </r>
  <r>
    <n v="134524378"/>
    <x v="259"/>
    <x v="288"/>
    <x v="0"/>
    <n v="39"/>
    <s v="month"/>
    <n v="1"/>
    <x v="3"/>
  </r>
  <r>
    <n v="134652589"/>
    <x v="259"/>
    <x v="326"/>
    <x v="0"/>
    <n v="39"/>
    <s v="month"/>
    <n v="0"/>
    <x v="3"/>
  </r>
  <r>
    <n v="214134251"/>
    <x v="259"/>
    <x v="288"/>
    <x v="1"/>
    <n v="39"/>
    <s v="month"/>
    <n v="1"/>
    <x v="3"/>
  </r>
  <r>
    <n v="215565049"/>
    <x v="259"/>
    <x v="326"/>
    <x v="0"/>
    <n v="39"/>
    <s v="month"/>
    <n v="0"/>
    <x v="3"/>
  </r>
  <r>
    <n v="215606026"/>
    <x v="259"/>
    <x v="240"/>
    <x v="0"/>
    <n v="39"/>
    <s v="month"/>
    <n v="60"/>
    <x v="3"/>
  </r>
  <r>
    <n v="215678881"/>
    <x v="260"/>
    <x v="0"/>
    <x v="0"/>
    <n v="39"/>
    <s v="month"/>
    <s v=""/>
    <x v="4"/>
  </r>
  <r>
    <n v="212356610"/>
    <x v="260"/>
    <x v="0"/>
    <x v="0"/>
    <n v="39"/>
    <s v="month"/>
    <s v=""/>
    <x v="4"/>
  </r>
  <r>
    <n v="215336118"/>
    <x v="260"/>
    <x v="0"/>
    <x v="0"/>
    <n v="39"/>
    <s v="month"/>
    <s v=""/>
    <x v="4"/>
  </r>
  <r>
    <n v="215664306"/>
    <x v="260"/>
    <x v="0"/>
    <x v="0"/>
    <n v="39"/>
    <s v="month"/>
    <s v=""/>
    <x v="4"/>
  </r>
  <r>
    <n v="215643802"/>
    <x v="260"/>
    <x v="0"/>
    <x v="0"/>
    <n v="39"/>
    <s v="month"/>
    <s v=""/>
    <x v="4"/>
  </r>
  <r>
    <n v="206177720"/>
    <x v="260"/>
    <x v="309"/>
    <x v="1"/>
    <n v="39"/>
    <s v="month"/>
    <n v="1"/>
    <x v="4"/>
  </r>
  <r>
    <n v="215691994"/>
    <x v="260"/>
    <x v="190"/>
    <x v="0"/>
    <n v="39"/>
    <s v="month"/>
    <n v="91"/>
    <x v="4"/>
  </r>
  <r>
    <n v="215653406"/>
    <x v="261"/>
    <x v="0"/>
    <x v="0"/>
    <n v="39"/>
    <s v="month"/>
    <s v=""/>
    <x v="5"/>
  </r>
  <r>
    <n v="215534470"/>
    <x v="261"/>
    <x v="330"/>
    <x v="0"/>
    <n v="39"/>
    <s v="month"/>
    <n v="1"/>
    <x v="5"/>
  </r>
  <r>
    <n v="150751482"/>
    <x v="261"/>
    <x v="240"/>
    <x v="0"/>
    <n v="39"/>
    <s v="month"/>
    <n v="58"/>
    <x v="5"/>
  </r>
  <r>
    <n v="208601341"/>
    <x v="261"/>
    <x v="341"/>
    <x v="0"/>
    <n v="39"/>
    <s v="month"/>
    <n v="46"/>
    <x v="5"/>
  </r>
  <r>
    <n v="215473479"/>
    <x v="261"/>
    <x v="321"/>
    <x v="0"/>
    <n v="39"/>
    <s v="month"/>
    <n v="34"/>
    <x v="5"/>
  </r>
  <r>
    <n v="215646044"/>
    <x v="261"/>
    <x v="173"/>
    <x v="0"/>
    <n v="39"/>
    <s v="month"/>
    <n v="29"/>
    <x v="5"/>
  </r>
  <r>
    <n v="215686983"/>
    <x v="261"/>
    <x v="321"/>
    <x v="0"/>
    <n v="39"/>
    <s v="month"/>
    <n v="34"/>
    <x v="5"/>
  </r>
  <r>
    <n v="215704655"/>
    <x v="262"/>
    <x v="0"/>
    <x v="0"/>
    <n v="39"/>
    <s v="month"/>
    <s v=""/>
    <x v="6"/>
  </r>
  <r>
    <n v="131984682"/>
    <x v="262"/>
    <x v="325"/>
    <x v="0"/>
    <n v="39"/>
    <s v="month"/>
    <n v="46"/>
    <x v="6"/>
  </r>
  <r>
    <n v="214698924"/>
    <x v="262"/>
    <x v="293"/>
    <x v="0"/>
    <n v="39"/>
    <s v="month"/>
    <n v="34"/>
    <x v="6"/>
  </r>
  <r>
    <n v="183886863"/>
    <x v="262"/>
    <x v="330"/>
    <x v="0"/>
    <n v="39"/>
    <s v="month"/>
    <n v="0"/>
    <x v="6"/>
  </r>
  <r>
    <n v="215869320"/>
    <x v="263"/>
    <x v="0"/>
    <x v="0"/>
    <n v="39"/>
    <s v="month"/>
    <s v=""/>
    <x v="0"/>
  </r>
  <r>
    <n v="215616284"/>
    <x v="263"/>
    <x v="0"/>
    <x v="0"/>
    <n v="39"/>
    <s v="month"/>
    <s v=""/>
    <x v="0"/>
  </r>
  <r>
    <n v="215896078"/>
    <x v="263"/>
    <x v="0"/>
    <x v="0"/>
    <n v="39"/>
    <s v="month"/>
    <s v=""/>
    <x v="0"/>
  </r>
  <r>
    <n v="215910170"/>
    <x v="263"/>
    <x v="0"/>
    <x v="0"/>
    <n v="39"/>
    <s v="month"/>
    <s v=""/>
    <x v="0"/>
  </r>
  <r>
    <n v="211754109"/>
    <x v="263"/>
    <x v="324"/>
    <x v="1"/>
    <n v="39"/>
    <s v="month"/>
    <n v="1"/>
    <x v="0"/>
  </r>
  <r>
    <n v="205682690"/>
    <x v="263"/>
    <x v="324"/>
    <x v="0"/>
    <n v="39"/>
    <s v="month"/>
    <n v="1"/>
    <x v="0"/>
  </r>
  <r>
    <n v="151412112"/>
    <x v="263"/>
    <x v="338"/>
    <x v="0"/>
    <n v="39"/>
    <s v="month"/>
    <n v="25"/>
    <x v="0"/>
  </r>
  <r>
    <n v="154467458"/>
    <x v="263"/>
    <x v="3"/>
    <x v="0"/>
    <n v="39"/>
    <s v="month"/>
    <n v="35"/>
    <x v="0"/>
  </r>
  <r>
    <n v="212339137"/>
    <x v="263"/>
    <x v="135"/>
    <x v="0"/>
    <n v="39"/>
    <s v="month"/>
    <n v="38"/>
    <x v="0"/>
  </r>
  <r>
    <n v="215894271"/>
    <x v="263"/>
    <x v="273"/>
    <x v="0"/>
    <n v="39"/>
    <s v="month"/>
    <n v="21"/>
    <x v="0"/>
  </r>
  <r>
    <n v="215908442"/>
    <x v="263"/>
    <x v="351"/>
    <x v="0"/>
    <n v="39"/>
    <s v="month"/>
    <n v="84"/>
    <x v="0"/>
  </r>
  <r>
    <n v="136032360"/>
    <x v="263"/>
    <x v="333"/>
    <x v="0"/>
    <n v="39"/>
    <s v="month"/>
    <n v="92"/>
    <x v="0"/>
  </r>
  <r>
    <n v="215956542"/>
    <x v="264"/>
    <x v="0"/>
    <x v="0"/>
    <n v="39"/>
    <s v="month"/>
    <s v=""/>
    <x v="1"/>
  </r>
  <r>
    <n v="215947247"/>
    <x v="264"/>
    <x v="0"/>
    <x v="0"/>
    <n v="39"/>
    <s v="month"/>
    <s v=""/>
    <x v="1"/>
  </r>
  <r>
    <n v="122830574"/>
    <x v="264"/>
    <x v="0"/>
    <x v="0"/>
    <n v="39"/>
    <s v="month"/>
    <s v=""/>
    <x v="1"/>
  </r>
  <r>
    <n v="206904025"/>
    <x v="264"/>
    <x v="267"/>
    <x v="1"/>
    <n v="39"/>
    <s v="month"/>
    <n v="1"/>
    <x v="1"/>
  </r>
  <r>
    <n v="153396366"/>
    <x v="264"/>
    <x v="293"/>
    <x v="0"/>
    <n v="39"/>
    <s v="month"/>
    <n v="32"/>
    <x v="1"/>
  </r>
  <r>
    <n v="200304509"/>
    <x v="264"/>
    <x v="306"/>
    <x v="0"/>
    <n v="39"/>
    <s v="month"/>
    <n v="22"/>
    <x v="1"/>
  </r>
  <r>
    <n v="215867874"/>
    <x v="264"/>
    <x v="180"/>
    <x v="0"/>
    <n v="39"/>
    <s v="month"/>
    <n v="23"/>
    <x v="1"/>
  </r>
  <r>
    <n v="215869887"/>
    <x v="264"/>
    <x v="186"/>
    <x v="0"/>
    <n v="39"/>
    <s v="month"/>
    <n v="16"/>
    <x v="1"/>
  </r>
  <r>
    <n v="134652589"/>
    <x v="264"/>
    <x v="157"/>
    <x v="0"/>
    <n v="39"/>
    <s v="month"/>
    <n v="15"/>
    <x v="1"/>
  </r>
  <r>
    <n v="215759517"/>
    <x v="264"/>
    <x v="352"/>
    <x v="0"/>
    <n v="39"/>
    <s v="month"/>
    <n v="99"/>
    <x v="1"/>
  </r>
  <r>
    <n v="152004313"/>
    <x v="264"/>
    <x v="255"/>
    <x v="0"/>
    <n v="39"/>
    <s v="month"/>
    <n v="39"/>
    <x v="1"/>
  </r>
  <r>
    <n v="215931788"/>
    <x v="264"/>
    <x v="293"/>
    <x v="0"/>
    <n v="39"/>
    <s v="month"/>
    <n v="32"/>
    <x v="1"/>
  </r>
  <r>
    <n v="215792692"/>
    <x v="264"/>
    <x v="344"/>
    <x v="0"/>
    <n v="39"/>
    <s v="month"/>
    <n v="60"/>
    <x v="1"/>
  </r>
  <r>
    <n v="205507364"/>
    <x v="264"/>
    <x v="353"/>
    <x v="0"/>
    <n v="39"/>
    <s v="month"/>
    <n v="61"/>
    <x v="1"/>
  </r>
  <r>
    <n v="130016916"/>
    <x v="264"/>
    <x v="353"/>
    <x v="0"/>
    <n v="39"/>
    <s v="month"/>
    <n v="61"/>
    <x v="1"/>
  </r>
  <r>
    <n v="174991614"/>
    <x v="265"/>
    <x v="0"/>
    <x v="0"/>
    <n v="39"/>
    <s v="month"/>
    <s v=""/>
    <x v="2"/>
  </r>
  <r>
    <n v="118197872"/>
    <x v="265"/>
    <x v="0"/>
    <x v="0"/>
    <n v="39"/>
    <s v="month"/>
    <s v=""/>
    <x v="2"/>
  </r>
  <r>
    <n v="215906516"/>
    <x v="265"/>
    <x v="0"/>
    <x v="0"/>
    <n v="39"/>
    <s v="month"/>
    <s v=""/>
    <x v="2"/>
  </r>
  <r>
    <n v="116197941"/>
    <x v="265"/>
    <x v="204"/>
    <x v="0"/>
    <n v="39"/>
    <s v="month"/>
    <n v="68"/>
    <x v="2"/>
  </r>
  <r>
    <n v="215973039"/>
    <x v="265"/>
    <x v="127"/>
    <x v="0"/>
    <n v="39"/>
    <s v="month"/>
    <n v="7"/>
    <x v="2"/>
  </r>
  <r>
    <n v="147761700"/>
    <x v="265"/>
    <x v="308"/>
    <x v="0"/>
    <n v="39"/>
    <s v="month"/>
    <n v="12"/>
    <x v="2"/>
  </r>
  <r>
    <n v="215943650"/>
    <x v="265"/>
    <x v="255"/>
    <x v="0"/>
    <n v="39"/>
    <s v="month"/>
    <n v="38"/>
    <x v="2"/>
  </r>
  <r>
    <n v="157259062"/>
    <x v="265"/>
    <x v="255"/>
    <x v="0"/>
    <n v="39"/>
    <s v="month"/>
    <n v="38"/>
    <x v="2"/>
  </r>
  <r>
    <n v="216001506"/>
    <x v="265"/>
    <x v="353"/>
    <x v="0"/>
    <n v="39"/>
    <s v="month"/>
    <n v="60"/>
    <x v="2"/>
  </r>
  <r>
    <n v="199306900"/>
    <x v="265"/>
    <x v="302"/>
    <x v="0"/>
    <n v="39"/>
    <s v="month"/>
    <n v="99"/>
    <x v="2"/>
  </r>
  <r>
    <n v="156245288"/>
    <x v="266"/>
    <x v="0"/>
    <x v="0"/>
    <n v="39"/>
    <s v="month"/>
    <s v=""/>
    <x v="3"/>
  </r>
  <r>
    <n v="211904765"/>
    <x v="266"/>
    <x v="0"/>
    <x v="0"/>
    <n v="39"/>
    <s v="month"/>
    <s v=""/>
    <x v="3"/>
  </r>
  <r>
    <n v="215832805"/>
    <x v="266"/>
    <x v="0"/>
    <x v="0"/>
    <n v="39"/>
    <s v="month"/>
    <s v=""/>
    <x v="3"/>
  </r>
  <r>
    <n v="156403612"/>
    <x v="267"/>
    <x v="0"/>
    <x v="0"/>
    <n v="39"/>
    <s v="month"/>
    <s v=""/>
    <x v="4"/>
  </r>
  <r>
    <n v="216062001"/>
    <x v="267"/>
    <x v="0"/>
    <x v="0"/>
    <n v="39"/>
    <s v="month"/>
    <s v=""/>
    <x v="4"/>
  </r>
  <r>
    <n v="216083936"/>
    <x v="267"/>
    <x v="0"/>
    <x v="0"/>
    <n v="39"/>
    <s v="month"/>
    <s v=""/>
    <x v="4"/>
  </r>
  <r>
    <n v="215568210"/>
    <x v="267"/>
    <x v="331"/>
    <x v="0"/>
    <n v="39"/>
    <s v="month"/>
    <n v="91"/>
    <x v="4"/>
  </r>
  <r>
    <n v="181480437"/>
    <x v="267"/>
    <x v="244"/>
    <x v="0"/>
    <n v="39"/>
    <s v="month"/>
    <n v="35"/>
    <x v="4"/>
  </r>
  <r>
    <n v="147197398"/>
    <x v="268"/>
    <x v="0"/>
    <x v="0"/>
    <n v="39"/>
    <s v="month"/>
    <s v=""/>
    <x v="5"/>
  </r>
  <r>
    <n v="212051648"/>
    <x v="268"/>
    <x v="0"/>
    <x v="0"/>
    <n v="39"/>
    <s v="month"/>
    <s v=""/>
    <x v="5"/>
  </r>
  <r>
    <n v="216141502"/>
    <x v="268"/>
    <x v="0"/>
    <x v="0"/>
    <n v="39"/>
    <s v="month"/>
    <s v=""/>
    <x v="5"/>
  </r>
  <r>
    <n v="216136975"/>
    <x v="268"/>
    <x v="0"/>
    <x v="0"/>
    <n v="39"/>
    <s v="month"/>
    <s v=""/>
    <x v="5"/>
  </r>
  <r>
    <n v="213240907"/>
    <x v="268"/>
    <x v="0"/>
    <x v="0"/>
    <n v="39"/>
    <s v="month"/>
    <s v=""/>
    <x v="5"/>
  </r>
  <r>
    <n v="204739496"/>
    <x v="268"/>
    <x v="302"/>
    <x v="0"/>
    <n v="39"/>
    <s v="month"/>
    <n v="96"/>
    <x v="5"/>
  </r>
  <r>
    <n v="203366396"/>
    <x v="268"/>
    <x v="285"/>
    <x v="0"/>
    <n v="39"/>
    <s v="month"/>
    <n v="1"/>
    <x v="5"/>
  </r>
  <r>
    <n v="216136446"/>
    <x v="268"/>
    <x v="99"/>
    <x v="0"/>
    <n v="39"/>
    <s v="month"/>
    <n v="29"/>
    <x v="5"/>
  </r>
  <r>
    <n v="216139586"/>
    <x v="268"/>
    <x v="187"/>
    <x v="0"/>
    <n v="39"/>
    <s v="month"/>
    <n v="31"/>
    <x v="5"/>
  </r>
  <r>
    <n v="216126416"/>
    <x v="268"/>
    <x v="343"/>
    <x v="0"/>
    <n v="39"/>
    <s v="month"/>
    <n v="5"/>
    <x v="5"/>
  </r>
  <r>
    <n v="216181144"/>
    <x v="268"/>
    <x v="160"/>
    <x v="0"/>
    <n v="39"/>
    <s v="month"/>
    <n v="38"/>
    <x v="5"/>
  </r>
  <r>
    <n v="216100714"/>
    <x v="268"/>
    <x v="305"/>
    <x v="0"/>
    <n v="39"/>
    <s v="month"/>
    <n v="64"/>
    <x v="5"/>
  </r>
  <r>
    <n v="216155144"/>
    <x v="268"/>
    <x v="354"/>
    <x v="0"/>
    <n v="39"/>
    <s v="month"/>
    <n v="61"/>
    <x v="5"/>
  </r>
  <r>
    <n v="190978347"/>
    <x v="268"/>
    <x v="98"/>
    <x v="0"/>
    <n v="39"/>
    <s v="month"/>
    <n v="70"/>
    <x v="5"/>
  </r>
  <r>
    <n v="215653713"/>
    <x v="268"/>
    <x v="279"/>
    <x v="0"/>
    <n v="39"/>
    <s v="month"/>
    <n v="42"/>
    <x v="5"/>
  </r>
  <r>
    <n v="215185569"/>
    <x v="268"/>
    <x v="355"/>
    <x v="0"/>
    <n v="39"/>
    <s v="month"/>
    <n v="91"/>
    <x v="5"/>
  </r>
  <r>
    <n v="215488799"/>
    <x v="269"/>
    <x v="0"/>
    <x v="0"/>
    <n v="39"/>
    <s v="month"/>
    <s v=""/>
    <x v="6"/>
  </r>
  <r>
    <n v="216170130"/>
    <x v="269"/>
    <x v="0"/>
    <x v="0"/>
    <n v="39"/>
    <s v="month"/>
    <s v=""/>
    <x v="6"/>
  </r>
  <r>
    <n v="215723337"/>
    <x v="269"/>
    <x v="0"/>
    <x v="0"/>
    <n v="39"/>
    <s v="month"/>
    <s v=""/>
    <x v="6"/>
  </r>
  <r>
    <n v="148568942"/>
    <x v="269"/>
    <x v="0"/>
    <x v="0"/>
    <n v="39"/>
    <s v="month"/>
    <s v=""/>
    <x v="6"/>
  </r>
  <r>
    <n v="215102456"/>
    <x v="269"/>
    <x v="0"/>
    <x v="0"/>
    <n v="39"/>
    <s v="month"/>
    <s v=""/>
    <x v="6"/>
  </r>
  <r>
    <n v="216017581"/>
    <x v="269"/>
    <x v="0"/>
    <x v="0"/>
    <n v="39"/>
    <s v="month"/>
    <s v=""/>
    <x v="6"/>
  </r>
  <r>
    <n v="153438676"/>
    <x v="269"/>
    <x v="0"/>
    <x v="0"/>
    <n v="39"/>
    <s v="month"/>
    <s v=""/>
    <x v="6"/>
  </r>
  <r>
    <n v="213190132"/>
    <x v="269"/>
    <x v="0"/>
    <x v="0"/>
    <n v="39"/>
    <s v="month"/>
    <s v=""/>
    <x v="6"/>
  </r>
  <r>
    <n v="216218992"/>
    <x v="269"/>
    <x v="335"/>
    <x v="0"/>
    <n v="39"/>
    <s v="month"/>
    <n v="92"/>
    <x v="6"/>
  </r>
  <r>
    <n v="216210442"/>
    <x v="269"/>
    <x v="273"/>
    <x v="0"/>
    <n v="39"/>
    <s v="month"/>
    <n v="15"/>
    <x v="6"/>
  </r>
  <r>
    <n v="129447970"/>
    <x v="269"/>
    <x v="302"/>
    <x v="0"/>
    <n v="39"/>
    <s v="month"/>
    <n v="95"/>
    <x v="6"/>
  </r>
  <r>
    <n v="216221115"/>
    <x v="269"/>
    <x v="135"/>
    <x v="0"/>
    <n v="39"/>
    <s v="month"/>
    <n v="32"/>
    <x v="6"/>
  </r>
  <r>
    <n v="215911675"/>
    <x v="269"/>
    <x v="160"/>
    <x v="0"/>
    <n v="39"/>
    <s v="month"/>
    <n v="37"/>
    <x v="6"/>
  </r>
  <r>
    <n v="215908254"/>
    <x v="269"/>
    <x v="173"/>
    <x v="0"/>
    <n v="39"/>
    <s v="month"/>
    <n v="21"/>
    <x v="6"/>
  </r>
  <r>
    <n v="214610994"/>
    <x v="269"/>
    <x v="3"/>
    <x v="0"/>
    <n v="39"/>
    <s v="month"/>
    <n v="29"/>
    <x v="6"/>
  </r>
  <r>
    <n v="143272167"/>
    <x v="269"/>
    <x v="290"/>
    <x v="0"/>
    <n v="39"/>
    <s v="month"/>
    <n v="99"/>
    <x v="6"/>
  </r>
  <r>
    <n v="216340651"/>
    <x v="270"/>
    <x v="0"/>
    <x v="0"/>
    <n v="39"/>
    <s v="month"/>
    <s v=""/>
    <x v="0"/>
  </r>
  <r>
    <n v="153573832"/>
    <x v="270"/>
    <x v="0"/>
    <x v="0"/>
    <n v="39"/>
    <s v="month"/>
    <s v=""/>
    <x v="0"/>
  </r>
  <r>
    <n v="138312982"/>
    <x v="270"/>
    <x v="0"/>
    <x v="0"/>
    <n v="39"/>
    <s v="month"/>
    <s v=""/>
    <x v="0"/>
  </r>
  <r>
    <n v="216365777"/>
    <x v="270"/>
    <x v="0"/>
    <x v="0"/>
    <n v="39"/>
    <s v="month"/>
    <s v=""/>
    <x v="0"/>
  </r>
  <r>
    <n v="216272792"/>
    <x v="270"/>
    <x v="349"/>
    <x v="0"/>
    <n v="39"/>
    <s v="month"/>
    <n v="97"/>
    <x v="0"/>
  </r>
  <r>
    <n v="167174814"/>
    <x v="270"/>
    <x v="186"/>
    <x v="0"/>
    <n v="39"/>
    <s v="month"/>
    <n v="10"/>
    <x v="0"/>
  </r>
  <r>
    <n v="216329176"/>
    <x v="270"/>
    <x v="341"/>
    <x v="0"/>
    <n v="39"/>
    <s v="month"/>
    <n v="37"/>
    <x v="0"/>
  </r>
  <r>
    <n v="147320092"/>
    <x v="270"/>
    <x v="255"/>
    <x v="0"/>
    <n v="39"/>
    <s v="month"/>
    <n v="33"/>
    <x v="0"/>
  </r>
  <r>
    <n v="157974600"/>
    <x v="270"/>
    <x v="69"/>
    <x v="0"/>
    <n v="39"/>
    <s v="month"/>
    <n v="13"/>
    <x v="0"/>
  </r>
  <r>
    <n v="200955808"/>
    <x v="270"/>
    <x v="340"/>
    <x v="0"/>
    <n v="39"/>
    <s v="month"/>
    <n v="30"/>
    <x v="0"/>
  </r>
  <r>
    <n v="216332850"/>
    <x v="270"/>
    <x v="222"/>
    <x v="0"/>
    <n v="39"/>
    <s v="month"/>
    <n v="61"/>
    <x v="0"/>
  </r>
  <r>
    <n v="149986818"/>
    <x v="271"/>
    <x v="0"/>
    <x v="0"/>
    <n v="39"/>
    <s v="month"/>
    <s v=""/>
    <x v="1"/>
  </r>
  <r>
    <n v="132579012"/>
    <x v="271"/>
    <x v="0"/>
    <x v="0"/>
    <n v="39"/>
    <s v="month"/>
    <s v=""/>
    <x v="1"/>
  </r>
  <r>
    <n v="155529346"/>
    <x v="271"/>
    <x v="356"/>
    <x v="0"/>
    <n v="39"/>
    <s v="month"/>
    <n v="94"/>
    <x v="1"/>
  </r>
  <r>
    <n v="153085868"/>
    <x v="271"/>
    <x v="3"/>
    <x v="0"/>
    <n v="39"/>
    <s v="month"/>
    <n v="27"/>
    <x v="1"/>
  </r>
  <r>
    <n v="156702204"/>
    <x v="271"/>
    <x v="135"/>
    <x v="0"/>
    <n v="39"/>
    <s v="month"/>
    <n v="30"/>
    <x v="1"/>
  </r>
  <r>
    <n v="158177676"/>
    <x v="271"/>
    <x v="293"/>
    <x v="0"/>
    <n v="39"/>
    <s v="month"/>
    <n v="25"/>
    <x v="1"/>
  </r>
  <r>
    <n v="216423972"/>
    <x v="271"/>
    <x v="346"/>
    <x v="0"/>
    <n v="39"/>
    <s v="month"/>
    <n v="42"/>
    <x v="1"/>
  </r>
  <r>
    <n v="216533259"/>
    <x v="272"/>
    <x v="0"/>
    <x v="0"/>
    <n v="39"/>
    <s v="month"/>
    <s v=""/>
    <x v="2"/>
  </r>
  <r>
    <n v="204953211"/>
    <x v="272"/>
    <x v="0"/>
    <x v="0"/>
    <n v="39"/>
    <s v="month"/>
    <s v=""/>
    <x v="2"/>
  </r>
  <r>
    <n v="149112756"/>
    <x v="272"/>
    <x v="0"/>
    <x v="0"/>
    <n v="39"/>
    <s v="month"/>
    <s v=""/>
    <x v="2"/>
  </r>
  <r>
    <n v="216674420"/>
    <x v="272"/>
    <x v="343"/>
    <x v="1"/>
    <n v="39"/>
    <s v="month"/>
    <n v="1"/>
    <x v="2"/>
  </r>
  <r>
    <n v="148225450"/>
    <x v="272"/>
    <x v="3"/>
    <x v="0"/>
    <n v="39"/>
    <s v="month"/>
    <n v="26"/>
    <x v="2"/>
  </r>
  <r>
    <n v="216720172"/>
    <x v="272"/>
    <x v="177"/>
    <x v="0"/>
    <n v="39"/>
    <s v="month"/>
    <n v="17"/>
    <x v="2"/>
  </r>
  <r>
    <n v="204750804"/>
    <x v="272"/>
    <x v="293"/>
    <x v="0"/>
    <n v="39"/>
    <s v="month"/>
    <n v="24"/>
    <x v="2"/>
  </r>
  <r>
    <n v="147798395"/>
    <x v="273"/>
    <x v="0"/>
    <x v="0"/>
    <n v="39"/>
    <s v="month"/>
    <s v=""/>
    <x v="3"/>
  </r>
  <r>
    <n v="216560949"/>
    <x v="273"/>
    <x v="209"/>
    <x v="0"/>
    <n v="39"/>
    <s v="month"/>
    <n v="31"/>
    <x v="3"/>
  </r>
  <r>
    <n v="216743053"/>
    <x v="273"/>
    <x v="346"/>
    <x v="0"/>
    <n v="39"/>
    <s v="month"/>
    <n v="40"/>
    <x v="3"/>
  </r>
  <r>
    <n v="149040748"/>
    <x v="274"/>
    <x v="0"/>
    <x v="0"/>
    <n v="39"/>
    <s v="month"/>
    <s v=""/>
    <x v="4"/>
  </r>
  <r>
    <n v="206939746"/>
    <x v="274"/>
    <x v="0"/>
    <x v="0"/>
    <n v="39"/>
    <s v="month"/>
    <s v=""/>
    <x v="4"/>
  </r>
  <r>
    <n v="216845223"/>
    <x v="274"/>
    <x v="0"/>
    <x v="0"/>
    <n v="39"/>
    <s v="month"/>
    <s v=""/>
    <x v="4"/>
  </r>
  <r>
    <n v="124876382"/>
    <x v="274"/>
    <x v="328"/>
    <x v="0"/>
    <n v="39"/>
    <s v="month"/>
    <n v="68"/>
    <x v="4"/>
  </r>
  <r>
    <n v="168485609"/>
    <x v="274"/>
    <x v="339"/>
    <x v="0"/>
    <n v="39"/>
    <s v="month"/>
    <n v="76"/>
    <x v="4"/>
  </r>
  <r>
    <n v="216888206"/>
    <x v="274"/>
    <x v="302"/>
    <x v="0"/>
    <n v="39"/>
    <s v="month"/>
    <n v="90"/>
    <x v="4"/>
  </r>
  <r>
    <n v="216957502"/>
    <x v="275"/>
    <x v="0"/>
    <x v="0"/>
    <n v="39"/>
    <s v="month"/>
    <s v=""/>
    <x v="5"/>
  </r>
  <r>
    <n v="215840282"/>
    <x v="275"/>
    <x v="0"/>
    <x v="0"/>
    <n v="39"/>
    <s v="month"/>
    <s v=""/>
    <x v="5"/>
  </r>
  <r>
    <n v="216311456"/>
    <x v="275"/>
    <x v="0"/>
    <x v="0"/>
    <n v="39"/>
    <s v="month"/>
    <s v=""/>
    <x v="5"/>
  </r>
  <r>
    <n v="155088727"/>
    <x v="275"/>
    <x v="0"/>
    <x v="0"/>
    <n v="39"/>
    <s v="month"/>
    <s v=""/>
    <x v="5"/>
  </r>
  <r>
    <n v="216925191"/>
    <x v="275"/>
    <x v="232"/>
    <x v="0"/>
    <n v="39"/>
    <s v="month"/>
    <n v="7"/>
    <x v="5"/>
  </r>
  <r>
    <n v="216924741"/>
    <x v="275"/>
    <x v="313"/>
    <x v="0"/>
    <n v="39"/>
    <s v="month"/>
    <n v="77"/>
    <x v="5"/>
  </r>
  <r>
    <n v="194347007"/>
    <x v="275"/>
    <x v="148"/>
    <x v="0"/>
    <n v="39"/>
    <s v="month"/>
    <n v="37"/>
    <x v="5"/>
  </r>
  <r>
    <n v="217067696"/>
    <x v="276"/>
    <x v="0"/>
    <x v="0"/>
    <n v="39"/>
    <s v="month"/>
    <s v=""/>
    <x v="6"/>
  </r>
  <r>
    <n v="217012406"/>
    <x v="276"/>
    <x v="0"/>
    <x v="0"/>
    <n v="39"/>
    <s v="month"/>
    <s v=""/>
    <x v="6"/>
  </r>
  <r>
    <n v="216345770"/>
    <x v="276"/>
    <x v="0"/>
    <x v="0"/>
    <n v="39"/>
    <s v="month"/>
    <s v=""/>
    <x v="6"/>
  </r>
  <r>
    <n v="215654770"/>
    <x v="276"/>
    <x v="0"/>
    <x v="0"/>
    <n v="39"/>
    <s v="month"/>
    <s v=""/>
    <x v="6"/>
  </r>
  <r>
    <n v="217044528"/>
    <x v="276"/>
    <x v="0"/>
    <x v="0"/>
    <n v="39"/>
    <s v="month"/>
    <s v=""/>
    <x v="6"/>
  </r>
  <r>
    <n v="217031352"/>
    <x v="276"/>
    <x v="0"/>
    <x v="0"/>
    <n v="39"/>
    <s v="month"/>
    <s v=""/>
    <x v="6"/>
  </r>
  <r>
    <n v="146450388"/>
    <x v="276"/>
    <x v="0"/>
    <x v="0"/>
    <n v="39"/>
    <s v="month"/>
    <s v=""/>
    <x v="6"/>
  </r>
  <r>
    <n v="153374748"/>
    <x v="276"/>
    <x v="335"/>
    <x v="0"/>
    <n v="39"/>
    <s v="month"/>
    <n v="85"/>
    <x v="6"/>
  </r>
  <r>
    <n v="217065874"/>
    <x v="276"/>
    <x v="3"/>
    <x v="0"/>
    <n v="39"/>
    <s v="month"/>
    <n v="22"/>
    <x v="6"/>
  </r>
  <r>
    <n v="216622895"/>
    <x v="276"/>
    <x v="332"/>
    <x v="0"/>
    <n v="39"/>
    <s v="month"/>
    <n v="68"/>
    <x v="6"/>
  </r>
  <r>
    <n v="216907852"/>
    <x v="276"/>
    <x v="325"/>
    <x v="0"/>
    <n v="39"/>
    <s v="month"/>
    <n v="32"/>
    <x v="6"/>
  </r>
  <r>
    <n v="217054126"/>
    <x v="277"/>
    <x v="0"/>
    <x v="0"/>
    <n v="39"/>
    <s v="month"/>
    <s v=""/>
    <x v="0"/>
  </r>
  <r>
    <n v="206001231"/>
    <x v="277"/>
    <x v="0"/>
    <x v="0"/>
    <n v="39"/>
    <s v="month"/>
    <s v=""/>
    <x v="0"/>
  </r>
  <r>
    <n v="216925136"/>
    <x v="277"/>
    <x v="0"/>
    <x v="0"/>
    <n v="39"/>
    <s v="month"/>
    <s v=""/>
    <x v="0"/>
  </r>
  <r>
    <n v="217094352"/>
    <x v="277"/>
    <x v="135"/>
    <x v="0"/>
    <n v="39"/>
    <s v="month"/>
    <n v="24"/>
    <x v="0"/>
  </r>
  <r>
    <n v="206891818"/>
    <x v="277"/>
    <x v="99"/>
    <x v="0"/>
    <n v="39"/>
    <s v="month"/>
    <n v="20"/>
    <x v="0"/>
  </r>
  <r>
    <n v="217084888"/>
    <x v="277"/>
    <x v="308"/>
    <x v="0"/>
    <n v="39"/>
    <s v="month"/>
    <n v="0"/>
    <x v="0"/>
  </r>
  <r>
    <n v="216624401"/>
    <x v="277"/>
    <x v="99"/>
    <x v="0"/>
    <n v="39"/>
    <s v="month"/>
    <n v="20"/>
    <x v="0"/>
  </r>
  <r>
    <n v="216795282"/>
    <x v="277"/>
    <x v="205"/>
    <x v="0"/>
    <n v="39"/>
    <s v="month"/>
    <n v="45"/>
    <x v="0"/>
  </r>
  <r>
    <n v="174646924"/>
    <x v="278"/>
    <x v="0"/>
    <x v="0"/>
    <n v="39"/>
    <s v="month"/>
    <s v=""/>
    <x v="1"/>
  </r>
  <r>
    <n v="217123644"/>
    <x v="278"/>
    <x v="0"/>
    <x v="0"/>
    <n v="39"/>
    <s v="month"/>
    <s v=""/>
    <x v="1"/>
  </r>
  <r>
    <n v="217104490"/>
    <x v="278"/>
    <x v="0"/>
    <x v="0"/>
    <n v="39"/>
    <s v="month"/>
    <s v=""/>
    <x v="1"/>
  </r>
  <r>
    <n v="153349708"/>
    <x v="278"/>
    <x v="0"/>
    <x v="0"/>
    <n v="39"/>
    <s v="month"/>
    <s v=""/>
    <x v="1"/>
  </r>
  <r>
    <n v="153876204"/>
    <x v="278"/>
    <x v="157"/>
    <x v="0"/>
    <n v="39"/>
    <s v="month"/>
    <n v="1"/>
    <x v="1"/>
  </r>
  <r>
    <n v="132442956"/>
    <x v="278"/>
    <x v="176"/>
    <x v="0"/>
    <n v="39"/>
    <s v="month"/>
    <n v="49"/>
    <x v="1"/>
  </r>
  <r>
    <n v="130331160"/>
    <x v="278"/>
    <x v="135"/>
    <x v="0"/>
    <n v="39"/>
    <s v="month"/>
    <n v="23"/>
    <x v="1"/>
  </r>
  <r>
    <n v="216225148"/>
    <x v="278"/>
    <x v="270"/>
    <x v="0"/>
    <n v="39"/>
    <s v="month"/>
    <n v="0"/>
    <x v="1"/>
  </r>
  <r>
    <n v="161187748"/>
    <x v="278"/>
    <x v="329"/>
    <x v="0"/>
    <n v="39"/>
    <s v="month"/>
    <n v="45"/>
    <x v="1"/>
  </r>
  <r>
    <n v="217137211"/>
    <x v="278"/>
    <x v="249"/>
    <x v="0"/>
    <n v="39"/>
    <s v="month"/>
    <n v="37"/>
    <x v="1"/>
  </r>
  <r>
    <n v="180796559"/>
    <x v="278"/>
    <x v="249"/>
    <x v="0"/>
    <n v="39"/>
    <s v="month"/>
    <n v="37"/>
    <x v="1"/>
  </r>
  <r>
    <n v="168200039"/>
    <x v="279"/>
    <x v="186"/>
    <x v="0"/>
    <n v="39"/>
    <s v="month"/>
    <n v="1"/>
    <x v="2"/>
  </r>
  <r>
    <n v="217110396"/>
    <x v="279"/>
    <x v="345"/>
    <x v="0"/>
    <n v="39"/>
    <s v="month"/>
    <n v="14"/>
    <x v="2"/>
  </r>
  <r>
    <n v="217159016"/>
    <x v="279"/>
    <x v="301"/>
    <x v="0"/>
    <n v="39"/>
    <s v="month"/>
    <n v="62"/>
    <x v="2"/>
  </r>
  <r>
    <n v="217215106"/>
    <x v="280"/>
    <x v="0"/>
    <x v="0"/>
    <n v="39"/>
    <s v="month"/>
    <s v=""/>
    <x v="3"/>
  </r>
  <r>
    <n v="129819604"/>
    <x v="280"/>
    <x v="314"/>
    <x v="0"/>
    <n v="39"/>
    <s v="month"/>
    <n v="37"/>
    <x v="3"/>
  </r>
  <r>
    <n v="217208086"/>
    <x v="280"/>
    <x v="353"/>
    <x v="0"/>
    <n v="39"/>
    <s v="month"/>
    <n v="45"/>
    <x v="3"/>
  </r>
  <r>
    <n v="215534470"/>
    <x v="280"/>
    <x v="314"/>
    <x v="0"/>
    <n v="39"/>
    <s v="month"/>
    <n v="37"/>
    <x v="3"/>
  </r>
  <r>
    <n v="217277033"/>
    <x v="281"/>
    <x v="0"/>
    <x v="0"/>
    <n v="39"/>
    <s v="month"/>
    <s v=""/>
    <x v="4"/>
  </r>
  <r>
    <n v="136199071"/>
    <x v="281"/>
    <x v="0"/>
    <x v="0"/>
    <n v="39"/>
    <s v="month"/>
    <s v=""/>
    <x v="4"/>
  </r>
  <r>
    <n v="217102618"/>
    <x v="281"/>
    <x v="0"/>
    <x v="0"/>
    <n v="39"/>
    <s v="month"/>
    <s v=""/>
    <x v="4"/>
  </r>
  <r>
    <n v="217252136"/>
    <x v="281"/>
    <x v="0"/>
    <x v="0"/>
    <n v="39"/>
    <s v="month"/>
    <s v=""/>
    <x v="4"/>
  </r>
  <r>
    <n v="215856743"/>
    <x v="281"/>
    <x v="0"/>
    <x v="0"/>
    <n v="39"/>
    <s v="month"/>
    <s v=""/>
    <x v="4"/>
  </r>
  <r>
    <n v="217260184"/>
    <x v="281"/>
    <x v="232"/>
    <x v="1"/>
    <n v="39"/>
    <s v="month"/>
    <n v="1"/>
    <x v="4"/>
  </r>
  <r>
    <n v="140371292"/>
    <x v="281"/>
    <x v="337"/>
    <x v="0"/>
    <n v="39"/>
    <s v="month"/>
    <n v="28"/>
    <x v="4"/>
  </r>
  <r>
    <n v="164903790"/>
    <x v="281"/>
    <x v="240"/>
    <x v="0"/>
    <n v="39"/>
    <s v="month"/>
    <n v="38"/>
    <x v="4"/>
  </r>
  <r>
    <n v="217206158"/>
    <x v="281"/>
    <x v="301"/>
    <x v="0"/>
    <n v="39"/>
    <s v="month"/>
    <n v="60"/>
    <x v="4"/>
  </r>
  <r>
    <n v="215180470"/>
    <x v="281"/>
    <x v="310"/>
    <x v="0"/>
    <n v="39"/>
    <s v="month"/>
    <n v="55"/>
    <x v="4"/>
  </r>
  <r>
    <n v="217246611"/>
    <x v="281"/>
    <x v="241"/>
    <x v="0"/>
    <n v="39"/>
    <s v="month"/>
    <n v="24"/>
    <x v="4"/>
  </r>
  <r>
    <n v="217080066"/>
    <x v="281"/>
    <x v="315"/>
    <x v="0"/>
    <n v="39"/>
    <s v="month"/>
    <n v="30"/>
    <x v="4"/>
  </r>
  <r>
    <n v="214510838"/>
    <x v="282"/>
    <x v="0"/>
    <x v="0"/>
    <n v="39"/>
    <s v="month"/>
    <s v=""/>
    <x v="5"/>
  </r>
  <r>
    <n v="217241338"/>
    <x v="282"/>
    <x v="0"/>
    <x v="0"/>
    <n v="39"/>
    <s v="month"/>
    <s v=""/>
    <x v="5"/>
  </r>
  <r>
    <n v="215447681"/>
    <x v="282"/>
    <x v="0"/>
    <x v="0"/>
    <n v="39"/>
    <s v="month"/>
    <s v=""/>
    <x v="5"/>
  </r>
  <r>
    <n v="214746385"/>
    <x v="282"/>
    <x v="0"/>
    <x v="0"/>
    <n v="39"/>
    <s v="month"/>
    <s v=""/>
    <x v="5"/>
  </r>
  <r>
    <n v="217279595"/>
    <x v="282"/>
    <x v="0"/>
    <x v="0"/>
    <n v="39"/>
    <s v="month"/>
    <s v=""/>
    <x v="5"/>
  </r>
  <r>
    <n v="138725699"/>
    <x v="282"/>
    <x v="69"/>
    <x v="0"/>
    <n v="39"/>
    <s v="month"/>
    <n v="1"/>
    <x v="5"/>
  </r>
  <r>
    <n v="199464176"/>
    <x v="282"/>
    <x v="296"/>
    <x v="0"/>
    <n v="39"/>
    <s v="month"/>
    <n v="48"/>
    <x v="5"/>
  </r>
  <r>
    <n v="217269788"/>
    <x v="282"/>
    <x v="350"/>
    <x v="0"/>
    <n v="39"/>
    <s v="month"/>
    <n v="38"/>
    <x v="5"/>
  </r>
  <r>
    <n v="217210206"/>
    <x v="282"/>
    <x v="209"/>
    <x v="0"/>
    <n v="39"/>
    <s v="month"/>
    <n v="22"/>
    <x v="5"/>
  </r>
  <r>
    <n v="217276264"/>
    <x v="283"/>
    <x v="0"/>
    <x v="0"/>
    <n v="39"/>
    <s v="month"/>
    <s v=""/>
    <x v="6"/>
  </r>
  <r>
    <n v="217242854"/>
    <x v="283"/>
    <x v="0"/>
    <x v="0"/>
    <n v="39"/>
    <s v="month"/>
    <s v=""/>
    <x v="6"/>
  </r>
  <r>
    <n v="140062581"/>
    <x v="283"/>
    <x v="273"/>
    <x v="0"/>
    <n v="39"/>
    <s v="month"/>
    <n v="1"/>
    <x v="6"/>
  </r>
  <r>
    <n v="217340338"/>
    <x v="283"/>
    <x v="69"/>
    <x v="1"/>
    <n v="39"/>
    <s v="month"/>
    <n v="0"/>
    <x v="6"/>
  </r>
  <r>
    <n v="157435806"/>
    <x v="283"/>
    <x v="346"/>
    <x v="0"/>
    <n v="39"/>
    <s v="month"/>
    <n v="30"/>
    <x v="6"/>
  </r>
  <r>
    <n v="217358299"/>
    <x v="283"/>
    <x v="301"/>
    <x v="0"/>
    <n v="39"/>
    <s v="month"/>
    <n v="58"/>
    <x v="6"/>
  </r>
  <r>
    <n v="217330046"/>
    <x v="283"/>
    <x v="340"/>
    <x v="0"/>
    <n v="39"/>
    <s v="month"/>
    <n v="17"/>
    <x v="6"/>
  </r>
  <r>
    <n v="216945894"/>
    <x v="284"/>
    <x v="0"/>
    <x v="0"/>
    <n v="39"/>
    <s v="month"/>
    <s v=""/>
    <x v="0"/>
  </r>
  <r>
    <n v="150178354"/>
    <x v="284"/>
    <x v="0"/>
    <x v="0"/>
    <n v="39"/>
    <s v="month"/>
    <s v=""/>
    <x v="0"/>
  </r>
  <r>
    <n v="153942818"/>
    <x v="284"/>
    <x v="0"/>
    <x v="0"/>
    <n v="39"/>
    <s v="month"/>
    <s v=""/>
    <x v="0"/>
  </r>
  <r>
    <n v="150728848"/>
    <x v="284"/>
    <x v="0"/>
    <x v="0"/>
    <n v="39"/>
    <s v="month"/>
    <s v=""/>
    <x v="0"/>
  </r>
  <r>
    <n v="138725699"/>
    <x v="284"/>
    <x v="0"/>
    <x v="0"/>
    <n v="39"/>
    <s v="month"/>
    <s v=""/>
    <x v="0"/>
  </r>
  <r>
    <n v="217207926"/>
    <x v="284"/>
    <x v="0"/>
    <x v="0"/>
    <n v="39"/>
    <s v="month"/>
    <s v=""/>
    <x v="0"/>
  </r>
  <r>
    <n v="217370233"/>
    <x v="284"/>
    <x v="0"/>
    <x v="0"/>
    <n v="39"/>
    <s v="month"/>
    <s v=""/>
    <x v="0"/>
  </r>
  <r>
    <n v="205464540"/>
    <x v="284"/>
    <x v="357"/>
    <x v="0"/>
    <n v="39"/>
    <s v="month"/>
    <n v="37"/>
    <x v="0"/>
  </r>
  <r>
    <n v="167403892"/>
    <x v="284"/>
    <x v="313"/>
    <x v="0"/>
    <n v="39"/>
    <s v="month"/>
    <n v="68"/>
    <x v="0"/>
  </r>
  <r>
    <n v="217326821"/>
    <x v="284"/>
    <x v="313"/>
    <x v="0"/>
    <n v="39"/>
    <s v="month"/>
    <n v="68"/>
    <x v="0"/>
  </r>
  <r>
    <n v="214918906"/>
    <x v="284"/>
    <x v="357"/>
    <x v="0"/>
    <n v="39"/>
    <s v="month"/>
    <n v="37"/>
    <x v="0"/>
  </r>
  <r>
    <n v="216983668"/>
    <x v="284"/>
    <x v="348"/>
    <x v="0"/>
    <n v="39"/>
    <s v="month"/>
    <n v="30"/>
    <x v="0"/>
  </r>
  <r>
    <n v="217454204"/>
    <x v="285"/>
    <x v="0"/>
    <x v="0"/>
    <n v="39"/>
    <s v="month"/>
    <s v=""/>
    <x v="1"/>
  </r>
  <r>
    <n v="206049284"/>
    <x v="285"/>
    <x v="0"/>
    <x v="0"/>
    <n v="39"/>
    <s v="month"/>
    <s v=""/>
    <x v="1"/>
  </r>
  <r>
    <n v="132852439"/>
    <x v="285"/>
    <x v="0"/>
    <x v="0"/>
    <n v="39"/>
    <s v="month"/>
    <s v=""/>
    <x v="1"/>
  </r>
  <r>
    <n v="217233198"/>
    <x v="285"/>
    <x v="0"/>
    <x v="0"/>
    <n v="39"/>
    <s v="month"/>
    <s v=""/>
    <x v="1"/>
  </r>
  <r>
    <n v="188197564"/>
    <x v="285"/>
    <x v="306"/>
    <x v="0"/>
    <n v="39"/>
    <s v="month"/>
    <n v="1"/>
    <x v="1"/>
  </r>
  <r>
    <n v="146952862"/>
    <x v="285"/>
    <x v="315"/>
    <x v="0"/>
    <n v="39"/>
    <s v="month"/>
    <n v="26"/>
    <x v="1"/>
  </r>
  <r>
    <n v="152846561"/>
    <x v="285"/>
    <x v="205"/>
    <x v="0"/>
    <n v="39"/>
    <s v="month"/>
    <n v="37"/>
    <x v="1"/>
  </r>
  <r>
    <n v="132867770"/>
    <x v="285"/>
    <x v="329"/>
    <x v="0"/>
    <n v="39"/>
    <s v="month"/>
    <n v="38"/>
    <x v="1"/>
  </r>
  <r>
    <n v="206370330"/>
    <x v="285"/>
    <x v="334"/>
    <x v="0"/>
    <n v="39"/>
    <s v="month"/>
    <n v="60"/>
    <x v="1"/>
  </r>
  <r>
    <n v="217438230"/>
    <x v="285"/>
    <x v="148"/>
    <x v="0"/>
    <n v="39"/>
    <s v="month"/>
    <n v="27"/>
    <x v="1"/>
  </r>
  <r>
    <n v="217426939"/>
    <x v="285"/>
    <x v="249"/>
    <x v="0"/>
    <n v="39"/>
    <s v="month"/>
    <n v="30"/>
    <x v="1"/>
  </r>
  <r>
    <n v="205785520"/>
    <x v="286"/>
    <x v="0"/>
    <x v="0"/>
    <n v="39"/>
    <s v="month"/>
    <s v=""/>
    <x v="2"/>
  </r>
  <r>
    <n v="154284527"/>
    <x v="286"/>
    <x v="329"/>
    <x v="0"/>
    <n v="39"/>
    <s v="month"/>
    <n v="37"/>
    <x v="2"/>
  </r>
  <r>
    <n v="214105912"/>
    <x v="286"/>
    <x v="329"/>
    <x v="0"/>
    <n v="39"/>
    <s v="month"/>
    <n v="37"/>
    <x v="2"/>
  </r>
  <r>
    <n v="200909190"/>
    <x v="286"/>
    <x v="347"/>
    <x v="0"/>
    <n v="39"/>
    <s v="month"/>
    <n v="68"/>
    <x v="2"/>
  </r>
  <r>
    <n v="151633468"/>
    <x v="286"/>
    <x v="222"/>
    <x v="0"/>
    <n v="39"/>
    <s v="month"/>
    <n v="45"/>
    <x v="2"/>
  </r>
  <r>
    <n v="207010976"/>
    <x v="286"/>
    <x v="347"/>
    <x v="0"/>
    <n v="39"/>
    <s v="month"/>
    <n v="68"/>
    <x v="2"/>
  </r>
  <r>
    <n v="217487776"/>
    <x v="286"/>
    <x v="240"/>
    <x v="0"/>
    <n v="39"/>
    <s v="month"/>
    <n v="33"/>
    <x v="2"/>
  </r>
  <r>
    <n v="217484551"/>
    <x v="286"/>
    <x v="329"/>
    <x v="0"/>
    <n v="39"/>
    <s v="month"/>
    <n v="37"/>
    <x v="2"/>
  </r>
  <r>
    <n v="217498202"/>
    <x v="287"/>
    <x v="0"/>
    <x v="0"/>
    <n v="39"/>
    <s v="month"/>
    <s v=""/>
    <x v="3"/>
  </r>
  <r>
    <n v="217234603"/>
    <x v="287"/>
    <x v="0"/>
    <x v="0"/>
    <n v="39"/>
    <s v="month"/>
    <s v=""/>
    <x v="3"/>
  </r>
  <r>
    <n v="217264148"/>
    <x v="287"/>
    <x v="0"/>
    <x v="0"/>
    <n v="39"/>
    <s v="month"/>
    <s v=""/>
    <x v="3"/>
  </r>
  <r>
    <n v="217513366"/>
    <x v="287"/>
    <x v="0"/>
    <x v="0"/>
    <n v="39"/>
    <s v="month"/>
    <s v=""/>
    <x v="3"/>
  </r>
  <r>
    <n v="217503737"/>
    <x v="287"/>
    <x v="0"/>
    <x v="0"/>
    <n v="39"/>
    <s v="month"/>
    <s v=""/>
    <x v="3"/>
  </r>
  <r>
    <n v="151540809"/>
    <x v="287"/>
    <x v="0"/>
    <x v="0"/>
    <n v="39"/>
    <s v="month"/>
    <s v=""/>
    <x v="3"/>
  </r>
  <r>
    <n v="217526421"/>
    <x v="287"/>
    <x v="262"/>
    <x v="0"/>
    <n v="39"/>
    <s v="month"/>
    <n v="69"/>
    <x v="3"/>
  </r>
  <r>
    <n v="217418580"/>
    <x v="287"/>
    <x v="346"/>
    <x v="0"/>
    <n v="39"/>
    <s v="month"/>
    <n v="26"/>
    <x v="3"/>
  </r>
  <r>
    <n v="217426015"/>
    <x v="288"/>
    <x v="0"/>
    <x v="0"/>
    <n v="39"/>
    <s v="month"/>
    <s v=""/>
    <x v="4"/>
  </r>
  <r>
    <n v="217557584"/>
    <x v="288"/>
    <x v="0"/>
    <x v="0"/>
    <n v="39"/>
    <s v="month"/>
    <s v=""/>
    <x v="4"/>
  </r>
  <r>
    <n v="217406489"/>
    <x v="288"/>
    <x v="0"/>
    <x v="0"/>
    <n v="39"/>
    <s v="month"/>
    <s v=""/>
    <x v="4"/>
  </r>
  <r>
    <n v="217536534"/>
    <x v="288"/>
    <x v="0"/>
    <x v="0"/>
    <n v="39"/>
    <s v="month"/>
    <s v=""/>
    <x v="4"/>
  </r>
  <r>
    <n v="217557082"/>
    <x v="288"/>
    <x v="0"/>
    <x v="0"/>
    <n v="39"/>
    <s v="month"/>
    <s v=""/>
    <x v="4"/>
  </r>
  <r>
    <n v="176024207"/>
    <x v="288"/>
    <x v="307"/>
    <x v="0"/>
    <n v="39"/>
    <s v="month"/>
    <n v="49"/>
    <x v="4"/>
  </r>
  <r>
    <n v="160598122"/>
    <x v="288"/>
    <x v="353"/>
    <x v="0"/>
    <n v="39"/>
    <s v="month"/>
    <n v="37"/>
    <x v="4"/>
  </r>
  <r>
    <n v="217378430"/>
    <x v="288"/>
    <x v="310"/>
    <x v="0"/>
    <n v="39"/>
    <s v="month"/>
    <n v="48"/>
    <x v="4"/>
  </r>
  <r>
    <n v="193680187"/>
    <x v="288"/>
    <x v="177"/>
    <x v="0"/>
    <n v="39"/>
    <s v="month"/>
    <n v="1"/>
    <x v="4"/>
  </r>
  <r>
    <n v="180424442"/>
    <x v="288"/>
    <x v="353"/>
    <x v="0"/>
    <n v="39"/>
    <s v="month"/>
    <n v="37"/>
    <x v="4"/>
  </r>
  <r>
    <n v="217612796"/>
    <x v="289"/>
    <x v="0"/>
    <x v="0"/>
    <n v="39"/>
    <s v="month"/>
    <s v=""/>
    <x v="5"/>
  </r>
  <r>
    <n v="217601263"/>
    <x v="289"/>
    <x v="0"/>
    <x v="0"/>
    <n v="39"/>
    <s v="month"/>
    <s v=""/>
    <x v="5"/>
  </r>
  <r>
    <n v="217594148"/>
    <x v="289"/>
    <x v="0"/>
    <x v="0"/>
    <n v="39"/>
    <s v="month"/>
    <s v=""/>
    <x v="5"/>
  </r>
  <r>
    <n v="217598396"/>
    <x v="289"/>
    <x v="0"/>
    <x v="0"/>
    <n v="39"/>
    <s v="month"/>
    <s v=""/>
    <x v="5"/>
  </r>
  <r>
    <n v="206647130"/>
    <x v="289"/>
    <x v="0"/>
    <x v="0"/>
    <n v="39"/>
    <s v="month"/>
    <s v=""/>
    <x v="5"/>
  </r>
  <r>
    <n v="207099222"/>
    <x v="289"/>
    <x v="0"/>
    <x v="0"/>
    <n v="39"/>
    <s v="month"/>
    <s v=""/>
    <x v="5"/>
  </r>
  <r>
    <n v="207079318"/>
    <x v="289"/>
    <x v="0"/>
    <x v="0"/>
    <n v="39"/>
    <s v="month"/>
    <s v=""/>
    <x v="5"/>
  </r>
  <r>
    <n v="217580362"/>
    <x v="289"/>
    <x v="0"/>
    <x v="0"/>
    <n v="39"/>
    <s v="month"/>
    <s v=""/>
    <x v="5"/>
  </r>
  <r>
    <n v="217438678"/>
    <x v="289"/>
    <x v="0"/>
    <x v="0"/>
    <n v="39"/>
    <s v="month"/>
    <s v=""/>
    <x v="5"/>
  </r>
  <r>
    <n v="215963364"/>
    <x v="289"/>
    <x v="173"/>
    <x v="0"/>
    <n v="39"/>
    <s v="month"/>
    <n v="1"/>
    <x v="5"/>
  </r>
  <r>
    <n v="153876204"/>
    <x v="289"/>
    <x v="205"/>
    <x v="0"/>
    <n v="39"/>
    <s v="month"/>
    <n v="33"/>
    <x v="5"/>
  </r>
  <r>
    <n v="153828803"/>
    <x v="289"/>
    <x v="311"/>
    <x v="0"/>
    <n v="39"/>
    <s v="month"/>
    <n v="2"/>
    <x v="5"/>
  </r>
  <r>
    <n v="217595865"/>
    <x v="289"/>
    <x v="282"/>
    <x v="0"/>
    <n v="39"/>
    <s v="month"/>
    <n v="37"/>
    <x v="5"/>
  </r>
  <r>
    <n v="216158153"/>
    <x v="289"/>
    <x v="329"/>
    <x v="0"/>
    <n v="39"/>
    <s v="month"/>
    <n v="34"/>
    <x v="5"/>
  </r>
  <r>
    <n v="217548173"/>
    <x v="289"/>
    <x v="265"/>
    <x v="0"/>
    <n v="39"/>
    <s v="month"/>
    <n v="29"/>
    <x v="5"/>
  </r>
  <r>
    <n v="217533118"/>
    <x v="290"/>
    <x v="0"/>
    <x v="0"/>
    <n v="39"/>
    <s v="month"/>
    <s v=""/>
    <x v="6"/>
  </r>
  <r>
    <n v="205128906"/>
    <x v="290"/>
    <x v="0"/>
    <x v="0"/>
    <n v="39"/>
    <s v="month"/>
    <s v=""/>
    <x v="6"/>
  </r>
  <r>
    <n v="205812132"/>
    <x v="290"/>
    <x v="0"/>
    <x v="0"/>
    <n v="39"/>
    <s v="month"/>
    <s v=""/>
    <x v="6"/>
  </r>
  <r>
    <n v="216907554"/>
    <x v="290"/>
    <x v="0"/>
    <x v="0"/>
    <n v="39"/>
    <s v="month"/>
    <s v=""/>
    <x v="6"/>
  </r>
  <r>
    <n v="215113542"/>
    <x v="290"/>
    <x v="0"/>
    <x v="0"/>
    <n v="39"/>
    <s v="month"/>
    <s v=""/>
    <x v="6"/>
  </r>
  <r>
    <n v="204772797"/>
    <x v="290"/>
    <x v="0"/>
    <x v="0"/>
    <n v="39"/>
    <s v="month"/>
    <s v=""/>
    <x v="6"/>
  </r>
  <r>
    <n v="217627630"/>
    <x v="290"/>
    <x v="0"/>
    <x v="0"/>
    <n v="39"/>
    <s v="month"/>
    <s v=""/>
    <x v="6"/>
  </r>
  <r>
    <n v="217635272"/>
    <x v="290"/>
    <x v="0"/>
    <x v="0"/>
    <n v="39"/>
    <s v="month"/>
    <s v=""/>
    <x v="6"/>
  </r>
  <r>
    <n v="217543308"/>
    <x v="290"/>
    <x v="311"/>
    <x v="0"/>
    <n v="39"/>
    <s v="month"/>
    <n v="1"/>
    <x v="6"/>
  </r>
  <r>
    <n v="217626870"/>
    <x v="290"/>
    <x v="311"/>
    <x v="1"/>
    <n v="39"/>
    <s v="month"/>
    <n v="1"/>
    <x v="6"/>
  </r>
  <r>
    <n v="217246912"/>
    <x v="290"/>
    <x v="311"/>
    <x v="1"/>
    <n v="39"/>
    <s v="month"/>
    <n v="1"/>
    <x v="6"/>
  </r>
  <r>
    <n v="217223132"/>
    <x v="290"/>
    <x v="63"/>
    <x v="0"/>
    <n v="39"/>
    <s v="month"/>
    <n v="58"/>
    <x v="6"/>
  </r>
  <r>
    <n v="217650160"/>
    <x v="290"/>
    <x v="195"/>
    <x v="0"/>
    <n v="39"/>
    <s v="month"/>
    <n v="50"/>
    <x v="6"/>
  </r>
  <r>
    <n v="149856123"/>
    <x v="290"/>
    <x v="316"/>
    <x v="0"/>
    <n v="39"/>
    <s v="month"/>
    <n v="26"/>
    <x v="6"/>
  </r>
  <r>
    <n v="217657148"/>
    <x v="290"/>
    <x v="187"/>
    <x v="0"/>
    <n v="39"/>
    <s v="month"/>
    <n v="9"/>
    <x v="6"/>
  </r>
  <r>
    <n v="217386658"/>
    <x v="290"/>
    <x v="344"/>
    <x v="0"/>
    <n v="39"/>
    <s v="month"/>
    <n v="34"/>
    <x v="6"/>
  </r>
  <r>
    <n v="202563999"/>
    <x v="291"/>
    <x v="0"/>
    <x v="0"/>
    <n v="39"/>
    <s v="month"/>
    <s v=""/>
    <x v="0"/>
  </r>
  <r>
    <n v="137195650"/>
    <x v="291"/>
    <x v="0"/>
    <x v="0"/>
    <n v="39"/>
    <s v="month"/>
    <s v=""/>
    <x v="0"/>
  </r>
  <r>
    <n v="138372112"/>
    <x v="291"/>
    <x v="0"/>
    <x v="0"/>
    <n v="39"/>
    <s v="month"/>
    <s v=""/>
    <x v="0"/>
  </r>
  <r>
    <n v="217692419"/>
    <x v="291"/>
    <x v="0"/>
    <x v="0"/>
    <n v="39"/>
    <s v="month"/>
    <s v=""/>
    <x v="0"/>
  </r>
  <r>
    <n v="217610905"/>
    <x v="291"/>
    <x v="0"/>
    <x v="0"/>
    <n v="39"/>
    <s v="month"/>
    <s v=""/>
    <x v="0"/>
  </r>
  <r>
    <n v="217618558"/>
    <x v="291"/>
    <x v="0"/>
    <x v="0"/>
    <n v="39"/>
    <s v="month"/>
    <s v=""/>
    <x v="0"/>
  </r>
  <r>
    <n v="190490555"/>
    <x v="291"/>
    <x v="0"/>
    <x v="0"/>
    <n v="39"/>
    <s v="month"/>
    <s v=""/>
    <x v="0"/>
  </r>
  <r>
    <n v="122169020"/>
    <x v="291"/>
    <x v="147"/>
    <x v="0"/>
    <n v="39"/>
    <s v="month"/>
    <n v="1"/>
    <x v="0"/>
  </r>
  <r>
    <n v="217628239"/>
    <x v="291"/>
    <x v="147"/>
    <x v="1"/>
    <n v="39"/>
    <s v="month"/>
    <n v="1"/>
    <x v="0"/>
  </r>
  <r>
    <n v="148062219"/>
    <x v="291"/>
    <x v="265"/>
    <x v="0"/>
    <n v="39"/>
    <s v="month"/>
    <n v="27"/>
    <x v="0"/>
  </r>
  <r>
    <n v="131505988"/>
    <x v="291"/>
    <x v="241"/>
    <x v="0"/>
    <n v="39"/>
    <s v="month"/>
    <n v="14"/>
    <x v="0"/>
  </r>
  <r>
    <n v="215489398"/>
    <x v="291"/>
    <x v="311"/>
    <x v="0"/>
    <n v="39"/>
    <s v="month"/>
    <n v="0"/>
    <x v="0"/>
  </r>
  <r>
    <n v="195285936"/>
    <x v="291"/>
    <x v="63"/>
    <x v="0"/>
    <n v="39"/>
    <s v="month"/>
    <n v="57"/>
    <x v="0"/>
  </r>
  <r>
    <n v="217725764"/>
    <x v="291"/>
    <x v="293"/>
    <x v="0"/>
    <n v="39"/>
    <s v="month"/>
    <n v="5"/>
    <x v="0"/>
  </r>
  <r>
    <n v="217730944"/>
    <x v="291"/>
    <x v="241"/>
    <x v="0"/>
    <n v="39"/>
    <s v="month"/>
    <n v="14"/>
    <x v="0"/>
  </r>
  <r>
    <n v="205548571"/>
    <x v="292"/>
    <x v="0"/>
    <x v="0"/>
    <n v="39"/>
    <s v="month"/>
    <s v=""/>
    <x v="1"/>
  </r>
  <r>
    <n v="188085249"/>
    <x v="292"/>
    <x v="0"/>
    <x v="0"/>
    <n v="39"/>
    <s v="month"/>
    <s v=""/>
    <x v="1"/>
  </r>
  <r>
    <n v="206697535"/>
    <x v="292"/>
    <x v="0"/>
    <x v="0"/>
    <n v="39"/>
    <s v="month"/>
    <s v=""/>
    <x v="1"/>
  </r>
  <r>
    <n v="152705871"/>
    <x v="292"/>
    <x v="0"/>
    <x v="0"/>
    <n v="39"/>
    <s v="month"/>
    <s v=""/>
    <x v="1"/>
  </r>
  <r>
    <n v="216139584"/>
    <x v="292"/>
    <x v="0"/>
    <x v="0"/>
    <n v="39"/>
    <s v="month"/>
    <s v=""/>
    <x v="1"/>
  </r>
  <r>
    <n v="127716285"/>
    <x v="292"/>
    <x v="0"/>
    <x v="0"/>
    <n v="39"/>
    <s v="month"/>
    <s v=""/>
    <x v="1"/>
  </r>
  <r>
    <n v="138535334"/>
    <x v="292"/>
    <x v="225"/>
    <x v="0"/>
    <n v="39"/>
    <s v="month"/>
    <n v="61"/>
    <x v="1"/>
  </r>
  <r>
    <n v="205869717"/>
    <x v="292"/>
    <x v="211"/>
    <x v="0"/>
    <n v="39"/>
    <s v="month"/>
    <n v="68"/>
    <x v="1"/>
  </r>
  <r>
    <n v="204985013"/>
    <x v="292"/>
    <x v="328"/>
    <x v="0"/>
    <n v="39"/>
    <s v="month"/>
    <n v="50"/>
    <x v="1"/>
  </r>
  <r>
    <n v="217763600"/>
    <x v="293"/>
    <x v="0"/>
    <x v="0"/>
    <n v="39"/>
    <s v="month"/>
    <s v=""/>
    <x v="2"/>
  </r>
  <r>
    <n v="217808731"/>
    <x v="293"/>
    <x v="312"/>
    <x v="1"/>
    <n v="39"/>
    <s v="month"/>
    <n v="1"/>
    <x v="2"/>
  </r>
  <r>
    <n v="217822232"/>
    <x v="293"/>
    <x v="358"/>
    <x v="0"/>
    <n v="39"/>
    <s v="month"/>
    <n v="42"/>
    <x v="2"/>
  </r>
  <r>
    <n v="217718093"/>
    <x v="294"/>
    <x v="0"/>
    <x v="0"/>
    <n v="39"/>
    <s v="month"/>
    <s v=""/>
    <x v="3"/>
  </r>
  <r>
    <n v="217555660"/>
    <x v="294"/>
    <x v="0"/>
    <x v="0"/>
    <n v="39"/>
    <s v="month"/>
    <s v=""/>
    <x v="3"/>
  </r>
  <r>
    <n v="154535908"/>
    <x v="294"/>
    <x v="0"/>
    <x v="0"/>
    <n v="39"/>
    <s v="month"/>
    <s v=""/>
    <x v="3"/>
  </r>
  <r>
    <n v="217554744"/>
    <x v="294"/>
    <x v="222"/>
    <x v="0"/>
    <n v="39"/>
    <s v="month"/>
    <n v="37"/>
    <x v="3"/>
  </r>
  <r>
    <n v="217877324"/>
    <x v="294"/>
    <x v="312"/>
    <x v="0"/>
    <n v="39"/>
    <s v="month"/>
    <n v="0"/>
    <x v="3"/>
  </r>
  <r>
    <n v="147765298"/>
    <x v="295"/>
    <x v="0"/>
    <x v="0"/>
    <n v="39"/>
    <s v="month"/>
    <s v=""/>
    <x v="4"/>
  </r>
  <r>
    <n v="217901196"/>
    <x v="295"/>
    <x v="0"/>
    <x v="0"/>
    <n v="39"/>
    <s v="month"/>
    <s v=""/>
    <x v="4"/>
  </r>
  <r>
    <n v="217266939"/>
    <x v="295"/>
    <x v="0"/>
    <x v="0"/>
    <n v="39"/>
    <s v="month"/>
    <s v=""/>
    <x v="4"/>
  </r>
  <r>
    <n v="204908076"/>
    <x v="295"/>
    <x v="0"/>
    <x v="0"/>
    <n v="39"/>
    <s v="month"/>
    <s v=""/>
    <x v="4"/>
  </r>
  <r>
    <n v="217698784"/>
    <x v="295"/>
    <x v="0"/>
    <x v="0"/>
    <n v="39"/>
    <s v="month"/>
    <s v=""/>
    <x v="4"/>
  </r>
  <r>
    <n v="217909024"/>
    <x v="295"/>
    <x v="0"/>
    <x v="0"/>
    <n v="39"/>
    <s v="month"/>
    <s v=""/>
    <x v="4"/>
  </r>
  <r>
    <n v="201498671"/>
    <x v="295"/>
    <x v="0"/>
    <x v="0"/>
    <n v="39"/>
    <s v="month"/>
    <s v=""/>
    <x v="4"/>
  </r>
  <r>
    <n v="217902650"/>
    <x v="295"/>
    <x v="0"/>
    <x v="0"/>
    <n v="39"/>
    <s v="month"/>
    <s v=""/>
    <x v="4"/>
  </r>
  <r>
    <n v="217896282"/>
    <x v="295"/>
    <x v="0"/>
    <x v="0"/>
    <n v="39"/>
    <s v="month"/>
    <s v=""/>
    <x v="4"/>
  </r>
  <r>
    <n v="217337901"/>
    <x v="295"/>
    <x v="0"/>
    <x v="0"/>
    <n v="39"/>
    <s v="month"/>
    <s v=""/>
    <x v="4"/>
  </r>
  <r>
    <n v="217477535"/>
    <x v="295"/>
    <x v="0"/>
    <x v="0"/>
    <n v="39"/>
    <s v="month"/>
    <s v=""/>
    <x v="4"/>
  </r>
  <r>
    <n v="217885621"/>
    <x v="295"/>
    <x v="0"/>
    <x v="0"/>
    <n v="39"/>
    <s v="month"/>
    <s v=""/>
    <x v="4"/>
  </r>
  <r>
    <n v="217714764"/>
    <x v="295"/>
    <x v="0"/>
    <x v="0"/>
    <n v="39"/>
    <s v="month"/>
    <s v=""/>
    <x v="4"/>
  </r>
  <r>
    <n v="217335548"/>
    <x v="295"/>
    <x v="349"/>
    <x v="0"/>
    <n v="39"/>
    <s v="month"/>
    <n v="72"/>
    <x v="4"/>
  </r>
  <r>
    <n v="129747676"/>
    <x v="295"/>
    <x v="293"/>
    <x v="0"/>
    <n v="39"/>
    <s v="month"/>
    <n v="1"/>
    <x v="4"/>
  </r>
  <r>
    <n v="217846698"/>
    <x v="295"/>
    <x v="293"/>
    <x v="1"/>
    <n v="39"/>
    <s v="month"/>
    <n v="1"/>
    <x v="4"/>
  </r>
  <r>
    <n v="217965791"/>
    <x v="296"/>
    <x v="0"/>
    <x v="0"/>
    <n v="39"/>
    <s v="month"/>
    <s v=""/>
    <x v="5"/>
  </r>
  <r>
    <n v="217851124"/>
    <x v="296"/>
    <x v="0"/>
    <x v="0"/>
    <n v="39"/>
    <s v="month"/>
    <s v=""/>
    <x v="5"/>
  </r>
  <r>
    <n v="217861903"/>
    <x v="296"/>
    <x v="0"/>
    <x v="0"/>
    <n v="39"/>
    <s v="month"/>
    <s v=""/>
    <x v="5"/>
  </r>
  <r>
    <n v="217660423"/>
    <x v="296"/>
    <x v="0"/>
    <x v="0"/>
    <n v="39"/>
    <s v="month"/>
    <s v=""/>
    <x v="5"/>
  </r>
  <r>
    <n v="217814342"/>
    <x v="296"/>
    <x v="0"/>
    <x v="0"/>
    <n v="39"/>
    <s v="month"/>
    <s v=""/>
    <x v="5"/>
  </r>
  <r>
    <n v="157548765"/>
    <x v="296"/>
    <x v="99"/>
    <x v="1"/>
    <n v="39"/>
    <s v="month"/>
    <n v="1"/>
    <x v="5"/>
  </r>
  <r>
    <n v="217934288"/>
    <x v="296"/>
    <x v="99"/>
    <x v="1"/>
    <n v="39"/>
    <s v="month"/>
    <n v="1"/>
    <x v="5"/>
  </r>
  <r>
    <n v="217855786"/>
    <x v="296"/>
    <x v="99"/>
    <x v="1"/>
    <n v="39"/>
    <s v="month"/>
    <n v="1"/>
    <x v="5"/>
  </r>
  <r>
    <n v="131753677"/>
    <x v="296"/>
    <x v="334"/>
    <x v="0"/>
    <n v="39"/>
    <s v="month"/>
    <n v="49"/>
    <x v="5"/>
  </r>
  <r>
    <n v="215963364"/>
    <x v="296"/>
    <x v="302"/>
    <x v="0"/>
    <n v="39"/>
    <s v="month"/>
    <n v="68"/>
    <x v="5"/>
  </r>
  <r>
    <n v="217971206"/>
    <x v="296"/>
    <x v="314"/>
    <x v="0"/>
    <n v="39"/>
    <s v="month"/>
    <n v="21"/>
    <x v="5"/>
  </r>
  <r>
    <n v="217943053"/>
    <x v="296"/>
    <x v="316"/>
    <x v="0"/>
    <n v="39"/>
    <s v="month"/>
    <n v="20"/>
    <x v="5"/>
  </r>
  <r>
    <n v="218004764"/>
    <x v="297"/>
    <x v="0"/>
    <x v="0"/>
    <n v="39"/>
    <s v="month"/>
    <s v=""/>
    <x v="6"/>
  </r>
  <r>
    <n v="217768772"/>
    <x v="297"/>
    <x v="0"/>
    <x v="0"/>
    <n v="39"/>
    <s v="month"/>
    <s v=""/>
    <x v="6"/>
  </r>
  <r>
    <n v="216775344"/>
    <x v="297"/>
    <x v="0"/>
    <x v="0"/>
    <n v="39"/>
    <s v="month"/>
    <s v=""/>
    <x v="6"/>
  </r>
  <r>
    <n v="135364787"/>
    <x v="297"/>
    <x v="0"/>
    <x v="0"/>
    <n v="39"/>
    <s v="month"/>
    <s v=""/>
    <x v="6"/>
  </r>
  <r>
    <n v="148107179"/>
    <x v="297"/>
    <x v="236"/>
    <x v="0"/>
    <n v="39"/>
    <s v="month"/>
    <n v="37"/>
    <x v="6"/>
  </r>
  <r>
    <n v="215904194"/>
    <x v="297"/>
    <x v="357"/>
    <x v="0"/>
    <n v="39"/>
    <s v="month"/>
    <n v="24"/>
    <x v="6"/>
  </r>
  <r>
    <n v="217988577"/>
    <x v="297"/>
    <x v="353"/>
    <x v="0"/>
    <n v="39"/>
    <s v="month"/>
    <n v="28"/>
    <x v="6"/>
  </r>
  <r>
    <n v="146124679"/>
    <x v="297"/>
    <x v="176"/>
    <x v="0"/>
    <n v="39"/>
    <s v="month"/>
    <n v="30"/>
    <x v="6"/>
  </r>
  <r>
    <n v="217819772"/>
    <x v="298"/>
    <x v="0"/>
    <x v="0"/>
    <n v="39"/>
    <s v="month"/>
    <s v=""/>
    <x v="0"/>
  </r>
  <r>
    <n v="217996629"/>
    <x v="298"/>
    <x v="0"/>
    <x v="0"/>
    <n v="39"/>
    <s v="month"/>
    <s v=""/>
    <x v="0"/>
  </r>
  <r>
    <n v="152621756"/>
    <x v="298"/>
    <x v="0"/>
    <x v="0"/>
    <n v="39"/>
    <s v="month"/>
    <s v=""/>
    <x v="0"/>
  </r>
  <r>
    <n v="218006807"/>
    <x v="298"/>
    <x v="0"/>
    <x v="0"/>
    <n v="39"/>
    <s v="month"/>
    <s v=""/>
    <x v="0"/>
  </r>
  <r>
    <n v="218045202"/>
    <x v="298"/>
    <x v="355"/>
    <x v="0"/>
    <n v="39"/>
    <s v="month"/>
    <n v="61"/>
    <x v="0"/>
  </r>
  <r>
    <n v="122215146"/>
    <x v="298"/>
    <x v="283"/>
    <x v="0"/>
    <n v="39"/>
    <s v="month"/>
    <n v="45"/>
    <x v="0"/>
  </r>
  <r>
    <n v="218003864"/>
    <x v="298"/>
    <x v="176"/>
    <x v="0"/>
    <n v="39"/>
    <s v="month"/>
    <n v="29"/>
    <x v="0"/>
  </r>
  <r>
    <n v="218088770"/>
    <x v="299"/>
    <x v="0"/>
    <x v="0"/>
    <n v="39"/>
    <s v="month"/>
    <s v=""/>
    <x v="1"/>
  </r>
  <r>
    <n v="217856893"/>
    <x v="299"/>
    <x v="0"/>
    <x v="0"/>
    <n v="39"/>
    <s v="month"/>
    <s v=""/>
    <x v="1"/>
  </r>
  <r>
    <n v="156054912"/>
    <x v="299"/>
    <x v="0"/>
    <x v="0"/>
    <n v="39"/>
    <s v="month"/>
    <s v=""/>
    <x v="1"/>
  </r>
  <r>
    <n v="218059054"/>
    <x v="299"/>
    <x v="0"/>
    <x v="0"/>
    <n v="39"/>
    <s v="month"/>
    <s v=""/>
    <x v="1"/>
  </r>
  <r>
    <n v="218074245"/>
    <x v="299"/>
    <x v="0"/>
    <x v="0"/>
    <n v="39"/>
    <s v="month"/>
    <s v=""/>
    <x v="1"/>
  </r>
  <r>
    <n v="204774586"/>
    <x v="299"/>
    <x v="0"/>
    <x v="0"/>
    <n v="39"/>
    <s v="month"/>
    <s v=""/>
    <x v="1"/>
  </r>
  <r>
    <n v="215941440"/>
    <x v="299"/>
    <x v="0"/>
    <x v="0"/>
    <n v="39"/>
    <s v="month"/>
    <s v=""/>
    <x v="1"/>
  </r>
  <r>
    <n v="205547323"/>
    <x v="299"/>
    <x v="0"/>
    <x v="1"/>
    <n v="39"/>
    <s v="month"/>
    <s v=""/>
    <x v="1"/>
  </r>
  <r>
    <n v="140062581"/>
    <x v="299"/>
    <x v="0"/>
    <x v="0"/>
    <n v="39"/>
    <s v="month"/>
    <s v=""/>
    <x v="1"/>
  </r>
  <r>
    <n v="217932519"/>
    <x v="299"/>
    <x v="340"/>
    <x v="0"/>
    <n v="39"/>
    <s v="month"/>
    <n v="1"/>
    <x v="1"/>
  </r>
  <r>
    <n v="217982048"/>
    <x v="299"/>
    <x v="340"/>
    <x v="1"/>
    <n v="39"/>
    <s v="month"/>
    <n v="1"/>
    <x v="1"/>
  </r>
  <r>
    <n v="218066467"/>
    <x v="299"/>
    <x v="335"/>
    <x v="0"/>
    <n v="39"/>
    <s v="month"/>
    <n v="62"/>
    <x v="1"/>
  </r>
  <r>
    <n v="218046034"/>
    <x v="299"/>
    <x v="349"/>
    <x v="0"/>
    <n v="39"/>
    <s v="month"/>
    <n v="68"/>
    <x v="1"/>
  </r>
  <r>
    <n v="217697744"/>
    <x v="299"/>
    <x v="282"/>
    <x v="0"/>
    <n v="39"/>
    <s v="month"/>
    <n v="27"/>
    <x v="1"/>
  </r>
  <r>
    <n v="217942738"/>
    <x v="300"/>
    <x v="0"/>
    <x v="0"/>
    <n v="39"/>
    <s v="month"/>
    <s v=""/>
    <x v="2"/>
  </r>
  <r>
    <n v="218133628"/>
    <x v="300"/>
    <x v="0"/>
    <x v="0"/>
    <n v="39"/>
    <s v="month"/>
    <s v=""/>
    <x v="2"/>
  </r>
  <r>
    <n v="118508852"/>
    <x v="300"/>
    <x v="0"/>
    <x v="0"/>
    <n v="39"/>
    <s v="month"/>
    <s v=""/>
    <x v="2"/>
  </r>
  <r>
    <n v="218120267"/>
    <x v="300"/>
    <x v="0"/>
    <x v="0"/>
    <n v="39"/>
    <s v="month"/>
    <s v=""/>
    <x v="2"/>
  </r>
  <r>
    <n v="218095541"/>
    <x v="300"/>
    <x v="0"/>
    <x v="0"/>
    <n v="39"/>
    <s v="month"/>
    <s v=""/>
    <x v="2"/>
  </r>
  <r>
    <n v="217626801"/>
    <x v="300"/>
    <x v="0"/>
    <x v="0"/>
    <n v="39"/>
    <s v="month"/>
    <s v=""/>
    <x v="2"/>
  </r>
  <r>
    <n v="151555660"/>
    <x v="300"/>
    <x v="335"/>
    <x v="0"/>
    <n v="39"/>
    <s v="month"/>
    <n v="61"/>
    <x v="2"/>
  </r>
  <r>
    <n v="217110820"/>
    <x v="300"/>
    <x v="236"/>
    <x v="0"/>
    <n v="39"/>
    <s v="month"/>
    <n v="34"/>
    <x v="2"/>
  </r>
  <r>
    <n v="217932519"/>
    <x v="300"/>
    <x v="335"/>
    <x v="0"/>
    <n v="39"/>
    <s v="month"/>
    <n v="61"/>
    <x v="2"/>
  </r>
  <r>
    <n v="218164848"/>
    <x v="301"/>
    <x v="0"/>
    <x v="0"/>
    <n v="39"/>
    <s v="month"/>
    <s v=""/>
    <x v="3"/>
  </r>
  <r>
    <n v="217526484"/>
    <x v="301"/>
    <x v="0"/>
    <x v="0"/>
    <n v="39"/>
    <s v="month"/>
    <s v=""/>
    <x v="3"/>
  </r>
  <r>
    <n v="214940948"/>
    <x v="301"/>
    <x v="0"/>
    <x v="0"/>
    <n v="39"/>
    <s v="month"/>
    <s v=""/>
    <x v="3"/>
  </r>
  <r>
    <n v="218144586"/>
    <x v="301"/>
    <x v="0"/>
    <x v="0"/>
    <n v="39"/>
    <s v="month"/>
    <s v=""/>
    <x v="3"/>
  </r>
  <r>
    <n v="217863596"/>
    <x v="301"/>
    <x v="339"/>
    <x v="0"/>
    <n v="39"/>
    <s v="month"/>
    <n v="49"/>
    <x v="3"/>
  </r>
  <r>
    <n v="218098580"/>
    <x v="301"/>
    <x v="211"/>
    <x v="0"/>
    <n v="39"/>
    <s v="month"/>
    <n v="59"/>
    <x v="3"/>
  </r>
  <r>
    <n v="215602271"/>
    <x v="301"/>
    <x v="282"/>
    <x v="0"/>
    <n v="39"/>
    <s v="month"/>
    <n v="25"/>
    <x v="3"/>
  </r>
  <r>
    <n v="218202086"/>
    <x v="302"/>
    <x v="0"/>
    <x v="0"/>
    <n v="39"/>
    <s v="month"/>
    <s v=""/>
    <x v="4"/>
  </r>
  <r>
    <n v="217927897"/>
    <x v="302"/>
    <x v="0"/>
    <x v="0"/>
    <n v="39"/>
    <s v="month"/>
    <s v=""/>
    <x v="4"/>
  </r>
  <r>
    <n v="217856402"/>
    <x v="302"/>
    <x v="0"/>
    <x v="0"/>
    <n v="39"/>
    <s v="month"/>
    <s v=""/>
    <x v="4"/>
  </r>
  <r>
    <n v="217588559"/>
    <x v="302"/>
    <x v="0"/>
    <x v="0"/>
    <n v="39"/>
    <s v="month"/>
    <s v=""/>
    <x v="4"/>
  </r>
  <r>
    <n v="212136438"/>
    <x v="302"/>
    <x v="0"/>
    <x v="0"/>
    <n v="39"/>
    <s v="month"/>
    <s v=""/>
    <x v="4"/>
  </r>
  <r>
    <n v="138548670"/>
    <x v="302"/>
    <x v="0"/>
    <x v="0"/>
    <n v="39"/>
    <s v="month"/>
    <s v=""/>
    <x v="4"/>
  </r>
  <r>
    <n v="217588559"/>
    <x v="302"/>
    <x v="244"/>
    <x v="0"/>
    <n v="39"/>
    <s v="month"/>
    <n v="0"/>
    <x v="4"/>
  </r>
  <r>
    <n v="171893540"/>
    <x v="302"/>
    <x v="339"/>
    <x v="0"/>
    <n v="39"/>
    <s v="month"/>
    <n v="48"/>
    <x v="4"/>
  </r>
  <r>
    <n v="202412363"/>
    <x v="302"/>
    <x v="357"/>
    <x v="0"/>
    <n v="39"/>
    <s v="month"/>
    <n v="19"/>
    <x v="4"/>
  </r>
  <r>
    <n v="218129311"/>
    <x v="302"/>
    <x v="195"/>
    <x v="0"/>
    <n v="39"/>
    <s v="month"/>
    <n v="38"/>
    <x v="4"/>
  </r>
  <r>
    <n v="218092565"/>
    <x v="302"/>
    <x v="195"/>
    <x v="0"/>
    <n v="39"/>
    <s v="month"/>
    <n v="38"/>
    <x v="4"/>
  </r>
  <r>
    <n v="150436862"/>
    <x v="303"/>
    <x v="0"/>
    <x v="0"/>
    <n v="39"/>
    <s v="month"/>
    <s v=""/>
    <x v="5"/>
  </r>
  <r>
    <n v="218211840"/>
    <x v="303"/>
    <x v="0"/>
    <x v="0"/>
    <n v="39"/>
    <s v="month"/>
    <s v=""/>
    <x v="5"/>
  </r>
  <r>
    <n v="218235209"/>
    <x v="303"/>
    <x v="0"/>
    <x v="0"/>
    <n v="39"/>
    <s v="month"/>
    <s v=""/>
    <x v="5"/>
  </r>
  <r>
    <n v="132631414"/>
    <x v="303"/>
    <x v="0"/>
    <x v="0"/>
    <n v="39"/>
    <s v="month"/>
    <s v=""/>
    <x v="5"/>
  </r>
  <r>
    <n v="218254260"/>
    <x v="303"/>
    <x v="0"/>
    <x v="0"/>
    <n v="39"/>
    <s v="month"/>
    <s v=""/>
    <x v="5"/>
  </r>
  <r>
    <n v="218095604"/>
    <x v="303"/>
    <x v="0"/>
    <x v="0"/>
    <n v="39"/>
    <s v="month"/>
    <s v=""/>
    <x v="5"/>
  </r>
  <r>
    <n v="147845964"/>
    <x v="303"/>
    <x v="255"/>
    <x v="0"/>
    <n v="39"/>
    <s v="month"/>
    <n v="0"/>
    <x v="5"/>
  </r>
  <r>
    <n v="218242871"/>
    <x v="303"/>
    <x v="236"/>
    <x v="0"/>
    <n v="39"/>
    <s v="month"/>
    <n v="31"/>
    <x v="5"/>
  </r>
  <r>
    <n v="218238016"/>
    <x v="303"/>
    <x v="302"/>
    <x v="0"/>
    <n v="39"/>
    <s v="month"/>
    <n v="61"/>
    <x v="5"/>
  </r>
  <r>
    <n v="217387951"/>
    <x v="303"/>
    <x v="236"/>
    <x v="0"/>
    <n v="39"/>
    <s v="month"/>
    <n v="31"/>
    <x v="5"/>
  </r>
  <r>
    <n v="218236754"/>
    <x v="303"/>
    <x v="279"/>
    <x v="0"/>
    <n v="39"/>
    <s v="month"/>
    <n v="7"/>
    <x v="5"/>
  </r>
  <r>
    <n v="218307564"/>
    <x v="304"/>
    <x v="0"/>
    <x v="0"/>
    <n v="39"/>
    <s v="month"/>
    <s v=""/>
    <x v="6"/>
  </r>
  <r>
    <n v="150521180"/>
    <x v="304"/>
    <x v="0"/>
    <x v="0"/>
    <n v="39"/>
    <s v="month"/>
    <s v=""/>
    <x v="6"/>
  </r>
  <r>
    <n v="135240372"/>
    <x v="304"/>
    <x v="0"/>
    <x v="0"/>
    <n v="39"/>
    <s v="month"/>
    <s v=""/>
    <x v="6"/>
  </r>
  <r>
    <n v="218275834"/>
    <x v="304"/>
    <x v="0"/>
    <x v="0"/>
    <n v="39"/>
    <s v="month"/>
    <s v=""/>
    <x v="6"/>
  </r>
  <r>
    <n v="218028076"/>
    <x v="304"/>
    <x v="0"/>
    <x v="0"/>
    <n v="39"/>
    <s v="month"/>
    <s v=""/>
    <x v="6"/>
  </r>
  <r>
    <n v="164254865"/>
    <x v="304"/>
    <x v="0"/>
    <x v="0"/>
    <n v="39"/>
    <s v="month"/>
    <s v=""/>
    <x v="6"/>
  </r>
  <r>
    <n v="218274904"/>
    <x v="304"/>
    <x v="241"/>
    <x v="1"/>
    <n v="39"/>
    <s v="month"/>
    <n v="1"/>
    <x v="6"/>
  </r>
  <r>
    <n v="208473540"/>
    <x v="304"/>
    <x v="359"/>
    <x v="0"/>
    <n v="39"/>
    <s v="month"/>
    <n v="65"/>
    <x v="6"/>
  </r>
  <r>
    <n v="218233516"/>
    <x v="304"/>
    <x v="98"/>
    <x v="0"/>
    <n v="39"/>
    <s v="month"/>
    <n v="34"/>
    <x v="6"/>
  </r>
  <r>
    <n v="218261606"/>
    <x v="304"/>
    <x v="351"/>
    <x v="0"/>
    <n v="39"/>
    <s v="month"/>
    <n v="43"/>
    <x v="6"/>
  </r>
  <r>
    <n v="218289472"/>
    <x v="304"/>
    <x v="241"/>
    <x v="0"/>
    <n v="39"/>
    <s v="month"/>
    <n v="1"/>
    <x v="6"/>
  </r>
  <r>
    <n v="215946425"/>
    <x v="304"/>
    <x v="360"/>
    <x v="0"/>
    <n v="39"/>
    <s v="month"/>
    <n v="24"/>
    <x v="6"/>
  </r>
  <r>
    <n v="218284850"/>
    <x v="304"/>
    <x v="360"/>
    <x v="0"/>
    <n v="39"/>
    <s v="month"/>
    <n v="24"/>
    <x v="6"/>
  </r>
  <r>
    <n v="202151053"/>
    <x v="305"/>
    <x v="0"/>
    <x v="0"/>
    <n v="39"/>
    <s v="month"/>
    <s v=""/>
    <x v="0"/>
  </r>
  <r>
    <n v="112301350"/>
    <x v="305"/>
    <x v="0"/>
    <x v="0"/>
    <n v="39"/>
    <s v="month"/>
    <s v=""/>
    <x v="0"/>
  </r>
  <r>
    <n v="218300918"/>
    <x v="305"/>
    <x v="0"/>
    <x v="0"/>
    <n v="39"/>
    <s v="month"/>
    <s v=""/>
    <x v="0"/>
  </r>
  <r>
    <n v="205452800"/>
    <x v="305"/>
    <x v="0"/>
    <x v="0"/>
    <n v="39"/>
    <s v="month"/>
    <s v=""/>
    <x v="0"/>
  </r>
  <r>
    <n v="218278300"/>
    <x v="305"/>
    <x v="0"/>
    <x v="0"/>
    <n v="39"/>
    <s v="month"/>
    <s v=""/>
    <x v="0"/>
  </r>
  <r>
    <n v="216920844"/>
    <x v="305"/>
    <x v="0"/>
    <x v="0"/>
    <n v="39"/>
    <s v="month"/>
    <s v=""/>
    <x v="0"/>
  </r>
  <r>
    <n v="127100688"/>
    <x v="305"/>
    <x v="305"/>
    <x v="0"/>
    <n v="39"/>
    <s v="month"/>
    <n v="27"/>
    <x v="0"/>
  </r>
  <r>
    <n v="218345379"/>
    <x v="305"/>
    <x v="283"/>
    <x v="0"/>
    <n v="39"/>
    <s v="month"/>
    <n v="38"/>
    <x v="0"/>
  </r>
  <r>
    <n v="183507186"/>
    <x v="305"/>
    <x v="310"/>
    <x v="0"/>
    <n v="39"/>
    <s v="month"/>
    <n v="31"/>
    <x v="0"/>
  </r>
  <r>
    <n v="218133430"/>
    <x v="306"/>
    <x v="0"/>
    <x v="0"/>
    <n v="39"/>
    <s v="month"/>
    <s v=""/>
    <x v="1"/>
  </r>
  <r>
    <n v="147813476"/>
    <x v="306"/>
    <x v="0"/>
    <x v="0"/>
    <n v="39"/>
    <s v="month"/>
    <s v=""/>
    <x v="1"/>
  </r>
  <r>
    <n v="218375754"/>
    <x v="306"/>
    <x v="0"/>
    <x v="0"/>
    <n v="39"/>
    <s v="month"/>
    <s v=""/>
    <x v="1"/>
  </r>
  <r>
    <n v="216000482"/>
    <x v="306"/>
    <x v="0"/>
    <x v="0"/>
    <n v="39"/>
    <s v="month"/>
    <s v=""/>
    <x v="1"/>
  </r>
  <r>
    <n v="161549477"/>
    <x v="306"/>
    <x v="0"/>
    <x v="0"/>
    <n v="39"/>
    <s v="month"/>
    <s v=""/>
    <x v="1"/>
  </r>
  <r>
    <n v="133444654"/>
    <x v="306"/>
    <x v="337"/>
    <x v="0"/>
    <n v="39"/>
    <s v="month"/>
    <n v="3"/>
    <x v="1"/>
  </r>
  <r>
    <n v="217883594"/>
    <x v="306"/>
    <x v="282"/>
    <x v="0"/>
    <n v="39"/>
    <s v="month"/>
    <n v="20"/>
    <x v="1"/>
  </r>
  <r>
    <n v="197752733"/>
    <x v="307"/>
    <x v="0"/>
    <x v="0"/>
    <n v="39"/>
    <s v="month"/>
    <s v=""/>
    <x v="2"/>
  </r>
  <r>
    <n v="175884318"/>
    <x v="307"/>
    <x v="0"/>
    <x v="0"/>
    <n v="39"/>
    <s v="month"/>
    <s v=""/>
    <x v="2"/>
  </r>
  <r>
    <n v="218413958"/>
    <x v="307"/>
    <x v="0"/>
    <x v="0"/>
    <n v="39"/>
    <s v="month"/>
    <s v=""/>
    <x v="2"/>
  </r>
  <r>
    <n v="218434925"/>
    <x v="307"/>
    <x v="0"/>
    <x v="0"/>
    <n v="39"/>
    <s v="month"/>
    <s v=""/>
    <x v="2"/>
  </r>
  <r>
    <n v="156817946"/>
    <x v="307"/>
    <x v="0"/>
    <x v="0"/>
    <n v="39"/>
    <s v="month"/>
    <s v=""/>
    <x v="2"/>
  </r>
  <r>
    <n v="218427268"/>
    <x v="307"/>
    <x v="0"/>
    <x v="0"/>
    <n v="39"/>
    <s v="month"/>
    <s v=""/>
    <x v="2"/>
  </r>
  <r>
    <n v="208492287"/>
    <x v="307"/>
    <x v="0"/>
    <x v="0"/>
    <n v="39"/>
    <s v="month"/>
    <s v=""/>
    <x v="2"/>
  </r>
  <r>
    <n v="217499098"/>
    <x v="307"/>
    <x v="325"/>
    <x v="0"/>
    <n v="39"/>
    <s v="month"/>
    <n v="1"/>
    <x v="2"/>
  </r>
  <r>
    <n v="215723331"/>
    <x v="307"/>
    <x v="334"/>
    <x v="0"/>
    <n v="39"/>
    <s v="month"/>
    <n v="38"/>
    <x v="2"/>
  </r>
  <r>
    <n v="122616074"/>
    <x v="308"/>
    <x v="0"/>
    <x v="0"/>
    <n v="39"/>
    <s v="month"/>
    <s v=""/>
    <x v="3"/>
  </r>
  <r>
    <n v="218367490"/>
    <x v="308"/>
    <x v="0"/>
    <x v="0"/>
    <n v="39"/>
    <s v="month"/>
    <s v=""/>
    <x v="3"/>
  </r>
  <r>
    <n v="218415420"/>
    <x v="308"/>
    <x v="0"/>
    <x v="0"/>
    <n v="39"/>
    <s v="month"/>
    <s v=""/>
    <x v="3"/>
  </r>
  <r>
    <n v="135785962"/>
    <x v="308"/>
    <x v="0"/>
    <x v="0"/>
    <n v="39"/>
    <s v="month"/>
    <s v=""/>
    <x v="3"/>
  </r>
  <r>
    <n v="206121650"/>
    <x v="308"/>
    <x v="337"/>
    <x v="0"/>
    <n v="39"/>
    <s v="month"/>
    <n v="1"/>
    <x v="3"/>
  </r>
  <r>
    <n v="218129819"/>
    <x v="308"/>
    <x v="204"/>
    <x v="0"/>
    <n v="39"/>
    <s v="month"/>
    <n v="25"/>
    <x v="3"/>
  </r>
  <r>
    <n v="217766676"/>
    <x v="308"/>
    <x v="282"/>
    <x v="0"/>
    <n v="39"/>
    <s v="month"/>
    <n v="18"/>
    <x v="3"/>
  </r>
  <r>
    <n v="216886336"/>
    <x v="309"/>
    <x v="0"/>
    <x v="0"/>
    <n v="39"/>
    <s v="month"/>
    <s v=""/>
    <x v="4"/>
  </r>
  <r>
    <n v="217991032"/>
    <x v="309"/>
    <x v="0"/>
    <x v="0"/>
    <n v="39"/>
    <s v="month"/>
    <s v=""/>
    <x v="4"/>
  </r>
  <r>
    <n v="145797162"/>
    <x v="309"/>
    <x v="0"/>
    <x v="0"/>
    <n v="39"/>
    <s v="month"/>
    <s v=""/>
    <x v="4"/>
  </r>
  <r>
    <n v="217581606"/>
    <x v="309"/>
    <x v="0"/>
    <x v="0"/>
    <n v="39"/>
    <s v="month"/>
    <s v=""/>
    <x v="4"/>
  </r>
  <r>
    <n v="218459038"/>
    <x v="309"/>
    <x v="279"/>
    <x v="0"/>
    <n v="39"/>
    <s v="month"/>
    <n v="1"/>
    <x v="4"/>
  </r>
  <r>
    <n v="218526124"/>
    <x v="309"/>
    <x v="279"/>
    <x v="1"/>
    <n v="39"/>
    <s v="month"/>
    <n v="1"/>
    <x v="4"/>
  </r>
  <r>
    <n v="216335430"/>
    <x v="309"/>
    <x v="337"/>
    <x v="1"/>
    <n v="39"/>
    <s v="month"/>
    <n v="0"/>
    <x v="4"/>
  </r>
  <r>
    <n v="218519862"/>
    <x v="309"/>
    <x v="279"/>
    <x v="1"/>
    <n v="39"/>
    <s v="month"/>
    <n v="1"/>
    <x v="4"/>
  </r>
  <r>
    <n v="218496811"/>
    <x v="309"/>
    <x v="337"/>
    <x v="1"/>
    <n v="39"/>
    <s v="month"/>
    <n v="0"/>
    <x v="4"/>
  </r>
  <r>
    <n v="218490122"/>
    <x v="309"/>
    <x v="279"/>
    <x v="1"/>
    <n v="39"/>
    <s v="month"/>
    <n v="1"/>
    <x v="4"/>
  </r>
  <r>
    <n v="216337502"/>
    <x v="309"/>
    <x v="337"/>
    <x v="1"/>
    <n v="39"/>
    <s v="month"/>
    <n v="0"/>
    <x v="4"/>
  </r>
  <r>
    <n v="143111905"/>
    <x v="309"/>
    <x v="351"/>
    <x v="0"/>
    <n v="39"/>
    <s v="month"/>
    <n v="38"/>
    <x v="4"/>
  </r>
  <r>
    <n v="217709772"/>
    <x v="309"/>
    <x v="328"/>
    <x v="0"/>
    <n v="39"/>
    <s v="month"/>
    <n v="33"/>
    <x v="4"/>
  </r>
  <r>
    <n v="214924190"/>
    <x v="309"/>
    <x v="195"/>
    <x v="0"/>
    <n v="39"/>
    <s v="month"/>
    <n v="31"/>
    <x v="4"/>
  </r>
  <r>
    <n v="217914198"/>
    <x v="309"/>
    <x v="354"/>
    <x v="0"/>
    <n v="39"/>
    <s v="month"/>
    <n v="20"/>
    <x v="4"/>
  </r>
  <r>
    <n v="217773501"/>
    <x v="309"/>
    <x v="337"/>
    <x v="0"/>
    <n v="39"/>
    <s v="month"/>
    <n v="0"/>
    <x v="4"/>
  </r>
  <r>
    <n v="215311765"/>
    <x v="310"/>
    <x v="0"/>
    <x v="0"/>
    <n v="39"/>
    <s v="month"/>
    <s v=""/>
    <x v="5"/>
  </r>
  <r>
    <n v="218554220"/>
    <x v="310"/>
    <x v="0"/>
    <x v="0"/>
    <n v="39"/>
    <s v="month"/>
    <s v=""/>
    <x v="5"/>
  </r>
  <r>
    <n v="209743418"/>
    <x v="310"/>
    <x v="0"/>
    <x v="0"/>
    <n v="39"/>
    <s v="month"/>
    <s v=""/>
    <x v="5"/>
  </r>
  <r>
    <n v="218553244"/>
    <x v="310"/>
    <x v="0"/>
    <x v="0"/>
    <n v="39"/>
    <s v="month"/>
    <s v=""/>
    <x v="5"/>
  </r>
  <r>
    <n v="218548492"/>
    <x v="310"/>
    <x v="0"/>
    <x v="0"/>
    <n v="39"/>
    <s v="month"/>
    <s v=""/>
    <x v="5"/>
  </r>
  <r>
    <n v="217958138"/>
    <x v="310"/>
    <x v="0"/>
    <x v="0"/>
    <n v="39"/>
    <s v="month"/>
    <s v=""/>
    <x v="5"/>
  </r>
  <r>
    <n v="218365623"/>
    <x v="310"/>
    <x v="0"/>
    <x v="0"/>
    <n v="39"/>
    <s v="month"/>
    <s v=""/>
    <x v="5"/>
  </r>
  <r>
    <n v="218512642"/>
    <x v="310"/>
    <x v="0"/>
    <x v="0"/>
    <n v="39"/>
    <s v="month"/>
    <s v=""/>
    <x v="5"/>
  </r>
  <r>
    <n v="218569099"/>
    <x v="310"/>
    <x v="294"/>
    <x v="0"/>
    <n v="39"/>
    <s v="month"/>
    <n v="56"/>
    <x v="5"/>
  </r>
  <r>
    <n v="218304590"/>
    <x v="310"/>
    <x v="211"/>
    <x v="0"/>
    <n v="39"/>
    <s v="month"/>
    <n v="50"/>
    <x v="5"/>
  </r>
  <r>
    <n v="215390636"/>
    <x v="310"/>
    <x v="290"/>
    <x v="0"/>
    <n v="39"/>
    <s v="month"/>
    <n v="58"/>
    <x v="5"/>
  </r>
  <r>
    <n v="218538760"/>
    <x v="310"/>
    <x v="63"/>
    <x v="0"/>
    <n v="39"/>
    <s v="month"/>
    <n v="38"/>
    <x v="5"/>
  </r>
  <r>
    <n v="218544489"/>
    <x v="310"/>
    <x v="301"/>
    <x v="0"/>
    <n v="39"/>
    <s v="month"/>
    <n v="31"/>
    <x v="5"/>
  </r>
  <r>
    <n v="180161087"/>
    <x v="310"/>
    <x v="195"/>
    <x v="0"/>
    <n v="39"/>
    <s v="month"/>
    <n v="30"/>
    <x v="5"/>
  </r>
  <r>
    <n v="218484551"/>
    <x v="310"/>
    <x v="63"/>
    <x v="0"/>
    <n v="39"/>
    <s v="month"/>
    <n v="38"/>
    <x v="5"/>
  </r>
  <r>
    <n v="218570737"/>
    <x v="310"/>
    <x v="315"/>
    <x v="0"/>
    <n v="39"/>
    <s v="month"/>
    <n v="1"/>
    <x v="5"/>
  </r>
  <r>
    <n v="218526607"/>
    <x v="311"/>
    <x v="0"/>
    <x v="0"/>
    <n v="39"/>
    <s v="month"/>
    <s v=""/>
    <x v="6"/>
  </r>
  <r>
    <n v="211011508"/>
    <x v="311"/>
    <x v="0"/>
    <x v="0"/>
    <n v="39"/>
    <s v="month"/>
    <s v=""/>
    <x v="6"/>
  </r>
  <r>
    <n v="218610100"/>
    <x v="311"/>
    <x v="0"/>
    <x v="0"/>
    <n v="39"/>
    <s v="month"/>
    <s v=""/>
    <x v="6"/>
  </r>
  <r>
    <n v="206055148"/>
    <x v="311"/>
    <x v="0"/>
    <x v="0"/>
    <n v="39"/>
    <s v="month"/>
    <s v=""/>
    <x v="6"/>
  </r>
  <r>
    <n v="150509877"/>
    <x v="311"/>
    <x v="0"/>
    <x v="0"/>
    <n v="39"/>
    <s v="month"/>
    <s v=""/>
    <x v="6"/>
  </r>
  <r>
    <n v="218498112"/>
    <x v="311"/>
    <x v="0"/>
    <x v="0"/>
    <n v="39"/>
    <s v="month"/>
    <s v=""/>
    <x v="6"/>
  </r>
  <r>
    <n v="218624538"/>
    <x v="311"/>
    <x v="313"/>
    <x v="0"/>
    <n v="39"/>
    <s v="month"/>
    <n v="41"/>
    <x v="6"/>
  </r>
  <r>
    <n v="218467300"/>
    <x v="311"/>
    <x v="283"/>
    <x v="0"/>
    <n v="39"/>
    <s v="month"/>
    <n v="32"/>
    <x v="6"/>
  </r>
  <r>
    <n v="218509554"/>
    <x v="311"/>
    <x v="357"/>
    <x v="0"/>
    <n v="39"/>
    <s v="month"/>
    <n v="10"/>
    <x v="6"/>
  </r>
  <r>
    <n v="218257588"/>
    <x v="312"/>
    <x v="0"/>
    <x v="0"/>
    <n v="39"/>
    <s v="month"/>
    <s v=""/>
    <x v="0"/>
  </r>
  <r>
    <n v="218114325"/>
    <x v="312"/>
    <x v="0"/>
    <x v="0"/>
    <n v="39"/>
    <s v="month"/>
    <s v=""/>
    <x v="0"/>
  </r>
  <r>
    <n v="218325441"/>
    <x v="312"/>
    <x v="0"/>
    <x v="0"/>
    <n v="39"/>
    <s v="month"/>
    <s v=""/>
    <x v="0"/>
  </r>
  <r>
    <n v="218235047"/>
    <x v="312"/>
    <x v="0"/>
    <x v="0"/>
    <n v="39"/>
    <s v="month"/>
    <s v=""/>
    <x v="0"/>
  </r>
  <r>
    <n v="218598866"/>
    <x v="312"/>
    <x v="0"/>
    <x v="0"/>
    <n v="39"/>
    <s v="month"/>
    <s v=""/>
    <x v="0"/>
  </r>
  <r>
    <n v="218644881"/>
    <x v="312"/>
    <x v="55"/>
    <x v="0"/>
    <n v="39"/>
    <s v="month"/>
    <n v="34"/>
    <x v="0"/>
  </r>
  <r>
    <n v="218509727"/>
    <x v="312"/>
    <x v="252"/>
    <x v="0"/>
    <n v="39"/>
    <s v="month"/>
    <n v="27"/>
    <x v="0"/>
  </r>
  <r>
    <n v="150623785"/>
    <x v="312"/>
    <x v="332"/>
    <x v="0"/>
    <n v="39"/>
    <s v="month"/>
    <n v="32"/>
    <x v="0"/>
  </r>
  <r>
    <n v="218586552"/>
    <x v="312"/>
    <x v="332"/>
    <x v="0"/>
    <n v="39"/>
    <s v="month"/>
    <n v="32"/>
    <x v="0"/>
  </r>
  <r>
    <n v="218514844"/>
    <x v="312"/>
    <x v="316"/>
    <x v="0"/>
    <n v="39"/>
    <s v="month"/>
    <n v="4"/>
    <x v="0"/>
  </r>
  <r>
    <n v="218694806"/>
    <x v="313"/>
    <x v="0"/>
    <x v="0"/>
    <n v="39"/>
    <s v="month"/>
    <s v=""/>
    <x v="1"/>
  </r>
  <r>
    <n v="218678174"/>
    <x v="313"/>
    <x v="0"/>
    <x v="0"/>
    <n v="39"/>
    <s v="month"/>
    <s v=""/>
    <x v="1"/>
  </r>
  <r>
    <n v="218695487"/>
    <x v="313"/>
    <x v="359"/>
    <x v="0"/>
    <n v="39"/>
    <s v="month"/>
    <n v="56"/>
    <x v="1"/>
  </r>
  <r>
    <n v="218678790"/>
    <x v="313"/>
    <x v="190"/>
    <x v="0"/>
    <n v="39"/>
    <s v="month"/>
    <n v="38"/>
    <x v="1"/>
  </r>
  <r>
    <n v="217499098"/>
    <x v="313"/>
    <x v="190"/>
    <x v="0"/>
    <n v="39"/>
    <s v="month"/>
    <n v="38"/>
    <x v="1"/>
  </r>
  <r>
    <n v="217976753"/>
    <x v="313"/>
    <x v="190"/>
    <x v="0"/>
    <n v="39"/>
    <s v="month"/>
    <n v="38"/>
    <x v="1"/>
  </r>
  <r>
    <n v="199359226"/>
    <x v="313"/>
    <x v="348"/>
    <x v="0"/>
    <n v="39"/>
    <s v="month"/>
    <n v="1"/>
    <x v="1"/>
  </r>
  <r>
    <n v="121814098"/>
    <x v="314"/>
    <x v="0"/>
    <x v="0"/>
    <n v="39"/>
    <s v="month"/>
    <s v=""/>
    <x v="2"/>
  </r>
  <r>
    <n v="215605718"/>
    <x v="314"/>
    <x v="0"/>
    <x v="0"/>
    <n v="39"/>
    <s v="month"/>
    <s v=""/>
    <x v="2"/>
  </r>
  <r>
    <n v="218325705"/>
    <x v="314"/>
    <x v="0"/>
    <x v="0"/>
    <n v="39"/>
    <s v="month"/>
    <s v=""/>
    <x v="2"/>
  </r>
  <r>
    <n v="208598253"/>
    <x v="314"/>
    <x v="0"/>
    <x v="0"/>
    <n v="39"/>
    <s v="month"/>
    <s v=""/>
    <x v="2"/>
  </r>
  <r>
    <n v="218655628"/>
    <x v="314"/>
    <x v="0"/>
    <x v="0"/>
    <n v="39"/>
    <s v="month"/>
    <s v=""/>
    <x v="2"/>
  </r>
  <r>
    <n v="185602413"/>
    <x v="314"/>
    <x v="249"/>
    <x v="0"/>
    <n v="39"/>
    <s v="month"/>
    <n v="1"/>
    <x v="2"/>
  </r>
  <r>
    <n v="154082747"/>
    <x v="314"/>
    <x v="205"/>
    <x v="0"/>
    <n v="39"/>
    <s v="month"/>
    <n v="8"/>
    <x v="2"/>
  </r>
  <r>
    <n v="218017402"/>
    <x v="314"/>
    <x v="313"/>
    <x v="0"/>
    <n v="39"/>
    <s v="month"/>
    <n v="38"/>
    <x v="2"/>
  </r>
  <r>
    <n v="218792880"/>
    <x v="315"/>
    <x v="0"/>
    <x v="0"/>
    <n v="39"/>
    <s v="month"/>
    <s v=""/>
    <x v="3"/>
  </r>
  <r>
    <n v="218761808"/>
    <x v="315"/>
    <x v="0"/>
    <x v="0"/>
    <n v="39"/>
    <s v="month"/>
    <s v=""/>
    <x v="3"/>
  </r>
  <r>
    <n v="149303812"/>
    <x v="315"/>
    <x v="0"/>
    <x v="0"/>
    <n v="39"/>
    <s v="month"/>
    <s v=""/>
    <x v="3"/>
  </r>
  <r>
    <n v="216144261"/>
    <x v="315"/>
    <x v="0"/>
    <x v="0"/>
    <n v="39"/>
    <s v="month"/>
    <s v=""/>
    <x v="3"/>
  </r>
  <r>
    <n v="215976742"/>
    <x v="315"/>
    <x v="0"/>
    <x v="0"/>
    <n v="39"/>
    <s v="month"/>
    <s v=""/>
    <x v="3"/>
  </r>
  <r>
    <n v="218617631"/>
    <x v="315"/>
    <x v="225"/>
    <x v="0"/>
    <n v="39"/>
    <s v="month"/>
    <n v="38"/>
    <x v="3"/>
  </r>
  <r>
    <n v="218770458"/>
    <x v="315"/>
    <x v="204"/>
    <x v="0"/>
    <n v="39"/>
    <s v="month"/>
    <n v="18"/>
    <x v="3"/>
  </r>
  <r>
    <n v="218720472"/>
    <x v="315"/>
    <x v="295"/>
    <x v="0"/>
    <n v="39"/>
    <s v="month"/>
    <n v="34"/>
    <x v="3"/>
  </r>
  <r>
    <n v="218846909"/>
    <x v="316"/>
    <x v="0"/>
    <x v="0"/>
    <n v="39"/>
    <s v="month"/>
    <s v=""/>
    <x v="4"/>
  </r>
  <r>
    <n v="214714278"/>
    <x v="316"/>
    <x v="0"/>
    <x v="0"/>
    <n v="39"/>
    <s v="month"/>
    <s v=""/>
    <x v="4"/>
  </r>
  <r>
    <n v="218529158"/>
    <x v="316"/>
    <x v="0"/>
    <x v="0"/>
    <n v="39"/>
    <s v="month"/>
    <s v=""/>
    <x v="4"/>
  </r>
  <r>
    <n v="218837719"/>
    <x v="316"/>
    <x v="0"/>
    <x v="0"/>
    <n v="39"/>
    <s v="month"/>
    <s v=""/>
    <x v="4"/>
  </r>
  <r>
    <n v="194367477"/>
    <x v="316"/>
    <x v="0"/>
    <x v="0"/>
    <n v="39"/>
    <s v="month"/>
    <s v=""/>
    <x v="4"/>
  </r>
  <r>
    <n v="218300066"/>
    <x v="316"/>
    <x v="0"/>
    <x v="0"/>
    <n v="39"/>
    <s v="month"/>
    <s v=""/>
    <x v="4"/>
  </r>
  <r>
    <n v="218553583"/>
    <x v="316"/>
    <x v="0"/>
    <x v="0"/>
    <n v="39"/>
    <s v="month"/>
    <s v=""/>
    <x v="4"/>
  </r>
  <r>
    <n v="149657162"/>
    <x v="316"/>
    <x v="314"/>
    <x v="0"/>
    <n v="39"/>
    <s v="month"/>
    <n v="1"/>
    <x v="4"/>
  </r>
  <r>
    <n v="125920876"/>
    <x v="316"/>
    <x v="347"/>
    <x v="0"/>
    <n v="39"/>
    <s v="month"/>
    <n v="38"/>
    <x v="4"/>
  </r>
  <r>
    <n v="217403566"/>
    <x v="316"/>
    <x v="332"/>
    <x v="0"/>
    <n v="39"/>
    <s v="month"/>
    <n v="28"/>
    <x v="4"/>
  </r>
  <r>
    <n v="218677370"/>
    <x v="316"/>
    <x v="334"/>
    <x v="0"/>
    <n v="39"/>
    <s v="month"/>
    <n v="29"/>
    <x v="4"/>
  </r>
  <r>
    <n v="218598875"/>
    <x v="316"/>
    <x v="347"/>
    <x v="0"/>
    <n v="39"/>
    <s v="month"/>
    <n v="38"/>
    <x v="4"/>
  </r>
  <r>
    <n v="203116529"/>
    <x v="316"/>
    <x v="316"/>
    <x v="0"/>
    <n v="39"/>
    <s v="month"/>
    <n v="0"/>
    <x v="4"/>
  </r>
  <r>
    <n v="218808831"/>
    <x v="316"/>
    <x v="318"/>
    <x v="0"/>
    <n v="39"/>
    <s v="month"/>
    <n v="46"/>
    <x v="4"/>
  </r>
  <r>
    <n v="218844240"/>
    <x v="317"/>
    <x v="0"/>
    <x v="0"/>
    <n v="39"/>
    <s v="month"/>
    <s v=""/>
    <x v="5"/>
  </r>
  <r>
    <n v="218863419"/>
    <x v="317"/>
    <x v="0"/>
    <x v="0"/>
    <n v="39"/>
    <s v="month"/>
    <s v=""/>
    <x v="5"/>
  </r>
  <r>
    <n v="218445704"/>
    <x v="317"/>
    <x v="0"/>
    <x v="0"/>
    <n v="39"/>
    <s v="month"/>
    <s v=""/>
    <x v="5"/>
  </r>
  <r>
    <n v="149411976"/>
    <x v="317"/>
    <x v="0"/>
    <x v="0"/>
    <n v="39"/>
    <s v="month"/>
    <s v=""/>
    <x v="5"/>
  </r>
  <r>
    <n v="218862674"/>
    <x v="317"/>
    <x v="0"/>
    <x v="0"/>
    <n v="39"/>
    <s v="month"/>
    <s v=""/>
    <x v="5"/>
  </r>
  <r>
    <n v="218851122"/>
    <x v="317"/>
    <x v="0"/>
    <x v="0"/>
    <n v="39"/>
    <s v="month"/>
    <s v=""/>
    <x v="5"/>
  </r>
  <r>
    <n v="153402484"/>
    <x v="317"/>
    <x v="318"/>
    <x v="0"/>
    <n v="39"/>
    <s v="month"/>
    <n v="45"/>
    <x v="5"/>
  </r>
  <r>
    <n v="218848831"/>
    <x v="317"/>
    <x v="262"/>
    <x v="0"/>
    <n v="39"/>
    <s v="month"/>
    <n v="39"/>
    <x v="5"/>
  </r>
  <r>
    <n v="159639128"/>
    <x v="317"/>
    <x v="314"/>
    <x v="0"/>
    <n v="39"/>
    <s v="month"/>
    <n v="0"/>
    <x v="5"/>
  </r>
  <r>
    <n v="214638700"/>
    <x v="317"/>
    <x v="265"/>
    <x v="1"/>
    <n v="39"/>
    <s v="month"/>
    <n v="1"/>
    <x v="5"/>
  </r>
  <r>
    <n v="218850789"/>
    <x v="317"/>
    <x v="63"/>
    <x v="0"/>
    <n v="39"/>
    <s v="month"/>
    <n v="31"/>
    <x v="5"/>
  </r>
  <r>
    <n v="155510287"/>
    <x v="317"/>
    <x v="328"/>
    <x v="0"/>
    <n v="39"/>
    <s v="month"/>
    <n v="25"/>
    <x v="5"/>
  </r>
  <r>
    <n v="218677703"/>
    <x v="317"/>
    <x v="329"/>
    <x v="0"/>
    <n v="39"/>
    <s v="month"/>
    <n v="6"/>
    <x v="5"/>
  </r>
  <r>
    <n v="218878930"/>
    <x v="317"/>
    <x v="240"/>
    <x v="0"/>
    <n v="39"/>
    <s v="month"/>
    <n v="2"/>
    <x v="5"/>
  </r>
  <r>
    <n v="218935022"/>
    <x v="318"/>
    <x v="0"/>
    <x v="0"/>
    <n v="39"/>
    <s v="month"/>
    <s v=""/>
    <x v="6"/>
  </r>
  <r>
    <n v="218925198"/>
    <x v="318"/>
    <x v="0"/>
    <x v="0"/>
    <n v="39"/>
    <s v="month"/>
    <s v=""/>
    <x v="6"/>
  </r>
  <r>
    <n v="218927120"/>
    <x v="318"/>
    <x v="0"/>
    <x v="0"/>
    <n v="39"/>
    <s v="month"/>
    <s v=""/>
    <x v="6"/>
  </r>
  <r>
    <n v="218930176"/>
    <x v="318"/>
    <x v="0"/>
    <x v="0"/>
    <n v="39"/>
    <s v="month"/>
    <s v=""/>
    <x v="6"/>
  </r>
  <r>
    <n v="216185482"/>
    <x v="318"/>
    <x v="0"/>
    <x v="0"/>
    <n v="39"/>
    <s v="month"/>
    <s v=""/>
    <x v="6"/>
  </r>
  <r>
    <n v="218814342"/>
    <x v="318"/>
    <x v="0"/>
    <x v="0"/>
    <n v="39"/>
    <s v="month"/>
    <s v=""/>
    <x v="6"/>
  </r>
  <r>
    <n v="218764310"/>
    <x v="318"/>
    <x v="0"/>
    <x v="0"/>
    <n v="39"/>
    <s v="month"/>
    <s v=""/>
    <x v="6"/>
  </r>
  <r>
    <n v="218814328"/>
    <x v="318"/>
    <x v="0"/>
    <x v="0"/>
    <n v="39"/>
    <s v="month"/>
    <s v=""/>
    <x v="6"/>
  </r>
  <r>
    <n v="149144586"/>
    <x v="318"/>
    <x v="0"/>
    <x v="0"/>
    <n v="39"/>
    <s v="month"/>
    <s v=""/>
    <x v="6"/>
  </r>
  <r>
    <n v="217635511"/>
    <x v="318"/>
    <x v="0"/>
    <x v="0"/>
    <n v="39"/>
    <s v="month"/>
    <s v=""/>
    <x v="6"/>
  </r>
  <r>
    <n v="218924256"/>
    <x v="318"/>
    <x v="332"/>
    <x v="0"/>
    <n v="39"/>
    <s v="month"/>
    <n v="26"/>
    <x v="6"/>
  </r>
  <r>
    <n v="218898552"/>
    <x v="318"/>
    <x v="351"/>
    <x v="0"/>
    <n v="39"/>
    <s v="month"/>
    <n v="29"/>
    <x v="6"/>
  </r>
  <r>
    <n v="149657162"/>
    <x v="318"/>
    <x v="302"/>
    <x v="0"/>
    <n v="39"/>
    <s v="month"/>
    <n v="46"/>
    <x v="6"/>
  </r>
  <r>
    <n v="218581958"/>
    <x v="318"/>
    <x v="353"/>
    <x v="0"/>
    <n v="39"/>
    <s v="month"/>
    <n v="7"/>
    <x v="6"/>
  </r>
  <r>
    <n v="214943384"/>
    <x v="319"/>
    <x v="0"/>
    <x v="0"/>
    <n v="39"/>
    <s v="month"/>
    <s v=""/>
    <x v="0"/>
  </r>
  <r>
    <n v="147832373"/>
    <x v="319"/>
    <x v="0"/>
    <x v="0"/>
    <n v="39"/>
    <s v="month"/>
    <s v=""/>
    <x v="0"/>
  </r>
  <r>
    <n v="204362311"/>
    <x v="319"/>
    <x v="0"/>
    <x v="0"/>
    <n v="39"/>
    <s v="month"/>
    <s v=""/>
    <x v="0"/>
  </r>
  <r>
    <n v="217137211"/>
    <x v="319"/>
    <x v="0"/>
    <x v="0"/>
    <n v="39"/>
    <s v="month"/>
    <s v=""/>
    <x v="0"/>
  </r>
  <r>
    <n v="218942852"/>
    <x v="319"/>
    <x v="0"/>
    <x v="0"/>
    <n v="39"/>
    <s v="month"/>
    <s v=""/>
    <x v="0"/>
  </r>
  <r>
    <n v="218715020"/>
    <x v="319"/>
    <x v="294"/>
    <x v="0"/>
    <n v="39"/>
    <s v="month"/>
    <n v="47"/>
    <x v="0"/>
  </r>
  <r>
    <n v="218701308"/>
    <x v="319"/>
    <x v="350"/>
    <x v="0"/>
    <n v="39"/>
    <s v="month"/>
    <n v="1"/>
    <x v="0"/>
  </r>
  <r>
    <n v="218979443"/>
    <x v="319"/>
    <x v="334"/>
    <x v="0"/>
    <n v="39"/>
    <s v="month"/>
    <n v="26"/>
    <x v="0"/>
  </r>
  <r>
    <n v="218543315"/>
    <x v="319"/>
    <x v="356"/>
    <x v="0"/>
    <n v="39"/>
    <s v="month"/>
    <n v="46"/>
    <x v="0"/>
  </r>
  <r>
    <n v="218281726"/>
    <x v="320"/>
    <x v="0"/>
    <x v="0"/>
    <n v="39"/>
    <s v="month"/>
    <s v=""/>
    <x v="1"/>
  </r>
  <r>
    <n v="144972422"/>
    <x v="320"/>
    <x v="0"/>
    <x v="0"/>
    <n v="39"/>
    <s v="month"/>
    <s v=""/>
    <x v="1"/>
  </r>
  <r>
    <n v="219017513"/>
    <x v="320"/>
    <x v="0"/>
    <x v="0"/>
    <n v="39"/>
    <s v="month"/>
    <s v=""/>
    <x v="1"/>
  </r>
  <r>
    <n v="218096762"/>
    <x v="320"/>
    <x v="0"/>
    <x v="0"/>
    <n v="39"/>
    <s v="month"/>
    <s v=""/>
    <x v="1"/>
  </r>
  <r>
    <n v="134289850"/>
    <x v="320"/>
    <x v="0"/>
    <x v="0"/>
    <n v="39"/>
    <s v="month"/>
    <s v=""/>
    <x v="1"/>
  </r>
  <r>
    <n v="205210815"/>
    <x v="320"/>
    <x v="357"/>
    <x v="0"/>
    <n v="39"/>
    <s v="month"/>
    <n v="1"/>
    <x v="1"/>
  </r>
  <r>
    <n v="218684970"/>
    <x v="320"/>
    <x v="331"/>
    <x v="0"/>
    <n v="39"/>
    <s v="month"/>
    <n v="38"/>
    <x v="1"/>
  </r>
  <r>
    <n v="219045318"/>
    <x v="321"/>
    <x v="0"/>
    <x v="0"/>
    <n v="39"/>
    <s v="month"/>
    <s v=""/>
    <x v="2"/>
  </r>
  <r>
    <n v="218428977"/>
    <x v="321"/>
    <x v="0"/>
    <x v="0"/>
    <n v="39"/>
    <s v="month"/>
    <s v=""/>
    <x v="2"/>
  </r>
  <r>
    <n v="156587706"/>
    <x v="321"/>
    <x v="205"/>
    <x v="1"/>
    <n v="39"/>
    <s v="month"/>
    <n v="1"/>
    <x v="2"/>
  </r>
  <r>
    <n v="219034826"/>
    <x v="321"/>
    <x v="205"/>
    <x v="1"/>
    <n v="39"/>
    <s v="month"/>
    <n v="1"/>
    <x v="2"/>
  </r>
  <r>
    <n v="204380751"/>
    <x v="321"/>
    <x v="190"/>
    <x v="0"/>
    <n v="39"/>
    <s v="month"/>
    <n v="30"/>
    <x v="2"/>
  </r>
  <r>
    <n v="215315438"/>
    <x v="321"/>
    <x v="313"/>
    <x v="0"/>
    <n v="39"/>
    <s v="month"/>
    <n v="31"/>
    <x v="2"/>
  </r>
  <r>
    <n v="213774184"/>
    <x v="321"/>
    <x v="355"/>
    <x v="0"/>
    <n v="39"/>
    <s v="month"/>
    <n v="38"/>
    <x v="2"/>
  </r>
  <r>
    <n v="206121650"/>
    <x v="322"/>
    <x v="0"/>
    <x v="0"/>
    <n v="39"/>
    <s v="month"/>
    <s v=""/>
    <x v="3"/>
  </r>
  <r>
    <n v="219059958"/>
    <x v="322"/>
    <x v="0"/>
    <x v="0"/>
    <n v="39"/>
    <s v="month"/>
    <s v=""/>
    <x v="3"/>
  </r>
  <r>
    <n v="204639997"/>
    <x v="322"/>
    <x v="205"/>
    <x v="0"/>
    <n v="39"/>
    <s v="month"/>
    <n v="0"/>
    <x v="3"/>
  </r>
  <r>
    <n v="201817514"/>
    <x v="322"/>
    <x v="313"/>
    <x v="0"/>
    <n v="39"/>
    <s v="month"/>
    <n v="30"/>
    <x v="3"/>
  </r>
  <r>
    <n v="219065931"/>
    <x v="322"/>
    <x v="211"/>
    <x v="0"/>
    <n v="39"/>
    <s v="month"/>
    <n v="38"/>
    <x v="3"/>
  </r>
  <r>
    <n v="143627373"/>
    <x v="323"/>
    <x v="0"/>
    <x v="0"/>
    <n v="39"/>
    <s v="month"/>
    <s v=""/>
    <x v="4"/>
  </r>
  <r>
    <n v="218675428"/>
    <x v="323"/>
    <x v="0"/>
    <x v="0"/>
    <n v="39"/>
    <s v="month"/>
    <s v=""/>
    <x v="4"/>
  </r>
  <r>
    <n v="219057820"/>
    <x v="323"/>
    <x v="0"/>
    <x v="0"/>
    <n v="39"/>
    <s v="month"/>
    <s v=""/>
    <x v="4"/>
  </r>
  <r>
    <n v="219115854"/>
    <x v="323"/>
    <x v="0"/>
    <x v="0"/>
    <n v="39"/>
    <s v="month"/>
    <s v=""/>
    <x v="4"/>
  </r>
  <r>
    <n v="204826054"/>
    <x v="323"/>
    <x v="0"/>
    <x v="0"/>
    <n v="39"/>
    <s v="month"/>
    <s v=""/>
    <x v="4"/>
  </r>
  <r>
    <n v="219072554"/>
    <x v="323"/>
    <x v="0"/>
    <x v="0"/>
    <n v="39"/>
    <s v="month"/>
    <s v=""/>
    <x v="4"/>
  </r>
  <r>
    <n v="219088631"/>
    <x v="323"/>
    <x v="0"/>
    <x v="0"/>
    <n v="39"/>
    <s v="month"/>
    <s v=""/>
    <x v="4"/>
  </r>
  <r>
    <n v="218861750"/>
    <x v="323"/>
    <x v="335"/>
    <x v="0"/>
    <n v="39"/>
    <s v="month"/>
    <n v="38"/>
    <x v="4"/>
  </r>
  <r>
    <n v="217513777"/>
    <x v="323"/>
    <x v="305"/>
    <x v="0"/>
    <n v="39"/>
    <s v="month"/>
    <n v="9"/>
    <x v="4"/>
  </r>
  <r>
    <n v="218805370"/>
    <x v="323"/>
    <x v="98"/>
    <x v="0"/>
    <n v="39"/>
    <s v="month"/>
    <n v="15"/>
    <x v="4"/>
  </r>
  <r>
    <n v="219128709"/>
    <x v="324"/>
    <x v="0"/>
    <x v="0"/>
    <n v="39"/>
    <s v="month"/>
    <s v=""/>
    <x v="5"/>
  </r>
  <r>
    <n v="217998036"/>
    <x v="324"/>
    <x v="0"/>
    <x v="0"/>
    <n v="39"/>
    <s v="month"/>
    <s v=""/>
    <x v="5"/>
  </r>
  <r>
    <n v="219100886"/>
    <x v="324"/>
    <x v="0"/>
    <x v="0"/>
    <n v="39"/>
    <s v="month"/>
    <s v=""/>
    <x v="5"/>
  </r>
  <r>
    <n v="214586480"/>
    <x v="324"/>
    <x v="0"/>
    <x v="0"/>
    <n v="39"/>
    <s v="month"/>
    <s v=""/>
    <x v="5"/>
  </r>
  <r>
    <n v="219110064"/>
    <x v="324"/>
    <x v="0"/>
    <x v="0"/>
    <n v="39"/>
    <s v="month"/>
    <s v=""/>
    <x v="5"/>
  </r>
  <r>
    <n v="157374056"/>
    <x v="324"/>
    <x v="0"/>
    <x v="0"/>
    <n v="39"/>
    <s v="month"/>
    <s v=""/>
    <x v="5"/>
  </r>
  <r>
    <n v="219058076"/>
    <x v="324"/>
    <x v="0"/>
    <x v="0"/>
    <n v="39"/>
    <s v="month"/>
    <s v=""/>
    <x v="5"/>
  </r>
  <r>
    <n v="218011483"/>
    <x v="324"/>
    <x v="0"/>
    <x v="0"/>
    <n v="39"/>
    <s v="month"/>
    <s v=""/>
    <x v="5"/>
  </r>
  <r>
    <n v="216543186"/>
    <x v="324"/>
    <x v="0"/>
    <x v="0"/>
    <n v="39"/>
    <s v="month"/>
    <s v=""/>
    <x v="5"/>
  </r>
  <r>
    <n v="151239214"/>
    <x v="324"/>
    <x v="0"/>
    <x v="0"/>
    <n v="39"/>
    <s v="month"/>
    <s v=""/>
    <x v="5"/>
  </r>
  <r>
    <n v="152760748"/>
    <x v="324"/>
    <x v="339"/>
    <x v="0"/>
    <n v="39"/>
    <s v="month"/>
    <n v="26"/>
    <x v="5"/>
  </r>
  <r>
    <n v="182102820"/>
    <x v="324"/>
    <x v="318"/>
    <x v="0"/>
    <n v="39"/>
    <s v="month"/>
    <n v="38"/>
    <x v="5"/>
  </r>
  <r>
    <n v="215005163"/>
    <x v="324"/>
    <x v="351"/>
    <x v="0"/>
    <n v="39"/>
    <s v="month"/>
    <n v="23"/>
    <x v="5"/>
  </r>
  <r>
    <n v="219136846"/>
    <x v="324"/>
    <x v="305"/>
    <x v="0"/>
    <n v="39"/>
    <s v="month"/>
    <n v="8"/>
    <x v="5"/>
  </r>
  <r>
    <n v="218795222"/>
    <x v="324"/>
    <x v="225"/>
    <x v="0"/>
    <n v="39"/>
    <s v="month"/>
    <n v="29"/>
    <x v="5"/>
  </r>
  <r>
    <n v="208706876"/>
    <x v="324"/>
    <x v="190"/>
    <x v="0"/>
    <n v="39"/>
    <s v="month"/>
    <n v="27"/>
    <x v="5"/>
  </r>
  <r>
    <n v="218701308"/>
    <x v="324"/>
    <x v="318"/>
    <x v="0"/>
    <n v="39"/>
    <s v="month"/>
    <n v="38"/>
    <x v="5"/>
  </r>
  <r>
    <n v="219136623"/>
    <x v="324"/>
    <x v="318"/>
    <x v="0"/>
    <n v="39"/>
    <s v="month"/>
    <n v="38"/>
    <x v="5"/>
  </r>
  <r>
    <n v="219153922"/>
    <x v="325"/>
    <x v="0"/>
    <x v="0"/>
    <n v="39"/>
    <s v="month"/>
    <s v=""/>
    <x v="6"/>
  </r>
  <r>
    <n v="165529460"/>
    <x v="325"/>
    <x v="0"/>
    <x v="0"/>
    <n v="39"/>
    <s v="month"/>
    <s v=""/>
    <x v="6"/>
  </r>
  <r>
    <n v="218715792"/>
    <x v="325"/>
    <x v="0"/>
    <x v="0"/>
    <n v="39"/>
    <s v="month"/>
    <s v=""/>
    <x v="6"/>
  </r>
  <r>
    <n v="218985028"/>
    <x v="325"/>
    <x v="0"/>
    <x v="0"/>
    <n v="39"/>
    <s v="month"/>
    <s v=""/>
    <x v="6"/>
  </r>
  <r>
    <n v="218986352"/>
    <x v="325"/>
    <x v="0"/>
    <x v="0"/>
    <n v="39"/>
    <s v="month"/>
    <s v=""/>
    <x v="6"/>
  </r>
  <r>
    <n v="219152822"/>
    <x v="325"/>
    <x v="294"/>
    <x v="0"/>
    <n v="39"/>
    <s v="month"/>
    <n v="41"/>
    <x v="6"/>
  </r>
  <r>
    <n v="219084587"/>
    <x v="325"/>
    <x v="282"/>
    <x v="1"/>
    <n v="39"/>
    <s v="month"/>
    <n v="1"/>
    <x v="6"/>
  </r>
  <r>
    <n v="219200064"/>
    <x v="325"/>
    <x v="352"/>
    <x v="0"/>
    <n v="39"/>
    <s v="month"/>
    <n v="38"/>
    <x v="6"/>
  </r>
  <r>
    <n v="219224963"/>
    <x v="326"/>
    <x v="0"/>
    <x v="0"/>
    <n v="39"/>
    <s v="month"/>
    <s v=""/>
    <x v="0"/>
  </r>
  <r>
    <n v="219172302"/>
    <x v="326"/>
    <x v="0"/>
    <x v="0"/>
    <n v="39"/>
    <s v="month"/>
    <s v=""/>
    <x v="0"/>
  </r>
  <r>
    <n v="219244336"/>
    <x v="326"/>
    <x v="0"/>
    <x v="0"/>
    <n v="39"/>
    <s v="month"/>
    <s v=""/>
    <x v="0"/>
  </r>
  <r>
    <n v="150342446"/>
    <x v="326"/>
    <x v="0"/>
    <x v="0"/>
    <n v="39"/>
    <s v="month"/>
    <s v=""/>
    <x v="0"/>
  </r>
  <r>
    <n v="210432172"/>
    <x v="326"/>
    <x v="0"/>
    <x v="0"/>
    <n v="39"/>
    <s v="month"/>
    <s v=""/>
    <x v="0"/>
  </r>
  <r>
    <n v="145614180"/>
    <x v="326"/>
    <x v="0"/>
    <x v="0"/>
    <n v="39"/>
    <s v="month"/>
    <s v=""/>
    <x v="0"/>
  </r>
  <r>
    <n v="218318466"/>
    <x v="326"/>
    <x v="0"/>
    <x v="0"/>
    <n v="39"/>
    <s v="month"/>
    <s v=""/>
    <x v="0"/>
  </r>
  <r>
    <n v="131984682"/>
    <x v="326"/>
    <x v="0"/>
    <x v="0"/>
    <n v="39"/>
    <s v="month"/>
    <s v=""/>
    <x v="0"/>
  </r>
  <r>
    <n v="219243156"/>
    <x v="326"/>
    <x v="282"/>
    <x v="0"/>
    <n v="39"/>
    <s v="month"/>
    <n v="0"/>
    <x v="0"/>
  </r>
  <r>
    <n v="219301778"/>
    <x v="327"/>
    <x v="0"/>
    <x v="0"/>
    <n v="39"/>
    <s v="month"/>
    <s v=""/>
    <x v="1"/>
  </r>
  <r>
    <n v="153004062"/>
    <x v="327"/>
    <x v="0"/>
    <x v="0"/>
    <n v="39"/>
    <s v="month"/>
    <s v=""/>
    <x v="1"/>
  </r>
  <r>
    <n v="151015350"/>
    <x v="327"/>
    <x v="0"/>
    <x v="0"/>
    <n v="39"/>
    <s v="month"/>
    <s v=""/>
    <x v="1"/>
  </r>
  <r>
    <n v="147696294"/>
    <x v="327"/>
    <x v="0"/>
    <x v="0"/>
    <n v="39"/>
    <s v="month"/>
    <s v=""/>
    <x v="1"/>
  </r>
  <r>
    <n v="218255956"/>
    <x v="327"/>
    <x v="0"/>
    <x v="0"/>
    <n v="39"/>
    <s v="month"/>
    <s v=""/>
    <x v="1"/>
  </r>
  <r>
    <n v="218510841"/>
    <x v="327"/>
    <x v="0"/>
    <x v="0"/>
    <n v="39"/>
    <s v="month"/>
    <s v=""/>
    <x v="1"/>
  </r>
  <r>
    <n v="130864124"/>
    <x v="327"/>
    <x v="0"/>
    <x v="0"/>
    <n v="39"/>
    <s v="month"/>
    <s v=""/>
    <x v="1"/>
  </r>
  <r>
    <n v="219194059"/>
    <x v="327"/>
    <x v="0"/>
    <x v="0"/>
    <n v="39"/>
    <s v="month"/>
    <s v=""/>
    <x v="1"/>
  </r>
  <r>
    <n v="219254134"/>
    <x v="327"/>
    <x v="0"/>
    <x v="0"/>
    <n v="39"/>
    <s v="month"/>
    <s v=""/>
    <x v="1"/>
  </r>
  <r>
    <n v="215881016"/>
    <x v="327"/>
    <x v="0"/>
    <x v="0"/>
    <n v="39"/>
    <s v="month"/>
    <s v=""/>
    <x v="1"/>
  </r>
  <r>
    <n v="217361520"/>
    <x v="327"/>
    <x v="0"/>
    <x v="0"/>
    <n v="39"/>
    <s v="month"/>
    <s v=""/>
    <x v="1"/>
  </r>
  <r>
    <n v="219265654"/>
    <x v="327"/>
    <x v="0"/>
    <x v="0"/>
    <n v="39"/>
    <s v="month"/>
    <s v=""/>
    <x v="1"/>
  </r>
  <r>
    <n v="175491846"/>
    <x v="327"/>
    <x v="360"/>
    <x v="0"/>
    <n v="39"/>
    <s v="month"/>
    <n v="1"/>
    <x v="1"/>
  </r>
  <r>
    <n v="212603850"/>
    <x v="327"/>
    <x v="262"/>
    <x v="0"/>
    <n v="39"/>
    <s v="month"/>
    <n v="29"/>
    <x v="1"/>
  </r>
  <r>
    <n v="219307145"/>
    <x v="328"/>
    <x v="0"/>
    <x v="0"/>
    <n v="39"/>
    <s v="month"/>
    <s v=""/>
    <x v="2"/>
  </r>
  <r>
    <n v="212937420"/>
    <x v="328"/>
    <x v="294"/>
    <x v="0"/>
    <n v="39"/>
    <s v="month"/>
    <n v="38"/>
    <x v="2"/>
  </r>
  <r>
    <n v="219318511"/>
    <x v="328"/>
    <x v="63"/>
    <x v="0"/>
    <n v="39"/>
    <s v="month"/>
    <n v="20"/>
    <x v="2"/>
  </r>
  <r>
    <n v="218513479"/>
    <x v="328"/>
    <x v="333"/>
    <x v="0"/>
    <n v="39"/>
    <s v="month"/>
    <n v="27"/>
    <x v="2"/>
  </r>
  <r>
    <n v="219301764"/>
    <x v="328"/>
    <x v="66"/>
    <x v="0"/>
    <n v="39"/>
    <s v="month"/>
    <n v="29"/>
    <x v="2"/>
  </r>
  <r>
    <n v="125038257"/>
    <x v="329"/>
    <x v="0"/>
    <x v="0"/>
    <n v="39"/>
    <s v="month"/>
    <s v=""/>
    <x v="3"/>
  </r>
  <r>
    <n v="217813451"/>
    <x v="329"/>
    <x v="0"/>
    <x v="0"/>
    <n v="39"/>
    <s v="month"/>
    <s v=""/>
    <x v="3"/>
  </r>
  <r>
    <n v="162859352"/>
    <x v="329"/>
    <x v="296"/>
    <x v="1"/>
    <n v="39"/>
    <s v="month"/>
    <n v="1"/>
    <x v="3"/>
  </r>
  <r>
    <n v="146923161"/>
    <x v="329"/>
    <x v="349"/>
    <x v="0"/>
    <n v="39"/>
    <s v="month"/>
    <n v="38"/>
    <x v="3"/>
  </r>
  <r>
    <n v="206699284"/>
    <x v="329"/>
    <x v="331"/>
    <x v="0"/>
    <n v="39"/>
    <s v="month"/>
    <n v="29"/>
    <x v="3"/>
  </r>
  <r>
    <n v="219330169"/>
    <x v="329"/>
    <x v="331"/>
    <x v="0"/>
    <n v="39"/>
    <s v="month"/>
    <n v="29"/>
    <x v="3"/>
  </r>
  <r>
    <n v="219404710"/>
    <x v="330"/>
    <x v="0"/>
    <x v="0"/>
    <n v="39"/>
    <s v="month"/>
    <s v=""/>
    <x v="4"/>
  </r>
  <r>
    <n v="219402896"/>
    <x v="330"/>
    <x v="0"/>
    <x v="0"/>
    <n v="39"/>
    <s v="month"/>
    <s v=""/>
    <x v="4"/>
  </r>
  <r>
    <n v="214129448"/>
    <x v="330"/>
    <x v="0"/>
    <x v="0"/>
    <n v="39"/>
    <s v="month"/>
    <s v=""/>
    <x v="4"/>
  </r>
  <r>
    <n v="219218929"/>
    <x v="330"/>
    <x v="0"/>
    <x v="0"/>
    <n v="39"/>
    <s v="month"/>
    <s v=""/>
    <x v="4"/>
  </r>
  <r>
    <n v="219385880"/>
    <x v="330"/>
    <x v="0"/>
    <x v="0"/>
    <n v="39"/>
    <s v="month"/>
    <s v=""/>
    <x v="4"/>
  </r>
  <r>
    <n v="219368039"/>
    <x v="330"/>
    <x v="0"/>
    <x v="0"/>
    <n v="39"/>
    <s v="month"/>
    <s v=""/>
    <x v="4"/>
  </r>
  <r>
    <n v="219328313"/>
    <x v="330"/>
    <x v="0"/>
    <x v="0"/>
    <n v="39"/>
    <s v="month"/>
    <s v=""/>
    <x v="4"/>
  </r>
  <r>
    <n v="219185386"/>
    <x v="330"/>
    <x v="222"/>
    <x v="1"/>
    <n v="39"/>
    <s v="month"/>
    <n v="1"/>
    <x v="4"/>
  </r>
  <r>
    <n v="183712256"/>
    <x v="330"/>
    <x v="98"/>
    <x v="0"/>
    <n v="39"/>
    <s v="month"/>
    <n v="8"/>
    <x v="4"/>
  </r>
  <r>
    <n v="217624207"/>
    <x v="331"/>
    <x v="0"/>
    <x v="0"/>
    <n v="39"/>
    <s v="month"/>
    <s v=""/>
    <x v="5"/>
  </r>
  <r>
    <n v="218938921"/>
    <x v="331"/>
    <x v="0"/>
    <x v="0"/>
    <n v="39"/>
    <s v="month"/>
    <s v=""/>
    <x v="5"/>
  </r>
  <r>
    <n v="147145693"/>
    <x v="331"/>
    <x v="0"/>
    <x v="0"/>
    <n v="39"/>
    <s v="month"/>
    <s v=""/>
    <x v="5"/>
  </r>
  <r>
    <n v="218459038"/>
    <x v="331"/>
    <x v="0"/>
    <x v="0"/>
    <n v="39"/>
    <s v="month"/>
    <s v=""/>
    <x v="5"/>
  </r>
  <r>
    <n v="219395734"/>
    <x v="331"/>
    <x v="0"/>
    <x v="0"/>
    <n v="39"/>
    <s v="month"/>
    <s v=""/>
    <x v="5"/>
  </r>
  <r>
    <n v="219413956"/>
    <x v="331"/>
    <x v="0"/>
    <x v="0"/>
    <n v="39"/>
    <s v="month"/>
    <s v=""/>
    <x v="5"/>
  </r>
  <r>
    <n v="218562434"/>
    <x v="331"/>
    <x v="318"/>
    <x v="0"/>
    <n v="39"/>
    <s v="month"/>
    <n v="31"/>
    <x v="5"/>
  </r>
  <r>
    <n v="135521927"/>
    <x v="331"/>
    <x v="352"/>
    <x v="0"/>
    <n v="39"/>
    <s v="month"/>
    <n v="32"/>
    <x v="5"/>
  </r>
  <r>
    <n v="157035378"/>
    <x v="331"/>
    <x v="335"/>
    <x v="0"/>
    <n v="39"/>
    <s v="month"/>
    <n v="30"/>
    <x v="5"/>
  </r>
  <r>
    <n v="219382434"/>
    <x v="331"/>
    <x v="335"/>
    <x v="0"/>
    <n v="39"/>
    <s v="month"/>
    <n v="30"/>
    <x v="5"/>
  </r>
  <r>
    <n v="208762353"/>
    <x v="332"/>
    <x v="0"/>
    <x v="0"/>
    <n v="39"/>
    <s v="month"/>
    <s v=""/>
    <x v="6"/>
  </r>
  <r>
    <n v="218346336"/>
    <x v="332"/>
    <x v="0"/>
    <x v="0"/>
    <n v="39"/>
    <s v="month"/>
    <s v=""/>
    <x v="6"/>
  </r>
  <r>
    <n v="219226230"/>
    <x v="332"/>
    <x v="0"/>
    <x v="0"/>
    <n v="39"/>
    <s v="month"/>
    <s v=""/>
    <x v="6"/>
  </r>
  <r>
    <n v="219369515"/>
    <x v="332"/>
    <x v="0"/>
    <x v="0"/>
    <n v="39"/>
    <s v="month"/>
    <s v=""/>
    <x v="6"/>
  </r>
  <r>
    <n v="204947361"/>
    <x v="332"/>
    <x v="0"/>
    <x v="0"/>
    <n v="39"/>
    <s v="month"/>
    <s v=""/>
    <x v="6"/>
  </r>
  <r>
    <n v="212977568"/>
    <x v="332"/>
    <x v="0"/>
    <x v="0"/>
    <n v="39"/>
    <s v="month"/>
    <s v=""/>
    <x v="6"/>
  </r>
  <r>
    <n v="217981717"/>
    <x v="332"/>
    <x v="0"/>
    <x v="0"/>
    <n v="39"/>
    <s v="month"/>
    <s v=""/>
    <x v="6"/>
  </r>
  <r>
    <n v="219459089"/>
    <x v="332"/>
    <x v="0"/>
    <x v="0"/>
    <n v="39"/>
    <s v="month"/>
    <s v=""/>
    <x v="6"/>
  </r>
  <r>
    <n v="193483420"/>
    <x v="332"/>
    <x v="0"/>
    <x v="0"/>
    <n v="39"/>
    <s v="month"/>
    <s v=""/>
    <x v="6"/>
  </r>
  <r>
    <n v="219496362"/>
    <x v="332"/>
    <x v="356"/>
    <x v="0"/>
    <n v="39"/>
    <s v="month"/>
    <n v="33"/>
    <x v="6"/>
  </r>
  <r>
    <n v="219398902"/>
    <x v="332"/>
    <x v="294"/>
    <x v="0"/>
    <n v="39"/>
    <s v="month"/>
    <n v="34"/>
    <x v="6"/>
  </r>
  <r>
    <n v="219497152"/>
    <x v="332"/>
    <x v="225"/>
    <x v="0"/>
    <n v="39"/>
    <s v="month"/>
    <n v="21"/>
    <x v="6"/>
  </r>
  <r>
    <n v="188426619"/>
    <x v="332"/>
    <x v="318"/>
    <x v="0"/>
    <n v="39"/>
    <s v="month"/>
    <n v="30"/>
    <x v="6"/>
  </r>
  <r>
    <n v="219470485"/>
    <x v="332"/>
    <x v="55"/>
    <x v="0"/>
    <n v="39"/>
    <s v="month"/>
    <n v="14"/>
    <x v="6"/>
  </r>
  <r>
    <n v="219460783"/>
    <x v="332"/>
    <x v="331"/>
    <x v="0"/>
    <n v="39"/>
    <s v="month"/>
    <n v="26"/>
    <x v="6"/>
  </r>
  <r>
    <n v="219512722"/>
    <x v="333"/>
    <x v="0"/>
    <x v="0"/>
    <n v="39"/>
    <s v="month"/>
    <s v=""/>
    <x v="0"/>
  </r>
  <r>
    <n v="199393176"/>
    <x v="333"/>
    <x v="0"/>
    <x v="0"/>
    <n v="39"/>
    <s v="month"/>
    <s v=""/>
    <x v="0"/>
  </r>
  <r>
    <n v="217368686"/>
    <x v="333"/>
    <x v="0"/>
    <x v="0"/>
    <n v="39"/>
    <s v="month"/>
    <s v=""/>
    <x v="0"/>
  </r>
  <r>
    <n v="218247056"/>
    <x v="333"/>
    <x v="0"/>
    <x v="0"/>
    <n v="39"/>
    <s v="month"/>
    <s v=""/>
    <x v="0"/>
  </r>
  <r>
    <n v="219439239"/>
    <x v="333"/>
    <x v="0"/>
    <x v="0"/>
    <n v="39"/>
    <s v="month"/>
    <s v=""/>
    <x v="0"/>
  </r>
  <r>
    <n v="188206991"/>
    <x v="333"/>
    <x v="0"/>
    <x v="0"/>
    <n v="39"/>
    <s v="month"/>
    <s v=""/>
    <x v="0"/>
  </r>
  <r>
    <n v="206470657"/>
    <x v="333"/>
    <x v="0"/>
    <x v="0"/>
    <n v="39"/>
    <s v="month"/>
    <s v=""/>
    <x v="0"/>
  </r>
  <r>
    <n v="218706730"/>
    <x v="333"/>
    <x v="0"/>
    <x v="0"/>
    <n v="39"/>
    <s v="month"/>
    <s v=""/>
    <x v="0"/>
  </r>
  <r>
    <n v="219512680"/>
    <x v="333"/>
    <x v="0"/>
    <x v="0"/>
    <n v="39"/>
    <s v="month"/>
    <s v=""/>
    <x v="0"/>
  </r>
  <r>
    <n v="125335731"/>
    <x v="333"/>
    <x v="0"/>
    <x v="0"/>
    <n v="39"/>
    <s v="month"/>
    <s v=""/>
    <x v="0"/>
  </r>
  <r>
    <n v="160598122"/>
    <x v="333"/>
    <x v="0"/>
    <x v="0"/>
    <n v="39"/>
    <s v="month"/>
    <s v=""/>
    <x v="0"/>
  </r>
  <r>
    <n v="218414156"/>
    <x v="333"/>
    <x v="0"/>
    <x v="0"/>
    <n v="39"/>
    <s v="month"/>
    <s v=""/>
    <x v="0"/>
  </r>
  <r>
    <n v="206455504"/>
    <x v="333"/>
    <x v="318"/>
    <x v="0"/>
    <n v="39"/>
    <s v="month"/>
    <n v="29"/>
    <x v="0"/>
  </r>
  <r>
    <n v="202589094"/>
    <x v="333"/>
    <x v="302"/>
    <x v="0"/>
    <n v="39"/>
    <s v="month"/>
    <n v="31"/>
    <x v="0"/>
  </r>
  <r>
    <n v="129747676"/>
    <x v="333"/>
    <x v="349"/>
    <x v="0"/>
    <n v="39"/>
    <s v="month"/>
    <n v="34"/>
    <x v="0"/>
  </r>
  <r>
    <n v="219511614"/>
    <x v="333"/>
    <x v="318"/>
    <x v="0"/>
    <n v="39"/>
    <s v="month"/>
    <n v="29"/>
    <x v="0"/>
  </r>
  <r>
    <n v="219491158"/>
    <x v="334"/>
    <x v="0"/>
    <x v="0"/>
    <n v="39"/>
    <s v="month"/>
    <s v=""/>
    <x v="1"/>
  </r>
  <r>
    <n v="218790626"/>
    <x v="334"/>
    <x v="0"/>
    <x v="0"/>
    <n v="39"/>
    <s v="month"/>
    <s v=""/>
    <x v="1"/>
  </r>
  <r>
    <n v="219476808"/>
    <x v="334"/>
    <x v="0"/>
    <x v="0"/>
    <n v="39"/>
    <s v="month"/>
    <s v=""/>
    <x v="1"/>
  </r>
  <r>
    <n v="218585706"/>
    <x v="334"/>
    <x v="0"/>
    <x v="0"/>
    <n v="39"/>
    <s v="month"/>
    <s v=""/>
    <x v="1"/>
  </r>
  <r>
    <n v="219316901"/>
    <x v="334"/>
    <x v="0"/>
    <x v="0"/>
    <n v="39"/>
    <s v="month"/>
    <s v=""/>
    <x v="1"/>
  </r>
  <r>
    <n v="217724278"/>
    <x v="334"/>
    <x v="0"/>
    <x v="0"/>
    <n v="39"/>
    <s v="month"/>
    <s v=""/>
    <x v="1"/>
  </r>
  <r>
    <n v="155869412"/>
    <x v="334"/>
    <x v="0"/>
    <x v="0"/>
    <n v="39"/>
    <s v="month"/>
    <s v=""/>
    <x v="1"/>
  </r>
  <r>
    <n v="164535832"/>
    <x v="334"/>
    <x v="0"/>
    <x v="0"/>
    <n v="39"/>
    <s v="month"/>
    <s v=""/>
    <x v="1"/>
  </r>
  <r>
    <n v="219388064"/>
    <x v="334"/>
    <x v="0"/>
    <x v="0"/>
    <n v="39"/>
    <s v="month"/>
    <s v=""/>
    <x v="1"/>
  </r>
  <r>
    <n v="218884048"/>
    <x v="334"/>
    <x v="313"/>
    <x v="0"/>
    <n v="39"/>
    <s v="month"/>
    <n v="18"/>
    <x v="1"/>
  </r>
  <r>
    <n v="219603078"/>
    <x v="335"/>
    <x v="0"/>
    <x v="0"/>
    <n v="39"/>
    <s v="month"/>
    <s v=""/>
    <x v="2"/>
  </r>
  <r>
    <n v="219146842"/>
    <x v="335"/>
    <x v="0"/>
    <x v="0"/>
    <n v="39"/>
    <s v="month"/>
    <s v=""/>
    <x v="2"/>
  </r>
  <r>
    <n v="206676416"/>
    <x v="335"/>
    <x v="0"/>
    <x v="0"/>
    <n v="39"/>
    <s v="month"/>
    <s v=""/>
    <x v="2"/>
  </r>
  <r>
    <n v="219615770"/>
    <x v="335"/>
    <x v="0"/>
    <x v="0"/>
    <n v="39"/>
    <s v="month"/>
    <s v=""/>
    <x v="2"/>
  </r>
  <r>
    <n v="219630379"/>
    <x v="336"/>
    <x v="0"/>
    <x v="0"/>
    <n v="39"/>
    <s v="month"/>
    <s v=""/>
    <x v="3"/>
  </r>
  <r>
    <n v="145096572"/>
    <x v="336"/>
    <x v="0"/>
    <x v="0"/>
    <n v="39"/>
    <s v="month"/>
    <s v=""/>
    <x v="3"/>
  </r>
  <r>
    <n v="144005898"/>
    <x v="336"/>
    <x v="0"/>
    <x v="0"/>
    <n v="39"/>
    <s v="month"/>
    <s v=""/>
    <x v="3"/>
  </r>
  <r>
    <n v="215189020"/>
    <x v="336"/>
    <x v="0"/>
    <x v="0"/>
    <n v="39"/>
    <s v="month"/>
    <s v=""/>
    <x v="3"/>
  </r>
  <r>
    <n v="188354637"/>
    <x v="336"/>
    <x v="339"/>
    <x v="0"/>
    <n v="39"/>
    <s v="month"/>
    <n v="14"/>
    <x v="3"/>
  </r>
  <r>
    <n v="219668475"/>
    <x v="337"/>
    <x v="0"/>
    <x v="0"/>
    <n v="39"/>
    <s v="month"/>
    <s v=""/>
    <x v="4"/>
  </r>
  <r>
    <n v="219495361"/>
    <x v="337"/>
    <x v="0"/>
    <x v="0"/>
    <n v="39"/>
    <s v="month"/>
    <s v=""/>
    <x v="4"/>
  </r>
  <r>
    <n v="219672587"/>
    <x v="337"/>
    <x v="0"/>
    <x v="0"/>
    <n v="39"/>
    <s v="month"/>
    <s v=""/>
    <x v="4"/>
  </r>
  <r>
    <n v="218556897"/>
    <x v="337"/>
    <x v="98"/>
    <x v="0"/>
    <n v="39"/>
    <s v="month"/>
    <n v="1"/>
    <x v="4"/>
  </r>
  <r>
    <n v="219467082"/>
    <x v="337"/>
    <x v="334"/>
    <x v="0"/>
    <n v="39"/>
    <s v="month"/>
    <n v="8"/>
    <x v="4"/>
  </r>
  <r>
    <n v="139353407"/>
    <x v="338"/>
    <x v="0"/>
    <x v="0"/>
    <n v="39"/>
    <s v="month"/>
    <s v=""/>
    <x v="5"/>
  </r>
  <r>
    <n v="219734945"/>
    <x v="338"/>
    <x v="0"/>
    <x v="0"/>
    <n v="39"/>
    <s v="month"/>
    <s v=""/>
    <x v="5"/>
  </r>
  <r>
    <n v="219735949"/>
    <x v="338"/>
    <x v="0"/>
    <x v="0"/>
    <n v="39"/>
    <s v="month"/>
    <s v=""/>
    <x v="5"/>
  </r>
  <r>
    <n v="219688361"/>
    <x v="338"/>
    <x v="0"/>
    <x v="0"/>
    <n v="39"/>
    <s v="month"/>
    <s v=""/>
    <x v="5"/>
  </r>
  <r>
    <n v="219447968"/>
    <x v="338"/>
    <x v="0"/>
    <x v="0"/>
    <n v="39"/>
    <s v="month"/>
    <s v=""/>
    <x v="5"/>
  </r>
  <r>
    <n v="219583682"/>
    <x v="338"/>
    <x v="0"/>
    <x v="0"/>
    <n v="39"/>
    <s v="month"/>
    <s v=""/>
    <x v="5"/>
  </r>
  <r>
    <n v="217638566"/>
    <x v="338"/>
    <x v="0"/>
    <x v="0"/>
    <n v="39"/>
    <s v="month"/>
    <s v=""/>
    <x v="5"/>
  </r>
  <r>
    <n v="219716268"/>
    <x v="338"/>
    <x v="0"/>
    <x v="0"/>
    <n v="39"/>
    <s v="month"/>
    <s v=""/>
    <x v="5"/>
  </r>
  <r>
    <n v="219713718"/>
    <x v="338"/>
    <x v="0"/>
    <x v="0"/>
    <n v="39"/>
    <s v="month"/>
    <s v=""/>
    <x v="5"/>
  </r>
  <r>
    <n v="219707178"/>
    <x v="338"/>
    <x v="0"/>
    <x v="0"/>
    <n v="39"/>
    <s v="month"/>
    <s v=""/>
    <x v="5"/>
  </r>
  <r>
    <n v="219747148"/>
    <x v="338"/>
    <x v="98"/>
    <x v="0"/>
    <n v="39"/>
    <s v="month"/>
    <n v="0"/>
    <x v="5"/>
  </r>
  <r>
    <n v="219710700"/>
    <x v="338"/>
    <x v="351"/>
    <x v="0"/>
    <n v="39"/>
    <s v="month"/>
    <n v="9"/>
    <x v="5"/>
  </r>
  <r>
    <n v="160883429"/>
    <x v="339"/>
    <x v="0"/>
    <x v="0"/>
    <n v="39"/>
    <s v="month"/>
    <s v=""/>
    <x v="6"/>
  </r>
  <r>
    <n v="218556897"/>
    <x v="339"/>
    <x v="0"/>
    <x v="0"/>
    <n v="39"/>
    <s v="month"/>
    <s v=""/>
    <x v="6"/>
  </r>
  <r>
    <n v="219779586"/>
    <x v="339"/>
    <x v="0"/>
    <x v="0"/>
    <n v="39"/>
    <s v="month"/>
    <s v=""/>
    <x v="6"/>
  </r>
  <r>
    <n v="219437804"/>
    <x v="339"/>
    <x v="0"/>
    <x v="0"/>
    <n v="39"/>
    <s v="month"/>
    <s v=""/>
    <x v="6"/>
  </r>
  <r>
    <n v="206402783"/>
    <x v="339"/>
    <x v="0"/>
    <x v="0"/>
    <n v="39"/>
    <s v="month"/>
    <s v=""/>
    <x v="6"/>
  </r>
  <r>
    <n v="178419414"/>
    <x v="339"/>
    <x v="0"/>
    <x v="0"/>
    <n v="39"/>
    <s v="month"/>
    <s v=""/>
    <x v="6"/>
  </r>
  <r>
    <n v="219719416"/>
    <x v="339"/>
    <x v="0"/>
    <x v="0"/>
    <n v="39"/>
    <s v="month"/>
    <s v=""/>
    <x v="6"/>
  </r>
  <r>
    <n v="156558244"/>
    <x v="339"/>
    <x v="0"/>
    <x v="0"/>
    <n v="39"/>
    <s v="month"/>
    <s v=""/>
    <x v="6"/>
  </r>
  <r>
    <n v="215602271"/>
    <x v="339"/>
    <x v="334"/>
    <x v="0"/>
    <n v="39"/>
    <s v="month"/>
    <n v="6"/>
    <x v="6"/>
  </r>
  <r>
    <n v="219761422"/>
    <x v="339"/>
    <x v="332"/>
    <x v="0"/>
    <n v="39"/>
    <s v="month"/>
    <n v="5"/>
    <x v="6"/>
  </r>
  <r>
    <n v="218594597"/>
    <x v="339"/>
    <x v="252"/>
    <x v="1"/>
    <n v="39"/>
    <s v="month"/>
    <n v="0"/>
    <x v="6"/>
  </r>
  <r>
    <n v="219734107"/>
    <x v="340"/>
    <x v="0"/>
    <x v="0"/>
    <n v="39"/>
    <s v="month"/>
    <s v=""/>
    <x v="0"/>
  </r>
  <r>
    <n v="219836911"/>
    <x v="340"/>
    <x v="0"/>
    <x v="0"/>
    <n v="39"/>
    <s v="month"/>
    <s v=""/>
    <x v="0"/>
  </r>
  <r>
    <n v="215179190"/>
    <x v="340"/>
    <x v="0"/>
    <x v="0"/>
    <n v="39"/>
    <s v="month"/>
    <s v=""/>
    <x v="0"/>
  </r>
  <r>
    <n v="219817702"/>
    <x v="340"/>
    <x v="0"/>
    <x v="0"/>
    <n v="39"/>
    <s v="month"/>
    <s v=""/>
    <x v="0"/>
  </r>
  <r>
    <n v="150065982"/>
    <x v="340"/>
    <x v="301"/>
    <x v="0"/>
    <n v="39"/>
    <s v="month"/>
    <n v="1"/>
    <x v="0"/>
  </r>
  <r>
    <n v="219891350"/>
    <x v="341"/>
    <x v="0"/>
    <x v="0"/>
    <n v="39"/>
    <s v="month"/>
    <s v=""/>
    <x v="1"/>
  </r>
  <r>
    <n v="205210815"/>
    <x v="341"/>
    <x v="0"/>
    <x v="0"/>
    <n v="39"/>
    <s v="month"/>
    <s v=""/>
    <x v="1"/>
  </r>
  <r>
    <n v="219744473"/>
    <x v="341"/>
    <x v="0"/>
    <x v="0"/>
    <n v="39"/>
    <s v="month"/>
    <s v=""/>
    <x v="1"/>
  </r>
  <r>
    <n v="219851822"/>
    <x v="341"/>
    <x v="0"/>
    <x v="0"/>
    <n v="39"/>
    <s v="month"/>
    <s v=""/>
    <x v="1"/>
  </r>
  <r>
    <n v="150779000"/>
    <x v="341"/>
    <x v="349"/>
    <x v="0"/>
    <n v="39"/>
    <s v="month"/>
    <n v="26"/>
    <x v="1"/>
  </r>
  <r>
    <n v="219876215"/>
    <x v="341"/>
    <x v="328"/>
    <x v="0"/>
    <n v="39"/>
    <s v="month"/>
    <n v="1"/>
    <x v="1"/>
  </r>
  <r>
    <n v="151633468"/>
    <x v="341"/>
    <x v="328"/>
    <x v="0"/>
    <n v="39"/>
    <s v="month"/>
    <n v="1"/>
    <x v="1"/>
  </r>
  <r>
    <n v="219834528"/>
    <x v="341"/>
    <x v="328"/>
    <x v="1"/>
    <n v="39"/>
    <s v="month"/>
    <n v="1"/>
    <x v="1"/>
  </r>
  <r>
    <n v="202844600"/>
    <x v="341"/>
    <x v="328"/>
    <x v="1"/>
    <n v="39"/>
    <s v="month"/>
    <n v="1"/>
    <x v="1"/>
  </r>
  <r>
    <n v="158093021"/>
    <x v="342"/>
    <x v="0"/>
    <x v="0"/>
    <n v="39"/>
    <s v="month"/>
    <s v=""/>
    <x v="2"/>
  </r>
  <r>
    <n v="203366396"/>
    <x v="342"/>
    <x v="55"/>
    <x v="0"/>
    <n v="39"/>
    <s v="month"/>
    <n v="4"/>
    <x v="2"/>
  </r>
  <r>
    <n v="210694562"/>
    <x v="342"/>
    <x v="352"/>
    <x v="0"/>
    <n v="39"/>
    <s v="month"/>
    <n v="21"/>
    <x v="2"/>
  </r>
  <r>
    <n v="188347490"/>
    <x v="343"/>
    <x v="0"/>
    <x v="0"/>
    <n v="39"/>
    <s v="month"/>
    <s v=""/>
    <x v="3"/>
  </r>
  <r>
    <n v="219947831"/>
    <x v="343"/>
    <x v="0"/>
    <x v="0"/>
    <n v="39"/>
    <s v="month"/>
    <s v=""/>
    <x v="3"/>
  </r>
  <r>
    <n v="214775412"/>
    <x v="343"/>
    <x v="0"/>
    <x v="0"/>
    <n v="39"/>
    <s v="month"/>
    <s v=""/>
    <x v="3"/>
  </r>
  <r>
    <n v="134753801"/>
    <x v="343"/>
    <x v="0"/>
    <x v="0"/>
    <n v="39"/>
    <s v="month"/>
    <s v=""/>
    <x v="3"/>
  </r>
  <r>
    <n v="182584521"/>
    <x v="343"/>
    <x v="0"/>
    <x v="0"/>
    <n v="39"/>
    <s v="month"/>
    <s v=""/>
    <x v="3"/>
  </r>
  <r>
    <n v="219955434"/>
    <x v="343"/>
    <x v="0"/>
    <x v="0"/>
    <n v="39"/>
    <s v="month"/>
    <s v=""/>
    <x v="3"/>
  </r>
  <r>
    <n v="219951440"/>
    <x v="343"/>
    <x v="0"/>
    <x v="0"/>
    <n v="39"/>
    <s v="month"/>
    <s v=""/>
    <x v="3"/>
  </r>
  <r>
    <n v="219808428"/>
    <x v="343"/>
    <x v="318"/>
    <x v="0"/>
    <n v="39"/>
    <s v="month"/>
    <n v="19"/>
    <x v="3"/>
  </r>
  <r>
    <n v="191034251"/>
    <x v="344"/>
    <x v="0"/>
    <x v="0"/>
    <n v="39"/>
    <s v="month"/>
    <s v=""/>
    <x v="4"/>
  </r>
  <r>
    <n v="220023196"/>
    <x v="344"/>
    <x v="0"/>
    <x v="0"/>
    <n v="39"/>
    <s v="month"/>
    <s v=""/>
    <x v="4"/>
  </r>
  <r>
    <n v="220028812"/>
    <x v="344"/>
    <x v="0"/>
    <x v="0"/>
    <n v="39"/>
    <s v="month"/>
    <s v=""/>
    <x v="4"/>
  </r>
  <r>
    <n v="195988242"/>
    <x v="344"/>
    <x v="0"/>
    <x v="0"/>
    <n v="39"/>
    <s v="month"/>
    <s v=""/>
    <x v="4"/>
  </r>
  <r>
    <n v="151633468"/>
    <x v="344"/>
    <x v="0"/>
    <x v="0"/>
    <n v="39"/>
    <s v="month"/>
    <s v=""/>
    <x v="4"/>
  </r>
  <r>
    <n v="220012044"/>
    <x v="344"/>
    <x v="0"/>
    <x v="0"/>
    <n v="39"/>
    <s v="month"/>
    <s v=""/>
    <x v="4"/>
  </r>
  <r>
    <n v="219981231"/>
    <x v="344"/>
    <x v="0"/>
    <x v="0"/>
    <n v="39"/>
    <s v="month"/>
    <s v=""/>
    <x v="4"/>
  </r>
  <r>
    <n v="169692209"/>
    <x v="344"/>
    <x v="0"/>
    <x v="0"/>
    <n v="39"/>
    <s v="month"/>
    <s v=""/>
    <x v="4"/>
  </r>
  <r>
    <n v="116156335"/>
    <x v="344"/>
    <x v="0"/>
    <x v="0"/>
    <n v="39"/>
    <s v="month"/>
    <s v=""/>
    <x v="4"/>
  </r>
  <r>
    <n v="153393340"/>
    <x v="344"/>
    <x v="0"/>
    <x v="0"/>
    <n v="39"/>
    <s v="month"/>
    <s v=""/>
    <x v="4"/>
  </r>
  <r>
    <n v="219974920"/>
    <x v="344"/>
    <x v="0"/>
    <x v="0"/>
    <n v="39"/>
    <s v="month"/>
    <s v=""/>
    <x v="4"/>
  </r>
  <r>
    <n v="121253113"/>
    <x v="344"/>
    <x v="55"/>
    <x v="0"/>
    <n v="39"/>
    <s v="month"/>
    <n v="2"/>
    <x v="4"/>
  </r>
  <r>
    <n v="219690296"/>
    <x v="345"/>
    <x v="0"/>
    <x v="0"/>
    <n v="39"/>
    <s v="month"/>
    <s v=""/>
    <x v="5"/>
  </r>
  <r>
    <n v="187268085"/>
    <x v="345"/>
    <x v="0"/>
    <x v="0"/>
    <n v="39"/>
    <s v="month"/>
    <s v=""/>
    <x v="5"/>
  </r>
  <r>
    <n v="150623785"/>
    <x v="345"/>
    <x v="0"/>
    <x v="0"/>
    <n v="39"/>
    <s v="month"/>
    <s v=""/>
    <x v="5"/>
  </r>
  <r>
    <n v="220056524"/>
    <x v="345"/>
    <x v="55"/>
    <x v="1"/>
    <n v="39"/>
    <s v="month"/>
    <n v="1"/>
    <x v="5"/>
  </r>
  <r>
    <n v="208188866"/>
    <x v="346"/>
    <x v="0"/>
    <x v="0"/>
    <n v="39"/>
    <s v="month"/>
    <s v=""/>
    <x v="6"/>
  </r>
  <r>
    <n v="219081046"/>
    <x v="346"/>
    <x v="0"/>
    <x v="0"/>
    <n v="39"/>
    <s v="month"/>
    <s v=""/>
    <x v="6"/>
  </r>
  <r>
    <n v="219569143"/>
    <x v="346"/>
    <x v="0"/>
    <x v="0"/>
    <n v="39"/>
    <s v="month"/>
    <s v=""/>
    <x v="6"/>
  </r>
  <r>
    <n v="219653068"/>
    <x v="346"/>
    <x v="0"/>
    <x v="0"/>
    <n v="39"/>
    <s v="month"/>
    <s v=""/>
    <x v="6"/>
  </r>
  <r>
    <n v="220120740"/>
    <x v="346"/>
    <x v="0"/>
    <x v="0"/>
    <n v="39"/>
    <s v="month"/>
    <s v=""/>
    <x v="6"/>
  </r>
  <r>
    <n v="186200901"/>
    <x v="346"/>
    <x v="0"/>
    <x v="0"/>
    <n v="39"/>
    <s v="month"/>
    <s v=""/>
    <x v="6"/>
  </r>
  <r>
    <n v="220116966"/>
    <x v="346"/>
    <x v="0"/>
    <x v="0"/>
    <n v="39"/>
    <s v="month"/>
    <s v=""/>
    <x v="6"/>
  </r>
  <r>
    <n v="219876215"/>
    <x v="346"/>
    <x v="0"/>
    <x v="0"/>
    <n v="39"/>
    <s v="month"/>
    <s v=""/>
    <x v="6"/>
  </r>
  <r>
    <n v="219996796"/>
    <x v="346"/>
    <x v="0"/>
    <x v="0"/>
    <n v="39"/>
    <s v="month"/>
    <s v=""/>
    <x v="6"/>
  </r>
  <r>
    <n v="218296652"/>
    <x v="346"/>
    <x v="0"/>
    <x v="0"/>
    <n v="39"/>
    <s v="month"/>
    <s v=""/>
    <x v="6"/>
  </r>
  <r>
    <n v="188748372"/>
    <x v="346"/>
    <x v="0"/>
    <x v="0"/>
    <n v="39"/>
    <s v="month"/>
    <s v=""/>
    <x v="6"/>
  </r>
  <r>
    <n v="220080560"/>
    <x v="346"/>
    <x v="0"/>
    <x v="0"/>
    <n v="39"/>
    <s v="month"/>
    <s v=""/>
    <x v="6"/>
  </r>
  <r>
    <n v="219899496"/>
    <x v="347"/>
    <x v="0"/>
    <x v="0"/>
    <n v="39"/>
    <s v="month"/>
    <s v=""/>
    <x v="0"/>
  </r>
  <r>
    <n v="219000322"/>
    <x v="347"/>
    <x v="0"/>
    <x v="0"/>
    <n v="39"/>
    <s v="month"/>
    <s v=""/>
    <x v="0"/>
  </r>
  <r>
    <n v="220181992"/>
    <x v="347"/>
    <x v="0"/>
    <x v="0"/>
    <n v="39"/>
    <s v="month"/>
    <s v=""/>
    <x v="0"/>
  </r>
  <r>
    <n v="220196419"/>
    <x v="347"/>
    <x v="0"/>
    <x v="0"/>
    <n v="39"/>
    <s v="month"/>
    <s v=""/>
    <x v="0"/>
  </r>
  <r>
    <n v="220155197"/>
    <x v="347"/>
    <x v="0"/>
    <x v="0"/>
    <n v="39"/>
    <s v="month"/>
    <s v=""/>
    <x v="0"/>
  </r>
  <r>
    <n v="220144619"/>
    <x v="347"/>
    <x v="0"/>
    <x v="0"/>
    <n v="39"/>
    <s v="month"/>
    <s v=""/>
    <x v="0"/>
  </r>
  <r>
    <n v="220184550"/>
    <x v="347"/>
    <x v="0"/>
    <x v="0"/>
    <n v="39"/>
    <s v="month"/>
    <s v=""/>
    <x v="0"/>
  </r>
  <r>
    <n v="152209352"/>
    <x v="347"/>
    <x v="0"/>
    <x v="0"/>
    <n v="39"/>
    <s v="month"/>
    <s v=""/>
    <x v="0"/>
  </r>
  <r>
    <n v="146952862"/>
    <x v="347"/>
    <x v="0"/>
    <x v="0"/>
    <n v="39"/>
    <s v="month"/>
    <s v=""/>
    <x v="0"/>
  </r>
  <r>
    <n v="220178530"/>
    <x v="347"/>
    <x v="0"/>
    <x v="0"/>
    <n v="39"/>
    <s v="month"/>
    <s v=""/>
    <x v="0"/>
  </r>
  <r>
    <n v="219498470"/>
    <x v="347"/>
    <x v="0"/>
    <x v="0"/>
    <n v="39"/>
    <s v="month"/>
    <s v=""/>
    <x v="0"/>
  </r>
  <r>
    <n v="216622895"/>
    <x v="347"/>
    <x v="0"/>
    <x v="0"/>
    <n v="39"/>
    <s v="month"/>
    <s v=""/>
    <x v="0"/>
  </r>
  <r>
    <n v="153705354"/>
    <x v="347"/>
    <x v="351"/>
    <x v="0"/>
    <n v="39"/>
    <s v="month"/>
    <n v="0"/>
    <x v="0"/>
  </r>
  <r>
    <n v="219280628"/>
    <x v="347"/>
    <x v="63"/>
    <x v="1"/>
    <n v="39"/>
    <s v="month"/>
    <n v="1"/>
    <x v="0"/>
  </r>
  <r>
    <n v="220171290"/>
    <x v="348"/>
    <x v="0"/>
    <x v="0"/>
    <n v="39"/>
    <s v="month"/>
    <s v=""/>
    <x v="1"/>
  </r>
  <r>
    <n v="219553060"/>
    <x v="348"/>
    <x v="0"/>
    <x v="0"/>
    <n v="39"/>
    <s v="month"/>
    <s v=""/>
    <x v="1"/>
  </r>
  <r>
    <n v="220244827"/>
    <x v="348"/>
    <x v="0"/>
    <x v="0"/>
    <n v="39"/>
    <s v="month"/>
    <s v=""/>
    <x v="1"/>
  </r>
  <r>
    <n v="219612883"/>
    <x v="348"/>
    <x v="0"/>
    <x v="0"/>
    <n v="39"/>
    <s v="month"/>
    <s v=""/>
    <x v="1"/>
  </r>
  <r>
    <n v="217914279"/>
    <x v="348"/>
    <x v="0"/>
    <x v="0"/>
    <n v="39"/>
    <s v="month"/>
    <s v=""/>
    <x v="1"/>
  </r>
  <r>
    <n v="220171851"/>
    <x v="348"/>
    <x v="0"/>
    <x v="0"/>
    <n v="39"/>
    <s v="month"/>
    <s v=""/>
    <x v="1"/>
  </r>
  <r>
    <n v="217543308"/>
    <x v="348"/>
    <x v="0"/>
    <x v="0"/>
    <n v="39"/>
    <s v="month"/>
    <s v=""/>
    <x v="1"/>
  </r>
  <r>
    <n v="157008330"/>
    <x v="348"/>
    <x v="63"/>
    <x v="0"/>
    <n v="39"/>
    <s v="month"/>
    <n v="0"/>
    <x v="1"/>
  </r>
  <r>
    <n v="206063908"/>
    <x v="348"/>
    <x v="290"/>
    <x v="0"/>
    <n v="39"/>
    <s v="month"/>
    <n v="20"/>
    <x v="1"/>
  </r>
  <r>
    <n v="220182716"/>
    <x v="348"/>
    <x v="295"/>
    <x v="1"/>
    <n v="39"/>
    <s v="month"/>
    <n v="1"/>
    <x v="1"/>
  </r>
  <r>
    <n v="202103959"/>
    <x v="349"/>
    <x v="0"/>
    <x v="0"/>
    <n v="39"/>
    <s v="month"/>
    <s v=""/>
    <x v="2"/>
  </r>
  <r>
    <n v="218757796"/>
    <x v="349"/>
    <x v="0"/>
    <x v="0"/>
    <n v="39"/>
    <s v="month"/>
    <s v=""/>
    <x v="2"/>
  </r>
  <r>
    <n v="220272556"/>
    <x v="349"/>
    <x v="0"/>
    <x v="0"/>
    <n v="39"/>
    <s v="month"/>
    <s v=""/>
    <x v="2"/>
  </r>
  <r>
    <n v="219493644"/>
    <x v="349"/>
    <x v="0"/>
    <x v="0"/>
    <n v="39"/>
    <s v="month"/>
    <s v=""/>
    <x v="2"/>
  </r>
  <r>
    <n v="148996798"/>
    <x v="349"/>
    <x v="0"/>
    <x v="0"/>
    <n v="39"/>
    <s v="month"/>
    <s v=""/>
    <x v="2"/>
  </r>
  <r>
    <n v="218947678"/>
    <x v="349"/>
    <x v="0"/>
    <x v="0"/>
    <n v="39"/>
    <s v="month"/>
    <s v=""/>
    <x v="2"/>
  </r>
  <r>
    <n v="119465934"/>
    <x v="349"/>
    <x v="0"/>
    <x v="0"/>
    <n v="39"/>
    <s v="month"/>
    <s v=""/>
    <x v="2"/>
  </r>
  <r>
    <n v="219195061"/>
    <x v="349"/>
    <x v="0"/>
    <x v="0"/>
    <n v="39"/>
    <s v="month"/>
    <s v=""/>
    <x v="2"/>
  </r>
  <r>
    <n v="219637590"/>
    <x v="349"/>
    <x v="333"/>
    <x v="0"/>
    <n v="39"/>
    <s v="month"/>
    <n v="6"/>
    <x v="2"/>
  </r>
  <r>
    <n v="218878930"/>
    <x v="350"/>
    <x v="0"/>
    <x v="0"/>
    <n v="39"/>
    <s v="month"/>
    <s v=""/>
    <x v="3"/>
  </r>
  <r>
    <n v="134622358"/>
    <x v="350"/>
    <x v="0"/>
    <x v="0"/>
    <n v="39"/>
    <s v="month"/>
    <s v=""/>
    <x v="3"/>
  </r>
  <r>
    <n v="219237524"/>
    <x v="350"/>
    <x v="0"/>
    <x v="0"/>
    <n v="39"/>
    <s v="month"/>
    <s v=""/>
    <x v="3"/>
  </r>
  <r>
    <n v="147320092"/>
    <x v="350"/>
    <x v="0"/>
    <x v="0"/>
    <n v="39"/>
    <s v="month"/>
    <s v=""/>
    <x v="3"/>
  </r>
  <r>
    <n v="219953886"/>
    <x v="350"/>
    <x v="0"/>
    <x v="0"/>
    <n v="39"/>
    <s v="month"/>
    <s v=""/>
    <x v="3"/>
  </r>
  <r>
    <n v="207013932"/>
    <x v="350"/>
    <x v="339"/>
    <x v="1"/>
    <n v="39"/>
    <s v="month"/>
    <n v="0"/>
    <x v="3"/>
  </r>
  <r>
    <n v="205274562"/>
    <x v="351"/>
    <x v="0"/>
    <x v="0"/>
    <n v="39"/>
    <s v="month"/>
    <s v=""/>
    <x v="4"/>
  </r>
  <r>
    <n v="152698255"/>
    <x v="351"/>
    <x v="0"/>
    <x v="0"/>
    <n v="39"/>
    <s v="month"/>
    <s v=""/>
    <x v="4"/>
  </r>
  <r>
    <n v="209361492"/>
    <x v="351"/>
    <x v="0"/>
    <x v="0"/>
    <n v="39"/>
    <s v="month"/>
    <s v=""/>
    <x v="4"/>
  </r>
  <r>
    <n v="205530810"/>
    <x v="351"/>
    <x v="0"/>
    <x v="0"/>
    <n v="39"/>
    <s v="month"/>
    <s v=""/>
    <x v="4"/>
  </r>
  <r>
    <n v="220343801"/>
    <x v="351"/>
    <x v="0"/>
    <x v="0"/>
    <n v="39"/>
    <s v="month"/>
    <s v=""/>
    <x v="4"/>
  </r>
  <r>
    <n v="150441222"/>
    <x v="351"/>
    <x v="0"/>
    <x v="0"/>
    <n v="39"/>
    <s v="month"/>
    <s v=""/>
    <x v="4"/>
  </r>
  <r>
    <n v="214640803"/>
    <x v="351"/>
    <x v="0"/>
    <x v="0"/>
    <n v="39"/>
    <s v="month"/>
    <s v=""/>
    <x v="4"/>
  </r>
  <r>
    <n v="219569853"/>
    <x v="351"/>
    <x v="0"/>
    <x v="0"/>
    <n v="39"/>
    <s v="month"/>
    <s v=""/>
    <x v="4"/>
  </r>
  <r>
    <n v="220197494"/>
    <x v="351"/>
    <x v="0"/>
    <x v="0"/>
    <n v="39"/>
    <s v="month"/>
    <s v=""/>
    <x v="4"/>
  </r>
  <r>
    <n v="220323698"/>
    <x v="351"/>
    <x v="0"/>
    <x v="0"/>
    <n v="39"/>
    <s v="month"/>
    <s v=""/>
    <x v="4"/>
  </r>
  <r>
    <n v="215180470"/>
    <x v="351"/>
    <x v="190"/>
    <x v="0"/>
    <n v="39"/>
    <s v="month"/>
    <n v="0"/>
    <x v="4"/>
  </r>
  <r>
    <n v="177323966"/>
    <x v="351"/>
    <x v="331"/>
    <x v="0"/>
    <n v="39"/>
    <s v="month"/>
    <n v="7"/>
    <x v="4"/>
  </r>
  <r>
    <n v="214682826"/>
    <x v="351"/>
    <x v="313"/>
    <x v="0"/>
    <n v="39"/>
    <s v="month"/>
    <n v="1"/>
    <x v="4"/>
  </r>
  <r>
    <n v="220414820"/>
    <x v="352"/>
    <x v="0"/>
    <x v="0"/>
    <n v="39"/>
    <s v="month"/>
    <s v=""/>
    <x v="5"/>
  </r>
  <r>
    <n v="214682826"/>
    <x v="352"/>
    <x v="0"/>
    <x v="0"/>
    <n v="39"/>
    <s v="month"/>
    <s v=""/>
    <x v="5"/>
  </r>
  <r>
    <n v="206147500"/>
    <x v="352"/>
    <x v="0"/>
    <x v="0"/>
    <n v="39"/>
    <s v="month"/>
    <s v=""/>
    <x v="5"/>
  </r>
  <r>
    <n v="220402308"/>
    <x v="352"/>
    <x v="0"/>
    <x v="0"/>
    <n v="39"/>
    <s v="month"/>
    <s v=""/>
    <x v="5"/>
  </r>
  <r>
    <n v="220205806"/>
    <x v="352"/>
    <x v="0"/>
    <x v="0"/>
    <n v="39"/>
    <s v="month"/>
    <s v=""/>
    <x v="5"/>
  </r>
  <r>
    <n v="152792045"/>
    <x v="352"/>
    <x v="0"/>
    <x v="0"/>
    <n v="39"/>
    <s v="month"/>
    <s v=""/>
    <x v="5"/>
  </r>
  <r>
    <n v="220381016"/>
    <x v="352"/>
    <x v="0"/>
    <x v="0"/>
    <n v="39"/>
    <s v="month"/>
    <s v=""/>
    <x v="5"/>
  </r>
  <r>
    <n v="220385078"/>
    <x v="352"/>
    <x v="0"/>
    <x v="0"/>
    <n v="39"/>
    <s v="month"/>
    <s v=""/>
    <x v="5"/>
  </r>
  <r>
    <n v="220414853"/>
    <x v="352"/>
    <x v="0"/>
    <x v="0"/>
    <n v="39"/>
    <s v="month"/>
    <s v=""/>
    <x v="5"/>
  </r>
  <r>
    <n v="220366524"/>
    <x v="352"/>
    <x v="0"/>
    <x v="0"/>
    <n v="39"/>
    <s v="month"/>
    <s v=""/>
    <x v="5"/>
  </r>
  <r>
    <n v="220407436"/>
    <x v="352"/>
    <x v="225"/>
    <x v="1"/>
    <n v="39"/>
    <s v="month"/>
    <n v="1"/>
    <x v="5"/>
  </r>
  <r>
    <n v="192182455"/>
    <x v="353"/>
    <x v="0"/>
    <x v="0"/>
    <n v="39"/>
    <s v="month"/>
    <s v=""/>
    <x v="6"/>
  </r>
  <r>
    <n v="219439597"/>
    <x v="353"/>
    <x v="0"/>
    <x v="0"/>
    <n v="39"/>
    <s v="month"/>
    <s v=""/>
    <x v="6"/>
  </r>
  <r>
    <n v="219576812"/>
    <x v="353"/>
    <x v="0"/>
    <x v="0"/>
    <n v="39"/>
    <s v="month"/>
    <s v=""/>
    <x v="6"/>
  </r>
  <r>
    <n v="143111905"/>
    <x v="353"/>
    <x v="0"/>
    <x v="0"/>
    <n v="39"/>
    <s v="month"/>
    <s v=""/>
    <x v="6"/>
  </r>
  <r>
    <n v="123297208"/>
    <x v="353"/>
    <x v="0"/>
    <x v="0"/>
    <n v="39"/>
    <s v="month"/>
    <s v=""/>
    <x v="6"/>
  </r>
  <r>
    <n v="213194584"/>
    <x v="353"/>
    <x v="0"/>
    <x v="0"/>
    <n v="39"/>
    <s v="month"/>
    <s v=""/>
    <x v="6"/>
  </r>
  <r>
    <n v="220455205"/>
    <x v="353"/>
    <x v="0"/>
    <x v="0"/>
    <n v="39"/>
    <s v="month"/>
    <s v=""/>
    <x v="6"/>
  </r>
  <r>
    <n v="220425056"/>
    <x v="353"/>
    <x v="0"/>
    <x v="0"/>
    <n v="39"/>
    <s v="month"/>
    <s v=""/>
    <x v="6"/>
  </r>
  <r>
    <n v="219685108"/>
    <x v="353"/>
    <x v="0"/>
    <x v="0"/>
    <n v="39"/>
    <s v="month"/>
    <s v=""/>
    <x v="6"/>
  </r>
  <r>
    <n v="220531090"/>
    <x v="354"/>
    <x v="0"/>
    <x v="0"/>
    <n v="39"/>
    <s v="month"/>
    <s v=""/>
    <x v="0"/>
  </r>
  <r>
    <n v="220510482"/>
    <x v="354"/>
    <x v="0"/>
    <x v="0"/>
    <n v="39"/>
    <s v="month"/>
    <s v=""/>
    <x v="0"/>
  </r>
  <r>
    <n v="149856123"/>
    <x v="354"/>
    <x v="0"/>
    <x v="0"/>
    <n v="39"/>
    <s v="month"/>
    <s v=""/>
    <x v="0"/>
  </r>
  <r>
    <n v="217506938"/>
    <x v="354"/>
    <x v="0"/>
    <x v="0"/>
    <n v="39"/>
    <s v="month"/>
    <s v=""/>
    <x v="0"/>
  </r>
  <r>
    <n v="189403535"/>
    <x v="354"/>
    <x v="0"/>
    <x v="0"/>
    <n v="39"/>
    <s v="month"/>
    <s v=""/>
    <x v="0"/>
  </r>
  <r>
    <n v="132318451"/>
    <x v="354"/>
    <x v="333"/>
    <x v="0"/>
    <n v="39"/>
    <s v="month"/>
    <n v="1"/>
    <x v="0"/>
  </r>
  <r>
    <n v="220495479"/>
    <x v="354"/>
    <x v="333"/>
    <x v="1"/>
    <n v="39"/>
    <s v="month"/>
    <n v="1"/>
    <x v="0"/>
  </r>
  <r>
    <n v="164903790"/>
    <x v="355"/>
    <x v="0"/>
    <x v="0"/>
    <n v="39"/>
    <s v="month"/>
    <s v=""/>
    <x v="1"/>
  </r>
  <r>
    <n v="220371835"/>
    <x v="355"/>
    <x v="0"/>
    <x v="0"/>
    <n v="39"/>
    <s v="month"/>
    <s v=""/>
    <x v="1"/>
  </r>
  <r>
    <n v="125932988"/>
    <x v="355"/>
    <x v="0"/>
    <x v="0"/>
    <n v="39"/>
    <s v="month"/>
    <s v=""/>
    <x v="1"/>
  </r>
  <r>
    <n v="214924190"/>
    <x v="355"/>
    <x v="0"/>
    <x v="0"/>
    <n v="39"/>
    <s v="month"/>
    <s v=""/>
    <x v="1"/>
  </r>
  <r>
    <n v="117300170"/>
    <x v="355"/>
    <x v="0"/>
    <x v="0"/>
    <n v="39"/>
    <s v="month"/>
    <s v=""/>
    <x v="1"/>
  </r>
  <r>
    <n v="162913792"/>
    <x v="355"/>
    <x v="0"/>
    <x v="0"/>
    <n v="39"/>
    <s v="month"/>
    <s v=""/>
    <x v="1"/>
  </r>
  <r>
    <n v="220551506"/>
    <x v="355"/>
    <x v="0"/>
    <x v="0"/>
    <n v="39"/>
    <s v="month"/>
    <s v=""/>
    <x v="1"/>
  </r>
  <r>
    <n v="161187523"/>
    <x v="355"/>
    <x v="0"/>
    <x v="0"/>
    <n v="39"/>
    <s v="month"/>
    <s v=""/>
    <x v="1"/>
  </r>
  <r>
    <n v="220562110"/>
    <x v="355"/>
    <x v="262"/>
    <x v="1"/>
    <n v="39"/>
    <s v="month"/>
    <n v="1"/>
    <x v="1"/>
  </r>
  <r>
    <n v="220589305"/>
    <x v="356"/>
    <x v="0"/>
    <x v="0"/>
    <n v="39"/>
    <s v="month"/>
    <s v=""/>
    <x v="2"/>
  </r>
  <r>
    <n v="220496139"/>
    <x v="356"/>
    <x v="0"/>
    <x v="0"/>
    <n v="39"/>
    <s v="month"/>
    <s v=""/>
    <x v="2"/>
  </r>
  <r>
    <n v="219211334"/>
    <x v="356"/>
    <x v="0"/>
    <x v="0"/>
    <n v="39"/>
    <s v="month"/>
    <s v=""/>
    <x v="2"/>
  </r>
  <r>
    <n v="220582817"/>
    <x v="356"/>
    <x v="0"/>
    <x v="0"/>
    <n v="39"/>
    <s v="month"/>
    <s v=""/>
    <x v="2"/>
  </r>
  <r>
    <n v="217513777"/>
    <x v="356"/>
    <x v="331"/>
    <x v="0"/>
    <n v="39"/>
    <s v="month"/>
    <n v="2"/>
    <x v="2"/>
  </r>
  <r>
    <n v="220576148"/>
    <x v="356"/>
    <x v="294"/>
    <x v="0"/>
    <n v="39"/>
    <s v="month"/>
    <n v="10"/>
    <x v="2"/>
  </r>
  <r>
    <n v="219294264"/>
    <x v="357"/>
    <x v="0"/>
    <x v="0"/>
    <n v="39"/>
    <s v="month"/>
    <s v=""/>
    <x v="3"/>
  </r>
  <r>
    <n v="220617197"/>
    <x v="357"/>
    <x v="0"/>
    <x v="0"/>
    <n v="39"/>
    <s v="month"/>
    <s v=""/>
    <x v="3"/>
  </r>
  <r>
    <n v="220227691"/>
    <x v="357"/>
    <x v="0"/>
    <x v="0"/>
    <n v="39"/>
    <s v="month"/>
    <s v=""/>
    <x v="3"/>
  </r>
  <r>
    <n v="220672607"/>
    <x v="358"/>
    <x v="0"/>
    <x v="0"/>
    <n v="39"/>
    <s v="month"/>
    <s v=""/>
    <x v="4"/>
  </r>
  <r>
    <n v="218608353"/>
    <x v="358"/>
    <x v="0"/>
    <x v="0"/>
    <n v="39"/>
    <s v="month"/>
    <s v=""/>
    <x v="4"/>
  </r>
  <r>
    <n v="135128238"/>
    <x v="358"/>
    <x v="0"/>
    <x v="0"/>
    <n v="39"/>
    <s v="month"/>
    <s v=""/>
    <x v="4"/>
  </r>
  <r>
    <n v="220285147"/>
    <x v="358"/>
    <x v="0"/>
    <x v="0"/>
    <n v="39"/>
    <s v="month"/>
    <s v=""/>
    <x v="4"/>
  </r>
  <r>
    <n v="218645057"/>
    <x v="358"/>
    <x v="0"/>
    <x v="0"/>
    <n v="39"/>
    <s v="month"/>
    <s v=""/>
    <x v="4"/>
  </r>
  <r>
    <n v="128199550"/>
    <x v="358"/>
    <x v="335"/>
    <x v="0"/>
    <n v="39"/>
    <s v="month"/>
    <n v="3"/>
    <x v="4"/>
  </r>
  <r>
    <n v="220747618"/>
    <x v="359"/>
    <x v="0"/>
    <x v="0"/>
    <n v="39"/>
    <s v="month"/>
    <s v=""/>
    <x v="5"/>
  </r>
  <r>
    <n v="207386830"/>
    <x v="359"/>
    <x v="0"/>
    <x v="0"/>
    <n v="39"/>
    <s v="month"/>
    <s v=""/>
    <x v="5"/>
  </r>
  <r>
    <n v="205109812"/>
    <x v="359"/>
    <x v="0"/>
    <x v="0"/>
    <n v="39"/>
    <s v="month"/>
    <s v=""/>
    <x v="5"/>
  </r>
  <r>
    <n v="132318451"/>
    <x v="359"/>
    <x v="0"/>
    <x v="0"/>
    <n v="39"/>
    <s v="month"/>
    <s v=""/>
    <x v="5"/>
  </r>
  <r>
    <n v="218596318"/>
    <x v="359"/>
    <x v="0"/>
    <x v="0"/>
    <n v="39"/>
    <s v="month"/>
    <s v=""/>
    <x v="5"/>
  </r>
  <r>
    <n v="220699520"/>
    <x v="359"/>
    <x v="0"/>
    <x v="0"/>
    <n v="39"/>
    <s v="month"/>
    <s v=""/>
    <x v="5"/>
  </r>
  <r>
    <n v="218307579"/>
    <x v="359"/>
    <x v="0"/>
    <x v="0"/>
    <n v="39"/>
    <s v="month"/>
    <s v=""/>
    <x v="5"/>
  </r>
  <r>
    <n v="218514844"/>
    <x v="360"/>
    <x v="0"/>
    <x v="0"/>
    <n v="39"/>
    <s v="month"/>
    <s v=""/>
    <x v="6"/>
  </r>
  <r>
    <n v="188622328"/>
    <x v="360"/>
    <x v="0"/>
    <x v="0"/>
    <n v="39"/>
    <s v="month"/>
    <s v=""/>
    <x v="6"/>
  </r>
  <r>
    <n v="220790640"/>
    <x v="360"/>
    <x v="0"/>
    <x v="0"/>
    <n v="39"/>
    <s v="month"/>
    <s v=""/>
    <x v="6"/>
  </r>
  <r>
    <n v="220675005"/>
    <x v="360"/>
    <x v="0"/>
    <x v="0"/>
    <n v="39"/>
    <s v="month"/>
    <s v=""/>
    <x v="6"/>
  </r>
  <r>
    <n v="142757196"/>
    <x v="360"/>
    <x v="0"/>
    <x v="0"/>
    <n v="39"/>
    <s v="month"/>
    <s v=""/>
    <x v="6"/>
  </r>
  <r>
    <n v="220411940"/>
    <x v="360"/>
    <x v="0"/>
    <x v="0"/>
    <n v="39"/>
    <s v="month"/>
    <s v=""/>
    <x v="6"/>
  </r>
  <r>
    <n v="155613371"/>
    <x v="360"/>
    <x v="0"/>
    <x v="0"/>
    <n v="39"/>
    <s v="month"/>
    <s v=""/>
    <x v="6"/>
  </r>
  <r>
    <n v="164548755"/>
    <x v="360"/>
    <x v="0"/>
    <x v="0"/>
    <n v="39"/>
    <s v="month"/>
    <s v=""/>
    <x v="6"/>
  </r>
  <r>
    <n v="220546810"/>
    <x v="360"/>
    <x v="0"/>
    <x v="0"/>
    <n v="39"/>
    <s v="month"/>
    <s v=""/>
    <x v="6"/>
  </r>
  <r>
    <n v="215202566"/>
    <x v="360"/>
    <x v="211"/>
    <x v="0"/>
    <n v="39"/>
    <s v="month"/>
    <n v="0"/>
    <x v="6"/>
  </r>
  <r>
    <n v="135092264"/>
    <x v="361"/>
    <x v="0"/>
    <x v="0"/>
    <n v="39"/>
    <s v="month"/>
    <s v=""/>
    <x v="0"/>
  </r>
  <r>
    <n v="220854418"/>
    <x v="361"/>
    <x v="0"/>
    <x v="0"/>
    <n v="39"/>
    <s v="month"/>
    <s v=""/>
    <x v="0"/>
  </r>
  <r>
    <n v="220851140"/>
    <x v="361"/>
    <x v="0"/>
    <x v="0"/>
    <n v="39"/>
    <s v="month"/>
    <s v=""/>
    <x v="0"/>
  </r>
  <r>
    <n v="220843911"/>
    <x v="361"/>
    <x v="0"/>
    <x v="0"/>
    <n v="39"/>
    <s v="month"/>
    <s v=""/>
    <x v="0"/>
  </r>
  <r>
    <n v="216137022"/>
    <x v="361"/>
    <x v="0"/>
    <x v="0"/>
    <n v="39"/>
    <s v="month"/>
    <s v=""/>
    <x v="0"/>
  </r>
  <r>
    <n v="161151062"/>
    <x v="361"/>
    <x v="0"/>
    <x v="0"/>
    <n v="39"/>
    <s v="month"/>
    <s v=""/>
    <x v="0"/>
  </r>
  <r>
    <n v="148085880"/>
    <x v="361"/>
    <x v="0"/>
    <x v="0"/>
    <n v="39"/>
    <s v="month"/>
    <s v=""/>
    <x v="0"/>
  </r>
  <r>
    <n v="182061738"/>
    <x v="362"/>
    <x v="0"/>
    <x v="0"/>
    <n v="39"/>
    <s v="month"/>
    <s v=""/>
    <x v="1"/>
  </r>
  <r>
    <n v="220860582"/>
    <x v="362"/>
    <x v="0"/>
    <x v="0"/>
    <n v="39"/>
    <s v="month"/>
    <s v=""/>
    <x v="1"/>
  </r>
  <r>
    <n v="218315334"/>
    <x v="362"/>
    <x v="0"/>
    <x v="0"/>
    <n v="39"/>
    <s v="month"/>
    <s v=""/>
    <x v="1"/>
  </r>
  <r>
    <n v="217246008"/>
    <x v="362"/>
    <x v="0"/>
    <x v="0"/>
    <n v="39"/>
    <s v="month"/>
    <s v=""/>
    <x v="1"/>
  </r>
  <r>
    <n v="220835326"/>
    <x v="362"/>
    <x v="0"/>
    <x v="0"/>
    <n v="39"/>
    <s v="month"/>
    <s v=""/>
    <x v="1"/>
  </r>
  <r>
    <n v="219470485"/>
    <x v="362"/>
    <x v="0"/>
    <x v="0"/>
    <n v="39"/>
    <s v="month"/>
    <s v=""/>
    <x v="1"/>
  </r>
  <r>
    <n v="182153913"/>
    <x v="363"/>
    <x v="0"/>
    <x v="0"/>
    <n v="39"/>
    <s v="month"/>
    <s v=""/>
    <x v="2"/>
  </r>
  <r>
    <n v="217223132"/>
    <x v="363"/>
    <x v="0"/>
    <x v="0"/>
    <n v="39"/>
    <s v="month"/>
    <s v=""/>
    <x v="2"/>
  </r>
  <r>
    <n v="219643599"/>
    <x v="363"/>
    <x v="0"/>
    <x v="0"/>
    <n v="39"/>
    <s v="month"/>
    <s v=""/>
    <x v="2"/>
  </r>
  <r>
    <n v="152851458"/>
    <x v="363"/>
    <x v="0"/>
    <x v="0"/>
    <n v="39"/>
    <s v="month"/>
    <s v=""/>
    <x v="2"/>
  </r>
  <r>
    <n v="219657672"/>
    <x v="363"/>
    <x v="0"/>
    <x v="0"/>
    <n v="39"/>
    <s v="month"/>
    <s v=""/>
    <x v="2"/>
  </r>
  <r>
    <n v="220973656"/>
    <x v="364"/>
    <x v="0"/>
    <x v="0"/>
    <n v="39"/>
    <s v="month"/>
    <s v=""/>
    <x v="3"/>
  </r>
  <r>
    <n v="159717680"/>
    <x v="364"/>
    <x v="0"/>
    <x v="0"/>
    <n v="39"/>
    <s v="month"/>
    <s v=""/>
    <x v="3"/>
  </r>
  <r>
    <n v="220420126"/>
    <x v="364"/>
    <x v="0"/>
    <x v="0"/>
    <n v="39"/>
    <s v="month"/>
    <s v=""/>
    <x v="3"/>
  </r>
  <r>
    <n v="220965750"/>
    <x v="364"/>
    <x v="0"/>
    <x v="0"/>
    <n v="39"/>
    <s v="month"/>
    <s v=""/>
    <x v="3"/>
  </r>
  <r>
    <n v="219065931"/>
    <x v="364"/>
    <x v="0"/>
    <x v="0"/>
    <n v="39"/>
    <s v="month"/>
    <s v=""/>
    <x v="3"/>
  </r>
  <r>
    <n v="220707034"/>
    <x v="364"/>
    <x v="0"/>
    <x v="0"/>
    <n v="39"/>
    <s v="month"/>
    <s v=""/>
    <x v="3"/>
  </r>
  <r>
    <n v="220875396"/>
    <x v="364"/>
    <x v="0"/>
    <x v="0"/>
    <n v="39"/>
    <s v="month"/>
    <s v=""/>
    <x v="3"/>
  </r>
  <r>
    <n v="134054676"/>
    <x v="364"/>
    <x v="294"/>
    <x v="0"/>
    <n v="39"/>
    <s v="month"/>
    <n v="2"/>
    <x v="3"/>
  </r>
  <r>
    <n v="183702574"/>
    <x v="364"/>
    <x v="302"/>
    <x v="0"/>
    <n v="39"/>
    <s v="month"/>
    <n v="0"/>
    <x v="3"/>
  </r>
  <r>
    <n v="220997288"/>
    <x v="365"/>
    <x v="0"/>
    <x v="0"/>
    <n v="39"/>
    <s v="month"/>
    <s v=""/>
    <x v="4"/>
  </r>
  <r>
    <n v="218617631"/>
    <x v="365"/>
    <x v="0"/>
    <x v="0"/>
    <n v="39"/>
    <s v="month"/>
    <s v=""/>
    <x v="4"/>
  </r>
  <r>
    <n v="220952702"/>
    <x v="365"/>
    <x v="0"/>
    <x v="0"/>
    <n v="39"/>
    <s v="month"/>
    <s v=""/>
    <x v="4"/>
  </r>
  <r>
    <n v="156460574"/>
    <x v="365"/>
    <x v="0"/>
    <x v="0"/>
    <n v="39"/>
    <s v="month"/>
    <s v=""/>
    <x v="4"/>
  </r>
  <r>
    <n v="221012872"/>
    <x v="365"/>
    <x v="0"/>
    <x v="0"/>
    <n v="39"/>
    <s v="month"/>
    <s v=""/>
    <x v="4"/>
  </r>
  <r>
    <n v="220845656"/>
    <x v="365"/>
    <x v="0"/>
    <x v="0"/>
    <n v="39"/>
    <s v="month"/>
    <s v=""/>
    <x v="4"/>
  </r>
  <r>
    <n v="220989516"/>
    <x v="365"/>
    <x v="0"/>
    <x v="0"/>
    <n v="39"/>
    <s v="month"/>
    <s v=""/>
    <x v="4"/>
  </r>
  <r>
    <n v="135317128"/>
    <x v="365"/>
    <x v="0"/>
    <x v="0"/>
    <n v="39"/>
    <s v="month"/>
    <s v=""/>
    <x v="4"/>
  </r>
  <r>
    <n v="220984730"/>
    <x v="365"/>
    <x v="0"/>
    <x v="0"/>
    <n v="39"/>
    <s v="month"/>
    <s v=""/>
    <x v="4"/>
  </r>
  <r>
    <n v="220984628"/>
    <x v="365"/>
    <x v="0"/>
    <x v="0"/>
    <n v="39"/>
    <s v="month"/>
    <s v=""/>
    <x v="4"/>
  </r>
  <r>
    <n v="220989226"/>
    <x v="365"/>
    <x v="0"/>
    <x v="0"/>
    <n v="39"/>
    <s v="month"/>
    <s v=""/>
    <x v="4"/>
  </r>
  <r>
    <n v="220988969"/>
    <x v="365"/>
    <x v="0"/>
    <x v="0"/>
    <n v="39"/>
    <s v="month"/>
    <s v=""/>
    <x v="4"/>
  </r>
  <r>
    <n v="220988022"/>
    <x v="365"/>
    <x v="0"/>
    <x v="0"/>
    <n v="39"/>
    <s v="month"/>
    <s v=""/>
    <x v="4"/>
  </r>
  <r>
    <n v="220984390"/>
    <x v="365"/>
    <x v="0"/>
    <x v="0"/>
    <n v="39"/>
    <s v="month"/>
    <s v=""/>
    <x v="4"/>
  </r>
  <r>
    <n v="181480437"/>
    <x v="365"/>
    <x v="0"/>
    <x v="0"/>
    <n v="39"/>
    <s v="month"/>
    <s v=""/>
    <x v="4"/>
  </r>
  <r>
    <n v="125219153"/>
    <x v="366"/>
    <x v="0"/>
    <x v="0"/>
    <n v="39"/>
    <s v="month"/>
    <s v=""/>
    <x v="5"/>
  </r>
  <r>
    <n v="160833652"/>
    <x v="366"/>
    <x v="0"/>
    <x v="0"/>
    <n v="39"/>
    <s v="month"/>
    <s v=""/>
    <x v="5"/>
  </r>
  <r>
    <n v="221073196"/>
    <x v="366"/>
    <x v="0"/>
    <x v="0"/>
    <n v="39"/>
    <s v="month"/>
    <s v=""/>
    <x v="5"/>
  </r>
  <r>
    <n v="153733292"/>
    <x v="366"/>
    <x v="0"/>
    <x v="0"/>
    <n v="39"/>
    <s v="month"/>
    <s v=""/>
    <x v="5"/>
  </r>
  <r>
    <n v="152692003"/>
    <x v="366"/>
    <x v="0"/>
    <x v="0"/>
    <n v="39"/>
    <s v="month"/>
    <s v=""/>
    <x v="5"/>
  </r>
  <r>
    <n v="220528931"/>
    <x v="366"/>
    <x v="0"/>
    <x v="0"/>
    <n v="39"/>
    <s v="month"/>
    <s v=""/>
    <x v="5"/>
  </r>
  <r>
    <n v="221052611"/>
    <x v="366"/>
    <x v="0"/>
    <x v="0"/>
    <n v="39"/>
    <s v="month"/>
    <s v=""/>
    <x v="5"/>
  </r>
  <r>
    <n v="220665801"/>
    <x v="366"/>
    <x v="0"/>
    <x v="0"/>
    <n v="39"/>
    <s v="month"/>
    <s v=""/>
    <x v="5"/>
  </r>
  <r>
    <n v="221028388"/>
    <x v="366"/>
    <x v="0"/>
    <x v="0"/>
    <n v="39"/>
    <s v="month"/>
    <s v=""/>
    <x v="5"/>
  </r>
  <r>
    <n v="206284545"/>
    <x v="366"/>
    <x v="0"/>
    <x v="0"/>
    <n v="39"/>
    <s v="month"/>
    <s v=""/>
    <x v="5"/>
  </r>
  <r>
    <n v="178531928"/>
    <x v="366"/>
    <x v="0"/>
    <x v="0"/>
    <n v="39"/>
    <s v="month"/>
    <s v=""/>
    <x v="5"/>
  </r>
  <r>
    <n v="220994271"/>
    <x v="366"/>
    <x v="0"/>
    <x v="0"/>
    <n v="39"/>
    <s v="month"/>
    <s v=""/>
    <x v="5"/>
  </r>
  <r>
    <n v="218720472"/>
    <x v="366"/>
    <x v="0"/>
    <x v="0"/>
    <n v="39"/>
    <s v="month"/>
    <s v=""/>
    <x v="5"/>
  </r>
  <r>
    <n v="218900441"/>
    <x v="367"/>
    <x v="0"/>
    <x v="0"/>
    <n v="39"/>
    <s v="month"/>
    <s v=""/>
    <x v="6"/>
  </r>
  <r>
    <n v="221123938"/>
    <x v="367"/>
    <x v="0"/>
    <x v="0"/>
    <n v="39"/>
    <s v="month"/>
    <s v=""/>
    <x v="6"/>
  </r>
  <r>
    <n v="166750222"/>
    <x v="367"/>
    <x v="0"/>
    <x v="0"/>
    <n v="39"/>
    <s v="month"/>
    <s v=""/>
    <x v="6"/>
  </r>
  <r>
    <n v="154783053"/>
    <x v="367"/>
    <x v="0"/>
    <x v="0"/>
    <n v="39"/>
    <s v="month"/>
    <s v=""/>
    <x v="6"/>
  </r>
  <r>
    <n v="221100604"/>
    <x v="367"/>
    <x v="0"/>
    <x v="0"/>
    <n v="39"/>
    <s v="month"/>
    <s v=""/>
    <x v="6"/>
  </r>
  <r>
    <n v="220703723"/>
    <x v="367"/>
    <x v="0"/>
    <x v="0"/>
    <n v="39"/>
    <s v="month"/>
    <s v=""/>
    <x v="6"/>
  </r>
  <r>
    <n v="220815627"/>
    <x v="367"/>
    <x v="0"/>
    <x v="0"/>
    <n v="39"/>
    <s v="month"/>
    <s v=""/>
    <x v="6"/>
  </r>
  <r>
    <n v="214764106"/>
    <x v="367"/>
    <x v="0"/>
    <x v="0"/>
    <n v="39"/>
    <s v="month"/>
    <s v=""/>
    <x v="6"/>
  </r>
  <r>
    <n v="158763940"/>
    <x v="368"/>
    <x v="0"/>
    <x v="0"/>
    <n v="39"/>
    <s v="month"/>
    <s v=""/>
    <x v="0"/>
  </r>
  <r>
    <n v="220065316"/>
    <x v="368"/>
    <x v="0"/>
    <x v="0"/>
    <n v="39"/>
    <s v="month"/>
    <s v=""/>
    <x v="0"/>
  </r>
  <r>
    <n v="217662862"/>
    <x v="368"/>
    <x v="0"/>
    <x v="0"/>
    <n v="39"/>
    <s v="month"/>
    <s v=""/>
    <x v="0"/>
  </r>
  <r>
    <n v="220328388"/>
    <x v="368"/>
    <x v="0"/>
    <x v="0"/>
    <n v="39"/>
    <s v="month"/>
    <s v=""/>
    <x v="0"/>
  </r>
  <r>
    <n v="219521019"/>
    <x v="368"/>
    <x v="0"/>
    <x v="0"/>
    <n v="39"/>
    <s v="month"/>
    <s v=""/>
    <x v="0"/>
  </r>
  <r>
    <n v="221145374"/>
    <x v="368"/>
    <x v="0"/>
    <x v="0"/>
    <n v="39"/>
    <s v="month"/>
    <s v=""/>
    <x v="0"/>
  </r>
  <r>
    <n v="221130434"/>
    <x v="368"/>
    <x v="0"/>
    <x v="0"/>
    <n v="39"/>
    <s v="month"/>
    <s v=""/>
    <x v="0"/>
  </r>
  <r>
    <n v="221189604"/>
    <x v="369"/>
    <x v="0"/>
    <x v="0"/>
    <n v="39"/>
    <s v="month"/>
    <s v=""/>
    <x v="1"/>
  </r>
  <r>
    <n v="215174643"/>
    <x v="369"/>
    <x v="0"/>
    <x v="0"/>
    <n v="39"/>
    <s v="month"/>
    <s v=""/>
    <x v="1"/>
  </r>
  <r>
    <n v="188354637"/>
    <x v="369"/>
    <x v="0"/>
    <x v="0"/>
    <n v="39"/>
    <s v="month"/>
    <s v=""/>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scription Paid ">
  <location ref="C40:E42" firstHeaderRow="0" firstDataRow="1" firstDataCol="1"/>
  <pivotFields count="12">
    <pivotField showAll="0"/>
    <pivotField dataField="1" numFmtId="14"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2">
    <i>
      <x/>
    </i>
    <i>
      <x v="1"/>
    </i>
  </rowItems>
  <colFields count="1">
    <field x="-2"/>
  </colFields>
  <colItems count="2">
    <i>
      <x/>
    </i>
    <i i="1">
      <x v="1"/>
    </i>
  </colItems>
  <dataFields count="2">
    <dataField name="Count of created_date" fld="1" subtotal="count" baseField="0" baseItem="0"/>
    <dataField name="Count of canceled_d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Weekday">
  <location ref="C28:D35" firstHeaderRow="1" firstDataRow="1" firstDataCol="1"/>
  <pivotFields count="12">
    <pivotField dataField="1" showAll="0"/>
    <pivotField numFmtId="14" showAll="0"/>
    <pivotField showAll="0"/>
    <pivotField showAll="0"/>
    <pivotField showAll="0"/>
    <pivotField showAll="0"/>
    <pivotField showAll="0"/>
    <pivotField axis="axisRow" showAll="0" sortType="descending">
      <items count="8">
        <item x="3"/>
        <item x="4"/>
        <item x="5"/>
        <item x="6"/>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7">
    <i>
      <x v="1"/>
    </i>
    <i>
      <x v="4"/>
    </i>
    <i>
      <x v="2"/>
    </i>
    <i>
      <x v="3"/>
    </i>
    <i>
      <x v="5"/>
    </i>
    <i>
      <x v="6"/>
    </i>
    <i>
      <x/>
    </i>
  </rowItems>
  <colItems count="1">
    <i/>
  </colItems>
  <dataFields count="1">
    <dataField name="Count of customer_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5" rowHeaderCaption="Cancelled Date ">
  <location ref="B7:C8"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axis="axisRow" dataField="1" showAll="0" measureFilter="1"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sd="0" x="2"/>
        <item x="3"/>
        <item x="4"/>
        <item x="0"/>
        <item x="5"/>
        <item t="default"/>
      </items>
    </pivotField>
    <pivotField showAll="0">
      <items count="5">
        <item x="1"/>
        <item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
  </rowFields>
  <rowItems count="1">
    <i>
      <x v="286"/>
    </i>
  </rowItems>
  <colItems count="1">
    <i/>
  </colItems>
  <dataFields count="1">
    <dataField name="Count of canceled_date" fld="2" subtotal="count" baseField="0" baseItem="0"/>
  </dataFields>
  <formats count="2">
    <format dxfId="5">
      <pivotArea dataOnly="0" labelOnly="1" fieldPosition="0">
        <references count="1">
          <reference field="2" count="1">
            <x v="286"/>
          </reference>
        </references>
      </pivotArea>
    </format>
    <format dxfId="4">
      <pivotArea dataOnly="0" labelOnly="1" fieldPosition="0">
        <references count="1">
          <reference field="2" count="1">
            <x v="286"/>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11:I14" firstHeaderRow="1" firstDataRow="1" firstDataCol="1"/>
  <pivotFields count="8">
    <pivotField showAll="0"/>
    <pivotField numFmtId="14" showAll="0"/>
    <pivotField showAll="0"/>
    <pivotField axis="axisRow" dataField="1" showAll="0">
      <items count="3">
        <item x="1"/>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was_subscription_paid" fld="3" subtotal="count" showDataAs="percentOfTotal"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B28:C31"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dataField="1" showAll="0">
      <items count="3">
        <item n="Unpaid" x="1"/>
        <item n="Paid"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3"/>
  </rowFields>
  <rowItems count="3">
    <i>
      <x/>
    </i>
    <i>
      <x v="1"/>
    </i>
    <i t="grand">
      <x/>
    </i>
  </rowItems>
  <colItems count="1">
    <i/>
  </colItems>
  <dataFields count="1">
    <dataField name="Count of was_subscription_paid" fld="3" subtotal="count" showDataAs="percentOfTotal" baseField="3" baseItem="0" numFmtId="1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30">
  <location ref="N6:O14" firstHeaderRow="1"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axis="axisRow" showAll="0">
      <items count="8">
        <item x="3"/>
        <item x="4"/>
        <item x="5"/>
        <item x="6"/>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7"/>
  </rowFields>
  <rowItems count="8">
    <i>
      <x/>
    </i>
    <i>
      <x v="1"/>
    </i>
    <i>
      <x v="2"/>
    </i>
    <i>
      <x v="3"/>
    </i>
    <i>
      <x v="4"/>
    </i>
    <i>
      <x v="5"/>
    </i>
    <i>
      <x v="6"/>
    </i>
    <i t="grand">
      <x/>
    </i>
  </rowItems>
  <colItems count="1">
    <i/>
  </colItems>
  <dataFields count="1">
    <dataField name="Count of created_date" fld="1" subtotal="count" baseField="0" baseItem="0"/>
  </dataFields>
  <chartFormats count="3">
    <chartFormat chart="18" format="11"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B42:C45"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5">
        <item sd="0" x="1"/>
        <item sd="0" x="2"/>
        <item h="1" x="0"/>
        <item h="1" x="3"/>
        <item t="default"/>
      </items>
    </pivotField>
  </pivotFields>
  <rowFields count="1">
    <field x="13"/>
  </rowFields>
  <rowItems count="3">
    <i>
      <x/>
    </i>
    <i>
      <x v="1"/>
    </i>
    <i t="grand">
      <x/>
    </i>
  </rowItems>
  <colItems count="1">
    <i/>
  </colItems>
  <dataFields count="1">
    <dataField name="Count of canceled_date" fld="2" subtotal="count" baseField="0" baseItem="0"/>
  </dataFields>
  <chartFormats count="4">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7">
  <location ref="B7:C20" firstHeaderRow="1"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axis="axisRow" showAll="0">
      <items count="15">
        <item sd="0" x="0"/>
        <item sd="0" x="12"/>
        <item sd="0" x="13"/>
        <item sd="0" x="11"/>
        <item sd="0" x="10"/>
        <item sd="0" x="9"/>
        <item sd="0" x="8"/>
        <item sd="0" x="7"/>
        <item sd="0" x="6"/>
        <item sd="0" x="5"/>
        <item sd="0" x="4"/>
        <item sd="0" x="3"/>
        <item sd="0" x="2"/>
        <item sd="0" x="1"/>
        <item t="default"/>
      </items>
    </pivotField>
    <pivotField showAll="0">
      <items count="7">
        <item sd="0" x="1"/>
        <item sd="0" x="2"/>
        <item sd="0" x="3"/>
        <item sd="0" x="4"/>
        <item x="0"/>
        <item x="5"/>
        <item t="default"/>
      </items>
    </pivotField>
    <pivotField showAll="0">
      <items count="5">
        <item sd="0" x="1"/>
        <item sd="0"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13">
    <i>
      <x v="1"/>
    </i>
    <i>
      <x v="3"/>
    </i>
    <i>
      <x v="4"/>
    </i>
    <i>
      <x v="5"/>
    </i>
    <i>
      <x v="6"/>
    </i>
    <i>
      <x v="7"/>
    </i>
    <i>
      <x v="8"/>
    </i>
    <i>
      <x v="9"/>
    </i>
    <i>
      <x v="10"/>
    </i>
    <i>
      <x v="11"/>
    </i>
    <i>
      <x v="12"/>
    </i>
    <i>
      <x v="13"/>
    </i>
    <i t="grand">
      <x/>
    </i>
  </rowItems>
  <colItems count="1">
    <i/>
  </colItems>
  <dataFields count="1">
    <dataField name="Count of created_date" fld="1" subtotal="count" baseField="0" baseItem="0"/>
  </dataFields>
  <chartFormats count="2">
    <chartFormat chart="11"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8">
  <location ref="N21:O24" firstHeaderRow="1"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5">
        <item sd="0" x="1"/>
        <item sd="0"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0"/>
  </rowFields>
  <rowItems count="3">
    <i>
      <x/>
    </i>
    <i>
      <x v="1"/>
    </i>
    <i t="grand">
      <x/>
    </i>
  </rowItems>
  <colItems count="1">
    <i/>
  </colItems>
  <dataFields count="1">
    <dataField name="Count of created_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__created_date1" sourceName="Years (created_date)">
  <pivotTables>
    <pivotTable tabId="13" name="PivotTable6"/>
    <pivotTable tabId="13" name="PivotTable8"/>
    <pivotTable tabId="13" name="PivotTable7"/>
    <pivotTable tabId="13" name="PivotTable2"/>
    <pivotTable tabId="18" name="PivotTable3"/>
    <pivotTable tabId="13" name="PivotTable1"/>
  </pivotTables>
  <data>
    <tabular pivotCacheId="30790899">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reated_date) 2" cache="Slicer_Years__created_date1" caption="Years (created_date)" columnCount="2" rowHeight="234950"/>
</slicers>
</file>

<file path=xl/tables/table1.xml><?xml version="1.0" encoding="utf-8"?>
<table xmlns="http://schemas.openxmlformats.org/spreadsheetml/2006/main" id="1" name="Table1" displayName="Table1" ref="A1:L3070" totalsRowShown="0" headerRowDxfId="3">
  <autoFilter ref="A1:L3070"/>
  <tableColumns count="12">
    <tableColumn id="1" name="customer_id"/>
    <tableColumn id="2" name="created_date" dataDxfId="2"/>
    <tableColumn id="3" name="canceled_date"/>
    <tableColumn id="4" name="was_subscription_paid"/>
    <tableColumn id="5" name="subscription_cost"/>
    <tableColumn id="6" name="subscription_interval"/>
    <tableColumn id="7" name="Cancellation Duration">
      <calculatedColumnFormula>IF(C2="","",C2-B2)</calculatedColumnFormula>
    </tableColumn>
    <tableColumn id="8" name="weekday" dataDxfId="1">
      <calculatedColumnFormula>TEXT(B2,"dddd")</calculatedColumnFormula>
    </tableColumn>
    <tableColumn id="9" name="same_day_cancel">
      <calculatedColumnFormula>IF(B2=C2,"Yes","No")</calculatedColumnFormula>
    </tableColumn>
    <tableColumn id="10" name="cancel_within_2days">
      <calculatedColumnFormula>IF(AND(C2&lt;&gt;"",C2-B2&lt;=2),1,0)</calculatedColumnFormula>
    </tableColumn>
    <tableColumn id="11" name="sub_more_than_1_month">
      <calculatedColumnFormula>IF(AND(C2&lt;&gt;"",C2-B2&gt;30),1,0)</calculatedColumnFormula>
    </tableColumn>
    <tableColumn id="12" name="count_days_before_cancel">
      <calculatedColumnFormula>IF(C2="","",C2-B2)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4.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70"/>
  <sheetViews>
    <sheetView workbookViewId="0">
      <selection activeCell="K2" sqref="K2"/>
    </sheetView>
  </sheetViews>
  <sheetFormatPr defaultColWidth="12.44140625" defaultRowHeight="14.4" x14ac:dyDescent="0.3"/>
  <cols>
    <col min="1" max="1" width="11.44140625" bestFit="1" customWidth="1"/>
    <col min="2" max="2" width="12.109375" bestFit="1" customWidth="1"/>
    <col min="3" max="3" width="13.33203125" bestFit="1" customWidth="1"/>
    <col min="4" max="4" width="20.33203125" bestFit="1" customWidth="1"/>
    <col min="5" max="5" width="15.77734375" bestFit="1" customWidth="1"/>
    <col min="6" max="6" width="18.6640625" customWidth="1"/>
    <col min="7" max="7" width="19.33203125" bestFit="1" customWidth="1"/>
    <col min="8" max="8" width="17.33203125" style="1" bestFit="1" customWidth="1"/>
    <col min="9" max="9" width="17.33203125" style="1" customWidth="1"/>
    <col min="10" max="10" width="12.109375" bestFit="1" customWidth="1"/>
  </cols>
  <sheetData>
    <row r="1" spans="1:11" x14ac:dyDescent="0.3">
      <c r="A1" s="4" t="s">
        <v>0</v>
      </c>
      <c r="B1" s="4" t="s">
        <v>1</v>
      </c>
      <c r="C1" s="4" t="s">
        <v>2</v>
      </c>
      <c r="D1" s="4" t="s">
        <v>5</v>
      </c>
      <c r="E1" s="4" t="s">
        <v>3</v>
      </c>
      <c r="F1" s="4" t="s">
        <v>4</v>
      </c>
      <c r="G1" s="4" t="s">
        <v>18</v>
      </c>
      <c r="H1" s="4" t="s">
        <v>20</v>
      </c>
      <c r="I1" s="4"/>
      <c r="J1" s="4"/>
    </row>
    <row r="2" spans="1:11" x14ac:dyDescent="0.3">
      <c r="A2">
        <v>154536156</v>
      </c>
      <c r="B2" s="1">
        <v>44805</v>
      </c>
      <c r="C2" t="s">
        <v>19</v>
      </c>
      <c r="D2" t="s">
        <v>7</v>
      </c>
      <c r="E2">
        <v>39</v>
      </c>
      <c r="F2" t="s">
        <v>6</v>
      </c>
      <c r="G2" t="str">
        <f t="shared" ref="G2:G65" si="0">IF(C2="Active","Active",C2-B2)</f>
        <v>Active</v>
      </c>
      <c r="H2" s="1" t="str">
        <f>TEXT(B2,"dddd")</f>
        <v>Thursday</v>
      </c>
      <c r="J2" s="1">
        <v>44879</v>
      </c>
      <c r="K2">
        <f t="shared" ref="K2:K65" si="1">COUNTIF($B$2:$B$3070,J2)</f>
        <v>20</v>
      </c>
    </row>
    <row r="3" spans="1:11" x14ac:dyDescent="0.3">
      <c r="A3">
        <v>149713408</v>
      </c>
      <c r="B3" s="1">
        <v>44805</v>
      </c>
      <c r="C3" s="1">
        <v>44806</v>
      </c>
      <c r="D3" t="s">
        <v>8</v>
      </c>
      <c r="E3">
        <v>39</v>
      </c>
      <c r="F3" t="s">
        <v>6</v>
      </c>
      <c r="G3">
        <f t="shared" si="0"/>
        <v>1</v>
      </c>
      <c r="H3" s="1" t="str">
        <f t="shared" ref="H3:H66" si="2">TEXT(B3,"dddd")</f>
        <v>Thursday</v>
      </c>
      <c r="J3" s="1">
        <v>45054</v>
      </c>
      <c r="K3">
        <f t="shared" si="1"/>
        <v>20</v>
      </c>
    </row>
    <row r="4" spans="1:11" x14ac:dyDescent="0.3">
      <c r="A4">
        <v>153756284</v>
      </c>
      <c r="B4" s="1">
        <v>44805</v>
      </c>
      <c r="C4" s="1">
        <v>44806</v>
      </c>
      <c r="D4" t="s">
        <v>8</v>
      </c>
      <c r="E4">
        <v>39</v>
      </c>
      <c r="F4" t="s">
        <v>6</v>
      </c>
      <c r="G4">
        <f t="shared" si="0"/>
        <v>1</v>
      </c>
      <c r="H4" s="1" t="str">
        <f t="shared" si="2"/>
        <v>Thursday</v>
      </c>
      <c r="J4" s="1">
        <v>44958</v>
      </c>
      <c r="K4">
        <f t="shared" si="1"/>
        <v>19</v>
      </c>
    </row>
    <row r="5" spans="1:11" x14ac:dyDescent="0.3">
      <c r="A5">
        <v>121253113</v>
      </c>
      <c r="B5" s="1">
        <v>44805</v>
      </c>
      <c r="C5" s="1">
        <v>44827</v>
      </c>
      <c r="D5" t="s">
        <v>7</v>
      </c>
      <c r="E5">
        <v>39</v>
      </c>
      <c r="F5" t="s">
        <v>6</v>
      </c>
      <c r="G5">
        <f t="shared" si="0"/>
        <v>22</v>
      </c>
      <c r="H5" s="1" t="str">
        <f t="shared" si="2"/>
        <v>Thursday</v>
      </c>
      <c r="J5" s="1">
        <v>44963</v>
      </c>
      <c r="K5">
        <f t="shared" si="1"/>
        <v>19</v>
      </c>
    </row>
    <row r="6" spans="1:11" x14ac:dyDescent="0.3">
      <c r="A6">
        <v>154467210</v>
      </c>
      <c r="B6" s="1">
        <v>44805</v>
      </c>
      <c r="C6" s="1">
        <v>45106</v>
      </c>
      <c r="D6" t="s">
        <v>7</v>
      </c>
      <c r="E6">
        <v>39</v>
      </c>
      <c r="F6" t="s">
        <v>6</v>
      </c>
      <c r="G6">
        <f t="shared" si="0"/>
        <v>301</v>
      </c>
      <c r="H6" s="1" t="str">
        <f t="shared" si="2"/>
        <v>Thursday</v>
      </c>
      <c r="J6" s="1">
        <v>44809</v>
      </c>
      <c r="K6">
        <f t="shared" si="1"/>
        <v>18</v>
      </c>
    </row>
    <row r="7" spans="1:11" x14ac:dyDescent="0.3">
      <c r="A7">
        <v>154510811</v>
      </c>
      <c r="B7" s="1">
        <v>44805</v>
      </c>
      <c r="C7" s="1">
        <v>45054</v>
      </c>
      <c r="D7" t="s">
        <v>7</v>
      </c>
      <c r="E7">
        <v>39</v>
      </c>
      <c r="F7" t="s">
        <v>6</v>
      </c>
      <c r="G7">
        <f t="shared" si="0"/>
        <v>249</v>
      </c>
      <c r="H7" s="1" t="str">
        <f t="shared" si="2"/>
        <v>Thursday</v>
      </c>
      <c r="J7" s="1">
        <v>45132</v>
      </c>
      <c r="K7">
        <f t="shared" si="1"/>
        <v>18</v>
      </c>
    </row>
    <row r="8" spans="1:11" x14ac:dyDescent="0.3">
      <c r="A8">
        <v>154494346</v>
      </c>
      <c r="B8" s="1">
        <v>44805</v>
      </c>
      <c r="C8" s="1">
        <v>44891</v>
      </c>
      <c r="D8" t="s">
        <v>7</v>
      </c>
      <c r="E8">
        <v>39</v>
      </c>
      <c r="F8" t="s">
        <v>6</v>
      </c>
      <c r="G8">
        <f t="shared" si="0"/>
        <v>86</v>
      </c>
      <c r="H8" s="1" t="str">
        <f t="shared" si="2"/>
        <v>Thursday</v>
      </c>
      <c r="J8" s="1">
        <v>44896</v>
      </c>
      <c r="K8">
        <f t="shared" si="1"/>
        <v>17</v>
      </c>
    </row>
    <row r="9" spans="1:11" x14ac:dyDescent="0.3">
      <c r="A9">
        <v>148671505</v>
      </c>
      <c r="B9" s="1">
        <v>44805</v>
      </c>
      <c r="C9" s="1">
        <v>44888</v>
      </c>
      <c r="D9" t="s">
        <v>7</v>
      </c>
      <c r="E9">
        <v>39</v>
      </c>
      <c r="F9" t="s">
        <v>6</v>
      </c>
      <c r="G9">
        <f t="shared" si="0"/>
        <v>83</v>
      </c>
      <c r="H9" s="1" t="str">
        <f t="shared" si="2"/>
        <v>Thursday</v>
      </c>
      <c r="J9" s="1">
        <v>44872</v>
      </c>
      <c r="K9">
        <f t="shared" si="1"/>
        <v>16</v>
      </c>
    </row>
    <row r="10" spans="1:11" x14ac:dyDescent="0.3">
      <c r="A10">
        <v>154568379</v>
      </c>
      <c r="B10" s="1">
        <v>44805</v>
      </c>
      <c r="C10" s="1">
        <v>44859</v>
      </c>
      <c r="D10" t="s">
        <v>7</v>
      </c>
      <c r="E10">
        <v>39</v>
      </c>
      <c r="F10" t="s">
        <v>6</v>
      </c>
      <c r="G10">
        <f t="shared" si="0"/>
        <v>54</v>
      </c>
      <c r="H10" s="1" t="str">
        <f t="shared" si="2"/>
        <v>Thursday</v>
      </c>
      <c r="J10" s="1">
        <v>44944</v>
      </c>
      <c r="K10">
        <f t="shared" si="1"/>
        <v>16</v>
      </c>
    </row>
    <row r="11" spans="1:11" x14ac:dyDescent="0.3">
      <c r="A11">
        <v>154428434</v>
      </c>
      <c r="B11" s="1">
        <v>44805</v>
      </c>
      <c r="C11" s="1">
        <v>44865</v>
      </c>
      <c r="D11" t="s">
        <v>7</v>
      </c>
      <c r="E11">
        <v>39</v>
      </c>
      <c r="F11" t="s">
        <v>6</v>
      </c>
      <c r="G11">
        <f t="shared" si="0"/>
        <v>60</v>
      </c>
      <c r="H11" s="1" t="str">
        <f t="shared" si="2"/>
        <v>Thursday</v>
      </c>
      <c r="J11" s="1">
        <v>44952</v>
      </c>
      <c r="K11">
        <f t="shared" si="1"/>
        <v>16</v>
      </c>
    </row>
    <row r="12" spans="1:11" x14ac:dyDescent="0.3">
      <c r="A12">
        <v>154601651</v>
      </c>
      <c r="B12" s="1">
        <v>44805</v>
      </c>
      <c r="C12" s="1">
        <v>44830</v>
      </c>
      <c r="D12" t="s">
        <v>7</v>
      </c>
      <c r="E12">
        <v>39</v>
      </c>
      <c r="F12" t="s">
        <v>6</v>
      </c>
      <c r="G12">
        <f t="shared" si="0"/>
        <v>25</v>
      </c>
      <c r="H12" s="1" t="str">
        <f t="shared" si="2"/>
        <v>Thursday</v>
      </c>
      <c r="J12" s="1">
        <v>44966</v>
      </c>
      <c r="K12">
        <f t="shared" si="1"/>
        <v>16</v>
      </c>
    </row>
    <row r="13" spans="1:11" x14ac:dyDescent="0.3">
      <c r="A13">
        <v>122824692</v>
      </c>
      <c r="B13" s="1">
        <v>44805</v>
      </c>
      <c r="C13" s="1">
        <v>44819</v>
      </c>
      <c r="D13" t="s">
        <v>7</v>
      </c>
      <c r="E13">
        <v>39</v>
      </c>
      <c r="F13" t="s">
        <v>6</v>
      </c>
      <c r="G13">
        <f t="shared" si="0"/>
        <v>14</v>
      </c>
      <c r="H13" s="1" t="str">
        <f t="shared" si="2"/>
        <v>Thursday</v>
      </c>
      <c r="J13" s="1">
        <v>45076</v>
      </c>
      <c r="K13">
        <f t="shared" si="1"/>
        <v>16</v>
      </c>
    </row>
    <row r="14" spans="1:11" x14ac:dyDescent="0.3">
      <c r="A14">
        <v>152925600</v>
      </c>
      <c r="B14" s="1">
        <v>44806</v>
      </c>
      <c r="C14" t="s">
        <v>19</v>
      </c>
      <c r="D14" t="s">
        <v>7</v>
      </c>
      <c r="E14">
        <v>39</v>
      </c>
      <c r="F14" t="s">
        <v>6</v>
      </c>
      <c r="G14" t="str">
        <f t="shared" si="0"/>
        <v>Active</v>
      </c>
      <c r="H14" s="1" t="str">
        <f t="shared" si="2"/>
        <v>Friday</v>
      </c>
      <c r="J14" s="1">
        <v>45077</v>
      </c>
      <c r="K14">
        <f t="shared" si="1"/>
        <v>16</v>
      </c>
    </row>
    <row r="15" spans="1:11" x14ac:dyDescent="0.3">
      <c r="A15">
        <v>151154171</v>
      </c>
      <c r="B15" s="1">
        <v>44806</v>
      </c>
      <c r="C15" s="1">
        <v>44806</v>
      </c>
      <c r="D15" t="s">
        <v>7</v>
      </c>
      <c r="E15">
        <v>39</v>
      </c>
      <c r="F15" t="s">
        <v>6</v>
      </c>
      <c r="G15">
        <f t="shared" si="0"/>
        <v>0</v>
      </c>
      <c r="H15" s="1" t="str">
        <f t="shared" si="2"/>
        <v>Friday</v>
      </c>
      <c r="J15" s="1">
        <v>45098</v>
      </c>
      <c r="K15">
        <f t="shared" si="1"/>
        <v>16</v>
      </c>
    </row>
    <row r="16" spans="1:11" x14ac:dyDescent="0.3">
      <c r="A16">
        <v>154640950</v>
      </c>
      <c r="B16" s="1">
        <v>44806</v>
      </c>
      <c r="C16" s="1">
        <v>44904</v>
      </c>
      <c r="D16" t="s">
        <v>7</v>
      </c>
      <c r="E16">
        <v>39</v>
      </c>
      <c r="F16" t="s">
        <v>6</v>
      </c>
      <c r="G16">
        <f t="shared" si="0"/>
        <v>98</v>
      </c>
      <c r="H16" s="1" t="str">
        <f t="shared" si="2"/>
        <v>Friday</v>
      </c>
      <c r="J16" s="1">
        <v>45103</v>
      </c>
      <c r="K16">
        <f t="shared" si="1"/>
        <v>16</v>
      </c>
    </row>
    <row r="17" spans="1:11" x14ac:dyDescent="0.3">
      <c r="A17">
        <v>154617329</v>
      </c>
      <c r="B17" s="1">
        <v>44806</v>
      </c>
      <c r="C17" s="1">
        <v>44861</v>
      </c>
      <c r="D17" t="s">
        <v>7</v>
      </c>
      <c r="E17">
        <v>39</v>
      </c>
      <c r="F17" t="s">
        <v>6</v>
      </c>
      <c r="G17">
        <f t="shared" si="0"/>
        <v>55</v>
      </c>
      <c r="H17" s="1" t="str">
        <f t="shared" si="2"/>
        <v>Friday</v>
      </c>
      <c r="J17" s="1">
        <v>45117</v>
      </c>
      <c r="K17">
        <f t="shared" si="1"/>
        <v>16</v>
      </c>
    </row>
    <row r="18" spans="1:11" x14ac:dyDescent="0.3">
      <c r="A18">
        <v>154089211</v>
      </c>
      <c r="B18" s="1">
        <v>44806</v>
      </c>
      <c r="C18" s="1">
        <v>44843</v>
      </c>
      <c r="D18" t="s">
        <v>7</v>
      </c>
      <c r="E18">
        <v>39</v>
      </c>
      <c r="F18" t="s">
        <v>6</v>
      </c>
      <c r="G18">
        <f t="shared" si="0"/>
        <v>37</v>
      </c>
      <c r="H18" s="1" t="str">
        <f t="shared" si="2"/>
        <v>Friday</v>
      </c>
      <c r="J18" s="1">
        <v>45118</v>
      </c>
      <c r="K18">
        <f t="shared" si="1"/>
        <v>16</v>
      </c>
    </row>
    <row r="19" spans="1:11" x14ac:dyDescent="0.3">
      <c r="A19">
        <v>154653820</v>
      </c>
      <c r="B19" s="1">
        <v>44806</v>
      </c>
      <c r="C19" s="1">
        <v>44830</v>
      </c>
      <c r="D19" t="s">
        <v>7</v>
      </c>
      <c r="E19">
        <v>39</v>
      </c>
      <c r="F19" t="s">
        <v>6</v>
      </c>
      <c r="G19">
        <f t="shared" si="0"/>
        <v>24</v>
      </c>
      <c r="H19" s="1" t="str">
        <f t="shared" si="2"/>
        <v>Friday</v>
      </c>
      <c r="J19" s="1">
        <v>45141</v>
      </c>
      <c r="K19">
        <f t="shared" si="1"/>
        <v>16</v>
      </c>
    </row>
    <row r="20" spans="1:11" x14ac:dyDescent="0.3">
      <c r="A20">
        <v>154131290</v>
      </c>
      <c r="B20" s="1">
        <v>44807</v>
      </c>
      <c r="C20" t="s">
        <v>19</v>
      </c>
      <c r="D20" t="s">
        <v>7</v>
      </c>
      <c r="E20">
        <v>39</v>
      </c>
      <c r="F20" t="s">
        <v>6</v>
      </c>
      <c r="G20" t="str">
        <f t="shared" si="0"/>
        <v>Active</v>
      </c>
      <c r="H20" s="1" t="str">
        <f t="shared" si="2"/>
        <v>Saturday</v>
      </c>
      <c r="J20" s="1">
        <v>44938</v>
      </c>
      <c r="K20">
        <f t="shared" si="1"/>
        <v>15</v>
      </c>
    </row>
    <row r="21" spans="1:11" x14ac:dyDescent="0.3">
      <c r="A21">
        <v>154434009</v>
      </c>
      <c r="B21" s="1">
        <v>44807</v>
      </c>
      <c r="C21" t="s">
        <v>19</v>
      </c>
      <c r="D21" t="s">
        <v>7</v>
      </c>
      <c r="E21">
        <v>39</v>
      </c>
      <c r="F21" t="s">
        <v>6</v>
      </c>
      <c r="G21" t="str">
        <f t="shared" si="0"/>
        <v>Active</v>
      </c>
      <c r="H21" s="1" t="str">
        <f t="shared" si="2"/>
        <v>Saturday</v>
      </c>
      <c r="J21" s="1">
        <v>44953</v>
      </c>
      <c r="K21">
        <f t="shared" si="1"/>
        <v>15</v>
      </c>
    </row>
    <row r="22" spans="1:11" x14ac:dyDescent="0.3">
      <c r="A22">
        <v>136108848</v>
      </c>
      <c r="B22" s="1">
        <v>44807</v>
      </c>
      <c r="C22" s="1">
        <v>44808</v>
      </c>
      <c r="D22" t="s">
        <v>7</v>
      </c>
      <c r="E22">
        <v>39</v>
      </c>
      <c r="F22" t="s">
        <v>6</v>
      </c>
      <c r="G22">
        <f t="shared" si="0"/>
        <v>1</v>
      </c>
      <c r="H22" s="1" t="str">
        <f t="shared" si="2"/>
        <v>Saturday</v>
      </c>
      <c r="J22" s="1">
        <v>44977</v>
      </c>
      <c r="K22">
        <f t="shared" si="1"/>
        <v>15</v>
      </c>
    </row>
    <row r="23" spans="1:11" x14ac:dyDescent="0.3">
      <c r="A23">
        <v>135185873</v>
      </c>
      <c r="B23" s="1">
        <v>44807</v>
      </c>
      <c r="C23" s="1">
        <v>45056</v>
      </c>
      <c r="D23" t="s">
        <v>7</v>
      </c>
      <c r="E23">
        <v>39</v>
      </c>
      <c r="F23" t="s">
        <v>6</v>
      </c>
      <c r="G23">
        <f t="shared" si="0"/>
        <v>249</v>
      </c>
      <c r="H23" s="1" t="str">
        <f t="shared" si="2"/>
        <v>Saturday</v>
      </c>
      <c r="J23" s="1">
        <v>45072</v>
      </c>
      <c r="K23">
        <f t="shared" si="1"/>
        <v>15</v>
      </c>
    </row>
    <row r="24" spans="1:11" x14ac:dyDescent="0.3">
      <c r="A24">
        <v>154592664</v>
      </c>
      <c r="B24" s="1">
        <v>44807</v>
      </c>
      <c r="C24" s="1">
        <v>45017</v>
      </c>
      <c r="D24" t="s">
        <v>7</v>
      </c>
      <c r="E24">
        <v>39</v>
      </c>
      <c r="F24" t="s">
        <v>6</v>
      </c>
      <c r="G24">
        <f t="shared" si="0"/>
        <v>210</v>
      </c>
      <c r="H24" s="1" t="str">
        <f t="shared" si="2"/>
        <v>Saturday</v>
      </c>
      <c r="J24" s="1">
        <v>45097</v>
      </c>
      <c r="K24">
        <f t="shared" si="1"/>
        <v>15</v>
      </c>
    </row>
    <row r="25" spans="1:11" x14ac:dyDescent="0.3">
      <c r="A25">
        <v>119436804</v>
      </c>
      <c r="B25" s="1">
        <v>44807</v>
      </c>
      <c r="C25" s="1">
        <v>45026</v>
      </c>
      <c r="D25" t="s">
        <v>7</v>
      </c>
      <c r="E25">
        <v>39</v>
      </c>
      <c r="F25" t="s">
        <v>6</v>
      </c>
      <c r="G25">
        <f t="shared" si="0"/>
        <v>219</v>
      </c>
      <c r="H25" s="1" t="str">
        <f t="shared" si="2"/>
        <v>Saturday</v>
      </c>
      <c r="J25" s="1">
        <v>45099</v>
      </c>
      <c r="K25">
        <f t="shared" si="1"/>
        <v>15</v>
      </c>
    </row>
    <row r="26" spans="1:11" x14ac:dyDescent="0.3">
      <c r="A26">
        <v>152929657</v>
      </c>
      <c r="B26" s="1">
        <v>44807</v>
      </c>
      <c r="C26" s="1">
        <v>44888</v>
      </c>
      <c r="D26" t="s">
        <v>7</v>
      </c>
      <c r="E26">
        <v>39</v>
      </c>
      <c r="F26" t="s">
        <v>6</v>
      </c>
      <c r="G26">
        <f t="shared" si="0"/>
        <v>81</v>
      </c>
      <c r="H26" s="1" t="str">
        <f t="shared" si="2"/>
        <v>Saturday</v>
      </c>
      <c r="J26" s="1">
        <v>45140</v>
      </c>
      <c r="K26">
        <f t="shared" si="1"/>
        <v>15</v>
      </c>
    </row>
    <row r="27" spans="1:11" x14ac:dyDescent="0.3">
      <c r="A27">
        <v>154708974</v>
      </c>
      <c r="B27" s="1">
        <v>44807</v>
      </c>
      <c r="C27" s="1">
        <v>44852</v>
      </c>
      <c r="D27" t="s">
        <v>7</v>
      </c>
      <c r="E27">
        <v>39</v>
      </c>
      <c r="F27" t="s">
        <v>6</v>
      </c>
      <c r="G27">
        <f t="shared" si="0"/>
        <v>45</v>
      </c>
      <c r="H27" s="1" t="str">
        <f t="shared" si="2"/>
        <v>Saturday</v>
      </c>
      <c r="J27" s="1">
        <v>45173</v>
      </c>
      <c r="K27">
        <f t="shared" si="1"/>
        <v>15</v>
      </c>
    </row>
    <row r="28" spans="1:11" x14ac:dyDescent="0.3">
      <c r="A28">
        <v>154567722</v>
      </c>
      <c r="B28" s="1">
        <v>44807</v>
      </c>
      <c r="C28" s="1">
        <v>44833</v>
      </c>
      <c r="D28" t="s">
        <v>7</v>
      </c>
      <c r="E28">
        <v>39</v>
      </c>
      <c r="F28" t="s">
        <v>6</v>
      </c>
      <c r="G28">
        <f t="shared" si="0"/>
        <v>26</v>
      </c>
      <c r="H28" s="1" t="str">
        <f t="shared" si="2"/>
        <v>Saturday</v>
      </c>
      <c r="J28" s="1">
        <v>44959</v>
      </c>
      <c r="K28">
        <f t="shared" si="1"/>
        <v>14</v>
      </c>
    </row>
    <row r="29" spans="1:11" x14ac:dyDescent="0.3">
      <c r="A29">
        <v>154719788</v>
      </c>
      <c r="B29" s="1">
        <v>44807</v>
      </c>
      <c r="C29" s="1">
        <v>44829</v>
      </c>
      <c r="D29" t="s">
        <v>7</v>
      </c>
      <c r="E29">
        <v>39</v>
      </c>
      <c r="F29" t="s">
        <v>6</v>
      </c>
      <c r="G29">
        <f t="shared" si="0"/>
        <v>22</v>
      </c>
      <c r="H29" s="1" t="str">
        <f t="shared" si="2"/>
        <v>Saturday</v>
      </c>
      <c r="J29" s="1">
        <v>44987</v>
      </c>
      <c r="K29">
        <f t="shared" si="1"/>
        <v>14</v>
      </c>
    </row>
    <row r="30" spans="1:11" x14ac:dyDescent="0.3">
      <c r="A30">
        <v>154809306</v>
      </c>
      <c r="B30" s="1">
        <v>44808</v>
      </c>
      <c r="C30" s="1">
        <v>44809</v>
      </c>
      <c r="D30" t="s">
        <v>7</v>
      </c>
      <c r="E30">
        <v>39</v>
      </c>
      <c r="F30" t="s">
        <v>6</v>
      </c>
      <c r="G30">
        <f t="shared" si="0"/>
        <v>1</v>
      </c>
      <c r="H30" s="1" t="str">
        <f t="shared" si="2"/>
        <v>Sunday</v>
      </c>
      <c r="J30" s="1">
        <v>45040</v>
      </c>
      <c r="K30">
        <f t="shared" si="1"/>
        <v>14</v>
      </c>
    </row>
    <row r="31" spans="1:11" x14ac:dyDescent="0.3">
      <c r="A31">
        <v>140391539</v>
      </c>
      <c r="B31" s="1">
        <v>44808</v>
      </c>
      <c r="C31" s="1">
        <v>45021</v>
      </c>
      <c r="D31" t="s">
        <v>7</v>
      </c>
      <c r="E31">
        <v>39</v>
      </c>
      <c r="F31" t="s">
        <v>6</v>
      </c>
      <c r="G31">
        <f t="shared" si="0"/>
        <v>213</v>
      </c>
      <c r="H31" s="1" t="str">
        <f t="shared" si="2"/>
        <v>Sunday</v>
      </c>
      <c r="J31" s="1">
        <v>45055</v>
      </c>
      <c r="K31">
        <f t="shared" si="1"/>
        <v>14</v>
      </c>
    </row>
    <row r="32" spans="1:11" x14ac:dyDescent="0.3">
      <c r="A32">
        <v>153194806</v>
      </c>
      <c r="B32" s="1">
        <v>44808</v>
      </c>
      <c r="C32" s="1">
        <v>45032</v>
      </c>
      <c r="D32" t="s">
        <v>7</v>
      </c>
      <c r="E32">
        <v>39</v>
      </c>
      <c r="F32" t="s">
        <v>6</v>
      </c>
      <c r="G32">
        <f t="shared" si="0"/>
        <v>224</v>
      </c>
      <c r="H32" s="1" t="str">
        <f t="shared" si="2"/>
        <v>Sunday</v>
      </c>
      <c r="J32" s="1">
        <v>45107</v>
      </c>
      <c r="K32">
        <f t="shared" si="1"/>
        <v>14</v>
      </c>
    </row>
    <row r="33" spans="1:11" x14ac:dyDescent="0.3">
      <c r="A33">
        <v>144402204</v>
      </c>
      <c r="B33" s="1">
        <v>44808</v>
      </c>
      <c r="C33" s="1">
        <v>44826</v>
      </c>
      <c r="D33" t="s">
        <v>7</v>
      </c>
      <c r="E33">
        <v>39</v>
      </c>
      <c r="F33" t="s">
        <v>6</v>
      </c>
      <c r="G33">
        <f t="shared" si="0"/>
        <v>18</v>
      </c>
      <c r="H33" s="1" t="str">
        <f t="shared" si="2"/>
        <v>Sunday</v>
      </c>
      <c r="J33" s="1">
        <v>45124</v>
      </c>
      <c r="K33">
        <f t="shared" si="1"/>
        <v>14</v>
      </c>
    </row>
    <row r="34" spans="1:11" x14ac:dyDescent="0.3">
      <c r="A34">
        <v>154747678</v>
      </c>
      <c r="B34" s="1">
        <v>44808</v>
      </c>
      <c r="C34" s="1">
        <v>44941</v>
      </c>
      <c r="D34" t="s">
        <v>7</v>
      </c>
      <c r="E34">
        <v>39</v>
      </c>
      <c r="F34" t="s">
        <v>6</v>
      </c>
      <c r="G34">
        <f t="shared" si="0"/>
        <v>133</v>
      </c>
      <c r="H34" s="1" t="str">
        <f t="shared" si="2"/>
        <v>Sunday</v>
      </c>
      <c r="J34" s="1">
        <v>45125</v>
      </c>
      <c r="K34">
        <f t="shared" si="1"/>
        <v>14</v>
      </c>
    </row>
    <row r="35" spans="1:11" x14ac:dyDescent="0.3">
      <c r="A35">
        <v>130939158</v>
      </c>
      <c r="B35" s="1">
        <v>44808</v>
      </c>
      <c r="C35" s="1">
        <v>44976</v>
      </c>
      <c r="D35" t="s">
        <v>7</v>
      </c>
      <c r="E35">
        <v>39</v>
      </c>
      <c r="F35" t="s">
        <v>6</v>
      </c>
      <c r="G35">
        <f t="shared" si="0"/>
        <v>168</v>
      </c>
      <c r="H35" s="1" t="str">
        <f t="shared" si="2"/>
        <v>Sunday</v>
      </c>
      <c r="J35" s="1">
        <v>45126</v>
      </c>
      <c r="K35">
        <f t="shared" si="1"/>
        <v>14</v>
      </c>
    </row>
    <row r="36" spans="1:11" x14ac:dyDescent="0.3">
      <c r="A36">
        <v>150912359</v>
      </c>
      <c r="B36" s="1">
        <v>44808</v>
      </c>
      <c r="C36" s="1">
        <v>44867</v>
      </c>
      <c r="D36" t="s">
        <v>7</v>
      </c>
      <c r="E36">
        <v>39</v>
      </c>
      <c r="F36" t="s">
        <v>6</v>
      </c>
      <c r="G36">
        <f t="shared" si="0"/>
        <v>59</v>
      </c>
      <c r="H36" s="1" t="str">
        <f t="shared" si="2"/>
        <v>Sunday</v>
      </c>
      <c r="J36" s="1">
        <v>45135</v>
      </c>
      <c r="K36">
        <f t="shared" si="1"/>
        <v>14</v>
      </c>
    </row>
    <row r="37" spans="1:11" x14ac:dyDescent="0.3">
      <c r="A37">
        <v>154132592</v>
      </c>
      <c r="B37" s="1">
        <v>44808</v>
      </c>
      <c r="C37" s="1">
        <v>44866</v>
      </c>
      <c r="D37" t="s">
        <v>7</v>
      </c>
      <c r="E37">
        <v>39</v>
      </c>
      <c r="F37" t="s">
        <v>6</v>
      </c>
      <c r="G37">
        <f t="shared" si="0"/>
        <v>58</v>
      </c>
      <c r="H37" s="1" t="str">
        <f t="shared" si="2"/>
        <v>Sunday</v>
      </c>
      <c r="J37" s="1">
        <v>45155</v>
      </c>
      <c r="K37">
        <f t="shared" si="1"/>
        <v>14</v>
      </c>
    </row>
    <row r="38" spans="1:11" x14ac:dyDescent="0.3">
      <c r="A38">
        <v>153368891</v>
      </c>
      <c r="B38" s="1">
        <v>44808</v>
      </c>
      <c r="C38" s="1">
        <v>44845</v>
      </c>
      <c r="D38" t="s">
        <v>7</v>
      </c>
      <c r="E38">
        <v>39</v>
      </c>
      <c r="F38" t="s">
        <v>6</v>
      </c>
      <c r="G38">
        <f t="shared" si="0"/>
        <v>37</v>
      </c>
      <c r="H38" s="1" t="str">
        <f t="shared" si="2"/>
        <v>Sunday</v>
      </c>
      <c r="J38" s="1">
        <v>44819</v>
      </c>
      <c r="K38">
        <f t="shared" si="1"/>
        <v>13</v>
      </c>
    </row>
    <row r="39" spans="1:11" x14ac:dyDescent="0.3">
      <c r="A39">
        <v>154225450</v>
      </c>
      <c r="B39" s="1">
        <v>44809</v>
      </c>
      <c r="C39" t="s">
        <v>19</v>
      </c>
      <c r="D39" t="s">
        <v>7</v>
      </c>
      <c r="E39">
        <v>39</v>
      </c>
      <c r="F39" t="s">
        <v>6</v>
      </c>
      <c r="G39" t="str">
        <f t="shared" si="0"/>
        <v>Active</v>
      </c>
      <c r="H39" s="1" t="str">
        <f t="shared" si="2"/>
        <v>Monday</v>
      </c>
      <c r="J39" s="1">
        <v>44837</v>
      </c>
      <c r="K39">
        <f t="shared" si="1"/>
        <v>13</v>
      </c>
    </row>
    <row r="40" spans="1:11" x14ac:dyDescent="0.3">
      <c r="A40">
        <v>154904040</v>
      </c>
      <c r="B40" s="1">
        <v>44809</v>
      </c>
      <c r="C40" s="1">
        <v>44810</v>
      </c>
      <c r="D40" t="s">
        <v>7</v>
      </c>
      <c r="E40">
        <v>39</v>
      </c>
      <c r="F40" t="s">
        <v>6</v>
      </c>
      <c r="G40">
        <f t="shared" si="0"/>
        <v>1</v>
      </c>
      <c r="H40" s="1" t="str">
        <f t="shared" si="2"/>
        <v>Monday</v>
      </c>
      <c r="J40" s="1">
        <v>44897</v>
      </c>
      <c r="K40">
        <f t="shared" si="1"/>
        <v>13</v>
      </c>
    </row>
    <row r="41" spans="1:11" x14ac:dyDescent="0.3">
      <c r="A41">
        <v>127604200</v>
      </c>
      <c r="B41" s="1">
        <v>44809</v>
      </c>
      <c r="C41" s="1">
        <v>44840</v>
      </c>
      <c r="D41" t="s">
        <v>7</v>
      </c>
      <c r="E41">
        <v>39</v>
      </c>
      <c r="F41" t="s">
        <v>6</v>
      </c>
      <c r="G41">
        <f t="shared" si="0"/>
        <v>31</v>
      </c>
      <c r="H41" s="1" t="str">
        <f t="shared" si="2"/>
        <v>Monday</v>
      </c>
      <c r="J41" s="1">
        <v>44951</v>
      </c>
      <c r="K41">
        <f t="shared" si="1"/>
        <v>13</v>
      </c>
    </row>
    <row r="42" spans="1:11" x14ac:dyDescent="0.3">
      <c r="A42">
        <v>154913576</v>
      </c>
      <c r="B42" s="1">
        <v>44809</v>
      </c>
      <c r="C42" s="1">
        <v>44998</v>
      </c>
      <c r="D42" t="s">
        <v>7</v>
      </c>
      <c r="E42">
        <v>39</v>
      </c>
      <c r="F42" t="s">
        <v>6</v>
      </c>
      <c r="G42">
        <f t="shared" si="0"/>
        <v>189</v>
      </c>
      <c r="H42" s="1" t="str">
        <f t="shared" si="2"/>
        <v>Monday</v>
      </c>
      <c r="J42" s="1">
        <v>44965</v>
      </c>
      <c r="K42">
        <f t="shared" si="1"/>
        <v>13</v>
      </c>
    </row>
    <row r="43" spans="1:11" x14ac:dyDescent="0.3">
      <c r="A43">
        <v>154910432</v>
      </c>
      <c r="B43" s="1">
        <v>44809</v>
      </c>
      <c r="C43" s="1">
        <v>44998</v>
      </c>
      <c r="D43" t="s">
        <v>7</v>
      </c>
      <c r="E43">
        <v>39</v>
      </c>
      <c r="F43" t="s">
        <v>6</v>
      </c>
      <c r="G43">
        <f t="shared" si="0"/>
        <v>189</v>
      </c>
      <c r="H43" s="1" t="str">
        <f t="shared" si="2"/>
        <v>Monday</v>
      </c>
      <c r="J43" s="1">
        <v>44976</v>
      </c>
      <c r="K43">
        <f t="shared" si="1"/>
        <v>13</v>
      </c>
    </row>
    <row r="44" spans="1:11" x14ac:dyDescent="0.3">
      <c r="A44">
        <v>154911229</v>
      </c>
      <c r="B44" s="1">
        <v>44809</v>
      </c>
      <c r="C44" s="1">
        <v>44997</v>
      </c>
      <c r="D44" t="s">
        <v>7</v>
      </c>
      <c r="E44">
        <v>39</v>
      </c>
      <c r="F44" t="s">
        <v>6</v>
      </c>
      <c r="G44">
        <f t="shared" si="0"/>
        <v>188</v>
      </c>
      <c r="H44" s="1" t="str">
        <f t="shared" si="2"/>
        <v>Monday</v>
      </c>
      <c r="J44" s="1">
        <v>44979</v>
      </c>
      <c r="K44">
        <f t="shared" si="1"/>
        <v>13</v>
      </c>
    </row>
    <row r="45" spans="1:11" x14ac:dyDescent="0.3">
      <c r="A45">
        <v>154518837</v>
      </c>
      <c r="B45" s="1">
        <v>44809</v>
      </c>
      <c r="C45" s="1">
        <v>44929</v>
      </c>
      <c r="D45" t="s">
        <v>7</v>
      </c>
      <c r="E45">
        <v>39</v>
      </c>
      <c r="F45" t="s">
        <v>6</v>
      </c>
      <c r="G45">
        <f t="shared" si="0"/>
        <v>120</v>
      </c>
      <c r="H45" s="1" t="str">
        <f t="shared" si="2"/>
        <v>Monday</v>
      </c>
      <c r="J45" s="1">
        <v>44986</v>
      </c>
      <c r="K45">
        <f t="shared" si="1"/>
        <v>13</v>
      </c>
    </row>
    <row r="46" spans="1:11" x14ac:dyDescent="0.3">
      <c r="A46">
        <v>154910009</v>
      </c>
      <c r="B46" s="1">
        <v>44809</v>
      </c>
      <c r="C46" s="1">
        <v>44965</v>
      </c>
      <c r="D46" t="s">
        <v>7</v>
      </c>
      <c r="E46">
        <v>39</v>
      </c>
      <c r="F46" t="s">
        <v>6</v>
      </c>
      <c r="G46">
        <f t="shared" si="0"/>
        <v>156</v>
      </c>
      <c r="H46" s="1" t="str">
        <f t="shared" si="2"/>
        <v>Monday</v>
      </c>
      <c r="J46" s="1">
        <v>45112</v>
      </c>
      <c r="K46">
        <f t="shared" si="1"/>
        <v>13</v>
      </c>
    </row>
    <row r="47" spans="1:11" x14ac:dyDescent="0.3">
      <c r="A47">
        <v>154911693</v>
      </c>
      <c r="B47" s="1">
        <v>44809</v>
      </c>
      <c r="C47" s="1">
        <v>44965</v>
      </c>
      <c r="D47" t="s">
        <v>7</v>
      </c>
      <c r="E47">
        <v>39</v>
      </c>
      <c r="F47" t="s">
        <v>6</v>
      </c>
      <c r="G47">
        <f t="shared" si="0"/>
        <v>156</v>
      </c>
      <c r="H47" s="1" t="str">
        <f t="shared" si="2"/>
        <v>Monday</v>
      </c>
      <c r="J47" s="1">
        <v>45159</v>
      </c>
      <c r="K47">
        <f t="shared" si="1"/>
        <v>13</v>
      </c>
    </row>
    <row r="48" spans="1:11" x14ac:dyDescent="0.3">
      <c r="A48">
        <v>154894177</v>
      </c>
      <c r="B48" s="1">
        <v>44809</v>
      </c>
      <c r="C48" s="1">
        <v>44907</v>
      </c>
      <c r="D48" t="s">
        <v>7</v>
      </c>
      <c r="E48">
        <v>39</v>
      </c>
      <c r="F48" t="s">
        <v>6</v>
      </c>
      <c r="G48">
        <f t="shared" si="0"/>
        <v>98</v>
      </c>
      <c r="H48" s="1" t="str">
        <f t="shared" si="2"/>
        <v>Monday</v>
      </c>
      <c r="J48" s="1">
        <v>45174</v>
      </c>
      <c r="K48">
        <f t="shared" si="1"/>
        <v>13</v>
      </c>
    </row>
    <row r="49" spans="1:12" x14ac:dyDescent="0.3">
      <c r="A49">
        <v>154494026</v>
      </c>
      <c r="B49" s="1">
        <v>44809</v>
      </c>
      <c r="C49" s="1">
        <v>44907</v>
      </c>
      <c r="D49" t="s">
        <v>7</v>
      </c>
      <c r="E49">
        <v>39</v>
      </c>
      <c r="F49" t="s">
        <v>6</v>
      </c>
      <c r="G49">
        <f t="shared" si="0"/>
        <v>98</v>
      </c>
      <c r="H49" s="1" t="str">
        <f t="shared" si="2"/>
        <v>Monday</v>
      </c>
      <c r="J49" s="1">
        <v>44805</v>
      </c>
      <c r="K49">
        <f t="shared" si="1"/>
        <v>12</v>
      </c>
      <c r="L49">
        <f>MAX(K49:K418)</f>
        <v>12</v>
      </c>
    </row>
    <row r="50" spans="1:12" x14ac:dyDescent="0.3">
      <c r="A50">
        <v>154245189</v>
      </c>
      <c r="B50" s="1">
        <v>44809</v>
      </c>
      <c r="C50" s="1">
        <v>44891</v>
      </c>
      <c r="D50" t="s">
        <v>7</v>
      </c>
      <c r="E50">
        <v>39</v>
      </c>
      <c r="F50" t="s">
        <v>6</v>
      </c>
      <c r="G50">
        <f t="shared" si="0"/>
        <v>82</v>
      </c>
      <c r="H50" s="1" t="str">
        <f t="shared" si="2"/>
        <v>Monday</v>
      </c>
      <c r="J50" s="1">
        <v>44984</v>
      </c>
      <c r="K50">
        <f t="shared" si="1"/>
        <v>12</v>
      </c>
    </row>
    <row r="51" spans="1:12" x14ac:dyDescent="0.3">
      <c r="A51">
        <v>154604182</v>
      </c>
      <c r="B51" s="1">
        <v>44809</v>
      </c>
      <c r="C51" s="1">
        <v>44853</v>
      </c>
      <c r="D51" t="s">
        <v>7</v>
      </c>
      <c r="E51">
        <v>39</v>
      </c>
      <c r="F51" t="s">
        <v>6</v>
      </c>
      <c r="G51">
        <f t="shared" si="0"/>
        <v>44</v>
      </c>
      <c r="H51" s="1" t="str">
        <f t="shared" si="2"/>
        <v>Monday</v>
      </c>
      <c r="J51" s="1">
        <v>44994</v>
      </c>
      <c r="K51">
        <f t="shared" si="1"/>
        <v>12</v>
      </c>
    </row>
    <row r="52" spans="1:12" x14ac:dyDescent="0.3">
      <c r="A52">
        <v>154711552</v>
      </c>
      <c r="B52" s="1">
        <v>44809</v>
      </c>
      <c r="C52" s="1">
        <v>44839</v>
      </c>
      <c r="D52" t="s">
        <v>7</v>
      </c>
      <c r="E52">
        <v>39</v>
      </c>
      <c r="F52" t="s">
        <v>6</v>
      </c>
      <c r="G52">
        <f t="shared" si="0"/>
        <v>30</v>
      </c>
      <c r="H52" s="1" t="str">
        <f t="shared" si="2"/>
        <v>Monday</v>
      </c>
      <c r="J52" s="1">
        <v>45000</v>
      </c>
      <c r="K52">
        <f t="shared" si="1"/>
        <v>12</v>
      </c>
    </row>
    <row r="53" spans="1:12" x14ac:dyDescent="0.3">
      <c r="A53">
        <v>154827564</v>
      </c>
      <c r="B53" s="1">
        <v>44809</v>
      </c>
      <c r="C53" s="1">
        <v>44843</v>
      </c>
      <c r="D53" t="s">
        <v>7</v>
      </c>
      <c r="E53">
        <v>39</v>
      </c>
      <c r="F53" t="s">
        <v>6</v>
      </c>
      <c r="G53">
        <f t="shared" si="0"/>
        <v>34</v>
      </c>
      <c r="H53" s="1" t="str">
        <f t="shared" si="2"/>
        <v>Monday</v>
      </c>
      <c r="J53" s="1">
        <v>45008</v>
      </c>
      <c r="K53">
        <f t="shared" si="1"/>
        <v>12</v>
      </c>
    </row>
    <row r="54" spans="1:12" x14ac:dyDescent="0.3">
      <c r="A54">
        <v>143581543</v>
      </c>
      <c r="B54" s="1">
        <v>44809</v>
      </c>
      <c r="C54" s="1">
        <v>44846</v>
      </c>
      <c r="D54" t="s">
        <v>7</v>
      </c>
      <c r="E54">
        <v>39</v>
      </c>
      <c r="F54" t="s">
        <v>6</v>
      </c>
      <c r="G54">
        <f t="shared" si="0"/>
        <v>37</v>
      </c>
      <c r="H54" s="1" t="str">
        <f t="shared" si="2"/>
        <v>Monday</v>
      </c>
      <c r="J54" s="1">
        <v>45013</v>
      </c>
      <c r="K54">
        <f t="shared" si="1"/>
        <v>12</v>
      </c>
    </row>
    <row r="55" spans="1:12" x14ac:dyDescent="0.3">
      <c r="A55">
        <v>154867798</v>
      </c>
      <c r="B55" s="1">
        <v>44809</v>
      </c>
      <c r="C55" s="1">
        <v>44839</v>
      </c>
      <c r="D55" t="s">
        <v>7</v>
      </c>
      <c r="E55">
        <v>39</v>
      </c>
      <c r="F55" t="s">
        <v>6</v>
      </c>
      <c r="G55">
        <f t="shared" si="0"/>
        <v>30</v>
      </c>
      <c r="H55" s="1" t="str">
        <f t="shared" si="2"/>
        <v>Monday</v>
      </c>
      <c r="J55" s="1">
        <v>45033</v>
      </c>
      <c r="K55">
        <f t="shared" si="1"/>
        <v>12</v>
      </c>
    </row>
    <row r="56" spans="1:12" x14ac:dyDescent="0.3">
      <c r="A56">
        <v>154863996</v>
      </c>
      <c r="B56" s="1">
        <v>44809</v>
      </c>
      <c r="C56" s="1">
        <v>44813</v>
      </c>
      <c r="D56" t="s">
        <v>7</v>
      </c>
      <c r="E56">
        <v>39</v>
      </c>
      <c r="F56" t="s">
        <v>6</v>
      </c>
      <c r="G56">
        <f t="shared" si="0"/>
        <v>4</v>
      </c>
      <c r="H56" s="1" t="str">
        <f t="shared" si="2"/>
        <v>Monday</v>
      </c>
      <c r="J56" s="1">
        <v>45058</v>
      </c>
      <c r="K56">
        <f t="shared" si="1"/>
        <v>12</v>
      </c>
    </row>
    <row r="57" spans="1:12" x14ac:dyDescent="0.3">
      <c r="A57">
        <v>154923423</v>
      </c>
      <c r="B57" s="1">
        <v>44810</v>
      </c>
      <c r="C57" t="s">
        <v>19</v>
      </c>
      <c r="D57" t="s">
        <v>7</v>
      </c>
      <c r="E57">
        <v>39</v>
      </c>
      <c r="F57" t="s">
        <v>6</v>
      </c>
      <c r="G57" t="str">
        <f t="shared" si="0"/>
        <v>Active</v>
      </c>
      <c r="H57" s="1" t="str">
        <f t="shared" si="2"/>
        <v>Tuesday</v>
      </c>
      <c r="J57" s="1">
        <v>45062</v>
      </c>
      <c r="K57">
        <f t="shared" si="1"/>
        <v>12</v>
      </c>
    </row>
    <row r="58" spans="1:12" x14ac:dyDescent="0.3">
      <c r="A58">
        <v>134664128</v>
      </c>
      <c r="B58" s="1">
        <v>44810</v>
      </c>
      <c r="C58" t="s">
        <v>19</v>
      </c>
      <c r="D58" t="s">
        <v>7</v>
      </c>
      <c r="E58">
        <v>39</v>
      </c>
      <c r="F58" t="s">
        <v>6</v>
      </c>
      <c r="G58" t="str">
        <f t="shared" si="0"/>
        <v>Active</v>
      </c>
      <c r="H58" s="1" t="str">
        <f t="shared" si="2"/>
        <v>Tuesday</v>
      </c>
      <c r="J58" s="1">
        <v>45071</v>
      </c>
      <c r="K58">
        <f t="shared" si="1"/>
        <v>12</v>
      </c>
    </row>
    <row r="59" spans="1:12" x14ac:dyDescent="0.3">
      <c r="A59">
        <v>154828806</v>
      </c>
      <c r="B59" s="1">
        <v>44810</v>
      </c>
      <c r="C59" s="1">
        <v>44885</v>
      </c>
      <c r="D59" t="s">
        <v>7</v>
      </c>
      <c r="E59">
        <v>39</v>
      </c>
      <c r="F59" t="s">
        <v>6</v>
      </c>
      <c r="G59">
        <f t="shared" si="0"/>
        <v>75</v>
      </c>
      <c r="H59" s="1" t="str">
        <f t="shared" si="2"/>
        <v>Tuesday</v>
      </c>
      <c r="J59" s="1">
        <v>45089</v>
      </c>
      <c r="K59">
        <f t="shared" si="1"/>
        <v>12</v>
      </c>
    </row>
    <row r="60" spans="1:12" x14ac:dyDescent="0.3">
      <c r="A60">
        <v>154934030</v>
      </c>
      <c r="B60" s="1">
        <v>44810</v>
      </c>
      <c r="C60" s="1">
        <v>44878</v>
      </c>
      <c r="D60" t="s">
        <v>7</v>
      </c>
      <c r="E60">
        <v>39</v>
      </c>
      <c r="F60" t="s">
        <v>6</v>
      </c>
      <c r="G60">
        <f t="shared" si="0"/>
        <v>68</v>
      </c>
      <c r="H60" s="1" t="str">
        <f t="shared" si="2"/>
        <v>Tuesday</v>
      </c>
      <c r="J60" s="1">
        <v>45092</v>
      </c>
      <c r="K60">
        <f t="shared" si="1"/>
        <v>12</v>
      </c>
    </row>
    <row r="61" spans="1:12" x14ac:dyDescent="0.3">
      <c r="A61">
        <v>153671424</v>
      </c>
      <c r="B61" s="1">
        <v>44810</v>
      </c>
      <c r="C61" s="1">
        <v>44847</v>
      </c>
      <c r="D61" t="s">
        <v>7</v>
      </c>
      <c r="E61">
        <v>39</v>
      </c>
      <c r="F61" t="s">
        <v>6</v>
      </c>
      <c r="G61">
        <f t="shared" si="0"/>
        <v>37</v>
      </c>
      <c r="H61" s="1" t="str">
        <f t="shared" si="2"/>
        <v>Tuesday</v>
      </c>
      <c r="J61" s="1">
        <v>45104</v>
      </c>
      <c r="K61">
        <f t="shared" si="1"/>
        <v>12</v>
      </c>
    </row>
    <row r="62" spans="1:12" x14ac:dyDescent="0.3">
      <c r="A62">
        <v>154693818</v>
      </c>
      <c r="B62" s="1">
        <v>44810</v>
      </c>
      <c r="C62" s="1">
        <v>44847</v>
      </c>
      <c r="D62" t="s">
        <v>7</v>
      </c>
      <c r="E62">
        <v>39</v>
      </c>
      <c r="F62" t="s">
        <v>6</v>
      </c>
      <c r="G62">
        <f t="shared" si="0"/>
        <v>37</v>
      </c>
      <c r="H62" s="1" t="str">
        <f t="shared" si="2"/>
        <v>Tuesday</v>
      </c>
      <c r="J62" s="1">
        <v>45146</v>
      </c>
      <c r="K62">
        <f t="shared" si="1"/>
        <v>12</v>
      </c>
    </row>
    <row r="63" spans="1:12" x14ac:dyDescent="0.3">
      <c r="A63">
        <v>154110938</v>
      </c>
      <c r="B63" s="1">
        <v>44810</v>
      </c>
      <c r="C63" s="1">
        <v>44830</v>
      </c>
      <c r="D63" t="s">
        <v>7</v>
      </c>
      <c r="E63">
        <v>39</v>
      </c>
      <c r="F63" t="s">
        <v>6</v>
      </c>
      <c r="G63">
        <f t="shared" si="0"/>
        <v>20</v>
      </c>
      <c r="H63" s="1" t="str">
        <f t="shared" si="2"/>
        <v>Tuesday</v>
      </c>
      <c r="J63" s="1">
        <v>45152</v>
      </c>
      <c r="K63">
        <f t="shared" si="1"/>
        <v>12</v>
      </c>
    </row>
    <row r="64" spans="1:12" x14ac:dyDescent="0.3">
      <c r="A64">
        <v>154809306</v>
      </c>
      <c r="B64" s="1">
        <v>44810</v>
      </c>
      <c r="C64" s="1">
        <v>44832</v>
      </c>
      <c r="D64" t="s">
        <v>7</v>
      </c>
      <c r="E64">
        <v>39</v>
      </c>
      <c r="F64" t="s">
        <v>6</v>
      </c>
      <c r="G64">
        <f t="shared" si="0"/>
        <v>22</v>
      </c>
      <c r="H64" s="1" t="str">
        <f t="shared" si="2"/>
        <v>Tuesday</v>
      </c>
      <c r="J64" s="1">
        <v>45154</v>
      </c>
      <c r="K64">
        <f t="shared" si="1"/>
        <v>12</v>
      </c>
    </row>
    <row r="65" spans="1:11" x14ac:dyDescent="0.3">
      <c r="A65">
        <v>154537244</v>
      </c>
      <c r="B65" s="1">
        <v>44811</v>
      </c>
      <c r="C65" t="s">
        <v>19</v>
      </c>
      <c r="D65" t="s">
        <v>7</v>
      </c>
      <c r="E65">
        <v>39</v>
      </c>
      <c r="F65" t="s">
        <v>6</v>
      </c>
      <c r="G65" t="str">
        <f t="shared" si="0"/>
        <v>Active</v>
      </c>
      <c r="H65" s="1" t="str">
        <f t="shared" si="2"/>
        <v>Wednesday</v>
      </c>
      <c r="J65" s="1">
        <v>44851</v>
      </c>
      <c r="K65">
        <f t="shared" si="1"/>
        <v>11</v>
      </c>
    </row>
    <row r="66" spans="1:11" x14ac:dyDescent="0.3">
      <c r="A66">
        <v>154163218</v>
      </c>
      <c r="B66" s="1">
        <v>44811</v>
      </c>
      <c r="C66" t="s">
        <v>19</v>
      </c>
      <c r="D66" t="s">
        <v>7</v>
      </c>
      <c r="E66">
        <v>39</v>
      </c>
      <c r="F66" t="s">
        <v>6</v>
      </c>
      <c r="G66" t="str">
        <f t="shared" ref="G66:G129" si="3">IF(C66="Active","Active",C66-B66)</f>
        <v>Active</v>
      </c>
      <c r="H66" s="1" t="str">
        <f t="shared" si="2"/>
        <v>Wednesday</v>
      </c>
      <c r="J66" s="1">
        <v>44866</v>
      </c>
      <c r="K66">
        <f t="shared" ref="K66:K129" si="4">COUNTIF($B$2:$B$3070,J66)</f>
        <v>11</v>
      </c>
    </row>
    <row r="67" spans="1:11" x14ac:dyDescent="0.3">
      <c r="A67">
        <v>129467426</v>
      </c>
      <c r="B67" s="1">
        <v>44811</v>
      </c>
      <c r="C67" s="1">
        <v>45071</v>
      </c>
      <c r="D67" t="s">
        <v>7</v>
      </c>
      <c r="E67">
        <v>39</v>
      </c>
      <c r="F67" t="s">
        <v>6</v>
      </c>
      <c r="G67">
        <f t="shared" si="3"/>
        <v>260</v>
      </c>
      <c r="H67" s="1" t="str">
        <f t="shared" ref="H67:H130" si="5">TEXT(B67,"dddd")</f>
        <v>Wednesday</v>
      </c>
      <c r="J67" s="1">
        <v>44917</v>
      </c>
      <c r="K67">
        <f t="shared" si="4"/>
        <v>11</v>
      </c>
    </row>
    <row r="68" spans="1:11" x14ac:dyDescent="0.3">
      <c r="A68">
        <v>152498330</v>
      </c>
      <c r="B68" s="1">
        <v>44811</v>
      </c>
      <c r="C68" s="1">
        <v>44979</v>
      </c>
      <c r="D68" t="s">
        <v>7</v>
      </c>
      <c r="E68">
        <v>39</v>
      </c>
      <c r="F68" t="s">
        <v>6</v>
      </c>
      <c r="G68">
        <f t="shared" si="3"/>
        <v>168</v>
      </c>
      <c r="H68" s="1" t="str">
        <f t="shared" si="5"/>
        <v>Wednesday</v>
      </c>
      <c r="J68" s="1">
        <v>44928</v>
      </c>
      <c r="K68">
        <f t="shared" si="4"/>
        <v>11</v>
      </c>
    </row>
    <row r="69" spans="1:11" x14ac:dyDescent="0.3">
      <c r="A69">
        <v>125335731</v>
      </c>
      <c r="B69" s="1">
        <v>44811</v>
      </c>
      <c r="C69" s="1">
        <v>44818</v>
      </c>
      <c r="D69" t="s">
        <v>7</v>
      </c>
      <c r="E69">
        <v>39</v>
      </c>
      <c r="F69" t="s">
        <v>6</v>
      </c>
      <c r="G69">
        <f t="shared" si="3"/>
        <v>7</v>
      </c>
      <c r="H69" s="1" t="str">
        <f t="shared" si="5"/>
        <v>Wednesday</v>
      </c>
      <c r="J69" s="1">
        <v>44932</v>
      </c>
      <c r="K69">
        <f t="shared" si="4"/>
        <v>11</v>
      </c>
    </row>
    <row r="70" spans="1:11" x14ac:dyDescent="0.3">
      <c r="A70">
        <v>155113805</v>
      </c>
      <c r="B70" s="1">
        <v>44812</v>
      </c>
      <c r="C70" t="s">
        <v>19</v>
      </c>
      <c r="D70" t="s">
        <v>7</v>
      </c>
      <c r="E70">
        <v>39</v>
      </c>
      <c r="F70" t="s">
        <v>6</v>
      </c>
      <c r="G70" t="str">
        <f t="shared" si="3"/>
        <v>Active</v>
      </c>
      <c r="H70" s="1" t="str">
        <f t="shared" si="5"/>
        <v>Thursday</v>
      </c>
      <c r="J70" s="1">
        <v>44942</v>
      </c>
      <c r="K70">
        <f t="shared" si="4"/>
        <v>11</v>
      </c>
    </row>
    <row r="71" spans="1:11" x14ac:dyDescent="0.3">
      <c r="A71">
        <v>148864769</v>
      </c>
      <c r="B71" s="1">
        <v>44812</v>
      </c>
      <c r="C71" s="1">
        <v>44862</v>
      </c>
      <c r="D71" t="s">
        <v>7</v>
      </c>
      <c r="E71">
        <v>39</v>
      </c>
      <c r="F71" t="s">
        <v>6</v>
      </c>
      <c r="G71">
        <f t="shared" si="3"/>
        <v>50</v>
      </c>
      <c r="H71" s="1" t="str">
        <f t="shared" si="5"/>
        <v>Thursday</v>
      </c>
      <c r="J71" s="1">
        <v>44971</v>
      </c>
      <c r="K71">
        <f t="shared" si="4"/>
        <v>11</v>
      </c>
    </row>
    <row r="72" spans="1:11" x14ac:dyDescent="0.3">
      <c r="A72">
        <v>123850281</v>
      </c>
      <c r="B72" s="1">
        <v>44812</v>
      </c>
      <c r="C72" s="1">
        <v>44849</v>
      </c>
      <c r="D72" t="s">
        <v>7</v>
      </c>
      <c r="E72">
        <v>39</v>
      </c>
      <c r="F72" t="s">
        <v>6</v>
      </c>
      <c r="G72">
        <f t="shared" si="3"/>
        <v>37</v>
      </c>
      <c r="H72" s="1" t="str">
        <f t="shared" si="5"/>
        <v>Thursday</v>
      </c>
      <c r="J72" s="1">
        <v>44981</v>
      </c>
      <c r="K72">
        <f t="shared" si="4"/>
        <v>11</v>
      </c>
    </row>
    <row r="73" spans="1:11" x14ac:dyDescent="0.3">
      <c r="A73">
        <v>155167073</v>
      </c>
      <c r="B73" s="1">
        <v>44812</v>
      </c>
      <c r="C73" s="1">
        <v>44840</v>
      </c>
      <c r="D73" t="s">
        <v>7</v>
      </c>
      <c r="E73">
        <v>39</v>
      </c>
      <c r="F73" t="s">
        <v>6</v>
      </c>
      <c r="G73">
        <f t="shared" si="3"/>
        <v>28</v>
      </c>
      <c r="H73" s="1" t="str">
        <f t="shared" si="5"/>
        <v>Thursday</v>
      </c>
      <c r="J73" s="1">
        <v>44988</v>
      </c>
      <c r="K73">
        <f t="shared" si="4"/>
        <v>11</v>
      </c>
    </row>
    <row r="74" spans="1:11" x14ac:dyDescent="0.3">
      <c r="A74">
        <v>153684891</v>
      </c>
      <c r="B74" s="1">
        <v>44812</v>
      </c>
      <c r="C74" s="1">
        <v>44813</v>
      </c>
      <c r="D74" t="s">
        <v>7</v>
      </c>
      <c r="E74">
        <v>39</v>
      </c>
      <c r="F74" t="s">
        <v>6</v>
      </c>
      <c r="G74">
        <f t="shared" si="3"/>
        <v>1</v>
      </c>
      <c r="H74" s="1" t="str">
        <f t="shared" si="5"/>
        <v>Thursday</v>
      </c>
      <c r="J74" s="1">
        <v>44991</v>
      </c>
      <c r="K74">
        <f t="shared" si="4"/>
        <v>11</v>
      </c>
    </row>
    <row r="75" spans="1:11" x14ac:dyDescent="0.3">
      <c r="A75">
        <v>131277340</v>
      </c>
      <c r="B75" s="1">
        <v>44813</v>
      </c>
      <c r="C75" s="1">
        <v>44986</v>
      </c>
      <c r="D75" t="s">
        <v>7</v>
      </c>
      <c r="E75">
        <v>39</v>
      </c>
      <c r="F75" t="s">
        <v>6</v>
      </c>
      <c r="G75">
        <f t="shared" si="3"/>
        <v>173</v>
      </c>
      <c r="H75" s="1" t="str">
        <f t="shared" si="5"/>
        <v>Friday</v>
      </c>
      <c r="J75" s="1">
        <v>45009</v>
      </c>
      <c r="K75">
        <f t="shared" si="4"/>
        <v>11</v>
      </c>
    </row>
    <row r="76" spans="1:11" x14ac:dyDescent="0.3">
      <c r="A76">
        <v>152027172</v>
      </c>
      <c r="B76" s="1">
        <v>44813</v>
      </c>
      <c r="C76" s="1">
        <v>44897</v>
      </c>
      <c r="D76" t="s">
        <v>7</v>
      </c>
      <c r="E76">
        <v>39</v>
      </c>
      <c r="F76" t="s">
        <v>6</v>
      </c>
      <c r="G76">
        <f t="shared" si="3"/>
        <v>84</v>
      </c>
      <c r="H76" s="1" t="str">
        <f t="shared" si="5"/>
        <v>Friday</v>
      </c>
      <c r="J76" s="1">
        <v>45012</v>
      </c>
      <c r="K76">
        <f t="shared" si="4"/>
        <v>11</v>
      </c>
    </row>
    <row r="77" spans="1:11" x14ac:dyDescent="0.3">
      <c r="A77">
        <v>155212612</v>
      </c>
      <c r="B77" s="1">
        <v>44813</v>
      </c>
      <c r="C77" s="1">
        <v>44868</v>
      </c>
      <c r="D77" t="s">
        <v>7</v>
      </c>
      <c r="E77">
        <v>39</v>
      </c>
      <c r="F77" t="s">
        <v>6</v>
      </c>
      <c r="G77">
        <f t="shared" si="3"/>
        <v>55</v>
      </c>
      <c r="H77" s="1" t="str">
        <f t="shared" si="5"/>
        <v>Friday</v>
      </c>
      <c r="J77" s="1">
        <v>45014</v>
      </c>
      <c r="K77">
        <f t="shared" si="4"/>
        <v>11</v>
      </c>
    </row>
    <row r="78" spans="1:11" x14ac:dyDescent="0.3">
      <c r="A78">
        <v>155188498</v>
      </c>
      <c r="B78" s="1">
        <v>44813</v>
      </c>
      <c r="C78" s="1">
        <v>44843</v>
      </c>
      <c r="D78" t="s">
        <v>7</v>
      </c>
      <c r="E78">
        <v>39</v>
      </c>
      <c r="F78" t="s">
        <v>6</v>
      </c>
      <c r="G78">
        <f t="shared" si="3"/>
        <v>30</v>
      </c>
      <c r="H78" s="1" t="str">
        <f t="shared" si="5"/>
        <v>Friday</v>
      </c>
      <c r="J78" s="1">
        <v>45027</v>
      </c>
      <c r="K78">
        <f t="shared" si="4"/>
        <v>11</v>
      </c>
    </row>
    <row r="79" spans="1:11" x14ac:dyDescent="0.3">
      <c r="A79">
        <v>155145336</v>
      </c>
      <c r="B79" s="1">
        <v>44813</v>
      </c>
      <c r="C79" s="1">
        <v>44837</v>
      </c>
      <c r="D79" t="s">
        <v>7</v>
      </c>
      <c r="E79">
        <v>39</v>
      </c>
      <c r="F79" t="s">
        <v>6</v>
      </c>
      <c r="G79">
        <f t="shared" si="3"/>
        <v>24</v>
      </c>
      <c r="H79" s="1" t="str">
        <f t="shared" si="5"/>
        <v>Friday</v>
      </c>
      <c r="J79" s="1">
        <v>45044</v>
      </c>
      <c r="K79">
        <f t="shared" si="4"/>
        <v>11</v>
      </c>
    </row>
    <row r="80" spans="1:11" x14ac:dyDescent="0.3">
      <c r="A80">
        <v>152506474</v>
      </c>
      <c r="B80" s="1">
        <v>44813</v>
      </c>
      <c r="C80" s="1">
        <v>44850</v>
      </c>
      <c r="D80" t="s">
        <v>7</v>
      </c>
      <c r="E80">
        <v>39</v>
      </c>
      <c r="F80" t="s">
        <v>6</v>
      </c>
      <c r="G80">
        <f t="shared" si="3"/>
        <v>37</v>
      </c>
      <c r="H80" s="1" t="str">
        <f t="shared" si="5"/>
        <v>Friday</v>
      </c>
      <c r="J80" s="1">
        <v>45048</v>
      </c>
      <c r="K80">
        <f t="shared" si="4"/>
        <v>11</v>
      </c>
    </row>
    <row r="81" spans="1:11" x14ac:dyDescent="0.3">
      <c r="A81">
        <v>118029150</v>
      </c>
      <c r="B81" s="1">
        <v>44813</v>
      </c>
      <c r="C81" s="1">
        <v>45154</v>
      </c>
      <c r="D81" t="s">
        <v>7</v>
      </c>
      <c r="E81">
        <v>39</v>
      </c>
      <c r="F81" t="s">
        <v>6</v>
      </c>
      <c r="G81">
        <f t="shared" si="3"/>
        <v>341</v>
      </c>
      <c r="H81" s="1" t="str">
        <f t="shared" si="5"/>
        <v>Friday</v>
      </c>
      <c r="J81" s="1">
        <v>45051</v>
      </c>
      <c r="K81">
        <f t="shared" si="4"/>
        <v>11</v>
      </c>
    </row>
    <row r="82" spans="1:11" x14ac:dyDescent="0.3">
      <c r="A82">
        <v>155245796</v>
      </c>
      <c r="B82" s="1">
        <v>44814</v>
      </c>
      <c r="C82" t="s">
        <v>19</v>
      </c>
      <c r="D82" t="s">
        <v>7</v>
      </c>
      <c r="E82">
        <v>39</v>
      </c>
      <c r="F82" t="s">
        <v>6</v>
      </c>
      <c r="G82" t="str">
        <f t="shared" si="3"/>
        <v>Active</v>
      </c>
      <c r="H82" s="1" t="str">
        <f t="shared" si="5"/>
        <v>Saturday</v>
      </c>
      <c r="J82" s="1">
        <v>45053</v>
      </c>
      <c r="K82">
        <f t="shared" si="4"/>
        <v>11</v>
      </c>
    </row>
    <row r="83" spans="1:11" x14ac:dyDescent="0.3">
      <c r="A83">
        <v>155326259</v>
      </c>
      <c r="B83" s="1">
        <v>44814</v>
      </c>
      <c r="C83" s="1">
        <v>44978</v>
      </c>
      <c r="D83" t="s">
        <v>7</v>
      </c>
      <c r="E83">
        <v>39</v>
      </c>
      <c r="F83" t="s">
        <v>6</v>
      </c>
      <c r="G83">
        <f t="shared" si="3"/>
        <v>164</v>
      </c>
      <c r="H83" s="1" t="str">
        <f t="shared" si="5"/>
        <v>Saturday</v>
      </c>
      <c r="J83" s="1">
        <v>45064</v>
      </c>
      <c r="K83">
        <f t="shared" si="4"/>
        <v>11</v>
      </c>
    </row>
    <row r="84" spans="1:11" x14ac:dyDescent="0.3">
      <c r="A84">
        <v>155311918</v>
      </c>
      <c r="B84" s="1">
        <v>44814</v>
      </c>
      <c r="C84" s="1">
        <v>44907</v>
      </c>
      <c r="D84" t="s">
        <v>7</v>
      </c>
      <c r="E84">
        <v>39</v>
      </c>
      <c r="F84" t="s">
        <v>6</v>
      </c>
      <c r="G84">
        <f t="shared" si="3"/>
        <v>93</v>
      </c>
      <c r="H84" s="1" t="str">
        <f t="shared" si="5"/>
        <v>Saturday</v>
      </c>
      <c r="J84" s="1">
        <v>45078</v>
      </c>
      <c r="K84">
        <f t="shared" si="4"/>
        <v>11</v>
      </c>
    </row>
    <row r="85" spans="1:11" x14ac:dyDescent="0.3">
      <c r="A85">
        <v>154391473</v>
      </c>
      <c r="B85" s="1">
        <v>44814</v>
      </c>
      <c r="C85" s="1">
        <v>44846</v>
      </c>
      <c r="D85" t="s">
        <v>7</v>
      </c>
      <c r="E85">
        <v>39</v>
      </c>
      <c r="F85" t="s">
        <v>6</v>
      </c>
      <c r="G85">
        <f t="shared" si="3"/>
        <v>32</v>
      </c>
      <c r="H85" s="1" t="str">
        <f t="shared" si="5"/>
        <v>Saturday</v>
      </c>
      <c r="J85" s="1">
        <v>45084</v>
      </c>
      <c r="K85">
        <f t="shared" si="4"/>
        <v>11</v>
      </c>
    </row>
    <row r="86" spans="1:11" x14ac:dyDescent="0.3">
      <c r="A86">
        <v>155283495</v>
      </c>
      <c r="B86" s="1">
        <v>44814</v>
      </c>
      <c r="C86" s="1">
        <v>44842</v>
      </c>
      <c r="D86" t="s">
        <v>7</v>
      </c>
      <c r="E86">
        <v>39</v>
      </c>
      <c r="F86" t="s">
        <v>6</v>
      </c>
      <c r="G86">
        <f t="shared" si="3"/>
        <v>28</v>
      </c>
      <c r="H86" s="1" t="str">
        <f t="shared" si="5"/>
        <v>Saturday</v>
      </c>
      <c r="J86" s="1">
        <v>45086</v>
      </c>
      <c r="K86">
        <f t="shared" si="4"/>
        <v>11</v>
      </c>
    </row>
    <row r="87" spans="1:11" x14ac:dyDescent="0.3">
      <c r="A87">
        <v>154597373</v>
      </c>
      <c r="B87" s="1">
        <v>44814</v>
      </c>
      <c r="C87" s="1">
        <v>44840</v>
      </c>
      <c r="D87" t="s">
        <v>7</v>
      </c>
      <c r="E87">
        <v>39</v>
      </c>
      <c r="F87" t="s">
        <v>6</v>
      </c>
      <c r="G87">
        <f t="shared" si="3"/>
        <v>26</v>
      </c>
      <c r="H87" s="1" t="str">
        <f t="shared" si="5"/>
        <v>Saturday</v>
      </c>
      <c r="J87" s="1">
        <v>45093</v>
      </c>
      <c r="K87">
        <f t="shared" si="4"/>
        <v>11</v>
      </c>
    </row>
    <row r="88" spans="1:11" x14ac:dyDescent="0.3">
      <c r="A88">
        <v>155370310</v>
      </c>
      <c r="B88" s="1">
        <v>44815</v>
      </c>
      <c r="C88" s="1">
        <v>45062</v>
      </c>
      <c r="D88" t="s">
        <v>7</v>
      </c>
      <c r="E88">
        <v>39</v>
      </c>
      <c r="F88" t="s">
        <v>6</v>
      </c>
      <c r="G88">
        <f t="shared" si="3"/>
        <v>247</v>
      </c>
      <c r="H88" s="1" t="str">
        <f t="shared" si="5"/>
        <v>Sunday</v>
      </c>
      <c r="J88" s="1">
        <v>45110</v>
      </c>
      <c r="K88">
        <f t="shared" si="4"/>
        <v>11</v>
      </c>
    </row>
    <row r="89" spans="1:11" x14ac:dyDescent="0.3">
      <c r="A89">
        <v>155289120</v>
      </c>
      <c r="B89" s="1">
        <v>44815</v>
      </c>
      <c r="C89" s="1">
        <v>44972</v>
      </c>
      <c r="D89" t="s">
        <v>7</v>
      </c>
      <c r="E89">
        <v>39</v>
      </c>
      <c r="F89" t="s">
        <v>6</v>
      </c>
      <c r="G89">
        <f t="shared" si="3"/>
        <v>157</v>
      </c>
      <c r="H89" s="1" t="str">
        <f t="shared" si="5"/>
        <v>Sunday</v>
      </c>
      <c r="J89" s="1">
        <v>45111</v>
      </c>
      <c r="K89">
        <f t="shared" si="4"/>
        <v>11</v>
      </c>
    </row>
    <row r="90" spans="1:11" x14ac:dyDescent="0.3">
      <c r="A90">
        <v>155351408</v>
      </c>
      <c r="B90" s="1">
        <v>44815</v>
      </c>
      <c r="C90" s="1">
        <v>44906</v>
      </c>
      <c r="D90" t="s">
        <v>7</v>
      </c>
      <c r="E90">
        <v>39</v>
      </c>
      <c r="F90" t="s">
        <v>6</v>
      </c>
      <c r="G90">
        <f t="shared" si="3"/>
        <v>91</v>
      </c>
      <c r="H90" s="1" t="str">
        <f t="shared" si="5"/>
        <v>Sunday</v>
      </c>
      <c r="J90" s="1">
        <v>45147</v>
      </c>
      <c r="K90">
        <f t="shared" si="4"/>
        <v>11</v>
      </c>
    </row>
    <row r="91" spans="1:11" x14ac:dyDescent="0.3">
      <c r="A91">
        <v>155336773</v>
      </c>
      <c r="B91" s="1">
        <v>44815</v>
      </c>
      <c r="C91" s="1">
        <v>44919</v>
      </c>
      <c r="D91" t="s">
        <v>7</v>
      </c>
      <c r="E91">
        <v>39</v>
      </c>
      <c r="F91" t="s">
        <v>6</v>
      </c>
      <c r="G91">
        <f t="shared" si="3"/>
        <v>104</v>
      </c>
      <c r="H91" s="1" t="str">
        <f t="shared" si="5"/>
        <v>Sunday</v>
      </c>
      <c r="J91" s="1">
        <v>45160</v>
      </c>
      <c r="K91">
        <f t="shared" si="4"/>
        <v>11</v>
      </c>
    </row>
    <row r="92" spans="1:11" x14ac:dyDescent="0.3">
      <c r="A92">
        <v>155017581</v>
      </c>
      <c r="B92" s="1">
        <v>44815</v>
      </c>
      <c r="C92" s="1">
        <v>44867</v>
      </c>
      <c r="D92" t="s">
        <v>7</v>
      </c>
      <c r="E92">
        <v>39</v>
      </c>
      <c r="F92" t="s">
        <v>6</v>
      </c>
      <c r="G92">
        <f t="shared" si="3"/>
        <v>52</v>
      </c>
      <c r="H92" s="1" t="str">
        <f t="shared" si="5"/>
        <v>Sunday</v>
      </c>
      <c r="J92" s="1">
        <v>44807</v>
      </c>
      <c r="K92">
        <f t="shared" si="4"/>
        <v>10</v>
      </c>
    </row>
    <row r="93" spans="1:11" x14ac:dyDescent="0.3">
      <c r="A93">
        <v>154401329</v>
      </c>
      <c r="B93" s="1">
        <v>44815</v>
      </c>
      <c r="C93" s="1">
        <v>44849</v>
      </c>
      <c r="D93" t="s">
        <v>7</v>
      </c>
      <c r="E93">
        <v>39</v>
      </c>
      <c r="F93" t="s">
        <v>6</v>
      </c>
      <c r="G93">
        <f t="shared" si="3"/>
        <v>34</v>
      </c>
      <c r="H93" s="1" t="str">
        <f t="shared" si="5"/>
        <v>Sunday</v>
      </c>
      <c r="J93" s="1">
        <v>44823</v>
      </c>
      <c r="K93">
        <f t="shared" si="4"/>
        <v>10</v>
      </c>
    </row>
    <row r="94" spans="1:11" x14ac:dyDescent="0.3">
      <c r="A94">
        <v>155334828</v>
      </c>
      <c r="B94" s="1">
        <v>44815</v>
      </c>
      <c r="C94" s="1">
        <v>44845</v>
      </c>
      <c r="D94" t="s">
        <v>7</v>
      </c>
      <c r="E94">
        <v>39</v>
      </c>
      <c r="F94" t="s">
        <v>6</v>
      </c>
      <c r="G94">
        <f t="shared" si="3"/>
        <v>30</v>
      </c>
      <c r="H94" s="1" t="str">
        <f t="shared" si="5"/>
        <v>Sunday</v>
      </c>
      <c r="J94" s="1">
        <v>44852</v>
      </c>
      <c r="K94">
        <f t="shared" si="4"/>
        <v>10</v>
      </c>
    </row>
    <row r="95" spans="1:11" x14ac:dyDescent="0.3">
      <c r="A95">
        <v>154815431</v>
      </c>
      <c r="B95" s="1">
        <v>44815</v>
      </c>
      <c r="C95" s="1">
        <v>44815</v>
      </c>
      <c r="D95" t="s">
        <v>7</v>
      </c>
      <c r="E95">
        <v>39</v>
      </c>
      <c r="F95" t="s">
        <v>6</v>
      </c>
      <c r="G95">
        <f t="shared" si="3"/>
        <v>0</v>
      </c>
      <c r="H95" s="1" t="str">
        <f t="shared" si="5"/>
        <v>Sunday</v>
      </c>
      <c r="J95" s="1">
        <v>44865</v>
      </c>
      <c r="K95">
        <f t="shared" si="4"/>
        <v>10</v>
      </c>
    </row>
    <row r="96" spans="1:11" x14ac:dyDescent="0.3">
      <c r="A96">
        <v>155343938</v>
      </c>
      <c r="B96" s="1">
        <v>44815</v>
      </c>
      <c r="C96" s="1">
        <v>45156</v>
      </c>
      <c r="D96" t="s">
        <v>7</v>
      </c>
      <c r="E96">
        <v>39</v>
      </c>
      <c r="F96" t="s">
        <v>6</v>
      </c>
      <c r="G96">
        <f t="shared" si="3"/>
        <v>341</v>
      </c>
      <c r="H96" s="1" t="str">
        <f t="shared" si="5"/>
        <v>Sunday</v>
      </c>
      <c r="J96" s="1">
        <v>44911</v>
      </c>
      <c r="K96">
        <f t="shared" si="4"/>
        <v>10</v>
      </c>
    </row>
    <row r="97" spans="1:11" x14ac:dyDescent="0.3">
      <c r="A97">
        <v>152436458</v>
      </c>
      <c r="B97" s="1">
        <v>44816</v>
      </c>
      <c r="C97" s="1">
        <v>44816</v>
      </c>
      <c r="D97" t="s">
        <v>7</v>
      </c>
      <c r="E97">
        <v>39</v>
      </c>
      <c r="F97" t="s">
        <v>6</v>
      </c>
      <c r="G97">
        <f t="shared" si="3"/>
        <v>0</v>
      </c>
      <c r="H97" s="1" t="str">
        <f t="shared" si="5"/>
        <v>Monday</v>
      </c>
      <c r="J97" s="1">
        <v>44929</v>
      </c>
      <c r="K97">
        <f t="shared" si="4"/>
        <v>10</v>
      </c>
    </row>
    <row r="98" spans="1:11" x14ac:dyDescent="0.3">
      <c r="A98">
        <v>154689541</v>
      </c>
      <c r="B98" s="1">
        <v>44816</v>
      </c>
      <c r="C98" s="1">
        <v>44817</v>
      </c>
      <c r="D98" t="s">
        <v>8</v>
      </c>
      <c r="E98">
        <v>39</v>
      </c>
      <c r="F98" t="s">
        <v>6</v>
      </c>
      <c r="G98">
        <f t="shared" si="3"/>
        <v>1</v>
      </c>
      <c r="H98" s="1" t="str">
        <f t="shared" si="5"/>
        <v>Monday</v>
      </c>
      <c r="J98" s="1">
        <v>44943</v>
      </c>
      <c r="K98">
        <f t="shared" si="4"/>
        <v>10</v>
      </c>
    </row>
    <row r="99" spans="1:11" x14ac:dyDescent="0.3">
      <c r="A99">
        <v>155425695</v>
      </c>
      <c r="B99" s="1">
        <v>44816</v>
      </c>
      <c r="C99" s="1">
        <v>44853</v>
      </c>
      <c r="D99" t="s">
        <v>7</v>
      </c>
      <c r="E99">
        <v>39</v>
      </c>
      <c r="F99" t="s">
        <v>6</v>
      </c>
      <c r="G99">
        <f t="shared" si="3"/>
        <v>37</v>
      </c>
      <c r="H99" s="1" t="str">
        <f t="shared" si="5"/>
        <v>Monday</v>
      </c>
      <c r="J99" s="1">
        <v>44956</v>
      </c>
      <c r="K99">
        <f t="shared" si="4"/>
        <v>10</v>
      </c>
    </row>
    <row r="100" spans="1:11" x14ac:dyDescent="0.3">
      <c r="A100">
        <v>152698255</v>
      </c>
      <c r="B100" s="1">
        <v>44816</v>
      </c>
      <c r="C100" s="1">
        <v>44846</v>
      </c>
      <c r="D100" t="s">
        <v>7</v>
      </c>
      <c r="E100">
        <v>39</v>
      </c>
      <c r="F100" t="s">
        <v>6</v>
      </c>
      <c r="G100">
        <f t="shared" si="3"/>
        <v>30</v>
      </c>
      <c r="H100" s="1" t="str">
        <f t="shared" si="5"/>
        <v>Monday</v>
      </c>
      <c r="J100" s="1">
        <v>44957</v>
      </c>
      <c r="K100">
        <f t="shared" si="4"/>
        <v>10</v>
      </c>
    </row>
    <row r="101" spans="1:11" x14ac:dyDescent="0.3">
      <c r="A101">
        <v>155406449</v>
      </c>
      <c r="B101" s="1">
        <v>44817</v>
      </c>
      <c r="C101" s="1">
        <v>45165</v>
      </c>
      <c r="D101" t="s">
        <v>7</v>
      </c>
      <c r="E101">
        <v>39</v>
      </c>
      <c r="F101" t="s">
        <v>6</v>
      </c>
      <c r="G101">
        <f t="shared" si="3"/>
        <v>348</v>
      </c>
      <c r="H101" s="1" t="str">
        <f t="shared" si="5"/>
        <v>Tuesday</v>
      </c>
      <c r="J101" s="1">
        <v>44960</v>
      </c>
      <c r="K101">
        <f t="shared" si="4"/>
        <v>10</v>
      </c>
    </row>
    <row r="102" spans="1:11" x14ac:dyDescent="0.3">
      <c r="A102">
        <v>137338480</v>
      </c>
      <c r="B102" s="1">
        <v>44817</v>
      </c>
      <c r="C102" s="1">
        <v>44818</v>
      </c>
      <c r="D102" t="s">
        <v>7</v>
      </c>
      <c r="E102">
        <v>39</v>
      </c>
      <c r="F102" t="s">
        <v>6</v>
      </c>
      <c r="G102">
        <f t="shared" si="3"/>
        <v>1</v>
      </c>
      <c r="H102" s="1" t="str">
        <f t="shared" si="5"/>
        <v>Tuesday</v>
      </c>
      <c r="J102" s="1">
        <v>44973</v>
      </c>
      <c r="K102">
        <f t="shared" si="4"/>
        <v>10</v>
      </c>
    </row>
    <row r="103" spans="1:11" x14ac:dyDescent="0.3">
      <c r="A103">
        <v>155508519</v>
      </c>
      <c r="B103" s="1">
        <v>44817</v>
      </c>
      <c r="C103" s="1">
        <v>44857</v>
      </c>
      <c r="D103" t="s">
        <v>7</v>
      </c>
      <c r="E103">
        <v>39</v>
      </c>
      <c r="F103" t="s">
        <v>6</v>
      </c>
      <c r="G103">
        <f t="shared" si="3"/>
        <v>40</v>
      </c>
      <c r="H103" s="1" t="str">
        <f t="shared" si="5"/>
        <v>Tuesday</v>
      </c>
      <c r="J103" s="1">
        <v>44978</v>
      </c>
      <c r="K103">
        <f t="shared" si="4"/>
        <v>10</v>
      </c>
    </row>
    <row r="104" spans="1:11" x14ac:dyDescent="0.3">
      <c r="A104">
        <v>155463846</v>
      </c>
      <c r="B104" s="1">
        <v>44817</v>
      </c>
      <c r="C104" s="1">
        <v>44837</v>
      </c>
      <c r="D104" t="s">
        <v>7</v>
      </c>
      <c r="E104">
        <v>39</v>
      </c>
      <c r="F104" t="s">
        <v>6</v>
      </c>
      <c r="G104">
        <f t="shared" si="3"/>
        <v>20</v>
      </c>
      <c r="H104" s="1" t="str">
        <f t="shared" si="5"/>
        <v>Tuesday</v>
      </c>
      <c r="J104" s="1">
        <v>44980</v>
      </c>
      <c r="K104">
        <f t="shared" si="4"/>
        <v>10</v>
      </c>
    </row>
    <row r="105" spans="1:11" x14ac:dyDescent="0.3">
      <c r="A105">
        <v>122335220</v>
      </c>
      <c r="B105" s="1">
        <v>44817</v>
      </c>
      <c r="C105" s="1">
        <v>44821</v>
      </c>
      <c r="D105" t="s">
        <v>7</v>
      </c>
      <c r="E105">
        <v>39</v>
      </c>
      <c r="F105" t="s">
        <v>6</v>
      </c>
      <c r="G105">
        <f t="shared" si="3"/>
        <v>4</v>
      </c>
      <c r="H105" s="1" t="str">
        <f t="shared" si="5"/>
        <v>Tuesday</v>
      </c>
      <c r="J105" s="1">
        <v>44985</v>
      </c>
      <c r="K105">
        <f t="shared" si="4"/>
        <v>10</v>
      </c>
    </row>
    <row r="106" spans="1:11" x14ac:dyDescent="0.3">
      <c r="A106">
        <v>155460904</v>
      </c>
      <c r="B106" s="1">
        <v>44817</v>
      </c>
      <c r="C106" s="1">
        <v>45091</v>
      </c>
      <c r="D106" t="s">
        <v>7</v>
      </c>
      <c r="E106">
        <v>39</v>
      </c>
      <c r="F106" t="s">
        <v>6</v>
      </c>
      <c r="G106">
        <f t="shared" si="3"/>
        <v>274</v>
      </c>
      <c r="H106" s="1" t="str">
        <f t="shared" si="5"/>
        <v>Tuesday</v>
      </c>
      <c r="J106" s="1">
        <v>44998</v>
      </c>
      <c r="K106">
        <f t="shared" si="4"/>
        <v>10</v>
      </c>
    </row>
    <row r="107" spans="1:11" x14ac:dyDescent="0.3">
      <c r="A107">
        <v>155534484</v>
      </c>
      <c r="B107" s="1">
        <v>44818</v>
      </c>
      <c r="C107" s="1">
        <v>44819</v>
      </c>
      <c r="D107" t="s">
        <v>8</v>
      </c>
      <c r="E107">
        <v>39</v>
      </c>
      <c r="F107" t="s">
        <v>6</v>
      </c>
      <c r="G107">
        <f t="shared" si="3"/>
        <v>1</v>
      </c>
      <c r="H107" s="1" t="str">
        <f t="shared" si="5"/>
        <v>Wednesday</v>
      </c>
      <c r="J107" s="1">
        <v>45002</v>
      </c>
      <c r="K107">
        <f t="shared" si="4"/>
        <v>10</v>
      </c>
    </row>
    <row r="108" spans="1:11" x14ac:dyDescent="0.3">
      <c r="A108">
        <v>155465332</v>
      </c>
      <c r="B108" s="1">
        <v>44818</v>
      </c>
      <c r="C108" s="1">
        <v>44991</v>
      </c>
      <c r="D108" t="s">
        <v>7</v>
      </c>
      <c r="E108">
        <v>39</v>
      </c>
      <c r="F108" t="s">
        <v>6</v>
      </c>
      <c r="G108">
        <f t="shared" si="3"/>
        <v>173</v>
      </c>
      <c r="H108" s="1" t="str">
        <f t="shared" si="5"/>
        <v>Wednesday</v>
      </c>
      <c r="J108" s="1">
        <v>45015</v>
      </c>
      <c r="K108">
        <f t="shared" si="4"/>
        <v>10</v>
      </c>
    </row>
    <row r="109" spans="1:11" x14ac:dyDescent="0.3">
      <c r="A109">
        <v>155562517</v>
      </c>
      <c r="B109" s="1">
        <v>44818</v>
      </c>
      <c r="C109" s="1">
        <v>44902</v>
      </c>
      <c r="D109" t="s">
        <v>7</v>
      </c>
      <c r="E109">
        <v>39</v>
      </c>
      <c r="F109" t="s">
        <v>6</v>
      </c>
      <c r="G109">
        <f t="shared" si="3"/>
        <v>84</v>
      </c>
      <c r="H109" s="1" t="str">
        <f t="shared" si="5"/>
        <v>Wednesday</v>
      </c>
      <c r="J109" s="1">
        <v>45020</v>
      </c>
      <c r="K109">
        <f t="shared" si="4"/>
        <v>10</v>
      </c>
    </row>
    <row r="110" spans="1:11" x14ac:dyDescent="0.3">
      <c r="A110">
        <v>153577096</v>
      </c>
      <c r="B110" s="1">
        <v>44818</v>
      </c>
      <c r="C110" s="1">
        <v>44855</v>
      </c>
      <c r="D110" t="s">
        <v>7</v>
      </c>
      <c r="E110">
        <v>39</v>
      </c>
      <c r="F110" t="s">
        <v>6</v>
      </c>
      <c r="G110">
        <f t="shared" si="3"/>
        <v>37</v>
      </c>
      <c r="H110" s="1" t="str">
        <f t="shared" si="5"/>
        <v>Wednesday</v>
      </c>
      <c r="J110" s="1">
        <v>45034</v>
      </c>
      <c r="K110">
        <f t="shared" si="4"/>
        <v>10</v>
      </c>
    </row>
    <row r="111" spans="1:11" x14ac:dyDescent="0.3">
      <c r="A111">
        <v>154937101</v>
      </c>
      <c r="B111" s="1">
        <v>44819</v>
      </c>
      <c r="C111" t="s">
        <v>19</v>
      </c>
      <c r="D111" t="s">
        <v>7</v>
      </c>
      <c r="E111">
        <v>39</v>
      </c>
      <c r="F111" t="s">
        <v>6</v>
      </c>
      <c r="G111" t="str">
        <f t="shared" si="3"/>
        <v>Active</v>
      </c>
      <c r="H111" s="1" t="str">
        <f t="shared" si="5"/>
        <v>Thursday</v>
      </c>
      <c r="J111" s="1">
        <v>45057</v>
      </c>
      <c r="K111">
        <f t="shared" si="4"/>
        <v>10</v>
      </c>
    </row>
    <row r="112" spans="1:11" x14ac:dyDescent="0.3">
      <c r="A112">
        <v>144968444</v>
      </c>
      <c r="B112" s="1">
        <v>44819</v>
      </c>
      <c r="C112" s="1">
        <v>44819</v>
      </c>
      <c r="D112" t="s">
        <v>8</v>
      </c>
      <c r="E112">
        <v>39</v>
      </c>
      <c r="F112" t="s">
        <v>6</v>
      </c>
      <c r="G112">
        <f t="shared" si="3"/>
        <v>0</v>
      </c>
      <c r="H112" s="1" t="str">
        <f t="shared" si="5"/>
        <v>Thursday</v>
      </c>
      <c r="J112" s="1">
        <v>45065</v>
      </c>
      <c r="K112">
        <f t="shared" si="4"/>
        <v>10</v>
      </c>
    </row>
    <row r="113" spans="1:11" x14ac:dyDescent="0.3">
      <c r="A113">
        <v>155270889</v>
      </c>
      <c r="B113" s="1">
        <v>44819</v>
      </c>
      <c r="C113" s="1">
        <v>44991</v>
      </c>
      <c r="D113" t="s">
        <v>7</v>
      </c>
      <c r="E113">
        <v>39</v>
      </c>
      <c r="F113" t="s">
        <v>6</v>
      </c>
      <c r="G113">
        <f t="shared" si="3"/>
        <v>172</v>
      </c>
      <c r="H113" s="1" t="str">
        <f t="shared" si="5"/>
        <v>Thursday</v>
      </c>
      <c r="J113" s="1">
        <v>45073</v>
      </c>
      <c r="K113">
        <f t="shared" si="4"/>
        <v>10</v>
      </c>
    </row>
    <row r="114" spans="1:11" x14ac:dyDescent="0.3">
      <c r="A114">
        <v>155601465</v>
      </c>
      <c r="B114" s="1">
        <v>44819</v>
      </c>
      <c r="C114" s="1">
        <v>45078</v>
      </c>
      <c r="D114" t="s">
        <v>7</v>
      </c>
      <c r="E114">
        <v>39</v>
      </c>
      <c r="F114" t="s">
        <v>6</v>
      </c>
      <c r="G114">
        <f t="shared" si="3"/>
        <v>259</v>
      </c>
      <c r="H114" s="1" t="str">
        <f t="shared" si="5"/>
        <v>Thursday</v>
      </c>
      <c r="J114" s="1">
        <v>45096</v>
      </c>
      <c r="K114">
        <f t="shared" si="4"/>
        <v>10</v>
      </c>
    </row>
    <row r="115" spans="1:11" x14ac:dyDescent="0.3">
      <c r="A115">
        <v>154045370</v>
      </c>
      <c r="B115" s="1">
        <v>44819</v>
      </c>
      <c r="C115" s="1">
        <v>44893</v>
      </c>
      <c r="D115" t="s">
        <v>7</v>
      </c>
      <c r="E115">
        <v>39</v>
      </c>
      <c r="F115" t="s">
        <v>6</v>
      </c>
      <c r="G115">
        <f t="shared" si="3"/>
        <v>74</v>
      </c>
      <c r="H115" s="1" t="str">
        <f t="shared" si="5"/>
        <v>Thursday</v>
      </c>
      <c r="J115" s="1">
        <v>45120</v>
      </c>
      <c r="K115">
        <f t="shared" si="4"/>
        <v>10</v>
      </c>
    </row>
    <row r="116" spans="1:11" x14ac:dyDescent="0.3">
      <c r="A116">
        <v>155612742</v>
      </c>
      <c r="B116" s="1">
        <v>44819</v>
      </c>
      <c r="C116" s="1">
        <v>44873</v>
      </c>
      <c r="D116" t="s">
        <v>7</v>
      </c>
      <c r="E116">
        <v>39</v>
      </c>
      <c r="F116" t="s">
        <v>6</v>
      </c>
      <c r="G116">
        <f t="shared" si="3"/>
        <v>54</v>
      </c>
      <c r="H116" s="1" t="str">
        <f t="shared" si="5"/>
        <v>Thursday</v>
      </c>
      <c r="J116" s="1">
        <v>45131</v>
      </c>
      <c r="K116">
        <f t="shared" si="4"/>
        <v>10</v>
      </c>
    </row>
    <row r="117" spans="1:11" x14ac:dyDescent="0.3">
      <c r="A117">
        <v>155621162</v>
      </c>
      <c r="B117" s="1">
        <v>44819</v>
      </c>
      <c r="C117" s="1">
        <v>44879</v>
      </c>
      <c r="D117" t="s">
        <v>7</v>
      </c>
      <c r="E117">
        <v>39</v>
      </c>
      <c r="F117" t="s">
        <v>6</v>
      </c>
      <c r="G117">
        <f t="shared" si="3"/>
        <v>60</v>
      </c>
      <c r="H117" s="1" t="str">
        <f t="shared" si="5"/>
        <v>Thursday</v>
      </c>
      <c r="J117" s="1">
        <v>45139</v>
      </c>
      <c r="K117">
        <f t="shared" si="4"/>
        <v>10</v>
      </c>
    </row>
    <row r="118" spans="1:11" x14ac:dyDescent="0.3">
      <c r="A118">
        <v>154904040</v>
      </c>
      <c r="B118" s="1">
        <v>44819</v>
      </c>
      <c r="C118" s="1">
        <v>44856</v>
      </c>
      <c r="D118" t="s">
        <v>7</v>
      </c>
      <c r="E118">
        <v>39</v>
      </c>
      <c r="F118" t="s">
        <v>6</v>
      </c>
      <c r="G118">
        <f t="shared" si="3"/>
        <v>37</v>
      </c>
      <c r="H118" s="1" t="str">
        <f t="shared" si="5"/>
        <v>Thursday</v>
      </c>
      <c r="J118" s="1">
        <v>45142</v>
      </c>
      <c r="K118">
        <f t="shared" si="4"/>
        <v>10</v>
      </c>
    </row>
    <row r="119" spans="1:11" x14ac:dyDescent="0.3">
      <c r="A119">
        <v>150810434</v>
      </c>
      <c r="B119" s="1">
        <v>44819</v>
      </c>
      <c r="C119" s="1">
        <v>44846</v>
      </c>
      <c r="D119" t="s">
        <v>7</v>
      </c>
      <c r="E119">
        <v>39</v>
      </c>
      <c r="F119" t="s">
        <v>6</v>
      </c>
      <c r="G119">
        <f t="shared" si="3"/>
        <v>27</v>
      </c>
      <c r="H119" s="1" t="str">
        <f t="shared" si="5"/>
        <v>Thursday</v>
      </c>
      <c r="J119" s="1">
        <v>45156</v>
      </c>
      <c r="K119">
        <f t="shared" si="4"/>
        <v>10</v>
      </c>
    </row>
    <row r="120" spans="1:11" x14ac:dyDescent="0.3">
      <c r="A120">
        <v>150825802</v>
      </c>
      <c r="B120" s="1">
        <v>44819</v>
      </c>
      <c r="C120" s="1">
        <v>44847</v>
      </c>
      <c r="D120" t="s">
        <v>7</v>
      </c>
      <c r="E120">
        <v>39</v>
      </c>
      <c r="F120" t="s">
        <v>6</v>
      </c>
      <c r="G120">
        <f t="shared" si="3"/>
        <v>28</v>
      </c>
      <c r="H120" s="1" t="str">
        <f t="shared" si="5"/>
        <v>Thursday</v>
      </c>
      <c r="J120" s="1">
        <v>45168</v>
      </c>
      <c r="K120">
        <f t="shared" si="4"/>
        <v>10</v>
      </c>
    </row>
    <row r="121" spans="1:11" x14ac:dyDescent="0.3">
      <c r="A121">
        <v>151907203</v>
      </c>
      <c r="B121" s="1">
        <v>44819</v>
      </c>
      <c r="C121" s="1">
        <v>44845</v>
      </c>
      <c r="D121" t="s">
        <v>7</v>
      </c>
      <c r="E121">
        <v>39</v>
      </c>
      <c r="F121" t="s">
        <v>6</v>
      </c>
      <c r="G121">
        <f t="shared" si="3"/>
        <v>26</v>
      </c>
      <c r="H121" s="1" t="str">
        <f t="shared" si="5"/>
        <v>Thursday</v>
      </c>
      <c r="J121" s="1">
        <v>44808</v>
      </c>
      <c r="K121">
        <f t="shared" si="4"/>
        <v>9</v>
      </c>
    </row>
    <row r="122" spans="1:11" x14ac:dyDescent="0.3">
      <c r="A122">
        <v>149595273</v>
      </c>
      <c r="B122" s="1">
        <v>44819</v>
      </c>
      <c r="C122" s="1">
        <v>44833</v>
      </c>
      <c r="D122" t="s">
        <v>7</v>
      </c>
      <c r="E122">
        <v>39</v>
      </c>
      <c r="F122" t="s">
        <v>6</v>
      </c>
      <c r="G122">
        <f t="shared" si="3"/>
        <v>14</v>
      </c>
      <c r="H122" s="1" t="str">
        <f t="shared" si="5"/>
        <v>Thursday</v>
      </c>
      <c r="J122" s="1">
        <v>44815</v>
      </c>
      <c r="K122">
        <f t="shared" si="4"/>
        <v>9</v>
      </c>
    </row>
    <row r="123" spans="1:11" x14ac:dyDescent="0.3">
      <c r="A123">
        <v>155596960</v>
      </c>
      <c r="B123" s="1">
        <v>44819</v>
      </c>
      <c r="C123" s="1">
        <v>44827</v>
      </c>
      <c r="D123" t="s">
        <v>7</v>
      </c>
      <c r="E123">
        <v>39</v>
      </c>
      <c r="F123" t="s">
        <v>6</v>
      </c>
      <c r="G123">
        <f t="shared" si="3"/>
        <v>8</v>
      </c>
      <c r="H123" s="1" t="str">
        <f t="shared" si="5"/>
        <v>Thursday</v>
      </c>
      <c r="J123" s="1">
        <v>44830</v>
      </c>
      <c r="K123">
        <f t="shared" si="4"/>
        <v>9</v>
      </c>
    </row>
    <row r="124" spans="1:11" x14ac:dyDescent="0.3">
      <c r="A124">
        <v>155192606</v>
      </c>
      <c r="B124" s="1">
        <v>44820</v>
      </c>
      <c r="C124" t="s">
        <v>19</v>
      </c>
      <c r="D124" t="s">
        <v>7</v>
      </c>
      <c r="E124">
        <v>39</v>
      </c>
      <c r="F124" t="s">
        <v>6</v>
      </c>
      <c r="G124" t="str">
        <f t="shared" si="3"/>
        <v>Active</v>
      </c>
      <c r="H124" s="1" t="str">
        <f t="shared" si="5"/>
        <v>Friday</v>
      </c>
      <c r="J124" s="1">
        <v>44834</v>
      </c>
      <c r="K124">
        <f t="shared" si="4"/>
        <v>9</v>
      </c>
    </row>
    <row r="125" spans="1:11" x14ac:dyDescent="0.3">
      <c r="A125">
        <v>129111644</v>
      </c>
      <c r="B125" s="1">
        <v>44820</v>
      </c>
      <c r="C125" s="1">
        <v>45008</v>
      </c>
      <c r="D125" t="s">
        <v>7</v>
      </c>
      <c r="E125">
        <v>39</v>
      </c>
      <c r="F125" t="s">
        <v>6</v>
      </c>
      <c r="G125">
        <f t="shared" si="3"/>
        <v>188</v>
      </c>
      <c r="H125" s="1" t="str">
        <f t="shared" si="5"/>
        <v>Friday</v>
      </c>
      <c r="J125" s="1">
        <v>44860</v>
      </c>
      <c r="K125">
        <f t="shared" si="4"/>
        <v>9</v>
      </c>
    </row>
    <row r="126" spans="1:11" x14ac:dyDescent="0.3">
      <c r="A126">
        <v>155426674</v>
      </c>
      <c r="B126" s="1">
        <v>44820</v>
      </c>
      <c r="C126" s="1">
        <v>45026</v>
      </c>
      <c r="D126" t="s">
        <v>7</v>
      </c>
      <c r="E126">
        <v>39</v>
      </c>
      <c r="F126" t="s">
        <v>6</v>
      </c>
      <c r="G126">
        <f t="shared" si="3"/>
        <v>206</v>
      </c>
      <c r="H126" s="1" t="str">
        <f t="shared" si="5"/>
        <v>Friday</v>
      </c>
      <c r="J126" s="1">
        <v>44861</v>
      </c>
      <c r="K126">
        <f t="shared" si="4"/>
        <v>9</v>
      </c>
    </row>
    <row r="127" spans="1:11" x14ac:dyDescent="0.3">
      <c r="A127">
        <v>154389303</v>
      </c>
      <c r="B127" s="1">
        <v>44820</v>
      </c>
      <c r="C127" s="1">
        <v>44931</v>
      </c>
      <c r="D127" t="s">
        <v>7</v>
      </c>
      <c r="E127">
        <v>39</v>
      </c>
      <c r="F127" t="s">
        <v>6</v>
      </c>
      <c r="G127">
        <f t="shared" si="3"/>
        <v>111</v>
      </c>
      <c r="H127" s="1" t="str">
        <f t="shared" si="5"/>
        <v>Friday</v>
      </c>
      <c r="J127" s="1">
        <v>44870</v>
      </c>
      <c r="K127">
        <f t="shared" si="4"/>
        <v>9</v>
      </c>
    </row>
    <row r="128" spans="1:11" x14ac:dyDescent="0.3">
      <c r="A128">
        <v>155671632</v>
      </c>
      <c r="B128" s="1">
        <v>44820</v>
      </c>
      <c r="C128" s="1">
        <v>44917</v>
      </c>
      <c r="D128" t="s">
        <v>7</v>
      </c>
      <c r="E128">
        <v>39</v>
      </c>
      <c r="F128" t="s">
        <v>6</v>
      </c>
      <c r="G128">
        <f t="shared" si="3"/>
        <v>97</v>
      </c>
      <c r="H128" s="1" t="str">
        <f t="shared" si="5"/>
        <v>Friday</v>
      </c>
      <c r="J128" s="1">
        <v>44881</v>
      </c>
      <c r="K128">
        <f t="shared" si="4"/>
        <v>9</v>
      </c>
    </row>
    <row r="129" spans="1:11" x14ac:dyDescent="0.3">
      <c r="A129">
        <v>155663101</v>
      </c>
      <c r="B129" s="1">
        <v>44820</v>
      </c>
      <c r="C129" s="1">
        <v>44838</v>
      </c>
      <c r="D129" t="s">
        <v>7</v>
      </c>
      <c r="E129">
        <v>39</v>
      </c>
      <c r="F129" t="s">
        <v>6</v>
      </c>
      <c r="G129">
        <f t="shared" si="3"/>
        <v>18</v>
      </c>
      <c r="H129" s="1" t="str">
        <f t="shared" si="5"/>
        <v>Friday</v>
      </c>
      <c r="J129" s="1">
        <v>44890</v>
      </c>
      <c r="K129">
        <f t="shared" si="4"/>
        <v>9</v>
      </c>
    </row>
    <row r="130" spans="1:11" x14ac:dyDescent="0.3">
      <c r="A130">
        <v>152084572</v>
      </c>
      <c r="B130" s="1">
        <v>44821</v>
      </c>
      <c r="C130" t="s">
        <v>19</v>
      </c>
      <c r="D130" t="s">
        <v>7</v>
      </c>
      <c r="E130">
        <v>39</v>
      </c>
      <c r="F130" t="s">
        <v>6</v>
      </c>
      <c r="G130" t="str">
        <f t="shared" ref="G130:G193" si="6">IF(C130="Active","Active",C130-B130)</f>
        <v>Active</v>
      </c>
      <c r="H130" s="1" t="str">
        <f t="shared" si="5"/>
        <v>Saturday</v>
      </c>
      <c r="J130" s="1">
        <v>44901</v>
      </c>
      <c r="K130">
        <f t="shared" ref="K130:K193" si="7">COUNTIF($B$2:$B$3070,J130)</f>
        <v>9</v>
      </c>
    </row>
    <row r="131" spans="1:11" x14ac:dyDescent="0.3">
      <c r="A131">
        <v>155783230</v>
      </c>
      <c r="B131" s="1">
        <v>44821</v>
      </c>
      <c r="C131" s="1">
        <v>45058</v>
      </c>
      <c r="D131" t="s">
        <v>7</v>
      </c>
      <c r="E131">
        <v>39</v>
      </c>
      <c r="F131" t="s">
        <v>6</v>
      </c>
      <c r="G131">
        <f t="shared" si="6"/>
        <v>237</v>
      </c>
      <c r="H131" s="1" t="str">
        <f t="shared" ref="H131:H194" si="8">TEXT(B131,"dddd")</f>
        <v>Saturday</v>
      </c>
      <c r="J131" s="1">
        <v>44903</v>
      </c>
      <c r="K131">
        <f t="shared" si="7"/>
        <v>9</v>
      </c>
    </row>
    <row r="132" spans="1:11" x14ac:dyDescent="0.3">
      <c r="A132">
        <v>155714315</v>
      </c>
      <c r="B132" s="1">
        <v>44821</v>
      </c>
      <c r="C132" s="1">
        <v>44940</v>
      </c>
      <c r="D132" t="s">
        <v>7</v>
      </c>
      <c r="E132">
        <v>39</v>
      </c>
      <c r="F132" t="s">
        <v>6</v>
      </c>
      <c r="G132">
        <f t="shared" si="6"/>
        <v>119</v>
      </c>
      <c r="H132" s="1" t="str">
        <f t="shared" si="8"/>
        <v>Saturday</v>
      </c>
      <c r="J132" s="1">
        <v>44907</v>
      </c>
      <c r="K132">
        <f t="shared" si="7"/>
        <v>9</v>
      </c>
    </row>
    <row r="133" spans="1:11" x14ac:dyDescent="0.3">
      <c r="A133">
        <v>155774393</v>
      </c>
      <c r="B133" s="1">
        <v>44821</v>
      </c>
      <c r="C133" s="1">
        <v>44852</v>
      </c>
      <c r="D133" t="s">
        <v>7</v>
      </c>
      <c r="E133">
        <v>39</v>
      </c>
      <c r="F133" t="s">
        <v>6</v>
      </c>
      <c r="G133">
        <f t="shared" si="6"/>
        <v>31</v>
      </c>
      <c r="H133" s="1" t="str">
        <f t="shared" si="8"/>
        <v>Saturday</v>
      </c>
      <c r="J133" s="1">
        <v>44909</v>
      </c>
      <c r="K133">
        <f t="shared" si="7"/>
        <v>9</v>
      </c>
    </row>
    <row r="134" spans="1:11" x14ac:dyDescent="0.3">
      <c r="A134">
        <v>152901090</v>
      </c>
      <c r="B134" s="1">
        <v>44822</v>
      </c>
      <c r="C134" s="1">
        <v>44951</v>
      </c>
      <c r="D134" t="s">
        <v>7</v>
      </c>
      <c r="E134">
        <v>39</v>
      </c>
      <c r="F134" t="s">
        <v>6</v>
      </c>
      <c r="G134">
        <f t="shared" si="6"/>
        <v>129</v>
      </c>
      <c r="H134" s="1" t="str">
        <f t="shared" si="8"/>
        <v>Sunday</v>
      </c>
      <c r="J134" s="1">
        <v>44915</v>
      </c>
      <c r="K134">
        <f t="shared" si="7"/>
        <v>9</v>
      </c>
    </row>
    <row r="135" spans="1:11" x14ac:dyDescent="0.3">
      <c r="A135">
        <v>147029752</v>
      </c>
      <c r="B135" s="1">
        <v>44822</v>
      </c>
      <c r="C135" s="1">
        <v>44886</v>
      </c>
      <c r="D135" t="s">
        <v>7</v>
      </c>
      <c r="E135">
        <v>39</v>
      </c>
      <c r="F135" t="s">
        <v>6</v>
      </c>
      <c r="G135">
        <f t="shared" si="6"/>
        <v>64</v>
      </c>
      <c r="H135" s="1" t="str">
        <f t="shared" si="8"/>
        <v>Sunday</v>
      </c>
      <c r="J135" s="1">
        <v>44916</v>
      </c>
      <c r="K135">
        <f t="shared" si="7"/>
        <v>9</v>
      </c>
    </row>
    <row r="136" spans="1:11" x14ac:dyDescent="0.3">
      <c r="A136">
        <v>155809043</v>
      </c>
      <c r="B136" s="1">
        <v>44822</v>
      </c>
      <c r="C136" s="1">
        <v>44903</v>
      </c>
      <c r="D136" t="s">
        <v>7</v>
      </c>
      <c r="E136">
        <v>39</v>
      </c>
      <c r="F136" t="s">
        <v>6</v>
      </c>
      <c r="G136">
        <f t="shared" si="6"/>
        <v>81</v>
      </c>
      <c r="H136" s="1" t="str">
        <f t="shared" si="8"/>
        <v>Sunday</v>
      </c>
      <c r="J136" s="1">
        <v>44922</v>
      </c>
      <c r="K136">
        <f t="shared" si="7"/>
        <v>9</v>
      </c>
    </row>
    <row r="137" spans="1:11" x14ac:dyDescent="0.3">
      <c r="A137">
        <v>155180991</v>
      </c>
      <c r="B137" s="1">
        <v>44822</v>
      </c>
      <c r="C137" s="1">
        <v>44877</v>
      </c>
      <c r="D137" t="s">
        <v>7</v>
      </c>
      <c r="E137">
        <v>39</v>
      </c>
      <c r="F137" t="s">
        <v>6</v>
      </c>
      <c r="G137">
        <f t="shared" si="6"/>
        <v>55</v>
      </c>
      <c r="H137" s="1" t="str">
        <f t="shared" si="8"/>
        <v>Sunday</v>
      </c>
      <c r="J137" s="1">
        <v>44924</v>
      </c>
      <c r="K137">
        <f t="shared" si="7"/>
        <v>9</v>
      </c>
    </row>
    <row r="138" spans="1:11" x14ac:dyDescent="0.3">
      <c r="A138">
        <v>155713732</v>
      </c>
      <c r="B138" s="1">
        <v>44822</v>
      </c>
      <c r="C138" s="1">
        <v>44834</v>
      </c>
      <c r="D138" t="s">
        <v>7</v>
      </c>
      <c r="E138">
        <v>39</v>
      </c>
      <c r="F138" t="s">
        <v>6</v>
      </c>
      <c r="G138">
        <f t="shared" si="6"/>
        <v>12</v>
      </c>
      <c r="H138" s="1" t="str">
        <f t="shared" si="8"/>
        <v>Sunday</v>
      </c>
      <c r="J138" s="1">
        <v>44931</v>
      </c>
      <c r="K138">
        <f t="shared" si="7"/>
        <v>9</v>
      </c>
    </row>
    <row r="139" spans="1:11" x14ac:dyDescent="0.3">
      <c r="A139">
        <v>155204060</v>
      </c>
      <c r="B139" s="1">
        <v>44822</v>
      </c>
      <c r="C139" s="1">
        <v>44851</v>
      </c>
      <c r="D139" t="s">
        <v>7</v>
      </c>
      <c r="E139">
        <v>39</v>
      </c>
      <c r="F139" t="s">
        <v>6</v>
      </c>
      <c r="G139">
        <f t="shared" si="6"/>
        <v>29</v>
      </c>
      <c r="H139" s="1" t="str">
        <f t="shared" si="8"/>
        <v>Sunday</v>
      </c>
      <c r="J139" s="1">
        <v>44935</v>
      </c>
      <c r="K139">
        <f t="shared" si="7"/>
        <v>9</v>
      </c>
    </row>
    <row r="140" spans="1:11" x14ac:dyDescent="0.3">
      <c r="A140">
        <v>136817161</v>
      </c>
      <c r="B140" s="1">
        <v>44823</v>
      </c>
      <c r="C140" s="1">
        <v>44851</v>
      </c>
      <c r="D140" t="s">
        <v>8</v>
      </c>
      <c r="E140">
        <v>39</v>
      </c>
      <c r="F140" t="s">
        <v>6</v>
      </c>
      <c r="G140">
        <f t="shared" si="6"/>
        <v>28</v>
      </c>
      <c r="H140" s="1" t="str">
        <f t="shared" si="8"/>
        <v>Monday</v>
      </c>
      <c r="J140" s="1">
        <v>44936</v>
      </c>
      <c r="K140">
        <f t="shared" si="7"/>
        <v>9</v>
      </c>
    </row>
    <row r="141" spans="1:11" x14ac:dyDescent="0.3">
      <c r="A141">
        <v>126212861</v>
      </c>
      <c r="B141" s="1">
        <v>44823</v>
      </c>
      <c r="C141" s="1">
        <v>44823</v>
      </c>
      <c r="D141" t="s">
        <v>7</v>
      </c>
      <c r="E141">
        <v>39</v>
      </c>
      <c r="F141" t="s">
        <v>6</v>
      </c>
      <c r="G141">
        <f t="shared" si="6"/>
        <v>0</v>
      </c>
      <c r="H141" s="1" t="str">
        <f t="shared" si="8"/>
        <v>Monday</v>
      </c>
      <c r="J141" s="1">
        <v>44941</v>
      </c>
      <c r="K141">
        <f t="shared" si="7"/>
        <v>9</v>
      </c>
    </row>
    <row r="142" spans="1:11" x14ac:dyDescent="0.3">
      <c r="A142">
        <v>155265877</v>
      </c>
      <c r="B142" s="1">
        <v>44823</v>
      </c>
      <c r="C142" s="1">
        <v>44967</v>
      </c>
      <c r="D142" t="s">
        <v>7</v>
      </c>
      <c r="E142">
        <v>39</v>
      </c>
      <c r="F142" t="s">
        <v>6</v>
      </c>
      <c r="G142">
        <f t="shared" si="6"/>
        <v>144</v>
      </c>
      <c r="H142" s="1" t="str">
        <f t="shared" si="8"/>
        <v>Monday</v>
      </c>
      <c r="J142" s="1">
        <v>44946</v>
      </c>
      <c r="K142">
        <f t="shared" si="7"/>
        <v>9</v>
      </c>
    </row>
    <row r="143" spans="1:11" x14ac:dyDescent="0.3">
      <c r="A143">
        <v>155916753</v>
      </c>
      <c r="B143" s="1">
        <v>44823</v>
      </c>
      <c r="C143" s="1">
        <v>44976</v>
      </c>
      <c r="D143" t="s">
        <v>7</v>
      </c>
      <c r="E143">
        <v>39</v>
      </c>
      <c r="F143" t="s">
        <v>6</v>
      </c>
      <c r="G143">
        <f t="shared" si="6"/>
        <v>153</v>
      </c>
      <c r="H143" s="1" t="str">
        <f t="shared" si="8"/>
        <v>Monday</v>
      </c>
      <c r="J143" s="1">
        <v>44962</v>
      </c>
      <c r="K143">
        <f t="shared" si="7"/>
        <v>9</v>
      </c>
    </row>
    <row r="144" spans="1:11" x14ac:dyDescent="0.3">
      <c r="A144">
        <v>155927984</v>
      </c>
      <c r="B144" s="1">
        <v>44823</v>
      </c>
      <c r="C144" s="1">
        <v>44912</v>
      </c>
      <c r="D144" t="s">
        <v>7</v>
      </c>
      <c r="E144">
        <v>39</v>
      </c>
      <c r="F144" t="s">
        <v>6</v>
      </c>
      <c r="G144">
        <f t="shared" si="6"/>
        <v>89</v>
      </c>
      <c r="H144" s="1" t="str">
        <f t="shared" si="8"/>
        <v>Monday</v>
      </c>
      <c r="J144" s="1">
        <v>44964</v>
      </c>
      <c r="K144">
        <f t="shared" si="7"/>
        <v>9</v>
      </c>
    </row>
    <row r="145" spans="1:11" x14ac:dyDescent="0.3">
      <c r="A145">
        <v>155876104</v>
      </c>
      <c r="B145" s="1">
        <v>44823</v>
      </c>
      <c r="C145" s="1">
        <v>44909</v>
      </c>
      <c r="D145" t="s">
        <v>7</v>
      </c>
      <c r="E145">
        <v>39</v>
      </c>
      <c r="F145" t="s">
        <v>6</v>
      </c>
      <c r="G145">
        <f t="shared" si="6"/>
        <v>86</v>
      </c>
      <c r="H145" s="1" t="str">
        <f t="shared" si="8"/>
        <v>Monday</v>
      </c>
      <c r="J145" s="1">
        <v>44974</v>
      </c>
      <c r="K145">
        <f t="shared" si="7"/>
        <v>9</v>
      </c>
    </row>
    <row r="146" spans="1:11" x14ac:dyDescent="0.3">
      <c r="A146">
        <v>155733164</v>
      </c>
      <c r="B146" s="1">
        <v>44823</v>
      </c>
      <c r="C146" s="1">
        <v>44823</v>
      </c>
      <c r="D146" t="s">
        <v>7</v>
      </c>
      <c r="E146">
        <v>39</v>
      </c>
      <c r="F146" t="s">
        <v>6</v>
      </c>
      <c r="G146">
        <f t="shared" si="6"/>
        <v>0</v>
      </c>
      <c r="H146" s="1" t="str">
        <f t="shared" si="8"/>
        <v>Monday</v>
      </c>
      <c r="J146" s="1">
        <v>44999</v>
      </c>
      <c r="K146">
        <f t="shared" si="7"/>
        <v>9</v>
      </c>
    </row>
    <row r="147" spans="1:11" x14ac:dyDescent="0.3">
      <c r="A147">
        <v>153832728</v>
      </c>
      <c r="B147" s="1">
        <v>44823</v>
      </c>
      <c r="C147" s="1">
        <v>44852</v>
      </c>
      <c r="D147" t="s">
        <v>7</v>
      </c>
      <c r="E147">
        <v>39</v>
      </c>
      <c r="F147" t="s">
        <v>6</v>
      </c>
      <c r="G147">
        <f t="shared" si="6"/>
        <v>29</v>
      </c>
      <c r="H147" s="1" t="str">
        <f t="shared" si="8"/>
        <v>Monday</v>
      </c>
      <c r="J147" s="1">
        <v>45007</v>
      </c>
      <c r="K147">
        <f t="shared" si="7"/>
        <v>9</v>
      </c>
    </row>
    <row r="148" spans="1:11" x14ac:dyDescent="0.3">
      <c r="A148">
        <v>155876188</v>
      </c>
      <c r="B148" s="1">
        <v>44823</v>
      </c>
      <c r="C148" s="1">
        <v>44854</v>
      </c>
      <c r="D148" t="s">
        <v>7</v>
      </c>
      <c r="E148">
        <v>39</v>
      </c>
      <c r="F148" t="s">
        <v>6</v>
      </c>
      <c r="G148">
        <f t="shared" si="6"/>
        <v>31</v>
      </c>
      <c r="H148" s="1" t="str">
        <f t="shared" si="8"/>
        <v>Monday</v>
      </c>
      <c r="J148" s="1">
        <v>45019</v>
      </c>
      <c r="K148">
        <f t="shared" si="7"/>
        <v>9</v>
      </c>
    </row>
    <row r="149" spans="1:11" x14ac:dyDescent="0.3">
      <c r="A149">
        <v>150687940</v>
      </c>
      <c r="B149" s="1">
        <v>44823</v>
      </c>
      <c r="C149" s="1">
        <v>44852</v>
      </c>
      <c r="D149" t="s">
        <v>7</v>
      </c>
      <c r="E149">
        <v>39</v>
      </c>
      <c r="F149" t="s">
        <v>6</v>
      </c>
      <c r="G149">
        <f t="shared" si="6"/>
        <v>29</v>
      </c>
      <c r="H149" s="1" t="str">
        <f t="shared" si="8"/>
        <v>Monday</v>
      </c>
      <c r="J149" s="1">
        <v>45026</v>
      </c>
      <c r="K149">
        <f t="shared" si="7"/>
        <v>9</v>
      </c>
    </row>
    <row r="150" spans="1:11" x14ac:dyDescent="0.3">
      <c r="A150">
        <v>155967446</v>
      </c>
      <c r="B150" s="1">
        <v>44824</v>
      </c>
      <c r="C150" t="s">
        <v>19</v>
      </c>
      <c r="D150" t="s">
        <v>7</v>
      </c>
      <c r="E150">
        <v>39</v>
      </c>
      <c r="F150" t="s">
        <v>6</v>
      </c>
      <c r="G150" t="str">
        <f t="shared" si="6"/>
        <v>Active</v>
      </c>
      <c r="H150" s="1" t="str">
        <f t="shared" si="8"/>
        <v>Tuesday</v>
      </c>
      <c r="J150" s="1">
        <v>45028</v>
      </c>
      <c r="K150">
        <f t="shared" si="7"/>
        <v>9</v>
      </c>
    </row>
    <row r="151" spans="1:11" x14ac:dyDescent="0.3">
      <c r="A151">
        <v>155687378</v>
      </c>
      <c r="B151" s="1">
        <v>44824</v>
      </c>
      <c r="C151" s="1">
        <v>45012</v>
      </c>
      <c r="D151" t="s">
        <v>7</v>
      </c>
      <c r="E151">
        <v>39</v>
      </c>
      <c r="F151" t="s">
        <v>6</v>
      </c>
      <c r="G151">
        <f t="shared" si="6"/>
        <v>188</v>
      </c>
      <c r="H151" s="1" t="str">
        <f t="shared" si="8"/>
        <v>Tuesday</v>
      </c>
      <c r="J151" s="1">
        <v>45029</v>
      </c>
      <c r="K151">
        <f t="shared" si="7"/>
        <v>9</v>
      </c>
    </row>
    <row r="152" spans="1:11" x14ac:dyDescent="0.3">
      <c r="A152">
        <v>156020667</v>
      </c>
      <c r="B152" s="1">
        <v>44824</v>
      </c>
      <c r="C152" s="1">
        <v>45055</v>
      </c>
      <c r="D152" t="s">
        <v>7</v>
      </c>
      <c r="E152">
        <v>39</v>
      </c>
      <c r="F152" t="s">
        <v>6</v>
      </c>
      <c r="G152">
        <f t="shared" si="6"/>
        <v>231</v>
      </c>
      <c r="H152" s="1" t="str">
        <f t="shared" si="8"/>
        <v>Tuesday</v>
      </c>
      <c r="J152" s="1">
        <v>45036</v>
      </c>
      <c r="K152">
        <f t="shared" si="7"/>
        <v>9</v>
      </c>
    </row>
    <row r="153" spans="1:11" x14ac:dyDescent="0.3">
      <c r="A153">
        <v>155869412</v>
      </c>
      <c r="B153" s="1">
        <v>44824</v>
      </c>
      <c r="C153" s="1">
        <v>44916</v>
      </c>
      <c r="D153" t="s">
        <v>7</v>
      </c>
      <c r="E153">
        <v>39</v>
      </c>
      <c r="F153" t="s">
        <v>6</v>
      </c>
      <c r="G153">
        <f t="shared" si="6"/>
        <v>92</v>
      </c>
      <c r="H153" s="1" t="str">
        <f t="shared" si="8"/>
        <v>Tuesday</v>
      </c>
      <c r="J153" s="1">
        <v>45037</v>
      </c>
      <c r="K153">
        <f t="shared" si="7"/>
        <v>9</v>
      </c>
    </row>
    <row r="154" spans="1:11" x14ac:dyDescent="0.3">
      <c r="A154">
        <v>156042204</v>
      </c>
      <c r="B154" s="1">
        <v>44824</v>
      </c>
      <c r="C154" s="1">
        <v>44873</v>
      </c>
      <c r="D154" t="s">
        <v>7</v>
      </c>
      <c r="E154">
        <v>39</v>
      </c>
      <c r="F154" t="s">
        <v>6</v>
      </c>
      <c r="G154">
        <f t="shared" si="6"/>
        <v>49</v>
      </c>
      <c r="H154" s="1" t="str">
        <f t="shared" si="8"/>
        <v>Tuesday</v>
      </c>
      <c r="J154" s="1">
        <v>45043</v>
      </c>
      <c r="K154">
        <f t="shared" si="7"/>
        <v>9</v>
      </c>
    </row>
    <row r="155" spans="1:11" x14ac:dyDescent="0.3">
      <c r="A155">
        <v>153568990</v>
      </c>
      <c r="B155" s="1">
        <v>44824</v>
      </c>
      <c r="C155" s="1">
        <v>44834</v>
      </c>
      <c r="D155" t="s">
        <v>7</v>
      </c>
      <c r="E155">
        <v>39</v>
      </c>
      <c r="F155" t="s">
        <v>6</v>
      </c>
      <c r="G155">
        <f t="shared" si="6"/>
        <v>10</v>
      </c>
      <c r="H155" s="1" t="str">
        <f t="shared" si="8"/>
        <v>Tuesday</v>
      </c>
      <c r="J155" s="1">
        <v>45049</v>
      </c>
      <c r="K155">
        <f t="shared" si="7"/>
        <v>9</v>
      </c>
    </row>
    <row r="156" spans="1:11" x14ac:dyDescent="0.3">
      <c r="A156">
        <v>155327111</v>
      </c>
      <c r="B156" s="1">
        <v>44824</v>
      </c>
      <c r="C156" s="1">
        <v>44865</v>
      </c>
      <c r="D156" t="s">
        <v>7</v>
      </c>
      <c r="E156">
        <v>39</v>
      </c>
      <c r="F156" t="s">
        <v>6</v>
      </c>
      <c r="G156">
        <f t="shared" si="6"/>
        <v>41</v>
      </c>
      <c r="H156" s="1" t="str">
        <f t="shared" si="8"/>
        <v>Tuesday</v>
      </c>
      <c r="J156" s="1">
        <v>45063</v>
      </c>
      <c r="K156">
        <f t="shared" si="7"/>
        <v>9</v>
      </c>
    </row>
    <row r="157" spans="1:11" x14ac:dyDescent="0.3">
      <c r="A157">
        <v>155270521</v>
      </c>
      <c r="B157" s="1">
        <v>44824</v>
      </c>
      <c r="C157" s="1">
        <v>45146</v>
      </c>
      <c r="D157" t="s">
        <v>7</v>
      </c>
      <c r="E157">
        <v>39</v>
      </c>
      <c r="F157" t="s">
        <v>6</v>
      </c>
      <c r="G157">
        <f t="shared" si="6"/>
        <v>322</v>
      </c>
      <c r="H157" s="1" t="str">
        <f t="shared" si="8"/>
        <v>Tuesday</v>
      </c>
      <c r="J157" s="1">
        <v>45090</v>
      </c>
      <c r="K157">
        <f t="shared" si="7"/>
        <v>9</v>
      </c>
    </row>
    <row r="158" spans="1:11" x14ac:dyDescent="0.3">
      <c r="A158">
        <v>155991618</v>
      </c>
      <c r="B158" s="1">
        <v>44825</v>
      </c>
      <c r="C158" s="1">
        <v>45105</v>
      </c>
      <c r="D158" t="s">
        <v>7</v>
      </c>
      <c r="E158">
        <v>39</v>
      </c>
      <c r="F158" t="s">
        <v>6</v>
      </c>
      <c r="G158">
        <f t="shared" si="6"/>
        <v>280</v>
      </c>
      <c r="H158" s="1" t="str">
        <f t="shared" si="8"/>
        <v>Wednesday</v>
      </c>
      <c r="J158" s="1">
        <v>45100</v>
      </c>
      <c r="K158">
        <f t="shared" si="7"/>
        <v>9</v>
      </c>
    </row>
    <row r="159" spans="1:11" x14ac:dyDescent="0.3">
      <c r="A159">
        <v>156045144</v>
      </c>
      <c r="B159" s="1">
        <v>44825</v>
      </c>
      <c r="C159" s="1">
        <v>44901</v>
      </c>
      <c r="D159" t="s">
        <v>7</v>
      </c>
      <c r="E159">
        <v>39</v>
      </c>
      <c r="F159" t="s">
        <v>6</v>
      </c>
      <c r="G159">
        <f t="shared" si="6"/>
        <v>76</v>
      </c>
      <c r="H159" s="1" t="str">
        <f t="shared" si="8"/>
        <v>Wednesday</v>
      </c>
      <c r="J159" s="1">
        <v>45108</v>
      </c>
      <c r="K159">
        <f t="shared" si="7"/>
        <v>9</v>
      </c>
    </row>
    <row r="160" spans="1:11" x14ac:dyDescent="0.3">
      <c r="A160">
        <v>155439932</v>
      </c>
      <c r="B160" s="1">
        <v>44825</v>
      </c>
      <c r="C160" s="1">
        <v>44879</v>
      </c>
      <c r="D160" t="s">
        <v>7</v>
      </c>
      <c r="E160">
        <v>39</v>
      </c>
      <c r="F160" t="s">
        <v>6</v>
      </c>
      <c r="G160">
        <f t="shared" si="6"/>
        <v>54</v>
      </c>
      <c r="H160" s="1" t="str">
        <f t="shared" si="8"/>
        <v>Wednesday</v>
      </c>
      <c r="J160" s="1">
        <v>45113</v>
      </c>
      <c r="K160">
        <f t="shared" si="7"/>
        <v>9</v>
      </c>
    </row>
    <row r="161" spans="1:11" x14ac:dyDescent="0.3">
      <c r="A161">
        <v>152674430</v>
      </c>
      <c r="B161" s="1">
        <v>44825</v>
      </c>
      <c r="C161" s="1">
        <v>44837</v>
      </c>
      <c r="D161" t="s">
        <v>7</v>
      </c>
      <c r="E161">
        <v>39</v>
      </c>
      <c r="F161" t="s">
        <v>6</v>
      </c>
      <c r="G161">
        <f t="shared" si="6"/>
        <v>12</v>
      </c>
      <c r="H161" s="1" t="str">
        <f t="shared" si="8"/>
        <v>Wednesday</v>
      </c>
      <c r="J161" s="1">
        <v>45115</v>
      </c>
      <c r="K161">
        <f t="shared" si="7"/>
        <v>9</v>
      </c>
    </row>
    <row r="162" spans="1:11" x14ac:dyDescent="0.3">
      <c r="A162">
        <v>156135106</v>
      </c>
      <c r="B162" s="1">
        <v>44826</v>
      </c>
      <c r="C162" t="s">
        <v>19</v>
      </c>
      <c r="D162" t="s">
        <v>7</v>
      </c>
      <c r="E162">
        <v>39</v>
      </c>
      <c r="F162" t="s">
        <v>6</v>
      </c>
      <c r="G162" t="str">
        <f t="shared" si="6"/>
        <v>Active</v>
      </c>
      <c r="H162" s="1" t="str">
        <f t="shared" si="8"/>
        <v>Thursday</v>
      </c>
      <c r="J162" s="1">
        <v>45119</v>
      </c>
      <c r="K162">
        <f t="shared" si="7"/>
        <v>9</v>
      </c>
    </row>
    <row r="163" spans="1:11" x14ac:dyDescent="0.3">
      <c r="A163">
        <v>156185490</v>
      </c>
      <c r="B163" s="1">
        <v>44826</v>
      </c>
      <c r="C163" s="1">
        <v>45048</v>
      </c>
      <c r="D163" t="s">
        <v>7</v>
      </c>
      <c r="E163">
        <v>39</v>
      </c>
      <c r="F163" t="s">
        <v>6</v>
      </c>
      <c r="G163">
        <f t="shared" si="6"/>
        <v>222</v>
      </c>
      <c r="H163" s="1" t="str">
        <f t="shared" si="8"/>
        <v>Thursday</v>
      </c>
      <c r="J163" s="1">
        <v>45127</v>
      </c>
      <c r="K163">
        <f t="shared" si="7"/>
        <v>9</v>
      </c>
    </row>
    <row r="164" spans="1:11" x14ac:dyDescent="0.3">
      <c r="A164">
        <v>156180312</v>
      </c>
      <c r="B164" s="1">
        <v>44826</v>
      </c>
      <c r="C164" s="1">
        <v>44880</v>
      </c>
      <c r="D164" t="s">
        <v>7</v>
      </c>
      <c r="E164">
        <v>39</v>
      </c>
      <c r="F164" t="s">
        <v>6</v>
      </c>
      <c r="G164">
        <f t="shared" si="6"/>
        <v>54</v>
      </c>
      <c r="H164" s="1" t="str">
        <f t="shared" si="8"/>
        <v>Thursday</v>
      </c>
      <c r="J164" s="1">
        <v>45134</v>
      </c>
      <c r="K164">
        <f t="shared" si="7"/>
        <v>9</v>
      </c>
    </row>
    <row r="165" spans="1:11" x14ac:dyDescent="0.3">
      <c r="A165">
        <v>151263484</v>
      </c>
      <c r="B165" s="1">
        <v>44826</v>
      </c>
      <c r="C165" s="1">
        <v>44863</v>
      </c>
      <c r="D165" t="s">
        <v>7</v>
      </c>
      <c r="E165">
        <v>39</v>
      </c>
      <c r="F165" t="s">
        <v>6</v>
      </c>
      <c r="G165">
        <f t="shared" si="6"/>
        <v>37</v>
      </c>
      <c r="H165" s="1" t="str">
        <f t="shared" si="8"/>
        <v>Thursday</v>
      </c>
      <c r="J165" s="1">
        <v>45138</v>
      </c>
      <c r="K165">
        <f t="shared" si="7"/>
        <v>9</v>
      </c>
    </row>
    <row r="166" spans="1:11" x14ac:dyDescent="0.3">
      <c r="A166">
        <v>156008989</v>
      </c>
      <c r="B166" s="1">
        <v>44826</v>
      </c>
      <c r="C166" s="1">
        <v>44855</v>
      </c>
      <c r="D166" t="s">
        <v>7</v>
      </c>
      <c r="E166">
        <v>39</v>
      </c>
      <c r="F166" t="s">
        <v>6</v>
      </c>
      <c r="G166">
        <f t="shared" si="6"/>
        <v>29</v>
      </c>
      <c r="H166" s="1" t="str">
        <f t="shared" si="8"/>
        <v>Thursday</v>
      </c>
      <c r="J166" s="1">
        <v>45149</v>
      </c>
      <c r="K166">
        <f t="shared" si="7"/>
        <v>9</v>
      </c>
    </row>
    <row r="167" spans="1:11" x14ac:dyDescent="0.3">
      <c r="A167">
        <v>147687218</v>
      </c>
      <c r="B167" s="1">
        <v>44826</v>
      </c>
      <c r="C167" s="1">
        <v>44863</v>
      </c>
      <c r="D167" t="s">
        <v>7</v>
      </c>
      <c r="E167">
        <v>39</v>
      </c>
      <c r="F167" t="s">
        <v>6</v>
      </c>
      <c r="G167">
        <f t="shared" si="6"/>
        <v>37</v>
      </c>
      <c r="H167" s="1" t="str">
        <f t="shared" si="8"/>
        <v>Thursday</v>
      </c>
      <c r="J167" s="1">
        <v>45157</v>
      </c>
      <c r="K167">
        <f t="shared" si="7"/>
        <v>9</v>
      </c>
    </row>
    <row r="168" spans="1:11" x14ac:dyDescent="0.3">
      <c r="A168">
        <v>156235650</v>
      </c>
      <c r="B168" s="1">
        <v>44827</v>
      </c>
      <c r="C168" t="s">
        <v>19</v>
      </c>
      <c r="D168" t="s">
        <v>7</v>
      </c>
      <c r="E168">
        <v>39</v>
      </c>
      <c r="F168" t="s">
        <v>6</v>
      </c>
      <c r="G168" t="str">
        <f t="shared" si="6"/>
        <v>Active</v>
      </c>
      <c r="H168" s="1" t="str">
        <f t="shared" si="8"/>
        <v>Friday</v>
      </c>
      <c r="J168" s="1">
        <v>45161</v>
      </c>
      <c r="K168">
        <f t="shared" si="7"/>
        <v>9</v>
      </c>
    </row>
    <row r="169" spans="1:11" x14ac:dyDescent="0.3">
      <c r="A169">
        <v>131128612</v>
      </c>
      <c r="B169" s="1">
        <v>44827</v>
      </c>
      <c r="C169" s="1">
        <v>44942</v>
      </c>
      <c r="D169" t="s">
        <v>7</v>
      </c>
      <c r="E169">
        <v>39</v>
      </c>
      <c r="F169" t="s">
        <v>6</v>
      </c>
      <c r="G169">
        <f t="shared" si="6"/>
        <v>115</v>
      </c>
      <c r="H169" s="1" t="str">
        <f t="shared" si="8"/>
        <v>Friday</v>
      </c>
      <c r="J169" s="1">
        <v>45163</v>
      </c>
      <c r="K169">
        <f t="shared" si="7"/>
        <v>9</v>
      </c>
    </row>
    <row r="170" spans="1:11" x14ac:dyDescent="0.3">
      <c r="A170">
        <v>156198840</v>
      </c>
      <c r="B170" s="1">
        <v>44827</v>
      </c>
      <c r="C170" s="1">
        <v>44947</v>
      </c>
      <c r="D170" t="s">
        <v>7</v>
      </c>
      <c r="E170">
        <v>39</v>
      </c>
      <c r="F170" t="s">
        <v>6</v>
      </c>
      <c r="G170">
        <f t="shared" si="6"/>
        <v>120</v>
      </c>
      <c r="H170" s="1" t="str">
        <f t="shared" si="8"/>
        <v>Friday</v>
      </c>
      <c r="J170" s="1">
        <v>45172</v>
      </c>
      <c r="K170">
        <f t="shared" si="7"/>
        <v>9</v>
      </c>
    </row>
    <row r="171" spans="1:11" x14ac:dyDescent="0.3">
      <c r="A171">
        <v>144166296</v>
      </c>
      <c r="B171" s="1">
        <v>44827</v>
      </c>
      <c r="C171" s="1">
        <v>44853</v>
      </c>
      <c r="D171" t="s">
        <v>7</v>
      </c>
      <c r="E171">
        <v>39</v>
      </c>
      <c r="F171" t="s">
        <v>6</v>
      </c>
      <c r="G171">
        <f t="shared" si="6"/>
        <v>26</v>
      </c>
      <c r="H171" s="1" t="str">
        <f t="shared" si="8"/>
        <v>Friday</v>
      </c>
      <c r="J171" s="1">
        <v>44810</v>
      </c>
      <c r="K171">
        <f t="shared" si="7"/>
        <v>8</v>
      </c>
    </row>
    <row r="172" spans="1:11" x14ac:dyDescent="0.3">
      <c r="A172">
        <v>136108848</v>
      </c>
      <c r="B172" s="1">
        <v>44827</v>
      </c>
      <c r="C172" s="1">
        <v>44895</v>
      </c>
      <c r="D172" t="s">
        <v>7</v>
      </c>
      <c r="E172">
        <v>39</v>
      </c>
      <c r="F172" t="s">
        <v>6</v>
      </c>
      <c r="G172">
        <f t="shared" si="6"/>
        <v>68</v>
      </c>
      <c r="H172" s="1" t="str">
        <f t="shared" si="8"/>
        <v>Friday</v>
      </c>
      <c r="J172" s="1">
        <v>44824</v>
      </c>
      <c r="K172">
        <f t="shared" si="7"/>
        <v>8</v>
      </c>
    </row>
    <row r="173" spans="1:11" x14ac:dyDescent="0.3">
      <c r="A173">
        <v>156225482</v>
      </c>
      <c r="B173" s="1">
        <v>44827</v>
      </c>
      <c r="C173" s="1">
        <v>44848</v>
      </c>
      <c r="D173" t="s">
        <v>7</v>
      </c>
      <c r="E173">
        <v>39</v>
      </c>
      <c r="F173" t="s">
        <v>6</v>
      </c>
      <c r="G173">
        <f t="shared" si="6"/>
        <v>21</v>
      </c>
      <c r="H173" s="1" t="str">
        <f t="shared" si="8"/>
        <v>Friday</v>
      </c>
      <c r="J173" s="1">
        <v>44832</v>
      </c>
      <c r="K173">
        <f t="shared" si="7"/>
        <v>8</v>
      </c>
    </row>
    <row r="174" spans="1:11" x14ac:dyDescent="0.3">
      <c r="A174">
        <v>156209360</v>
      </c>
      <c r="B174" s="1">
        <v>44827</v>
      </c>
      <c r="C174" s="1">
        <v>44864</v>
      </c>
      <c r="D174" t="s">
        <v>7</v>
      </c>
      <c r="E174">
        <v>39</v>
      </c>
      <c r="F174" t="s">
        <v>6</v>
      </c>
      <c r="G174">
        <f t="shared" si="6"/>
        <v>37</v>
      </c>
      <c r="H174" s="1" t="str">
        <f t="shared" si="8"/>
        <v>Friday</v>
      </c>
      <c r="J174" s="1">
        <v>44845</v>
      </c>
      <c r="K174">
        <f t="shared" si="7"/>
        <v>8</v>
      </c>
    </row>
    <row r="175" spans="1:11" x14ac:dyDescent="0.3">
      <c r="A175">
        <v>153492199</v>
      </c>
      <c r="B175" s="1">
        <v>44828</v>
      </c>
      <c r="C175" s="1">
        <v>44896</v>
      </c>
      <c r="D175" t="s">
        <v>7</v>
      </c>
      <c r="E175">
        <v>39</v>
      </c>
      <c r="F175" t="s">
        <v>6</v>
      </c>
      <c r="G175">
        <f t="shared" si="6"/>
        <v>68</v>
      </c>
      <c r="H175" s="1" t="str">
        <f t="shared" si="8"/>
        <v>Saturday</v>
      </c>
      <c r="J175" s="1">
        <v>44855</v>
      </c>
      <c r="K175">
        <f t="shared" si="7"/>
        <v>8</v>
      </c>
    </row>
    <row r="176" spans="1:11" x14ac:dyDescent="0.3">
      <c r="A176">
        <v>156127439</v>
      </c>
      <c r="B176" s="1">
        <v>44828</v>
      </c>
      <c r="C176" s="1">
        <v>44866</v>
      </c>
      <c r="D176" t="s">
        <v>7</v>
      </c>
      <c r="E176">
        <v>39</v>
      </c>
      <c r="F176" t="s">
        <v>6</v>
      </c>
      <c r="G176">
        <f t="shared" si="6"/>
        <v>38</v>
      </c>
      <c r="H176" s="1" t="str">
        <f t="shared" si="8"/>
        <v>Saturday</v>
      </c>
      <c r="J176" s="1">
        <v>44857</v>
      </c>
      <c r="K176">
        <f t="shared" si="7"/>
        <v>8</v>
      </c>
    </row>
    <row r="177" spans="1:11" x14ac:dyDescent="0.3">
      <c r="A177">
        <v>156197748</v>
      </c>
      <c r="B177" s="1">
        <v>44828</v>
      </c>
      <c r="C177" s="1">
        <v>44860</v>
      </c>
      <c r="D177" t="s">
        <v>7</v>
      </c>
      <c r="E177">
        <v>39</v>
      </c>
      <c r="F177" t="s">
        <v>6</v>
      </c>
      <c r="G177">
        <f t="shared" si="6"/>
        <v>32</v>
      </c>
      <c r="H177" s="1" t="str">
        <f t="shared" si="8"/>
        <v>Saturday</v>
      </c>
      <c r="J177" s="1">
        <v>44883</v>
      </c>
      <c r="K177">
        <f t="shared" si="7"/>
        <v>8</v>
      </c>
    </row>
    <row r="178" spans="1:11" x14ac:dyDescent="0.3">
      <c r="A178">
        <v>156292980</v>
      </c>
      <c r="B178" s="1">
        <v>44829</v>
      </c>
      <c r="C178" t="s">
        <v>19</v>
      </c>
      <c r="D178" t="s">
        <v>7</v>
      </c>
      <c r="E178">
        <v>39</v>
      </c>
      <c r="F178" t="s">
        <v>6</v>
      </c>
      <c r="G178" t="str">
        <f t="shared" si="6"/>
        <v>Active</v>
      </c>
      <c r="H178" s="1" t="str">
        <f t="shared" si="8"/>
        <v>Sunday</v>
      </c>
      <c r="J178" s="1">
        <v>44893</v>
      </c>
      <c r="K178">
        <f t="shared" si="7"/>
        <v>8</v>
      </c>
    </row>
    <row r="179" spans="1:11" x14ac:dyDescent="0.3">
      <c r="A179">
        <v>129284681</v>
      </c>
      <c r="B179" s="1">
        <v>44829</v>
      </c>
      <c r="C179" s="1">
        <v>44866</v>
      </c>
      <c r="D179" t="s">
        <v>7</v>
      </c>
      <c r="E179">
        <v>39</v>
      </c>
      <c r="F179" t="s">
        <v>6</v>
      </c>
      <c r="G179">
        <f t="shared" si="6"/>
        <v>37</v>
      </c>
      <c r="H179" s="1" t="str">
        <f t="shared" si="8"/>
        <v>Sunday</v>
      </c>
      <c r="J179" s="1">
        <v>44894</v>
      </c>
      <c r="K179">
        <f t="shared" si="7"/>
        <v>8</v>
      </c>
    </row>
    <row r="180" spans="1:11" x14ac:dyDescent="0.3">
      <c r="A180">
        <v>156249750</v>
      </c>
      <c r="B180" s="1">
        <v>44829</v>
      </c>
      <c r="C180" s="1">
        <v>44867</v>
      </c>
      <c r="D180" t="s">
        <v>7</v>
      </c>
      <c r="E180">
        <v>39</v>
      </c>
      <c r="F180" t="s">
        <v>6</v>
      </c>
      <c r="G180">
        <f t="shared" si="6"/>
        <v>38</v>
      </c>
      <c r="H180" s="1" t="str">
        <f t="shared" si="8"/>
        <v>Sunday</v>
      </c>
      <c r="J180" s="1">
        <v>44898</v>
      </c>
      <c r="K180">
        <f t="shared" si="7"/>
        <v>8</v>
      </c>
    </row>
    <row r="181" spans="1:11" x14ac:dyDescent="0.3">
      <c r="A181">
        <v>155143974</v>
      </c>
      <c r="B181" s="1">
        <v>44829</v>
      </c>
      <c r="C181" s="1">
        <v>44883</v>
      </c>
      <c r="D181" t="s">
        <v>7</v>
      </c>
      <c r="E181">
        <v>39</v>
      </c>
      <c r="F181" t="s">
        <v>6</v>
      </c>
      <c r="G181">
        <f t="shared" si="6"/>
        <v>54</v>
      </c>
      <c r="H181" s="1" t="str">
        <f t="shared" si="8"/>
        <v>Sunday</v>
      </c>
      <c r="J181" s="1">
        <v>44900</v>
      </c>
      <c r="K181">
        <f t="shared" si="7"/>
        <v>8</v>
      </c>
    </row>
    <row r="182" spans="1:11" x14ac:dyDescent="0.3">
      <c r="A182">
        <v>151354965</v>
      </c>
      <c r="B182" s="1">
        <v>44829</v>
      </c>
      <c r="C182" s="1">
        <v>44863</v>
      </c>
      <c r="D182" t="s">
        <v>7</v>
      </c>
      <c r="E182">
        <v>39</v>
      </c>
      <c r="F182" t="s">
        <v>6</v>
      </c>
      <c r="G182">
        <f t="shared" si="6"/>
        <v>34</v>
      </c>
      <c r="H182" s="1" t="str">
        <f t="shared" si="8"/>
        <v>Sunday</v>
      </c>
      <c r="J182" s="1">
        <v>44906</v>
      </c>
      <c r="K182">
        <f t="shared" si="7"/>
        <v>8</v>
      </c>
    </row>
    <row r="183" spans="1:11" x14ac:dyDescent="0.3">
      <c r="A183">
        <v>156178486</v>
      </c>
      <c r="B183" s="1">
        <v>44829</v>
      </c>
      <c r="C183" s="1">
        <v>44858</v>
      </c>
      <c r="D183" t="s">
        <v>7</v>
      </c>
      <c r="E183">
        <v>39</v>
      </c>
      <c r="F183" t="s">
        <v>6</v>
      </c>
      <c r="G183">
        <f t="shared" si="6"/>
        <v>29</v>
      </c>
      <c r="H183" s="1" t="str">
        <f t="shared" si="8"/>
        <v>Sunday</v>
      </c>
      <c r="J183" s="1">
        <v>44919</v>
      </c>
      <c r="K183">
        <f t="shared" si="7"/>
        <v>8</v>
      </c>
    </row>
    <row r="184" spans="1:11" x14ac:dyDescent="0.3">
      <c r="A184">
        <v>132314522</v>
      </c>
      <c r="B184" s="1">
        <v>44830</v>
      </c>
      <c r="C184" s="1">
        <v>44899</v>
      </c>
      <c r="D184" t="s">
        <v>7</v>
      </c>
      <c r="E184">
        <v>39</v>
      </c>
      <c r="F184" t="s">
        <v>6</v>
      </c>
      <c r="G184">
        <f t="shared" si="6"/>
        <v>69</v>
      </c>
      <c r="H184" s="1" t="str">
        <f t="shared" si="8"/>
        <v>Monday</v>
      </c>
      <c r="J184" s="1">
        <v>44945</v>
      </c>
      <c r="K184">
        <f t="shared" si="7"/>
        <v>8</v>
      </c>
    </row>
    <row r="185" spans="1:11" x14ac:dyDescent="0.3">
      <c r="A185">
        <v>152505897</v>
      </c>
      <c r="B185" s="1">
        <v>44830</v>
      </c>
      <c r="C185" s="1">
        <v>45023</v>
      </c>
      <c r="D185" t="s">
        <v>7</v>
      </c>
      <c r="E185">
        <v>39</v>
      </c>
      <c r="F185" t="s">
        <v>6</v>
      </c>
      <c r="G185">
        <f t="shared" si="6"/>
        <v>193</v>
      </c>
      <c r="H185" s="1" t="str">
        <f t="shared" si="8"/>
        <v>Monday</v>
      </c>
      <c r="J185" s="1">
        <v>44975</v>
      </c>
      <c r="K185">
        <f t="shared" si="7"/>
        <v>8</v>
      </c>
    </row>
    <row r="186" spans="1:11" x14ac:dyDescent="0.3">
      <c r="A186">
        <v>151086770</v>
      </c>
      <c r="B186" s="1">
        <v>44830</v>
      </c>
      <c r="C186" s="1">
        <v>44949</v>
      </c>
      <c r="D186" t="s">
        <v>7</v>
      </c>
      <c r="E186">
        <v>39</v>
      </c>
      <c r="F186" t="s">
        <v>6</v>
      </c>
      <c r="G186">
        <f t="shared" si="6"/>
        <v>119</v>
      </c>
      <c r="H186" s="1" t="str">
        <f t="shared" si="8"/>
        <v>Monday</v>
      </c>
      <c r="J186" s="1">
        <v>45003</v>
      </c>
      <c r="K186">
        <f t="shared" si="7"/>
        <v>8</v>
      </c>
    </row>
    <row r="187" spans="1:11" x14ac:dyDescent="0.3">
      <c r="A187">
        <v>148713821</v>
      </c>
      <c r="B187" s="1">
        <v>44830</v>
      </c>
      <c r="C187" s="1">
        <v>44967</v>
      </c>
      <c r="D187" t="s">
        <v>7</v>
      </c>
      <c r="E187">
        <v>39</v>
      </c>
      <c r="F187" t="s">
        <v>6</v>
      </c>
      <c r="G187">
        <f t="shared" si="6"/>
        <v>137</v>
      </c>
      <c r="H187" s="1" t="str">
        <f t="shared" si="8"/>
        <v>Monday</v>
      </c>
      <c r="J187" s="1">
        <v>45005</v>
      </c>
      <c r="K187">
        <f t="shared" si="7"/>
        <v>8</v>
      </c>
    </row>
    <row r="188" spans="1:11" x14ac:dyDescent="0.3">
      <c r="A188">
        <v>146422602</v>
      </c>
      <c r="B188" s="1">
        <v>44830</v>
      </c>
      <c r="C188" s="1">
        <v>44868</v>
      </c>
      <c r="D188" t="s">
        <v>7</v>
      </c>
      <c r="E188">
        <v>39</v>
      </c>
      <c r="F188" t="s">
        <v>6</v>
      </c>
      <c r="G188">
        <f t="shared" si="6"/>
        <v>38</v>
      </c>
      <c r="H188" s="1" t="str">
        <f t="shared" si="8"/>
        <v>Monday</v>
      </c>
      <c r="J188" s="1">
        <v>45011</v>
      </c>
      <c r="K188">
        <f t="shared" si="7"/>
        <v>8</v>
      </c>
    </row>
    <row r="189" spans="1:11" x14ac:dyDescent="0.3">
      <c r="A189">
        <v>156460574</v>
      </c>
      <c r="B189" s="1">
        <v>44830</v>
      </c>
      <c r="C189" s="1">
        <v>44882</v>
      </c>
      <c r="D189" t="s">
        <v>7</v>
      </c>
      <c r="E189">
        <v>39</v>
      </c>
      <c r="F189" t="s">
        <v>6</v>
      </c>
      <c r="G189">
        <f t="shared" si="6"/>
        <v>52</v>
      </c>
      <c r="H189" s="1" t="str">
        <f t="shared" si="8"/>
        <v>Monday</v>
      </c>
      <c r="J189" s="1">
        <v>45060</v>
      </c>
      <c r="K189">
        <f t="shared" si="7"/>
        <v>8</v>
      </c>
    </row>
    <row r="190" spans="1:11" x14ac:dyDescent="0.3">
      <c r="A190">
        <v>156364063</v>
      </c>
      <c r="B190" s="1">
        <v>44830</v>
      </c>
      <c r="C190" s="1">
        <v>44879</v>
      </c>
      <c r="D190" t="s">
        <v>7</v>
      </c>
      <c r="E190">
        <v>39</v>
      </c>
      <c r="F190" t="s">
        <v>6</v>
      </c>
      <c r="G190">
        <f t="shared" si="6"/>
        <v>49</v>
      </c>
      <c r="H190" s="1" t="str">
        <f t="shared" si="8"/>
        <v>Monday</v>
      </c>
      <c r="J190" s="1">
        <v>45067</v>
      </c>
      <c r="K190">
        <f t="shared" si="7"/>
        <v>8</v>
      </c>
    </row>
    <row r="191" spans="1:11" x14ac:dyDescent="0.3">
      <c r="A191">
        <v>149139298</v>
      </c>
      <c r="B191" s="1">
        <v>44830</v>
      </c>
      <c r="C191" s="1">
        <v>44860</v>
      </c>
      <c r="D191" t="s">
        <v>7</v>
      </c>
      <c r="E191">
        <v>39</v>
      </c>
      <c r="F191" t="s">
        <v>6</v>
      </c>
      <c r="G191">
        <f t="shared" si="6"/>
        <v>30</v>
      </c>
      <c r="H191" s="1" t="str">
        <f t="shared" si="8"/>
        <v>Monday</v>
      </c>
      <c r="J191" s="1">
        <v>45085</v>
      </c>
      <c r="K191">
        <f t="shared" si="7"/>
        <v>8</v>
      </c>
    </row>
    <row r="192" spans="1:11" x14ac:dyDescent="0.3">
      <c r="A192">
        <v>156371514</v>
      </c>
      <c r="B192" s="1">
        <v>44830</v>
      </c>
      <c r="C192" s="1">
        <v>44858</v>
      </c>
      <c r="D192" t="s">
        <v>7</v>
      </c>
      <c r="E192">
        <v>39</v>
      </c>
      <c r="F192" t="s">
        <v>6</v>
      </c>
      <c r="G192">
        <f t="shared" si="6"/>
        <v>28</v>
      </c>
      <c r="H192" s="1" t="str">
        <f t="shared" si="8"/>
        <v>Monday</v>
      </c>
      <c r="J192" s="1">
        <v>45094</v>
      </c>
      <c r="K192">
        <f t="shared" si="7"/>
        <v>8</v>
      </c>
    </row>
    <row r="193" spans="1:11" x14ac:dyDescent="0.3">
      <c r="A193">
        <v>156423167</v>
      </c>
      <c r="B193" s="1">
        <v>44831</v>
      </c>
      <c r="C193" s="1">
        <v>44944</v>
      </c>
      <c r="D193" t="s">
        <v>7</v>
      </c>
      <c r="E193">
        <v>39</v>
      </c>
      <c r="F193" t="s">
        <v>6</v>
      </c>
      <c r="G193">
        <f t="shared" si="6"/>
        <v>113</v>
      </c>
      <c r="H193" s="1" t="str">
        <f t="shared" si="8"/>
        <v>Tuesday</v>
      </c>
      <c r="J193" s="1">
        <v>45095</v>
      </c>
      <c r="K193">
        <f t="shared" si="7"/>
        <v>8</v>
      </c>
    </row>
    <row r="194" spans="1:11" x14ac:dyDescent="0.3">
      <c r="A194">
        <v>155199164</v>
      </c>
      <c r="B194" s="1">
        <v>44831</v>
      </c>
      <c r="C194" s="1">
        <v>44929</v>
      </c>
      <c r="D194" t="s">
        <v>7</v>
      </c>
      <c r="E194">
        <v>39</v>
      </c>
      <c r="F194" t="s">
        <v>6</v>
      </c>
      <c r="G194">
        <f t="shared" ref="G194:G257" si="9">IF(C194="Active","Active",C194-B194)</f>
        <v>98</v>
      </c>
      <c r="H194" s="1" t="str">
        <f t="shared" si="8"/>
        <v>Tuesday</v>
      </c>
      <c r="J194" s="1">
        <v>45105</v>
      </c>
      <c r="K194">
        <f t="shared" ref="K194:K257" si="10">COUNTIF($B$2:$B$3070,J194)</f>
        <v>8</v>
      </c>
    </row>
    <row r="195" spans="1:11" x14ac:dyDescent="0.3">
      <c r="A195">
        <v>156373191</v>
      </c>
      <c r="B195" s="1">
        <v>44831</v>
      </c>
      <c r="C195" s="1">
        <v>44923</v>
      </c>
      <c r="D195" t="s">
        <v>7</v>
      </c>
      <c r="E195">
        <v>39</v>
      </c>
      <c r="F195" t="s">
        <v>6</v>
      </c>
      <c r="G195">
        <f t="shared" si="9"/>
        <v>92</v>
      </c>
      <c r="H195" s="1" t="str">
        <f t="shared" ref="H195:H258" si="11">TEXT(B195,"dddd")</f>
        <v>Tuesday</v>
      </c>
      <c r="J195" s="1">
        <v>45122</v>
      </c>
      <c r="K195">
        <f t="shared" si="10"/>
        <v>8</v>
      </c>
    </row>
    <row r="196" spans="1:11" x14ac:dyDescent="0.3">
      <c r="A196">
        <v>156517374</v>
      </c>
      <c r="B196" s="1">
        <v>44831</v>
      </c>
      <c r="C196" s="1">
        <v>44831</v>
      </c>
      <c r="D196" t="s">
        <v>7</v>
      </c>
      <c r="E196">
        <v>39</v>
      </c>
      <c r="F196" t="s">
        <v>6</v>
      </c>
      <c r="G196">
        <f t="shared" si="9"/>
        <v>0</v>
      </c>
      <c r="H196" s="1" t="str">
        <f t="shared" si="11"/>
        <v>Tuesday</v>
      </c>
      <c r="J196" s="1">
        <v>45123</v>
      </c>
      <c r="K196">
        <f t="shared" si="10"/>
        <v>8</v>
      </c>
    </row>
    <row r="197" spans="1:11" x14ac:dyDescent="0.3">
      <c r="A197">
        <v>156032089</v>
      </c>
      <c r="B197" s="1">
        <v>44832</v>
      </c>
      <c r="C197" t="s">
        <v>19</v>
      </c>
      <c r="D197" t="s">
        <v>7</v>
      </c>
      <c r="E197">
        <v>39</v>
      </c>
      <c r="F197" t="s">
        <v>6</v>
      </c>
      <c r="G197" t="str">
        <f t="shared" si="9"/>
        <v>Active</v>
      </c>
      <c r="H197" s="1" t="str">
        <f t="shared" si="11"/>
        <v>Wednesday</v>
      </c>
      <c r="J197" s="1">
        <v>45133</v>
      </c>
      <c r="K197">
        <f t="shared" si="10"/>
        <v>8</v>
      </c>
    </row>
    <row r="198" spans="1:11" x14ac:dyDescent="0.3">
      <c r="A198">
        <v>154563706</v>
      </c>
      <c r="B198" s="1">
        <v>44832</v>
      </c>
      <c r="C198" s="1">
        <v>45010</v>
      </c>
      <c r="D198" t="s">
        <v>7</v>
      </c>
      <c r="E198">
        <v>39</v>
      </c>
      <c r="F198" t="s">
        <v>6</v>
      </c>
      <c r="G198">
        <f t="shared" si="9"/>
        <v>178</v>
      </c>
      <c r="H198" s="1" t="str">
        <f t="shared" si="11"/>
        <v>Wednesday</v>
      </c>
      <c r="J198" s="1">
        <v>45151</v>
      </c>
      <c r="K198">
        <f t="shared" si="10"/>
        <v>8</v>
      </c>
    </row>
    <row r="199" spans="1:11" x14ac:dyDescent="0.3">
      <c r="A199">
        <v>124481723</v>
      </c>
      <c r="B199" s="1">
        <v>44832</v>
      </c>
      <c r="C199" s="1">
        <v>44887</v>
      </c>
      <c r="D199" t="s">
        <v>7</v>
      </c>
      <c r="E199">
        <v>39</v>
      </c>
      <c r="F199" t="s">
        <v>6</v>
      </c>
      <c r="G199">
        <f t="shared" si="9"/>
        <v>55</v>
      </c>
      <c r="H199" s="1" t="str">
        <f t="shared" si="11"/>
        <v>Wednesday</v>
      </c>
      <c r="J199" s="1">
        <v>45175</v>
      </c>
      <c r="K199">
        <f t="shared" si="10"/>
        <v>8</v>
      </c>
    </row>
    <row r="200" spans="1:11" x14ac:dyDescent="0.3">
      <c r="A200">
        <v>146861757</v>
      </c>
      <c r="B200" s="1">
        <v>44832</v>
      </c>
      <c r="C200" s="1">
        <v>44917</v>
      </c>
      <c r="D200" t="s">
        <v>7</v>
      </c>
      <c r="E200">
        <v>39</v>
      </c>
      <c r="F200" t="s">
        <v>6</v>
      </c>
      <c r="G200">
        <f t="shared" si="9"/>
        <v>85</v>
      </c>
      <c r="H200" s="1" t="str">
        <f t="shared" si="11"/>
        <v>Wednesday</v>
      </c>
      <c r="J200" s="1">
        <v>44813</v>
      </c>
      <c r="K200">
        <f t="shared" si="10"/>
        <v>7</v>
      </c>
    </row>
    <row r="201" spans="1:11" x14ac:dyDescent="0.3">
      <c r="A201">
        <v>152476124</v>
      </c>
      <c r="B201" s="1">
        <v>44832</v>
      </c>
      <c r="C201" s="1">
        <v>44893</v>
      </c>
      <c r="D201" t="s">
        <v>7</v>
      </c>
      <c r="E201">
        <v>39</v>
      </c>
      <c r="F201" t="s">
        <v>6</v>
      </c>
      <c r="G201">
        <f t="shared" si="9"/>
        <v>61</v>
      </c>
      <c r="H201" s="1" t="str">
        <f t="shared" si="11"/>
        <v>Wednesday</v>
      </c>
      <c r="J201" s="1">
        <v>44827</v>
      </c>
      <c r="K201">
        <f t="shared" si="10"/>
        <v>7</v>
      </c>
    </row>
    <row r="202" spans="1:11" x14ac:dyDescent="0.3">
      <c r="A202">
        <v>156192628</v>
      </c>
      <c r="B202" s="1">
        <v>44832</v>
      </c>
      <c r="C202" s="1">
        <v>44885</v>
      </c>
      <c r="D202" t="s">
        <v>7</v>
      </c>
      <c r="E202">
        <v>39</v>
      </c>
      <c r="F202" t="s">
        <v>6</v>
      </c>
      <c r="G202">
        <f t="shared" si="9"/>
        <v>53</v>
      </c>
      <c r="H202" s="1" t="str">
        <f t="shared" si="11"/>
        <v>Wednesday</v>
      </c>
      <c r="J202" s="1">
        <v>44835</v>
      </c>
      <c r="K202">
        <f t="shared" si="10"/>
        <v>7</v>
      </c>
    </row>
    <row r="203" spans="1:11" x14ac:dyDescent="0.3">
      <c r="A203">
        <v>152109538</v>
      </c>
      <c r="B203" s="1">
        <v>44832</v>
      </c>
      <c r="C203" s="1">
        <v>44853</v>
      </c>
      <c r="D203" t="s">
        <v>7</v>
      </c>
      <c r="E203">
        <v>39</v>
      </c>
      <c r="F203" t="s">
        <v>6</v>
      </c>
      <c r="G203">
        <f t="shared" si="9"/>
        <v>21</v>
      </c>
      <c r="H203" s="1" t="str">
        <f t="shared" si="11"/>
        <v>Wednesday</v>
      </c>
      <c r="J203" s="1">
        <v>44839</v>
      </c>
      <c r="K203">
        <f t="shared" si="10"/>
        <v>7</v>
      </c>
    </row>
    <row r="204" spans="1:11" x14ac:dyDescent="0.3">
      <c r="A204">
        <v>156659071</v>
      </c>
      <c r="B204" s="1">
        <v>44832</v>
      </c>
      <c r="C204" s="1">
        <v>44833</v>
      </c>
      <c r="D204" t="s">
        <v>7</v>
      </c>
      <c r="E204">
        <v>39</v>
      </c>
      <c r="F204" t="s">
        <v>6</v>
      </c>
      <c r="G204">
        <f t="shared" si="9"/>
        <v>1</v>
      </c>
      <c r="H204" s="1" t="str">
        <f t="shared" si="11"/>
        <v>Wednesday</v>
      </c>
      <c r="J204" s="1">
        <v>44847</v>
      </c>
      <c r="K204">
        <f t="shared" si="10"/>
        <v>7</v>
      </c>
    </row>
    <row r="205" spans="1:11" x14ac:dyDescent="0.3">
      <c r="A205">
        <v>156717075</v>
      </c>
      <c r="B205" s="1">
        <v>44833</v>
      </c>
      <c r="C205" s="1">
        <v>45030</v>
      </c>
      <c r="D205" t="s">
        <v>7</v>
      </c>
      <c r="E205">
        <v>39</v>
      </c>
      <c r="F205" t="s">
        <v>6</v>
      </c>
      <c r="G205">
        <f t="shared" si="9"/>
        <v>197</v>
      </c>
      <c r="H205" s="1" t="str">
        <f t="shared" si="11"/>
        <v>Thursday</v>
      </c>
      <c r="J205" s="1">
        <v>44850</v>
      </c>
      <c r="K205">
        <f t="shared" si="10"/>
        <v>7</v>
      </c>
    </row>
    <row r="206" spans="1:11" x14ac:dyDescent="0.3">
      <c r="A206">
        <v>156715443</v>
      </c>
      <c r="B206" s="1">
        <v>44833</v>
      </c>
      <c r="C206" s="1">
        <v>44924</v>
      </c>
      <c r="D206" t="s">
        <v>7</v>
      </c>
      <c r="E206">
        <v>39</v>
      </c>
      <c r="F206" t="s">
        <v>6</v>
      </c>
      <c r="G206">
        <f t="shared" si="9"/>
        <v>91</v>
      </c>
      <c r="H206" s="1" t="str">
        <f t="shared" si="11"/>
        <v>Thursday</v>
      </c>
      <c r="J206" s="1">
        <v>44862</v>
      </c>
      <c r="K206">
        <f t="shared" si="10"/>
        <v>7</v>
      </c>
    </row>
    <row r="207" spans="1:11" x14ac:dyDescent="0.3">
      <c r="A207">
        <v>147656952</v>
      </c>
      <c r="B207" s="1">
        <v>44833</v>
      </c>
      <c r="C207" s="1">
        <v>44923</v>
      </c>
      <c r="D207" t="s">
        <v>7</v>
      </c>
      <c r="E207">
        <v>39</v>
      </c>
      <c r="F207" t="s">
        <v>6</v>
      </c>
      <c r="G207">
        <f t="shared" si="9"/>
        <v>90</v>
      </c>
      <c r="H207" s="1" t="str">
        <f t="shared" si="11"/>
        <v>Thursday</v>
      </c>
      <c r="J207" s="1">
        <v>44868</v>
      </c>
      <c r="K207">
        <f t="shared" si="10"/>
        <v>7</v>
      </c>
    </row>
    <row r="208" spans="1:11" x14ac:dyDescent="0.3">
      <c r="A208">
        <v>152918862</v>
      </c>
      <c r="B208" s="1">
        <v>44833</v>
      </c>
      <c r="C208" s="1">
        <v>44885</v>
      </c>
      <c r="D208" t="s">
        <v>7</v>
      </c>
      <c r="E208">
        <v>39</v>
      </c>
      <c r="F208" t="s">
        <v>6</v>
      </c>
      <c r="G208">
        <f t="shared" si="9"/>
        <v>52</v>
      </c>
      <c r="H208" s="1" t="str">
        <f t="shared" si="11"/>
        <v>Thursday</v>
      </c>
      <c r="J208" s="1">
        <v>44871</v>
      </c>
      <c r="K208">
        <f t="shared" si="10"/>
        <v>7</v>
      </c>
    </row>
    <row r="209" spans="1:11" x14ac:dyDescent="0.3">
      <c r="A209">
        <v>146866890</v>
      </c>
      <c r="B209" s="1">
        <v>44833</v>
      </c>
      <c r="C209" s="1">
        <v>44858</v>
      </c>
      <c r="D209" t="s">
        <v>7</v>
      </c>
      <c r="E209">
        <v>39</v>
      </c>
      <c r="F209" t="s">
        <v>6</v>
      </c>
      <c r="G209">
        <f t="shared" si="9"/>
        <v>25</v>
      </c>
      <c r="H209" s="1" t="str">
        <f t="shared" si="11"/>
        <v>Thursday</v>
      </c>
      <c r="J209" s="1">
        <v>44880</v>
      </c>
      <c r="K209">
        <f t="shared" si="10"/>
        <v>7</v>
      </c>
    </row>
    <row r="210" spans="1:11" x14ac:dyDescent="0.3">
      <c r="A210">
        <v>151735444</v>
      </c>
      <c r="B210" s="1">
        <v>44834</v>
      </c>
      <c r="C210" t="s">
        <v>19</v>
      </c>
      <c r="D210" t="s">
        <v>7</v>
      </c>
      <c r="E210">
        <v>39</v>
      </c>
      <c r="F210" t="s">
        <v>6</v>
      </c>
      <c r="G210" t="str">
        <f t="shared" si="9"/>
        <v>Active</v>
      </c>
      <c r="H210" s="1" t="str">
        <f t="shared" si="11"/>
        <v>Friday</v>
      </c>
      <c r="J210" s="1">
        <v>44882</v>
      </c>
      <c r="K210">
        <f t="shared" si="10"/>
        <v>7</v>
      </c>
    </row>
    <row r="211" spans="1:11" x14ac:dyDescent="0.3">
      <c r="A211">
        <v>155608371</v>
      </c>
      <c r="B211" s="1">
        <v>44834</v>
      </c>
      <c r="C211" s="1">
        <v>44835</v>
      </c>
      <c r="D211" t="s">
        <v>8</v>
      </c>
      <c r="E211">
        <v>39</v>
      </c>
      <c r="F211" t="s">
        <v>6</v>
      </c>
      <c r="G211">
        <f t="shared" si="9"/>
        <v>1</v>
      </c>
      <c r="H211" s="1" t="str">
        <f t="shared" si="11"/>
        <v>Friday</v>
      </c>
      <c r="J211" s="1">
        <v>44895</v>
      </c>
      <c r="K211">
        <f t="shared" si="10"/>
        <v>7</v>
      </c>
    </row>
    <row r="212" spans="1:11" x14ac:dyDescent="0.3">
      <c r="A212">
        <v>156809544</v>
      </c>
      <c r="B212" s="1">
        <v>44834</v>
      </c>
      <c r="C212" s="1">
        <v>45013</v>
      </c>
      <c r="D212" t="s">
        <v>7</v>
      </c>
      <c r="E212">
        <v>39</v>
      </c>
      <c r="F212" t="s">
        <v>6</v>
      </c>
      <c r="G212">
        <f t="shared" si="9"/>
        <v>179</v>
      </c>
      <c r="H212" s="1" t="str">
        <f t="shared" si="11"/>
        <v>Friday</v>
      </c>
      <c r="J212" s="1">
        <v>44925</v>
      </c>
      <c r="K212">
        <f t="shared" si="10"/>
        <v>7</v>
      </c>
    </row>
    <row r="213" spans="1:11" x14ac:dyDescent="0.3">
      <c r="A213">
        <v>156813288</v>
      </c>
      <c r="B213" s="1">
        <v>44834</v>
      </c>
      <c r="C213" s="1">
        <v>45066</v>
      </c>
      <c r="D213" t="s">
        <v>7</v>
      </c>
      <c r="E213">
        <v>39</v>
      </c>
      <c r="F213" t="s">
        <v>6</v>
      </c>
      <c r="G213">
        <f t="shared" si="9"/>
        <v>232</v>
      </c>
      <c r="H213" s="1" t="str">
        <f t="shared" si="11"/>
        <v>Friday</v>
      </c>
      <c r="J213" s="1">
        <v>44926</v>
      </c>
      <c r="K213">
        <f t="shared" si="10"/>
        <v>7</v>
      </c>
    </row>
    <row r="214" spans="1:11" x14ac:dyDescent="0.3">
      <c r="A214">
        <v>156817946</v>
      </c>
      <c r="B214" s="1">
        <v>44834</v>
      </c>
      <c r="C214" s="1">
        <v>45080</v>
      </c>
      <c r="D214" t="s">
        <v>7</v>
      </c>
      <c r="E214">
        <v>39</v>
      </c>
      <c r="F214" t="s">
        <v>6</v>
      </c>
      <c r="G214">
        <f t="shared" si="9"/>
        <v>246</v>
      </c>
      <c r="H214" s="1" t="str">
        <f t="shared" si="11"/>
        <v>Friday</v>
      </c>
      <c r="J214" s="1">
        <v>44949</v>
      </c>
      <c r="K214">
        <f t="shared" si="10"/>
        <v>7</v>
      </c>
    </row>
    <row r="215" spans="1:11" x14ac:dyDescent="0.3">
      <c r="A215">
        <v>156194905</v>
      </c>
      <c r="B215" s="1">
        <v>44834</v>
      </c>
      <c r="C215" s="1">
        <v>45022</v>
      </c>
      <c r="D215" t="s">
        <v>7</v>
      </c>
      <c r="E215">
        <v>39</v>
      </c>
      <c r="F215" t="s">
        <v>6</v>
      </c>
      <c r="G215">
        <f t="shared" si="9"/>
        <v>188</v>
      </c>
      <c r="H215" s="1" t="str">
        <f t="shared" si="11"/>
        <v>Friday</v>
      </c>
      <c r="J215" s="1">
        <v>44970</v>
      </c>
      <c r="K215">
        <f t="shared" si="10"/>
        <v>7</v>
      </c>
    </row>
    <row r="216" spans="1:11" x14ac:dyDescent="0.3">
      <c r="A216">
        <v>148568942</v>
      </c>
      <c r="B216" s="1">
        <v>44834</v>
      </c>
      <c r="C216" s="1">
        <v>44932</v>
      </c>
      <c r="D216" t="s">
        <v>7</v>
      </c>
      <c r="E216">
        <v>39</v>
      </c>
      <c r="F216" t="s">
        <v>6</v>
      </c>
      <c r="G216">
        <f t="shared" si="9"/>
        <v>98</v>
      </c>
      <c r="H216" s="1" t="str">
        <f t="shared" si="11"/>
        <v>Friday</v>
      </c>
      <c r="J216" s="1">
        <v>44989</v>
      </c>
      <c r="K216">
        <f t="shared" si="10"/>
        <v>7</v>
      </c>
    </row>
    <row r="217" spans="1:11" x14ac:dyDescent="0.3">
      <c r="A217">
        <v>151154171</v>
      </c>
      <c r="B217" s="1">
        <v>44834</v>
      </c>
      <c r="C217" s="1">
        <v>44894</v>
      </c>
      <c r="D217" t="s">
        <v>7</v>
      </c>
      <c r="E217">
        <v>39</v>
      </c>
      <c r="F217" t="s">
        <v>6</v>
      </c>
      <c r="G217">
        <f t="shared" si="9"/>
        <v>60</v>
      </c>
      <c r="H217" s="1" t="str">
        <f t="shared" si="11"/>
        <v>Friday</v>
      </c>
      <c r="J217" s="1">
        <v>44995</v>
      </c>
      <c r="K217">
        <f t="shared" si="10"/>
        <v>7</v>
      </c>
    </row>
    <row r="218" spans="1:11" x14ac:dyDescent="0.3">
      <c r="A218">
        <v>122921842</v>
      </c>
      <c r="B218" s="1">
        <v>44834</v>
      </c>
      <c r="C218" s="1">
        <v>44871</v>
      </c>
      <c r="D218" t="s">
        <v>7</v>
      </c>
      <c r="E218">
        <v>39</v>
      </c>
      <c r="F218" t="s">
        <v>6</v>
      </c>
      <c r="G218">
        <f t="shared" si="9"/>
        <v>37</v>
      </c>
      <c r="H218" s="1" t="str">
        <f t="shared" si="11"/>
        <v>Friday</v>
      </c>
      <c r="J218" s="1">
        <v>44996</v>
      </c>
      <c r="K218">
        <f t="shared" si="10"/>
        <v>7</v>
      </c>
    </row>
    <row r="219" spans="1:11" x14ac:dyDescent="0.3">
      <c r="A219">
        <v>156754286</v>
      </c>
      <c r="B219" s="1">
        <v>44835</v>
      </c>
      <c r="C219" t="s">
        <v>19</v>
      </c>
      <c r="D219" t="s">
        <v>7</v>
      </c>
      <c r="E219">
        <v>39</v>
      </c>
      <c r="F219" t="s">
        <v>6</v>
      </c>
      <c r="G219" t="str">
        <f t="shared" si="9"/>
        <v>Active</v>
      </c>
      <c r="H219" s="1" t="str">
        <f t="shared" si="11"/>
        <v>Saturday</v>
      </c>
      <c r="J219" s="1">
        <v>45004</v>
      </c>
      <c r="K219">
        <f t="shared" si="10"/>
        <v>7</v>
      </c>
    </row>
    <row r="220" spans="1:11" x14ac:dyDescent="0.3">
      <c r="A220">
        <v>144160302</v>
      </c>
      <c r="B220" s="1">
        <v>44835</v>
      </c>
      <c r="C220" s="1">
        <v>44836</v>
      </c>
      <c r="D220" t="s">
        <v>7</v>
      </c>
      <c r="E220">
        <v>39</v>
      </c>
      <c r="F220" t="s">
        <v>6</v>
      </c>
      <c r="G220">
        <f t="shared" si="9"/>
        <v>1</v>
      </c>
      <c r="H220" s="1" t="str">
        <f t="shared" si="11"/>
        <v>Saturday</v>
      </c>
      <c r="J220" s="1">
        <v>45010</v>
      </c>
      <c r="K220">
        <f t="shared" si="10"/>
        <v>7</v>
      </c>
    </row>
    <row r="221" spans="1:11" x14ac:dyDescent="0.3">
      <c r="A221">
        <v>155045053</v>
      </c>
      <c r="B221" s="1">
        <v>44835</v>
      </c>
      <c r="C221" s="1">
        <v>44927</v>
      </c>
      <c r="D221" t="s">
        <v>7</v>
      </c>
      <c r="E221">
        <v>39</v>
      </c>
      <c r="F221" t="s">
        <v>6</v>
      </c>
      <c r="G221">
        <f t="shared" si="9"/>
        <v>92</v>
      </c>
      <c r="H221" s="1" t="str">
        <f t="shared" si="11"/>
        <v>Saturday</v>
      </c>
      <c r="J221" s="1">
        <v>45021</v>
      </c>
      <c r="K221">
        <f t="shared" si="10"/>
        <v>7</v>
      </c>
    </row>
    <row r="222" spans="1:11" x14ac:dyDescent="0.3">
      <c r="A222">
        <v>133869989</v>
      </c>
      <c r="B222" s="1">
        <v>44835</v>
      </c>
      <c r="C222" s="1">
        <v>44867</v>
      </c>
      <c r="D222" t="s">
        <v>7</v>
      </c>
      <c r="E222">
        <v>39</v>
      </c>
      <c r="F222" t="s">
        <v>6</v>
      </c>
      <c r="G222">
        <f t="shared" si="9"/>
        <v>32</v>
      </c>
      <c r="H222" s="1" t="str">
        <f t="shared" si="11"/>
        <v>Saturday</v>
      </c>
      <c r="J222" s="1">
        <v>45022</v>
      </c>
      <c r="K222">
        <f t="shared" si="10"/>
        <v>7</v>
      </c>
    </row>
    <row r="223" spans="1:11" x14ac:dyDescent="0.3">
      <c r="A223">
        <v>156863940</v>
      </c>
      <c r="B223" s="1">
        <v>44835</v>
      </c>
      <c r="C223" s="1">
        <v>44867</v>
      </c>
      <c r="D223" t="s">
        <v>7</v>
      </c>
      <c r="E223">
        <v>39</v>
      </c>
      <c r="F223" t="s">
        <v>6</v>
      </c>
      <c r="G223">
        <f t="shared" si="9"/>
        <v>32</v>
      </c>
      <c r="H223" s="1" t="str">
        <f t="shared" si="11"/>
        <v>Saturday</v>
      </c>
      <c r="J223" s="1">
        <v>45024</v>
      </c>
      <c r="K223">
        <f t="shared" si="10"/>
        <v>7</v>
      </c>
    </row>
    <row r="224" spans="1:11" x14ac:dyDescent="0.3">
      <c r="A224">
        <v>156884323</v>
      </c>
      <c r="B224" s="1">
        <v>44835</v>
      </c>
      <c r="C224" s="1">
        <v>44859</v>
      </c>
      <c r="D224" t="s">
        <v>7</v>
      </c>
      <c r="E224">
        <v>39</v>
      </c>
      <c r="F224" t="s">
        <v>6</v>
      </c>
      <c r="G224">
        <f t="shared" si="9"/>
        <v>24</v>
      </c>
      <c r="H224" s="1" t="str">
        <f t="shared" si="11"/>
        <v>Saturday</v>
      </c>
      <c r="J224" s="1">
        <v>45035</v>
      </c>
      <c r="K224">
        <f t="shared" si="10"/>
        <v>7</v>
      </c>
    </row>
    <row r="225" spans="1:11" x14ac:dyDescent="0.3">
      <c r="A225">
        <v>156365410</v>
      </c>
      <c r="B225" s="1">
        <v>44835</v>
      </c>
      <c r="C225" s="1">
        <v>44863</v>
      </c>
      <c r="D225" t="s">
        <v>7</v>
      </c>
      <c r="E225">
        <v>39</v>
      </c>
      <c r="F225" t="s">
        <v>6</v>
      </c>
      <c r="G225">
        <f t="shared" si="9"/>
        <v>28</v>
      </c>
      <c r="H225" s="1" t="str">
        <f t="shared" si="11"/>
        <v>Saturday</v>
      </c>
      <c r="J225" s="1">
        <v>45042</v>
      </c>
      <c r="K225">
        <f t="shared" si="10"/>
        <v>7</v>
      </c>
    </row>
    <row r="226" spans="1:11" x14ac:dyDescent="0.3">
      <c r="A226">
        <v>153957162</v>
      </c>
      <c r="B226" s="1">
        <v>44836</v>
      </c>
      <c r="C226" t="s">
        <v>19</v>
      </c>
      <c r="D226" t="s">
        <v>7</v>
      </c>
      <c r="E226">
        <v>39</v>
      </c>
      <c r="F226" t="s">
        <v>6</v>
      </c>
      <c r="G226" t="str">
        <f t="shared" si="9"/>
        <v>Active</v>
      </c>
      <c r="H226" s="1" t="str">
        <f t="shared" si="11"/>
        <v>Sunday</v>
      </c>
      <c r="J226" s="1">
        <v>45046</v>
      </c>
      <c r="K226">
        <f t="shared" si="10"/>
        <v>7</v>
      </c>
    </row>
    <row r="227" spans="1:11" x14ac:dyDescent="0.3">
      <c r="A227">
        <v>152436949</v>
      </c>
      <c r="B227" s="1">
        <v>44836</v>
      </c>
      <c r="C227" s="1">
        <v>44837</v>
      </c>
      <c r="D227" t="s">
        <v>8</v>
      </c>
      <c r="E227">
        <v>39</v>
      </c>
      <c r="F227" t="s">
        <v>6</v>
      </c>
      <c r="G227">
        <f t="shared" si="9"/>
        <v>1</v>
      </c>
      <c r="H227" s="1" t="str">
        <f t="shared" si="11"/>
        <v>Sunday</v>
      </c>
      <c r="J227" s="1">
        <v>45047</v>
      </c>
      <c r="K227">
        <f t="shared" si="10"/>
        <v>7</v>
      </c>
    </row>
    <row r="228" spans="1:11" x14ac:dyDescent="0.3">
      <c r="A228">
        <v>156403612</v>
      </c>
      <c r="B228" s="1">
        <v>44836</v>
      </c>
      <c r="C228" s="1">
        <v>44952</v>
      </c>
      <c r="D228" t="s">
        <v>7</v>
      </c>
      <c r="E228">
        <v>39</v>
      </c>
      <c r="F228" t="s">
        <v>6</v>
      </c>
      <c r="G228">
        <f t="shared" si="9"/>
        <v>116</v>
      </c>
      <c r="H228" s="1" t="str">
        <f t="shared" si="11"/>
        <v>Sunday</v>
      </c>
      <c r="J228" s="1">
        <v>45050</v>
      </c>
      <c r="K228">
        <f t="shared" si="10"/>
        <v>7</v>
      </c>
    </row>
    <row r="229" spans="1:11" x14ac:dyDescent="0.3">
      <c r="A229">
        <v>154198756</v>
      </c>
      <c r="B229" s="1">
        <v>44836</v>
      </c>
      <c r="C229" s="1">
        <v>44879</v>
      </c>
      <c r="D229" t="s">
        <v>7</v>
      </c>
      <c r="E229">
        <v>39</v>
      </c>
      <c r="F229" t="s">
        <v>6</v>
      </c>
      <c r="G229">
        <f t="shared" si="9"/>
        <v>43</v>
      </c>
      <c r="H229" s="1" t="str">
        <f t="shared" si="11"/>
        <v>Sunday</v>
      </c>
      <c r="J229" s="1">
        <v>45056</v>
      </c>
      <c r="K229">
        <f t="shared" si="10"/>
        <v>7</v>
      </c>
    </row>
    <row r="230" spans="1:11" x14ac:dyDescent="0.3">
      <c r="A230">
        <v>156917754</v>
      </c>
      <c r="B230" s="1">
        <v>44836</v>
      </c>
      <c r="C230" s="1">
        <v>44862</v>
      </c>
      <c r="D230" t="s">
        <v>7</v>
      </c>
      <c r="E230">
        <v>39</v>
      </c>
      <c r="F230" t="s">
        <v>6</v>
      </c>
      <c r="G230">
        <f t="shared" si="9"/>
        <v>26</v>
      </c>
      <c r="H230" s="1" t="str">
        <f t="shared" si="11"/>
        <v>Sunday</v>
      </c>
      <c r="J230" s="1">
        <v>45068</v>
      </c>
      <c r="K230">
        <f t="shared" si="10"/>
        <v>7</v>
      </c>
    </row>
    <row r="231" spans="1:11" x14ac:dyDescent="0.3">
      <c r="A231">
        <v>134975906</v>
      </c>
      <c r="B231" s="1">
        <v>44837</v>
      </c>
      <c r="C231" s="1">
        <v>44861</v>
      </c>
      <c r="D231" t="s">
        <v>7</v>
      </c>
      <c r="E231">
        <v>39</v>
      </c>
      <c r="F231" t="s">
        <v>6</v>
      </c>
      <c r="G231">
        <f t="shared" si="9"/>
        <v>24</v>
      </c>
      <c r="H231" s="1" t="str">
        <f t="shared" si="11"/>
        <v>Monday</v>
      </c>
      <c r="J231" s="1">
        <v>45069</v>
      </c>
      <c r="K231">
        <f t="shared" si="10"/>
        <v>7</v>
      </c>
    </row>
    <row r="232" spans="1:11" x14ac:dyDescent="0.3">
      <c r="A232">
        <v>156955735</v>
      </c>
      <c r="B232" s="1">
        <v>44837</v>
      </c>
      <c r="C232" s="1">
        <v>45109</v>
      </c>
      <c r="D232" t="s">
        <v>7</v>
      </c>
      <c r="E232">
        <v>39</v>
      </c>
      <c r="F232" t="s">
        <v>6</v>
      </c>
      <c r="G232">
        <f t="shared" si="9"/>
        <v>272</v>
      </c>
      <c r="H232" s="1" t="str">
        <f t="shared" si="11"/>
        <v>Monday</v>
      </c>
      <c r="J232" s="1">
        <v>45079</v>
      </c>
      <c r="K232">
        <f t="shared" si="10"/>
        <v>7</v>
      </c>
    </row>
    <row r="233" spans="1:11" x14ac:dyDescent="0.3">
      <c r="A233">
        <v>156982750</v>
      </c>
      <c r="B233" s="1">
        <v>44837</v>
      </c>
      <c r="C233" s="1">
        <v>44963</v>
      </c>
      <c r="D233" t="s">
        <v>7</v>
      </c>
      <c r="E233">
        <v>39</v>
      </c>
      <c r="F233" t="s">
        <v>6</v>
      </c>
      <c r="G233">
        <f t="shared" si="9"/>
        <v>126</v>
      </c>
      <c r="H233" s="1" t="str">
        <f t="shared" si="11"/>
        <v>Monday</v>
      </c>
      <c r="J233" s="1">
        <v>45080</v>
      </c>
      <c r="K233">
        <f t="shared" si="10"/>
        <v>7</v>
      </c>
    </row>
    <row r="234" spans="1:11" x14ac:dyDescent="0.3">
      <c r="A234">
        <v>156953312</v>
      </c>
      <c r="B234" s="1">
        <v>44837</v>
      </c>
      <c r="C234" s="1">
        <v>45002</v>
      </c>
      <c r="D234" t="s">
        <v>7</v>
      </c>
      <c r="E234">
        <v>39</v>
      </c>
      <c r="F234" t="s">
        <v>6</v>
      </c>
      <c r="G234">
        <f t="shared" si="9"/>
        <v>165</v>
      </c>
      <c r="H234" s="1" t="str">
        <f t="shared" si="11"/>
        <v>Monday</v>
      </c>
      <c r="J234" s="1">
        <v>45083</v>
      </c>
      <c r="K234">
        <f t="shared" si="10"/>
        <v>7</v>
      </c>
    </row>
    <row r="235" spans="1:11" x14ac:dyDescent="0.3">
      <c r="A235">
        <v>124642102</v>
      </c>
      <c r="B235" s="1">
        <v>44837</v>
      </c>
      <c r="C235" s="1">
        <v>44929</v>
      </c>
      <c r="D235" t="s">
        <v>7</v>
      </c>
      <c r="E235">
        <v>39</v>
      </c>
      <c r="F235" t="s">
        <v>6</v>
      </c>
      <c r="G235">
        <f t="shared" si="9"/>
        <v>92</v>
      </c>
      <c r="H235" s="1" t="str">
        <f t="shared" si="11"/>
        <v>Monday</v>
      </c>
      <c r="J235" s="1">
        <v>45091</v>
      </c>
      <c r="K235">
        <f t="shared" si="10"/>
        <v>7</v>
      </c>
    </row>
    <row r="236" spans="1:11" x14ac:dyDescent="0.3">
      <c r="A236">
        <v>156940530</v>
      </c>
      <c r="B236" s="1">
        <v>44837</v>
      </c>
      <c r="C236" s="1">
        <v>44936</v>
      </c>
      <c r="D236" t="s">
        <v>7</v>
      </c>
      <c r="E236">
        <v>39</v>
      </c>
      <c r="F236" t="s">
        <v>6</v>
      </c>
      <c r="G236">
        <f t="shared" si="9"/>
        <v>99</v>
      </c>
      <c r="H236" s="1" t="str">
        <f t="shared" si="11"/>
        <v>Monday</v>
      </c>
      <c r="J236" s="1">
        <v>45106</v>
      </c>
      <c r="K236">
        <f t="shared" si="10"/>
        <v>7</v>
      </c>
    </row>
    <row r="237" spans="1:11" x14ac:dyDescent="0.3">
      <c r="A237">
        <v>155602780</v>
      </c>
      <c r="B237" s="1">
        <v>44837</v>
      </c>
      <c r="C237" s="1">
        <v>44946</v>
      </c>
      <c r="D237" t="s">
        <v>7</v>
      </c>
      <c r="E237">
        <v>39</v>
      </c>
      <c r="F237" t="s">
        <v>6</v>
      </c>
      <c r="G237">
        <f t="shared" si="9"/>
        <v>109</v>
      </c>
      <c r="H237" s="1" t="str">
        <f t="shared" si="11"/>
        <v>Monday</v>
      </c>
      <c r="J237" s="1">
        <v>45109</v>
      </c>
      <c r="K237">
        <f t="shared" si="10"/>
        <v>7</v>
      </c>
    </row>
    <row r="238" spans="1:11" x14ac:dyDescent="0.3">
      <c r="A238">
        <v>149635726</v>
      </c>
      <c r="B238" s="1">
        <v>44837</v>
      </c>
      <c r="C238" s="1">
        <v>44873</v>
      </c>
      <c r="D238" t="s">
        <v>7</v>
      </c>
      <c r="E238">
        <v>39</v>
      </c>
      <c r="F238" t="s">
        <v>6</v>
      </c>
      <c r="G238">
        <f t="shared" si="9"/>
        <v>36</v>
      </c>
      <c r="H238" s="1" t="str">
        <f t="shared" si="11"/>
        <v>Monday</v>
      </c>
      <c r="J238" s="1">
        <v>45114</v>
      </c>
      <c r="K238">
        <f t="shared" si="10"/>
        <v>7</v>
      </c>
    </row>
    <row r="239" spans="1:11" x14ac:dyDescent="0.3">
      <c r="A239">
        <v>152660102</v>
      </c>
      <c r="B239" s="1">
        <v>44837</v>
      </c>
      <c r="C239" s="1">
        <v>44893</v>
      </c>
      <c r="D239" t="s">
        <v>7</v>
      </c>
      <c r="E239">
        <v>39</v>
      </c>
      <c r="F239" t="s">
        <v>6</v>
      </c>
      <c r="G239">
        <f t="shared" si="9"/>
        <v>56</v>
      </c>
      <c r="H239" s="1" t="str">
        <f t="shared" si="11"/>
        <v>Monday</v>
      </c>
      <c r="J239" s="1">
        <v>45116</v>
      </c>
      <c r="K239">
        <f t="shared" si="10"/>
        <v>7</v>
      </c>
    </row>
    <row r="240" spans="1:11" x14ac:dyDescent="0.3">
      <c r="A240">
        <v>153620734</v>
      </c>
      <c r="B240" s="1">
        <v>44837</v>
      </c>
      <c r="C240" s="1">
        <v>44894</v>
      </c>
      <c r="D240" t="s">
        <v>7</v>
      </c>
      <c r="E240">
        <v>39</v>
      </c>
      <c r="F240" t="s">
        <v>6</v>
      </c>
      <c r="G240">
        <f t="shared" si="9"/>
        <v>57</v>
      </c>
      <c r="H240" s="1" t="str">
        <f t="shared" si="11"/>
        <v>Monday</v>
      </c>
      <c r="J240" s="1">
        <v>45121</v>
      </c>
      <c r="K240">
        <f t="shared" si="10"/>
        <v>7</v>
      </c>
    </row>
    <row r="241" spans="1:12" x14ac:dyDescent="0.3">
      <c r="A241">
        <v>156940254</v>
      </c>
      <c r="B241" s="1">
        <v>44837</v>
      </c>
      <c r="C241" s="1">
        <v>44837</v>
      </c>
      <c r="D241" t="s">
        <v>7</v>
      </c>
      <c r="E241">
        <v>39</v>
      </c>
      <c r="F241" t="s">
        <v>6</v>
      </c>
      <c r="G241">
        <f t="shared" si="9"/>
        <v>0</v>
      </c>
      <c r="H241" s="1" t="str">
        <f t="shared" si="11"/>
        <v>Monday</v>
      </c>
      <c r="J241" s="1">
        <v>45128</v>
      </c>
      <c r="K241">
        <f t="shared" si="10"/>
        <v>7</v>
      </c>
    </row>
    <row r="242" spans="1:12" x14ac:dyDescent="0.3">
      <c r="A242">
        <v>156940060</v>
      </c>
      <c r="B242" s="1">
        <v>44837</v>
      </c>
      <c r="C242" s="1">
        <v>44844</v>
      </c>
      <c r="D242" t="s">
        <v>7</v>
      </c>
      <c r="E242">
        <v>39</v>
      </c>
      <c r="F242" t="s">
        <v>6</v>
      </c>
      <c r="G242">
        <f t="shared" si="9"/>
        <v>7</v>
      </c>
      <c r="H242" s="1" t="str">
        <f t="shared" si="11"/>
        <v>Monday</v>
      </c>
      <c r="J242" s="1">
        <v>45129</v>
      </c>
      <c r="K242">
        <f t="shared" si="10"/>
        <v>7</v>
      </c>
    </row>
    <row r="243" spans="1:12" x14ac:dyDescent="0.3">
      <c r="A243">
        <v>156938938</v>
      </c>
      <c r="B243" s="1">
        <v>44837</v>
      </c>
      <c r="C243" s="1">
        <v>44837</v>
      </c>
      <c r="D243" t="s">
        <v>7</v>
      </c>
      <c r="E243">
        <v>39</v>
      </c>
      <c r="F243" t="s">
        <v>6</v>
      </c>
      <c r="G243">
        <f t="shared" si="9"/>
        <v>0</v>
      </c>
      <c r="H243" s="1" t="str">
        <f t="shared" si="11"/>
        <v>Monday</v>
      </c>
      <c r="J243" s="1">
        <v>45162</v>
      </c>
      <c r="K243">
        <f t="shared" si="10"/>
        <v>7</v>
      </c>
    </row>
    <row r="244" spans="1:12" x14ac:dyDescent="0.3">
      <c r="A244">
        <v>156955272</v>
      </c>
      <c r="B244" s="1">
        <v>44838</v>
      </c>
      <c r="C244" s="1">
        <v>45037</v>
      </c>
      <c r="D244" t="s">
        <v>7</v>
      </c>
      <c r="E244">
        <v>39</v>
      </c>
      <c r="F244" t="s">
        <v>6</v>
      </c>
      <c r="G244">
        <f t="shared" si="9"/>
        <v>199</v>
      </c>
      <c r="H244" s="1" t="str">
        <f t="shared" si="11"/>
        <v>Tuesday</v>
      </c>
      <c r="J244" s="1">
        <v>45167</v>
      </c>
      <c r="K244">
        <f t="shared" si="10"/>
        <v>7</v>
      </c>
    </row>
    <row r="245" spans="1:12" x14ac:dyDescent="0.3">
      <c r="A245">
        <v>156941638</v>
      </c>
      <c r="B245" s="1">
        <v>44838</v>
      </c>
      <c r="C245" s="1">
        <v>45000</v>
      </c>
      <c r="D245" t="s">
        <v>7</v>
      </c>
      <c r="E245">
        <v>39</v>
      </c>
      <c r="F245" t="s">
        <v>6</v>
      </c>
      <c r="G245">
        <f t="shared" si="9"/>
        <v>162</v>
      </c>
      <c r="H245" s="1" t="str">
        <f t="shared" si="11"/>
        <v>Tuesday</v>
      </c>
      <c r="J245" s="1">
        <v>45169</v>
      </c>
      <c r="K245">
        <f t="shared" si="10"/>
        <v>7</v>
      </c>
    </row>
    <row r="246" spans="1:12" x14ac:dyDescent="0.3">
      <c r="A246">
        <v>157154624</v>
      </c>
      <c r="B246" s="1">
        <v>44838</v>
      </c>
      <c r="C246" s="1">
        <v>44956</v>
      </c>
      <c r="D246" t="s">
        <v>7</v>
      </c>
      <c r="E246">
        <v>39</v>
      </c>
      <c r="F246" t="s">
        <v>6</v>
      </c>
      <c r="G246">
        <f t="shared" si="9"/>
        <v>118</v>
      </c>
      <c r="H246" s="1" t="str">
        <f t="shared" si="11"/>
        <v>Tuesday</v>
      </c>
      <c r="J246" s="1">
        <v>45176</v>
      </c>
      <c r="K246">
        <f t="shared" si="10"/>
        <v>7</v>
      </c>
    </row>
    <row r="247" spans="1:12" x14ac:dyDescent="0.3">
      <c r="A247">
        <v>151677119</v>
      </c>
      <c r="B247" s="1">
        <v>44838</v>
      </c>
      <c r="C247" s="1">
        <v>44909</v>
      </c>
      <c r="D247" t="s">
        <v>7</v>
      </c>
      <c r="E247">
        <v>39</v>
      </c>
      <c r="F247" t="s">
        <v>6</v>
      </c>
      <c r="G247">
        <f t="shared" si="9"/>
        <v>71</v>
      </c>
      <c r="H247" s="1" t="str">
        <f t="shared" si="11"/>
        <v>Tuesday</v>
      </c>
      <c r="J247" s="1">
        <v>44806</v>
      </c>
      <c r="K247">
        <f t="shared" si="10"/>
        <v>6</v>
      </c>
    </row>
    <row r="248" spans="1:12" x14ac:dyDescent="0.3">
      <c r="A248">
        <v>139465940</v>
      </c>
      <c r="B248" s="1">
        <v>44838</v>
      </c>
      <c r="C248" s="1">
        <v>44870</v>
      </c>
      <c r="D248" t="s">
        <v>7</v>
      </c>
      <c r="E248">
        <v>39</v>
      </c>
      <c r="F248" t="s">
        <v>6</v>
      </c>
      <c r="G248">
        <f t="shared" si="9"/>
        <v>32</v>
      </c>
      <c r="H248" s="1" t="str">
        <f t="shared" si="11"/>
        <v>Tuesday</v>
      </c>
      <c r="J248" s="1">
        <v>44814</v>
      </c>
      <c r="K248">
        <f t="shared" si="10"/>
        <v>6</v>
      </c>
    </row>
    <row r="249" spans="1:12" x14ac:dyDescent="0.3">
      <c r="A249">
        <v>156895692</v>
      </c>
      <c r="B249" s="1">
        <v>44839</v>
      </c>
      <c r="C249" t="s">
        <v>19</v>
      </c>
      <c r="D249" t="s">
        <v>7</v>
      </c>
      <c r="E249">
        <v>39</v>
      </c>
      <c r="F249" t="s">
        <v>6</v>
      </c>
      <c r="G249" t="str">
        <f t="shared" si="9"/>
        <v>Active</v>
      </c>
      <c r="H249" s="1" t="str">
        <f t="shared" si="11"/>
        <v>Wednesday</v>
      </c>
      <c r="J249" s="1">
        <v>44817</v>
      </c>
      <c r="K249">
        <f t="shared" si="10"/>
        <v>6</v>
      </c>
      <c r="L249" s="9"/>
    </row>
    <row r="250" spans="1:12" x14ac:dyDescent="0.3">
      <c r="A250">
        <v>153587226</v>
      </c>
      <c r="B250" s="1">
        <v>44839</v>
      </c>
      <c r="C250" t="s">
        <v>19</v>
      </c>
      <c r="D250" t="s">
        <v>7</v>
      </c>
      <c r="E250">
        <v>39</v>
      </c>
      <c r="F250" t="s">
        <v>6</v>
      </c>
      <c r="G250" t="str">
        <f t="shared" si="9"/>
        <v>Active</v>
      </c>
      <c r="H250" s="1" t="str">
        <f t="shared" si="11"/>
        <v>Wednesday</v>
      </c>
      <c r="J250" s="1">
        <v>44820</v>
      </c>
      <c r="K250">
        <f t="shared" si="10"/>
        <v>6</v>
      </c>
    </row>
    <row r="251" spans="1:12" x14ac:dyDescent="0.3">
      <c r="A251">
        <v>157295262</v>
      </c>
      <c r="B251" s="1">
        <v>44839</v>
      </c>
      <c r="C251" s="1">
        <v>45019</v>
      </c>
      <c r="D251" t="s">
        <v>7</v>
      </c>
      <c r="E251">
        <v>39</v>
      </c>
      <c r="F251" t="s">
        <v>6</v>
      </c>
      <c r="G251">
        <f t="shared" si="9"/>
        <v>180</v>
      </c>
      <c r="H251" s="1" t="str">
        <f t="shared" si="11"/>
        <v>Wednesday</v>
      </c>
      <c r="J251" s="1">
        <v>44822</v>
      </c>
      <c r="K251">
        <f t="shared" si="10"/>
        <v>6</v>
      </c>
    </row>
    <row r="252" spans="1:12" x14ac:dyDescent="0.3">
      <c r="A252">
        <v>157284386</v>
      </c>
      <c r="B252" s="1">
        <v>44839</v>
      </c>
      <c r="C252" s="1">
        <v>45018</v>
      </c>
      <c r="D252" t="s">
        <v>7</v>
      </c>
      <c r="E252">
        <v>39</v>
      </c>
      <c r="F252" t="s">
        <v>6</v>
      </c>
      <c r="G252">
        <f t="shared" si="9"/>
        <v>179</v>
      </c>
      <c r="H252" s="1" t="str">
        <f t="shared" si="11"/>
        <v>Wednesday</v>
      </c>
      <c r="J252" s="1">
        <v>44826</v>
      </c>
      <c r="K252">
        <f t="shared" si="10"/>
        <v>6</v>
      </c>
    </row>
    <row r="253" spans="1:12" x14ac:dyDescent="0.3">
      <c r="A253">
        <v>148762867</v>
      </c>
      <c r="B253" s="1">
        <v>44839</v>
      </c>
      <c r="C253" s="1">
        <v>45100</v>
      </c>
      <c r="D253" t="s">
        <v>7</v>
      </c>
      <c r="E253">
        <v>39</v>
      </c>
      <c r="F253" t="s">
        <v>6</v>
      </c>
      <c r="G253">
        <f t="shared" si="9"/>
        <v>261</v>
      </c>
      <c r="H253" s="1" t="str">
        <f t="shared" si="11"/>
        <v>Wednesday</v>
      </c>
      <c r="J253" s="1">
        <v>44829</v>
      </c>
      <c r="K253">
        <f t="shared" si="10"/>
        <v>6</v>
      </c>
    </row>
    <row r="254" spans="1:12" x14ac:dyDescent="0.3">
      <c r="A254">
        <v>150433978</v>
      </c>
      <c r="B254" s="1">
        <v>44839</v>
      </c>
      <c r="C254" s="1">
        <v>44870</v>
      </c>
      <c r="D254" t="s">
        <v>7</v>
      </c>
      <c r="E254">
        <v>39</v>
      </c>
      <c r="F254" t="s">
        <v>6</v>
      </c>
      <c r="G254">
        <f t="shared" si="9"/>
        <v>31</v>
      </c>
      <c r="H254" s="1" t="str">
        <f t="shared" si="11"/>
        <v>Wednesday</v>
      </c>
      <c r="J254" s="1">
        <v>44854</v>
      </c>
      <c r="K254">
        <f t="shared" si="10"/>
        <v>6</v>
      </c>
    </row>
    <row r="255" spans="1:12" x14ac:dyDescent="0.3">
      <c r="A255">
        <v>157272487</v>
      </c>
      <c r="B255" s="1">
        <v>44839</v>
      </c>
      <c r="C255" s="1">
        <v>44902</v>
      </c>
      <c r="D255" t="s">
        <v>7</v>
      </c>
      <c r="E255">
        <v>39</v>
      </c>
      <c r="F255" t="s">
        <v>6</v>
      </c>
      <c r="G255">
        <f t="shared" si="9"/>
        <v>63</v>
      </c>
      <c r="H255" s="1" t="str">
        <f t="shared" si="11"/>
        <v>Wednesday</v>
      </c>
      <c r="J255" s="1">
        <v>44856</v>
      </c>
      <c r="K255">
        <f t="shared" si="10"/>
        <v>6</v>
      </c>
    </row>
    <row r="256" spans="1:12" x14ac:dyDescent="0.3">
      <c r="A256">
        <v>153776370</v>
      </c>
      <c r="B256" s="1">
        <v>44840</v>
      </c>
      <c r="C256" s="1">
        <v>44901</v>
      </c>
      <c r="D256" t="s">
        <v>7</v>
      </c>
      <c r="E256">
        <v>39</v>
      </c>
      <c r="F256" t="s">
        <v>6</v>
      </c>
      <c r="G256">
        <f t="shared" si="9"/>
        <v>61</v>
      </c>
      <c r="H256" s="1" t="str">
        <f t="shared" si="11"/>
        <v>Thursday</v>
      </c>
      <c r="J256" s="1">
        <v>44859</v>
      </c>
      <c r="K256">
        <f t="shared" si="10"/>
        <v>6</v>
      </c>
    </row>
    <row r="257" spans="1:11" x14ac:dyDescent="0.3">
      <c r="A257">
        <v>157371444</v>
      </c>
      <c r="B257" s="1">
        <v>44840</v>
      </c>
      <c r="C257" s="1">
        <v>44903</v>
      </c>
      <c r="D257" t="s">
        <v>7</v>
      </c>
      <c r="E257">
        <v>39</v>
      </c>
      <c r="F257" t="s">
        <v>6</v>
      </c>
      <c r="G257">
        <f t="shared" si="9"/>
        <v>63</v>
      </c>
      <c r="H257" s="1" t="str">
        <f t="shared" si="11"/>
        <v>Thursday</v>
      </c>
      <c r="J257" s="1">
        <v>44867</v>
      </c>
      <c r="K257">
        <f t="shared" si="10"/>
        <v>6</v>
      </c>
    </row>
    <row r="258" spans="1:11" x14ac:dyDescent="0.3">
      <c r="A258">
        <v>157095464</v>
      </c>
      <c r="B258" s="1">
        <v>44840</v>
      </c>
      <c r="C258" s="1">
        <v>45120</v>
      </c>
      <c r="D258" t="s">
        <v>7</v>
      </c>
      <c r="E258">
        <v>39</v>
      </c>
      <c r="F258" t="s">
        <v>6</v>
      </c>
      <c r="G258">
        <f t="shared" ref="G258:G321" si="12">IF(C258="Active","Active",C258-B258)</f>
        <v>280</v>
      </c>
      <c r="H258" s="1" t="str">
        <f t="shared" si="11"/>
        <v>Thursday</v>
      </c>
      <c r="J258" s="1">
        <v>44869</v>
      </c>
      <c r="K258">
        <f t="shared" ref="K258:K321" si="13">COUNTIF($B$2:$B$3070,J258)</f>
        <v>6</v>
      </c>
    </row>
    <row r="259" spans="1:11" x14ac:dyDescent="0.3">
      <c r="A259">
        <v>153554190</v>
      </c>
      <c r="B259" s="1">
        <v>44841</v>
      </c>
      <c r="C259" t="s">
        <v>19</v>
      </c>
      <c r="D259" t="s">
        <v>7</v>
      </c>
      <c r="E259">
        <v>39</v>
      </c>
      <c r="F259" t="s">
        <v>6</v>
      </c>
      <c r="G259" t="str">
        <f t="shared" si="12"/>
        <v>Active</v>
      </c>
      <c r="H259" s="1" t="str">
        <f t="shared" ref="H259:H322" si="14">TEXT(B259,"dddd")</f>
        <v>Friday</v>
      </c>
      <c r="J259" s="1">
        <v>44874</v>
      </c>
      <c r="K259">
        <f t="shared" si="13"/>
        <v>6</v>
      </c>
    </row>
    <row r="260" spans="1:11" x14ac:dyDescent="0.3">
      <c r="A260">
        <v>157411994</v>
      </c>
      <c r="B260" s="1">
        <v>44841</v>
      </c>
      <c r="C260" t="s">
        <v>19</v>
      </c>
      <c r="D260" t="s">
        <v>7</v>
      </c>
      <c r="E260">
        <v>39</v>
      </c>
      <c r="F260" t="s">
        <v>6</v>
      </c>
      <c r="G260" t="str">
        <f t="shared" si="12"/>
        <v>Active</v>
      </c>
      <c r="H260" s="1" t="str">
        <f t="shared" si="14"/>
        <v>Friday</v>
      </c>
      <c r="J260" s="1">
        <v>44902</v>
      </c>
      <c r="K260">
        <f t="shared" si="13"/>
        <v>6</v>
      </c>
    </row>
    <row r="261" spans="1:11" x14ac:dyDescent="0.3">
      <c r="A261">
        <v>157374056</v>
      </c>
      <c r="B261" s="1">
        <v>44841</v>
      </c>
      <c r="C261" s="1">
        <v>44872</v>
      </c>
      <c r="D261" t="s">
        <v>7</v>
      </c>
      <c r="E261">
        <v>39</v>
      </c>
      <c r="F261" t="s">
        <v>6</v>
      </c>
      <c r="G261">
        <f t="shared" si="12"/>
        <v>31</v>
      </c>
      <c r="H261" s="1" t="str">
        <f t="shared" si="14"/>
        <v>Friday</v>
      </c>
      <c r="J261" s="1">
        <v>44904</v>
      </c>
      <c r="K261">
        <f t="shared" si="13"/>
        <v>6</v>
      </c>
    </row>
    <row r="262" spans="1:11" x14ac:dyDescent="0.3">
      <c r="A262">
        <v>157397941</v>
      </c>
      <c r="B262" s="1">
        <v>44841</v>
      </c>
      <c r="C262" s="1">
        <v>44868</v>
      </c>
      <c r="D262" t="s">
        <v>7</v>
      </c>
      <c r="E262">
        <v>39</v>
      </c>
      <c r="F262" t="s">
        <v>6</v>
      </c>
      <c r="G262">
        <f t="shared" si="12"/>
        <v>27</v>
      </c>
      <c r="H262" s="1" t="str">
        <f t="shared" si="14"/>
        <v>Friday</v>
      </c>
      <c r="J262" s="1">
        <v>44910</v>
      </c>
      <c r="K262">
        <f t="shared" si="13"/>
        <v>6</v>
      </c>
    </row>
    <row r="263" spans="1:11" x14ac:dyDescent="0.3">
      <c r="A263">
        <v>157234944</v>
      </c>
      <c r="B263" s="1">
        <v>44841</v>
      </c>
      <c r="C263" s="1">
        <v>44858</v>
      </c>
      <c r="D263" t="s">
        <v>7</v>
      </c>
      <c r="E263">
        <v>39</v>
      </c>
      <c r="F263" t="s">
        <v>6</v>
      </c>
      <c r="G263">
        <f t="shared" si="12"/>
        <v>17</v>
      </c>
      <c r="H263" s="1" t="str">
        <f t="shared" si="14"/>
        <v>Friday</v>
      </c>
      <c r="J263" s="1">
        <v>44913</v>
      </c>
      <c r="K263">
        <f t="shared" si="13"/>
        <v>6</v>
      </c>
    </row>
    <row r="264" spans="1:11" x14ac:dyDescent="0.3">
      <c r="A264">
        <v>157490039</v>
      </c>
      <c r="B264" s="1">
        <v>44842</v>
      </c>
      <c r="C264" s="1">
        <v>45000</v>
      </c>
      <c r="D264" t="s">
        <v>7</v>
      </c>
      <c r="E264">
        <v>39</v>
      </c>
      <c r="F264" t="s">
        <v>6</v>
      </c>
      <c r="G264">
        <f t="shared" si="12"/>
        <v>158</v>
      </c>
      <c r="H264" s="1" t="str">
        <f t="shared" si="14"/>
        <v>Saturday</v>
      </c>
      <c r="J264" s="1">
        <v>44914</v>
      </c>
      <c r="K264">
        <f t="shared" si="13"/>
        <v>6</v>
      </c>
    </row>
    <row r="265" spans="1:11" x14ac:dyDescent="0.3">
      <c r="A265">
        <v>157484010</v>
      </c>
      <c r="B265" s="1">
        <v>44842</v>
      </c>
      <c r="C265" s="1">
        <v>45000</v>
      </c>
      <c r="D265" t="s">
        <v>7</v>
      </c>
      <c r="E265">
        <v>39</v>
      </c>
      <c r="F265" t="s">
        <v>6</v>
      </c>
      <c r="G265">
        <f t="shared" si="12"/>
        <v>158</v>
      </c>
      <c r="H265" s="1" t="str">
        <f t="shared" si="14"/>
        <v>Saturday</v>
      </c>
      <c r="J265" s="1">
        <v>44930</v>
      </c>
      <c r="K265">
        <f t="shared" si="13"/>
        <v>6</v>
      </c>
    </row>
    <row r="266" spans="1:11" x14ac:dyDescent="0.3">
      <c r="A266">
        <v>125038257</v>
      </c>
      <c r="B266" s="1">
        <v>44842</v>
      </c>
      <c r="C266" s="1">
        <v>44882</v>
      </c>
      <c r="D266" t="s">
        <v>7</v>
      </c>
      <c r="E266">
        <v>39</v>
      </c>
      <c r="F266" t="s">
        <v>6</v>
      </c>
      <c r="G266">
        <f t="shared" si="12"/>
        <v>40</v>
      </c>
      <c r="H266" s="1" t="str">
        <f t="shared" si="14"/>
        <v>Saturday</v>
      </c>
      <c r="J266" s="1">
        <v>44934</v>
      </c>
      <c r="K266">
        <f t="shared" si="13"/>
        <v>6</v>
      </c>
    </row>
    <row r="267" spans="1:11" x14ac:dyDescent="0.3">
      <c r="A267">
        <v>157400730</v>
      </c>
      <c r="B267" s="1">
        <v>44842</v>
      </c>
      <c r="C267" s="1">
        <v>44860</v>
      </c>
      <c r="D267" t="s">
        <v>7</v>
      </c>
      <c r="E267">
        <v>39</v>
      </c>
      <c r="F267" t="s">
        <v>6</v>
      </c>
      <c r="G267">
        <f t="shared" si="12"/>
        <v>18</v>
      </c>
      <c r="H267" s="1" t="str">
        <f t="shared" si="14"/>
        <v>Saturday</v>
      </c>
      <c r="J267" s="1">
        <v>44937</v>
      </c>
      <c r="K267">
        <f t="shared" si="13"/>
        <v>6</v>
      </c>
    </row>
    <row r="268" spans="1:11" x14ac:dyDescent="0.3">
      <c r="A268">
        <v>157450645</v>
      </c>
      <c r="B268" s="1">
        <v>44842</v>
      </c>
      <c r="C268" s="1">
        <v>44852</v>
      </c>
      <c r="D268" t="s">
        <v>7</v>
      </c>
      <c r="E268">
        <v>39</v>
      </c>
      <c r="F268" t="s">
        <v>6</v>
      </c>
      <c r="G268">
        <f t="shared" si="12"/>
        <v>10</v>
      </c>
      <c r="H268" s="1" t="str">
        <f t="shared" si="14"/>
        <v>Saturday</v>
      </c>
      <c r="J268" s="1">
        <v>44939</v>
      </c>
      <c r="K268">
        <f t="shared" si="13"/>
        <v>6</v>
      </c>
    </row>
    <row r="269" spans="1:11" x14ac:dyDescent="0.3">
      <c r="A269">
        <v>156943008</v>
      </c>
      <c r="B269" s="1">
        <v>44843</v>
      </c>
      <c r="C269" s="1">
        <v>44844</v>
      </c>
      <c r="D269" t="s">
        <v>7</v>
      </c>
      <c r="E269">
        <v>39</v>
      </c>
      <c r="F269" t="s">
        <v>6</v>
      </c>
      <c r="G269">
        <f t="shared" si="12"/>
        <v>1</v>
      </c>
      <c r="H269" s="1" t="str">
        <f t="shared" si="14"/>
        <v>Sunday</v>
      </c>
      <c r="J269" s="1">
        <v>44940</v>
      </c>
      <c r="K269">
        <f t="shared" si="13"/>
        <v>6</v>
      </c>
    </row>
    <row r="270" spans="1:11" x14ac:dyDescent="0.3">
      <c r="A270">
        <v>127328047</v>
      </c>
      <c r="B270" s="1">
        <v>44843</v>
      </c>
      <c r="C270" s="1">
        <v>44942</v>
      </c>
      <c r="D270" t="s">
        <v>7</v>
      </c>
      <c r="E270">
        <v>39</v>
      </c>
      <c r="F270" t="s">
        <v>6</v>
      </c>
      <c r="G270">
        <f t="shared" si="12"/>
        <v>99</v>
      </c>
      <c r="H270" s="1" t="str">
        <f t="shared" si="14"/>
        <v>Sunday</v>
      </c>
      <c r="J270" s="1">
        <v>44947</v>
      </c>
      <c r="K270">
        <f t="shared" si="13"/>
        <v>6</v>
      </c>
    </row>
    <row r="271" spans="1:11" x14ac:dyDescent="0.3">
      <c r="A271">
        <v>157506842</v>
      </c>
      <c r="B271" s="1">
        <v>44843</v>
      </c>
      <c r="C271" s="1">
        <v>44880</v>
      </c>
      <c r="D271" t="s">
        <v>7</v>
      </c>
      <c r="E271">
        <v>39</v>
      </c>
      <c r="F271" t="s">
        <v>6</v>
      </c>
      <c r="G271">
        <f t="shared" si="12"/>
        <v>37</v>
      </c>
      <c r="H271" s="1" t="str">
        <f t="shared" si="14"/>
        <v>Sunday</v>
      </c>
      <c r="J271" s="1">
        <v>44950</v>
      </c>
      <c r="K271">
        <f t="shared" si="13"/>
        <v>6</v>
      </c>
    </row>
    <row r="272" spans="1:11" x14ac:dyDescent="0.3">
      <c r="A272">
        <v>150924853</v>
      </c>
      <c r="B272" s="1">
        <v>44843</v>
      </c>
      <c r="C272" s="1">
        <v>44888</v>
      </c>
      <c r="D272" t="s">
        <v>7</v>
      </c>
      <c r="E272">
        <v>39</v>
      </c>
      <c r="F272" t="s">
        <v>6</v>
      </c>
      <c r="G272">
        <f t="shared" si="12"/>
        <v>45</v>
      </c>
      <c r="H272" s="1" t="str">
        <f t="shared" si="14"/>
        <v>Sunday</v>
      </c>
      <c r="J272" s="1">
        <v>44955</v>
      </c>
      <c r="K272">
        <f t="shared" si="13"/>
        <v>6</v>
      </c>
    </row>
    <row r="273" spans="1:11" x14ac:dyDescent="0.3">
      <c r="A273">
        <v>156996568</v>
      </c>
      <c r="B273" s="1">
        <v>44844</v>
      </c>
      <c r="C273" t="s">
        <v>19</v>
      </c>
      <c r="D273" t="s">
        <v>7</v>
      </c>
      <c r="E273">
        <v>39</v>
      </c>
      <c r="F273" t="s">
        <v>6</v>
      </c>
      <c r="G273" t="str">
        <f t="shared" si="12"/>
        <v>Active</v>
      </c>
      <c r="H273" s="1" t="str">
        <f t="shared" si="14"/>
        <v>Monday</v>
      </c>
      <c r="J273" s="1">
        <v>44961</v>
      </c>
      <c r="K273">
        <f t="shared" si="13"/>
        <v>6</v>
      </c>
    </row>
    <row r="274" spans="1:11" x14ac:dyDescent="0.3">
      <c r="A274">
        <v>157627904</v>
      </c>
      <c r="B274" s="1">
        <v>44844</v>
      </c>
      <c r="C274" s="1">
        <v>44937</v>
      </c>
      <c r="D274" t="s">
        <v>7</v>
      </c>
      <c r="E274">
        <v>39</v>
      </c>
      <c r="F274" t="s">
        <v>6</v>
      </c>
      <c r="G274">
        <f t="shared" si="12"/>
        <v>93</v>
      </c>
      <c r="H274" s="1" t="str">
        <f t="shared" si="14"/>
        <v>Monday</v>
      </c>
      <c r="J274" s="1">
        <v>44982</v>
      </c>
      <c r="K274">
        <f t="shared" si="13"/>
        <v>6</v>
      </c>
    </row>
    <row r="275" spans="1:11" x14ac:dyDescent="0.3">
      <c r="A275">
        <v>157058101</v>
      </c>
      <c r="B275" s="1">
        <v>44844</v>
      </c>
      <c r="C275" s="1">
        <v>44874</v>
      </c>
      <c r="D275" t="s">
        <v>7</v>
      </c>
      <c r="E275">
        <v>39</v>
      </c>
      <c r="F275" t="s">
        <v>6</v>
      </c>
      <c r="G275">
        <f t="shared" si="12"/>
        <v>30</v>
      </c>
      <c r="H275" s="1" t="str">
        <f t="shared" si="14"/>
        <v>Monday</v>
      </c>
      <c r="J275" s="1">
        <v>45006</v>
      </c>
      <c r="K275">
        <f t="shared" si="13"/>
        <v>6</v>
      </c>
    </row>
    <row r="276" spans="1:11" x14ac:dyDescent="0.3">
      <c r="A276">
        <v>157394598</v>
      </c>
      <c r="B276" s="1">
        <v>44845</v>
      </c>
      <c r="C276" s="1">
        <v>44846</v>
      </c>
      <c r="D276" t="s">
        <v>8</v>
      </c>
      <c r="E276">
        <v>39</v>
      </c>
      <c r="F276" t="s">
        <v>6</v>
      </c>
      <c r="G276">
        <f t="shared" si="12"/>
        <v>1</v>
      </c>
      <c r="H276" s="1" t="str">
        <f t="shared" si="14"/>
        <v>Tuesday</v>
      </c>
      <c r="J276" s="1">
        <v>45016</v>
      </c>
      <c r="K276">
        <f t="shared" si="13"/>
        <v>6</v>
      </c>
    </row>
    <row r="277" spans="1:11" x14ac:dyDescent="0.3">
      <c r="A277">
        <v>157765918</v>
      </c>
      <c r="B277" s="1">
        <v>44845</v>
      </c>
      <c r="C277" s="1">
        <v>44846</v>
      </c>
      <c r="D277" t="s">
        <v>8</v>
      </c>
      <c r="E277">
        <v>39</v>
      </c>
      <c r="F277" t="s">
        <v>6</v>
      </c>
      <c r="G277">
        <f t="shared" si="12"/>
        <v>1</v>
      </c>
      <c r="H277" s="1" t="str">
        <f t="shared" si="14"/>
        <v>Tuesday</v>
      </c>
      <c r="J277" s="1">
        <v>45017</v>
      </c>
      <c r="K277">
        <f t="shared" si="13"/>
        <v>6</v>
      </c>
    </row>
    <row r="278" spans="1:11" x14ac:dyDescent="0.3">
      <c r="A278">
        <v>157746458</v>
      </c>
      <c r="B278" s="1">
        <v>44845</v>
      </c>
      <c r="C278" s="1">
        <v>45041</v>
      </c>
      <c r="D278" t="s">
        <v>7</v>
      </c>
      <c r="E278">
        <v>39</v>
      </c>
      <c r="F278" t="s">
        <v>6</v>
      </c>
      <c r="G278">
        <f t="shared" si="12"/>
        <v>196</v>
      </c>
      <c r="H278" s="1" t="str">
        <f t="shared" si="14"/>
        <v>Tuesday</v>
      </c>
      <c r="J278" s="1">
        <v>45018</v>
      </c>
      <c r="K278">
        <f t="shared" si="13"/>
        <v>6</v>
      </c>
    </row>
    <row r="279" spans="1:11" x14ac:dyDescent="0.3">
      <c r="A279">
        <v>157590918</v>
      </c>
      <c r="B279" s="1">
        <v>44845</v>
      </c>
      <c r="C279" s="1">
        <v>44969</v>
      </c>
      <c r="D279" t="s">
        <v>7</v>
      </c>
      <c r="E279">
        <v>39</v>
      </c>
      <c r="F279" t="s">
        <v>6</v>
      </c>
      <c r="G279">
        <f t="shared" si="12"/>
        <v>124</v>
      </c>
      <c r="H279" s="1" t="str">
        <f t="shared" si="14"/>
        <v>Tuesday</v>
      </c>
      <c r="J279" s="1">
        <v>45025</v>
      </c>
      <c r="K279">
        <f t="shared" si="13"/>
        <v>6</v>
      </c>
    </row>
    <row r="280" spans="1:11" x14ac:dyDescent="0.3">
      <c r="A280">
        <v>157290992</v>
      </c>
      <c r="B280" s="1">
        <v>44845</v>
      </c>
      <c r="C280" s="1">
        <v>44936</v>
      </c>
      <c r="D280" t="s">
        <v>7</v>
      </c>
      <c r="E280">
        <v>39</v>
      </c>
      <c r="F280" t="s">
        <v>6</v>
      </c>
      <c r="G280">
        <f t="shared" si="12"/>
        <v>91</v>
      </c>
      <c r="H280" s="1" t="str">
        <f t="shared" si="14"/>
        <v>Tuesday</v>
      </c>
      <c r="J280" s="1">
        <v>45030</v>
      </c>
      <c r="K280">
        <f t="shared" si="13"/>
        <v>6</v>
      </c>
    </row>
    <row r="281" spans="1:11" x14ac:dyDescent="0.3">
      <c r="A281">
        <v>156895701</v>
      </c>
      <c r="B281" s="1">
        <v>44845</v>
      </c>
      <c r="C281" s="1">
        <v>44913</v>
      </c>
      <c r="D281" t="s">
        <v>7</v>
      </c>
      <c r="E281">
        <v>39</v>
      </c>
      <c r="F281" t="s">
        <v>6</v>
      </c>
      <c r="G281">
        <f t="shared" si="12"/>
        <v>68</v>
      </c>
      <c r="H281" s="1" t="str">
        <f t="shared" si="14"/>
        <v>Tuesday</v>
      </c>
      <c r="J281" s="1">
        <v>45082</v>
      </c>
      <c r="K281">
        <f t="shared" si="13"/>
        <v>6</v>
      </c>
    </row>
    <row r="282" spans="1:11" x14ac:dyDescent="0.3">
      <c r="A282">
        <v>155926313</v>
      </c>
      <c r="B282" s="1">
        <v>44845</v>
      </c>
      <c r="C282" s="1">
        <v>44893</v>
      </c>
      <c r="D282" t="s">
        <v>7</v>
      </c>
      <c r="E282">
        <v>39</v>
      </c>
      <c r="F282" t="s">
        <v>6</v>
      </c>
      <c r="G282">
        <f t="shared" si="12"/>
        <v>48</v>
      </c>
      <c r="H282" s="1" t="str">
        <f t="shared" si="14"/>
        <v>Tuesday</v>
      </c>
      <c r="J282" s="1">
        <v>45137</v>
      </c>
      <c r="K282">
        <f t="shared" si="13"/>
        <v>6</v>
      </c>
    </row>
    <row r="283" spans="1:11" x14ac:dyDescent="0.3">
      <c r="A283">
        <v>156110000</v>
      </c>
      <c r="B283" s="1">
        <v>44845</v>
      </c>
      <c r="C283" s="1">
        <v>44881</v>
      </c>
      <c r="D283" t="s">
        <v>7</v>
      </c>
      <c r="E283">
        <v>39</v>
      </c>
      <c r="F283" t="s">
        <v>6</v>
      </c>
      <c r="G283">
        <f t="shared" si="12"/>
        <v>36</v>
      </c>
      <c r="H283" s="1" t="str">
        <f t="shared" si="14"/>
        <v>Tuesday</v>
      </c>
      <c r="J283" s="1">
        <v>45158</v>
      </c>
      <c r="K283">
        <f t="shared" si="13"/>
        <v>6</v>
      </c>
    </row>
    <row r="284" spans="1:11" x14ac:dyDescent="0.3">
      <c r="A284">
        <v>157851493</v>
      </c>
      <c r="B284" s="1">
        <v>44846</v>
      </c>
      <c r="C284" s="1">
        <v>45020</v>
      </c>
      <c r="D284" t="s">
        <v>7</v>
      </c>
      <c r="E284">
        <v>39</v>
      </c>
      <c r="F284" t="s">
        <v>6</v>
      </c>
      <c r="G284">
        <f t="shared" si="12"/>
        <v>174</v>
      </c>
      <c r="H284" s="1" t="str">
        <f t="shared" si="14"/>
        <v>Wednesday</v>
      </c>
      <c r="J284" s="1">
        <v>45164</v>
      </c>
      <c r="K284">
        <f t="shared" si="13"/>
        <v>6</v>
      </c>
    </row>
    <row r="285" spans="1:11" x14ac:dyDescent="0.3">
      <c r="A285">
        <v>157792408</v>
      </c>
      <c r="B285" s="1">
        <v>44846</v>
      </c>
      <c r="C285" s="1">
        <v>45087</v>
      </c>
      <c r="D285" t="s">
        <v>7</v>
      </c>
      <c r="E285">
        <v>39</v>
      </c>
      <c r="F285" t="s">
        <v>6</v>
      </c>
      <c r="G285">
        <f t="shared" si="12"/>
        <v>241</v>
      </c>
      <c r="H285" s="1" t="str">
        <f t="shared" si="14"/>
        <v>Wednesday</v>
      </c>
      <c r="J285" s="1">
        <v>45166</v>
      </c>
      <c r="K285">
        <f t="shared" si="13"/>
        <v>6</v>
      </c>
    </row>
    <row r="286" spans="1:11" x14ac:dyDescent="0.3">
      <c r="A286">
        <v>157868778</v>
      </c>
      <c r="B286" s="1">
        <v>44846</v>
      </c>
      <c r="C286" s="1">
        <v>44872</v>
      </c>
      <c r="D286" t="s">
        <v>7</v>
      </c>
      <c r="E286">
        <v>39</v>
      </c>
      <c r="F286" t="s">
        <v>6</v>
      </c>
      <c r="G286">
        <f t="shared" si="12"/>
        <v>26</v>
      </c>
      <c r="H286" s="1" t="str">
        <f t="shared" si="14"/>
        <v>Wednesday</v>
      </c>
      <c r="J286" s="1">
        <v>45170</v>
      </c>
      <c r="K286">
        <f t="shared" si="13"/>
        <v>6</v>
      </c>
    </row>
    <row r="287" spans="1:11" x14ac:dyDescent="0.3">
      <c r="A287">
        <v>157833252</v>
      </c>
      <c r="B287" s="1">
        <v>44846</v>
      </c>
      <c r="C287" s="1">
        <v>44857</v>
      </c>
      <c r="D287" t="s">
        <v>7</v>
      </c>
      <c r="E287">
        <v>39</v>
      </c>
      <c r="F287" t="s">
        <v>6</v>
      </c>
      <c r="G287">
        <f t="shared" si="12"/>
        <v>11</v>
      </c>
      <c r="H287" s="1" t="str">
        <f t="shared" si="14"/>
        <v>Wednesday</v>
      </c>
      <c r="J287" s="1">
        <v>44811</v>
      </c>
      <c r="K287">
        <f t="shared" si="13"/>
        <v>5</v>
      </c>
    </row>
    <row r="288" spans="1:11" x14ac:dyDescent="0.3">
      <c r="A288">
        <v>149662340</v>
      </c>
      <c r="B288" s="1">
        <v>44847</v>
      </c>
      <c r="C288" t="s">
        <v>19</v>
      </c>
      <c r="D288" t="s">
        <v>7</v>
      </c>
      <c r="E288">
        <v>39</v>
      </c>
      <c r="F288" t="s">
        <v>6</v>
      </c>
      <c r="G288" t="str">
        <f t="shared" si="12"/>
        <v>Active</v>
      </c>
      <c r="H288" s="1" t="str">
        <f t="shared" si="14"/>
        <v>Thursday</v>
      </c>
      <c r="J288" s="1">
        <v>44812</v>
      </c>
      <c r="K288">
        <f t="shared" si="13"/>
        <v>5</v>
      </c>
    </row>
    <row r="289" spans="1:11" x14ac:dyDescent="0.3">
      <c r="A289">
        <v>126918448</v>
      </c>
      <c r="B289" s="1">
        <v>44847</v>
      </c>
      <c r="C289" t="s">
        <v>19</v>
      </c>
      <c r="D289" t="s">
        <v>7</v>
      </c>
      <c r="E289">
        <v>39</v>
      </c>
      <c r="F289" t="s">
        <v>6</v>
      </c>
      <c r="G289" t="str">
        <f t="shared" si="12"/>
        <v>Active</v>
      </c>
      <c r="H289" s="1" t="str">
        <f t="shared" si="14"/>
        <v>Thursday</v>
      </c>
      <c r="J289" s="1">
        <v>44833</v>
      </c>
      <c r="K289">
        <f t="shared" si="13"/>
        <v>5</v>
      </c>
    </row>
    <row r="290" spans="1:11" x14ac:dyDescent="0.3">
      <c r="A290">
        <v>136897370</v>
      </c>
      <c r="B290" s="1">
        <v>44847</v>
      </c>
      <c r="C290" s="1">
        <v>44943</v>
      </c>
      <c r="D290" t="s">
        <v>7</v>
      </c>
      <c r="E290">
        <v>39</v>
      </c>
      <c r="F290" t="s">
        <v>6</v>
      </c>
      <c r="G290">
        <f t="shared" si="12"/>
        <v>96</v>
      </c>
      <c r="H290" s="1" t="str">
        <f t="shared" si="14"/>
        <v>Thursday</v>
      </c>
      <c r="J290" s="1">
        <v>44836</v>
      </c>
      <c r="K290">
        <f t="shared" si="13"/>
        <v>5</v>
      </c>
    </row>
    <row r="291" spans="1:11" x14ac:dyDescent="0.3">
      <c r="A291">
        <v>157921307</v>
      </c>
      <c r="B291" s="1">
        <v>44847</v>
      </c>
      <c r="C291" s="1">
        <v>45076</v>
      </c>
      <c r="D291" t="s">
        <v>7</v>
      </c>
      <c r="E291">
        <v>39</v>
      </c>
      <c r="F291" t="s">
        <v>6</v>
      </c>
      <c r="G291">
        <f t="shared" si="12"/>
        <v>229</v>
      </c>
      <c r="H291" s="1" t="str">
        <f t="shared" si="14"/>
        <v>Thursday</v>
      </c>
      <c r="J291" s="1">
        <v>44838</v>
      </c>
      <c r="K291">
        <f t="shared" si="13"/>
        <v>5</v>
      </c>
    </row>
    <row r="292" spans="1:11" x14ac:dyDescent="0.3">
      <c r="A292">
        <v>157905868</v>
      </c>
      <c r="B292" s="1">
        <v>44847</v>
      </c>
      <c r="C292" s="1">
        <v>44963</v>
      </c>
      <c r="D292" t="s">
        <v>7</v>
      </c>
      <c r="E292">
        <v>39</v>
      </c>
      <c r="F292" t="s">
        <v>6</v>
      </c>
      <c r="G292">
        <f t="shared" si="12"/>
        <v>116</v>
      </c>
      <c r="H292" s="1" t="str">
        <f t="shared" si="14"/>
        <v>Thursday</v>
      </c>
      <c r="J292" s="1">
        <v>44841</v>
      </c>
      <c r="K292">
        <f t="shared" si="13"/>
        <v>5</v>
      </c>
    </row>
    <row r="293" spans="1:11" x14ac:dyDescent="0.3">
      <c r="A293">
        <v>152377785</v>
      </c>
      <c r="B293" s="1">
        <v>44847</v>
      </c>
      <c r="C293" s="1">
        <v>44937</v>
      </c>
      <c r="D293" t="s">
        <v>7</v>
      </c>
      <c r="E293">
        <v>39</v>
      </c>
      <c r="F293" t="s">
        <v>6</v>
      </c>
      <c r="G293">
        <f t="shared" si="12"/>
        <v>90</v>
      </c>
      <c r="H293" s="1" t="str">
        <f t="shared" si="14"/>
        <v>Thursday</v>
      </c>
      <c r="J293" s="1">
        <v>44842</v>
      </c>
      <c r="K293">
        <f t="shared" si="13"/>
        <v>5</v>
      </c>
    </row>
    <row r="294" spans="1:11" x14ac:dyDescent="0.3">
      <c r="A294">
        <v>157567612</v>
      </c>
      <c r="B294" s="1">
        <v>44847</v>
      </c>
      <c r="C294" s="1">
        <v>44868</v>
      </c>
      <c r="D294" t="s">
        <v>7</v>
      </c>
      <c r="E294">
        <v>39</v>
      </c>
      <c r="F294" t="s">
        <v>6</v>
      </c>
      <c r="G294">
        <f t="shared" si="12"/>
        <v>21</v>
      </c>
      <c r="H294" s="1" t="str">
        <f t="shared" si="14"/>
        <v>Thursday</v>
      </c>
      <c r="J294" s="1">
        <v>44853</v>
      </c>
      <c r="K294">
        <f t="shared" si="13"/>
        <v>5</v>
      </c>
    </row>
    <row r="295" spans="1:11" x14ac:dyDescent="0.3">
      <c r="A295">
        <v>157993772</v>
      </c>
      <c r="B295" s="1">
        <v>44849</v>
      </c>
      <c r="C295" s="1">
        <v>44849</v>
      </c>
      <c r="D295" t="s">
        <v>8</v>
      </c>
      <c r="E295">
        <v>39</v>
      </c>
      <c r="F295" t="s">
        <v>6</v>
      </c>
      <c r="G295">
        <f t="shared" si="12"/>
        <v>0</v>
      </c>
      <c r="H295" s="1" t="str">
        <f t="shared" si="14"/>
        <v>Saturday</v>
      </c>
      <c r="J295" s="1">
        <v>44858</v>
      </c>
      <c r="K295">
        <f t="shared" si="13"/>
        <v>5</v>
      </c>
    </row>
    <row r="296" spans="1:11" x14ac:dyDescent="0.3">
      <c r="A296">
        <v>148769034</v>
      </c>
      <c r="B296" s="1">
        <v>44849</v>
      </c>
      <c r="C296" s="1">
        <v>44998</v>
      </c>
      <c r="D296" t="s">
        <v>7</v>
      </c>
      <c r="E296">
        <v>39</v>
      </c>
      <c r="F296" t="s">
        <v>6</v>
      </c>
      <c r="G296">
        <f t="shared" si="12"/>
        <v>149</v>
      </c>
      <c r="H296" s="1" t="str">
        <f t="shared" si="14"/>
        <v>Saturday</v>
      </c>
      <c r="J296" s="1">
        <v>44863</v>
      </c>
      <c r="K296">
        <f t="shared" si="13"/>
        <v>5</v>
      </c>
    </row>
    <row r="297" spans="1:11" x14ac:dyDescent="0.3">
      <c r="A297">
        <v>158050283</v>
      </c>
      <c r="B297" s="1">
        <v>44849</v>
      </c>
      <c r="C297" s="1">
        <v>45114</v>
      </c>
      <c r="D297" t="s">
        <v>7</v>
      </c>
      <c r="E297">
        <v>39</v>
      </c>
      <c r="F297" t="s">
        <v>6</v>
      </c>
      <c r="G297">
        <f t="shared" si="12"/>
        <v>265</v>
      </c>
      <c r="H297" s="1" t="str">
        <f t="shared" si="14"/>
        <v>Saturday</v>
      </c>
      <c r="J297" s="1">
        <v>44864</v>
      </c>
      <c r="K297">
        <f t="shared" si="13"/>
        <v>5</v>
      </c>
    </row>
    <row r="298" spans="1:11" x14ac:dyDescent="0.3">
      <c r="A298">
        <v>157436507</v>
      </c>
      <c r="B298" s="1">
        <v>44850</v>
      </c>
      <c r="C298" t="s">
        <v>19</v>
      </c>
      <c r="D298" t="s">
        <v>7</v>
      </c>
      <c r="E298">
        <v>39</v>
      </c>
      <c r="F298" t="s">
        <v>6</v>
      </c>
      <c r="G298" t="str">
        <f t="shared" si="12"/>
        <v>Active</v>
      </c>
      <c r="H298" s="1" t="str">
        <f t="shared" si="14"/>
        <v>Sunday</v>
      </c>
      <c r="J298" s="1">
        <v>44877</v>
      </c>
      <c r="K298">
        <f t="shared" si="13"/>
        <v>5</v>
      </c>
    </row>
    <row r="299" spans="1:11" x14ac:dyDescent="0.3">
      <c r="A299">
        <v>123808301</v>
      </c>
      <c r="B299" s="1">
        <v>44850</v>
      </c>
      <c r="C299" s="1">
        <v>44861</v>
      </c>
      <c r="D299" t="s">
        <v>7</v>
      </c>
      <c r="E299">
        <v>39</v>
      </c>
      <c r="F299" t="s">
        <v>6</v>
      </c>
      <c r="G299">
        <f t="shared" si="12"/>
        <v>11</v>
      </c>
      <c r="H299" s="1" t="str">
        <f t="shared" si="14"/>
        <v>Sunday</v>
      </c>
      <c r="J299" s="1">
        <v>44908</v>
      </c>
      <c r="K299">
        <f t="shared" si="13"/>
        <v>5</v>
      </c>
    </row>
    <row r="300" spans="1:11" x14ac:dyDescent="0.3">
      <c r="A300">
        <v>158033452</v>
      </c>
      <c r="B300" s="1">
        <v>44850</v>
      </c>
      <c r="C300" s="1">
        <v>44987</v>
      </c>
      <c r="D300" t="s">
        <v>7</v>
      </c>
      <c r="E300">
        <v>39</v>
      </c>
      <c r="F300" t="s">
        <v>6</v>
      </c>
      <c r="G300">
        <f t="shared" si="12"/>
        <v>137</v>
      </c>
      <c r="H300" s="1" t="str">
        <f t="shared" si="14"/>
        <v>Sunday</v>
      </c>
      <c r="J300" s="1">
        <v>44912</v>
      </c>
      <c r="K300">
        <f t="shared" si="13"/>
        <v>5</v>
      </c>
    </row>
    <row r="301" spans="1:11" x14ac:dyDescent="0.3">
      <c r="A301">
        <v>156796659</v>
      </c>
      <c r="B301" s="1">
        <v>44850</v>
      </c>
      <c r="C301" s="1">
        <v>44994</v>
      </c>
      <c r="D301" t="s">
        <v>7</v>
      </c>
      <c r="E301">
        <v>39</v>
      </c>
      <c r="F301" t="s">
        <v>6</v>
      </c>
      <c r="G301">
        <f t="shared" si="12"/>
        <v>144</v>
      </c>
      <c r="H301" s="1" t="str">
        <f t="shared" si="14"/>
        <v>Sunday</v>
      </c>
      <c r="J301" s="1">
        <v>44923</v>
      </c>
      <c r="K301">
        <f t="shared" si="13"/>
        <v>5</v>
      </c>
    </row>
    <row r="302" spans="1:11" x14ac:dyDescent="0.3">
      <c r="A302">
        <v>158093021</v>
      </c>
      <c r="B302" s="1">
        <v>44850</v>
      </c>
      <c r="C302" s="1">
        <v>44922</v>
      </c>
      <c r="D302" t="s">
        <v>7</v>
      </c>
      <c r="E302">
        <v>39</v>
      </c>
      <c r="F302" t="s">
        <v>6</v>
      </c>
      <c r="G302">
        <f t="shared" si="12"/>
        <v>72</v>
      </c>
      <c r="H302" s="1" t="str">
        <f t="shared" si="14"/>
        <v>Sunday</v>
      </c>
      <c r="J302" s="1">
        <v>44933</v>
      </c>
      <c r="K302">
        <f t="shared" si="13"/>
        <v>5</v>
      </c>
    </row>
    <row r="303" spans="1:11" x14ac:dyDescent="0.3">
      <c r="A303">
        <v>157900412</v>
      </c>
      <c r="B303" s="1">
        <v>44850</v>
      </c>
      <c r="C303" s="1">
        <v>44874</v>
      </c>
      <c r="D303" t="s">
        <v>7</v>
      </c>
      <c r="E303">
        <v>39</v>
      </c>
      <c r="F303" t="s">
        <v>6</v>
      </c>
      <c r="G303">
        <f t="shared" si="12"/>
        <v>24</v>
      </c>
      <c r="H303" s="1" t="str">
        <f t="shared" si="14"/>
        <v>Sunday</v>
      </c>
      <c r="J303" s="1">
        <v>44954</v>
      </c>
      <c r="K303">
        <f t="shared" si="13"/>
        <v>5</v>
      </c>
    </row>
    <row r="304" spans="1:11" x14ac:dyDescent="0.3">
      <c r="A304">
        <v>152892719</v>
      </c>
      <c r="B304" s="1">
        <v>44850</v>
      </c>
      <c r="C304" s="1">
        <v>44850</v>
      </c>
      <c r="D304" t="s">
        <v>7</v>
      </c>
      <c r="E304">
        <v>39</v>
      </c>
      <c r="F304" t="s">
        <v>6</v>
      </c>
      <c r="G304">
        <f t="shared" si="12"/>
        <v>0</v>
      </c>
      <c r="H304" s="1" t="str">
        <f t="shared" si="14"/>
        <v>Sunday</v>
      </c>
      <c r="J304" s="1">
        <v>44968</v>
      </c>
      <c r="K304">
        <f t="shared" si="13"/>
        <v>5</v>
      </c>
    </row>
    <row r="305" spans="1:12" x14ac:dyDescent="0.3">
      <c r="A305">
        <v>158009130</v>
      </c>
      <c r="B305" s="1">
        <v>44851</v>
      </c>
      <c r="C305" t="s">
        <v>19</v>
      </c>
      <c r="D305" t="s">
        <v>7</v>
      </c>
      <c r="E305">
        <v>39</v>
      </c>
      <c r="F305" t="s">
        <v>6</v>
      </c>
      <c r="G305" t="str">
        <f t="shared" si="12"/>
        <v>Active</v>
      </c>
      <c r="H305" s="1" t="str">
        <f t="shared" si="14"/>
        <v>Monday</v>
      </c>
      <c r="J305" s="1">
        <v>44972</v>
      </c>
      <c r="K305">
        <f t="shared" si="13"/>
        <v>5</v>
      </c>
    </row>
    <row r="306" spans="1:12" x14ac:dyDescent="0.3">
      <c r="A306">
        <v>157904656</v>
      </c>
      <c r="B306" s="1">
        <v>44851</v>
      </c>
      <c r="C306" s="1">
        <v>44910</v>
      </c>
      <c r="D306" t="s">
        <v>7</v>
      </c>
      <c r="E306">
        <v>39</v>
      </c>
      <c r="F306" t="s">
        <v>6</v>
      </c>
      <c r="G306">
        <f t="shared" si="12"/>
        <v>59</v>
      </c>
      <c r="H306" s="1" t="str">
        <f t="shared" si="14"/>
        <v>Monday</v>
      </c>
      <c r="J306" s="1">
        <v>44993</v>
      </c>
      <c r="K306">
        <f t="shared" si="13"/>
        <v>5</v>
      </c>
    </row>
    <row r="307" spans="1:12" x14ac:dyDescent="0.3">
      <c r="A307">
        <v>157838980</v>
      </c>
      <c r="B307" s="1">
        <v>44851</v>
      </c>
      <c r="C307" s="1">
        <v>44973</v>
      </c>
      <c r="D307" t="s">
        <v>7</v>
      </c>
      <c r="E307">
        <v>39</v>
      </c>
      <c r="F307" t="s">
        <v>6</v>
      </c>
      <c r="G307">
        <f t="shared" si="12"/>
        <v>122</v>
      </c>
      <c r="H307" s="1" t="str">
        <f t="shared" si="14"/>
        <v>Monday</v>
      </c>
      <c r="J307" s="1">
        <v>45023</v>
      </c>
      <c r="K307">
        <f t="shared" si="13"/>
        <v>5</v>
      </c>
    </row>
    <row r="308" spans="1:12" x14ac:dyDescent="0.3">
      <c r="A308">
        <v>123402996</v>
      </c>
      <c r="B308" s="1">
        <v>44851</v>
      </c>
      <c r="C308" s="1">
        <v>44930</v>
      </c>
      <c r="D308" t="s">
        <v>7</v>
      </c>
      <c r="E308">
        <v>39</v>
      </c>
      <c r="F308" t="s">
        <v>6</v>
      </c>
      <c r="G308">
        <f t="shared" si="12"/>
        <v>79</v>
      </c>
      <c r="H308" s="1" t="str">
        <f t="shared" si="14"/>
        <v>Monday</v>
      </c>
      <c r="J308" s="1">
        <v>45031</v>
      </c>
      <c r="K308">
        <f t="shared" si="13"/>
        <v>5</v>
      </c>
    </row>
    <row r="309" spans="1:12" x14ac:dyDescent="0.3">
      <c r="A309">
        <v>158112356</v>
      </c>
      <c r="B309" s="1">
        <v>44851</v>
      </c>
      <c r="C309" s="1">
        <v>44925</v>
      </c>
      <c r="D309" t="s">
        <v>7</v>
      </c>
      <c r="E309">
        <v>39</v>
      </c>
      <c r="F309" t="s">
        <v>6</v>
      </c>
      <c r="G309">
        <f t="shared" si="12"/>
        <v>74</v>
      </c>
      <c r="H309" s="1" t="str">
        <f t="shared" si="14"/>
        <v>Monday</v>
      </c>
      <c r="J309" s="1">
        <v>45038</v>
      </c>
      <c r="K309">
        <f t="shared" si="13"/>
        <v>5</v>
      </c>
    </row>
    <row r="310" spans="1:12" x14ac:dyDescent="0.3">
      <c r="A310">
        <v>152410420</v>
      </c>
      <c r="B310" s="1">
        <v>44851</v>
      </c>
      <c r="C310" s="1">
        <v>44883</v>
      </c>
      <c r="D310" t="s">
        <v>7</v>
      </c>
      <c r="E310">
        <v>39</v>
      </c>
      <c r="F310" t="s">
        <v>6</v>
      </c>
      <c r="G310">
        <f t="shared" si="12"/>
        <v>32</v>
      </c>
      <c r="H310" s="1" t="str">
        <f t="shared" si="14"/>
        <v>Monday</v>
      </c>
      <c r="J310" s="1">
        <v>45075</v>
      </c>
      <c r="K310">
        <f t="shared" si="13"/>
        <v>5</v>
      </c>
    </row>
    <row r="311" spans="1:12" x14ac:dyDescent="0.3">
      <c r="A311">
        <v>158164441</v>
      </c>
      <c r="B311" s="1">
        <v>44851</v>
      </c>
      <c r="C311" s="1">
        <v>44882</v>
      </c>
      <c r="D311" t="s">
        <v>7</v>
      </c>
      <c r="E311">
        <v>39</v>
      </c>
      <c r="F311" t="s">
        <v>6</v>
      </c>
      <c r="G311">
        <f t="shared" si="12"/>
        <v>31</v>
      </c>
      <c r="H311" s="1" t="str">
        <f t="shared" si="14"/>
        <v>Monday</v>
      </c>
      <c r="J311" s="1">
        <v>45102</v>
      </c>
      <c r="K311">
        <f t="shared" si="13"/>
        <v>5</v>
      </c>
    </row>
    <row r="312" spans="1:12" x14ac:dyDescent="0.3">
      <c r="A312">
        <v>153956466</v>
      </c>
      <c r="B312" s="1">
        <v>44851</v>
      </c>
      <c r="C312" s="1">
        <v>44882</v>
      </c>
      <c r="D312" t="s">
        <v>7</v>
      </c>
      <c r="E312">
        <v>39</v>
      </c>
      <c r="F312" t="s">
        <v>6</v>
      </c>
      <c r="G312">
        <f t="shared" si="12"/>
        <v>31</v>
      </c>
      <c r="H312" s="1" t="str">
        <f t="shared" si="14"/>
        <v>Monday</v>
      </c>
      <c r="J312" s="1">
        <v>45130</v>
      </c>
      <c r="K312">
        <f t="shared" si="13"/>
        <v>5</v>
      </c>
    </row>
    <row r="313" spans="1:12" x14ac:dyDescent="0.3">
      <c r="A313">
        <v>158100990</v>
      </c>
      <c r="B313" s="1">
        <v>44851</v>
      </c>
      <c r="C313" s="1">
        <v>44879</v>
      </c>
      <c r="D313" t="s">
        <v>7</v>
      </c>
      <c r="E313">
        <v>39</v>
      </c>
      <c r="F313" t="s">
        <v>6</v>
      </c>
      <c r="G313">
        <f t="shared" si="12"/>
        <v>28</v>
      </c>
      <c r="H313" s="1" t="str">
        <f t="shared" si="14"/>
        <v>Monday</v>
      </c>
      <c r="J313" s="1">
        <v>45136</v>
      </c>
      <c r="K313">
        <f t="shared" si="13"/>
        <v>5</v>
      </c>
    </row>
    <row r="314" spans="1:12" x14ac:dyDescent="0.3">
      <c r="A314">
        <v>158096894</v>
      </c>
      <c r="B314" s="1">
        <v>44851</v>
      </c>
      <c r="C314" s="1">
        <v>44879</v>
      </c>
      <c r="D314" t="s">
        <v>7</v>
      </c>
      <c r="E314">
        <v>39</v>
      </c>
      <c r="F314" t="s">
        <v>6</v>
      </c>
      <c r="G314">
        <f t="shared" si="12"/>
        <v>28</v>
      </c>
      <c r="H314" s="1" t="str">
        <f t="shared" si="14"/>
        <v>Monday</v>
      </c>
      <c r="J314" s="1">
        <v>45144</v>
      </c>
      <c r="K314">
        <f t="shared" si="13"/>
        <v>5</v>
      </c>
    </row>
    <row r="315" spans="1:12" x14ac:dyDescent="0.3">
      <c r="A315">
        <v>158066376</v>
      </c>
      <c r="B315" s="1">
        <v>44851</v>
      </c>
      <c r="C315" s="1">
        <v>44873</v>
      </c>
      <c r="D315" t="s">
        <v>7</v>
      </c>
      <c r="E315">
        <v>39</v>
      </c>
      <c r="F315" t="s">
        <v>6</v>
      </c>
      <c r="G315">
        <f t="shared" si="12"/>
        <v>22</v>
      </c>
      <c r="H315" s="1" t="str">
        <f t="shared" si="14"/>
        <v>Monday</v>
      </c>
      <c r="J315" s="1">
        <v>45145</v>
      </c>
      <c r="K315">
        <f t="shared" si="13"/>
        <v>5</v>
      </c>
    </row>
    <row r="316" spans="1:12" x14ac:dyDescent="0.3">
      <c r="A316">
        <v>158220808</v>
      </c>
      <c r="B316" s="1">
        <v>44852</v>
      </c>
      <c r="C316" t="s">
        <v>19</v>
      </c>
      <c r="D316" t="s">
        <v>8</v>
      </c>
      <c r="E316">
        <v>39</v>
      </c>
      <c r="F316" t="s">
        <v>6</v>
      </c>
      <c r="G316" t="str">
        <f t="shared" si="12"/>
        <v>Active</v>
      </c>
      <c r="H316" s="1" t="str">
        <f t="shared" si="14"/>
        <v>Tuesday</v>
      </c>
      <c r="J316" s="1">
        <v>45148</v>
      </c>
      <c r="K316">
        <f t="shared" si="13"/>
        <v>5</v>
      </c>
    </row>
    <row r="317" spans="1:12" x14ac:dyDescent="0.3">
      <c r="A317">
        <v>131779624</v>
      </c>
      <c r="B317" s="1">
        <v>44852</v>
      </c>
      <c r="C317" s="1">
        <v>44890</v>
      </c>
      <c r="D317" t="s">
        <v>7</v>
      </c>
      <c r="E317">
        <v>39</v>
      </c>
      <c r="F317" t="s">
        <v>6</v>
      </c>
      <c r="G317">
        <f t="shared" si="12"/>
        <v>38</v>
      </c>
      <c r="H317" s="1" t="str">
        <f t="shared" si="14"/>
        <v>Tuesday</v>
      </c>
      <c r="J317" s="1">
        <v>45171</v>
      </c>
      <c r="K317">
        <f t="shared" si="13"/>
        <v>5</v>
      </c>
    </row>
    <row r="318" spans="1:12" x14ac:dyDescent="0.3">
      <c r="A318">
        <v>158267390</v>
      </c>
      <c r="B318" s="1">
        <v>44852</v>
      </c>
      <c r="C318" s="1">
        <v>44920</v>
      </c>
      <c r="D318" t="s">
        <v>7</v>
      </c>
      <c r="E318">
        <v>39</v>
      </c>
      <c r="F318" t="s">
        <v>6</v>
      </c>
      <c r="G318">
        <f t="shared" si="12"/>
        <v>68</v>
      </c>
      <c r="H318" s="1" t="str">
        <f t="shared" si="14"/>
        <v>Tuesday</v>
      </c>
      <c r="J318" s="1">
        <v>44816</v>
      </c>
      <c r="K318">
        <f t="shared" si="13"/>
        <v>4</v>
      </c>
    </row>
    <row r="319" spans="1:12" x14ac:dyDescent="0.3">
      <c r="A319">
        <v>152354478</v>
      </c>
      <c r="B319" s="1">
        <v>44852</v>
      </c>
      <c r="C319" s="1">
        <v>44959</v>
      </c>
      <c r="D319" t="s">
        <v>7</v>
      </c>
      <c r="E319">
        <v>39</v>
      </c>
      <c r="F319" t="s">
        <v>6</v>
      </c>
      <c r="G319">
        <f t="shared" si="12"/>
        <v>107</v>
      </c>
      <c r="H319" s="1" t="str">
        <f t="shared" si="14"/>
        <v>Tuesday</v>
      </c>
      <c r="J319" s="1">
        <v>44818</v>
      </c>
      <c r="K319">
        <f t="shared" si="13"/>
        <v>4</v>
      </c>
      <c r="L319" s="9"/>
    </row>
    <row r="320" spans="1:12" x14ac:dyDescent="0.3">
      <c r="A320">
        <v>146376235</v>
      </c>
      <c r="B320" s="1">
        <v>44852</v>
      </c>
      <c r="C320" s="1">
        <v>44902</v>
      </c>
      <c r="D320" t="s">
        <v>7</v>
      </c>
      <c r="E320">
        <v>39</v>
      </c>
      <c r="F320" t="s">
        <v>6</v>
      </c>
      <c r="G320">
        <f t="shared" si="12"/>
        <v>50</v>
      </c>
      <c r="H320" s="1" t="str">
        <f t="shared" si="14"/>
        <v>Tuesday</v>
      </c>
      <c r="J320" s="1">
        <v>44821</v>
      </c>
      <c r="K320">
        <f t="shared" si="13"/>
        <v>4</v>
      </c>
    </row>
    <row r="321" spans="1:11" x14ac:dyDescent="0.3">
      <c r="A321">
        <v>153953296</v>
      </c>
      <c r="B321" s="1">
        <v>44852</v>
      </c>
      <c r="C321" s="1">
        <v>44867</v>
      </c>
      <c r="D321" t="s">
        <v>7</v>
      </c>
      <c r="E321">
        <v>39</v>
      </c>
      <c r="F321" t="s">
        <v>6</v>
      </c>
      <c r="G321">
        <f t="shared" si="12"/>
        <v>15</v>
      </c>
      <c r="H321" s="1" t="str">
        <f t="shared" si="14"/>
        <v>Tuesday</v>
      </c>
      <c r="J321" s="1">
        <v>44825</v>
      </c>
      <c r="K321">
        <f t="shared" si="13"/>
        <v>4</v>
      </c>
    </row>
    <row r="322" spans="1:11" x14ac:dyDescent="0.3">
      <c r="A322">
        <v>154659594</v>
      </c>
      <c r="B322" s="1">
        <v>44852</v>
      </c>
      <c r="C322" s="1">
        <v>44879</v>
      </c>
      <c r="D322" t="s">
        <v>7</v>
      </c>
      <c r="E322">
        <v>39</v>
      </c>
      <c r="F322" t="s">
        <v>6</v>
      </c>
      <c r="G322">
        <f t="shared" ref="G322:G385" si="15">IF(C322="Active","Active",C322-B322)</f>
        <v>27</v>
      </c>
      <c r="H322" s="1" t="str">
        <f t="shared" si="14"/>
        <v>Tuesday</v>
      </c>
      <c r="J322" s="1">
        <v>44831</v>
      </c>
      <c r="K322">
        <f t="shared" ref="K322:K371" si="16">COUNTIF($B$2:$B$3070,J322)</f>
        <v>4</v>
      </c>
    </row>
    <row r="323" spans="1:11" x14ac:dyDescent="0.3">
      <c r="A323">
        <v>157998778</v>
      </c>
      <c r="B323" s="1">
        <v>44852</v>
      </c>
      <c r="C323" s="1">
        <v>44890</v>
      </c>
      <c r="D323" t="s">
        <v>7</v>
      </c>
      <c r="E323">
        <v>39</v>
      </c>
      <c r="F323" t="s">
        <v>6</v>
      </c>
      <c r="G323">
        <f t="shared" si="15"/>
        <v>38</v>
      </c>
      <c r="H323" s="1" t="str">
        <f t="shared" ref="H323:H386" si="17">TEXT(B323,"dddd")</f>
        <v>Tuesday</v>
      </c>
      <c r="J323" s="1">
        <v>44843</v>
      </c>
      <c r="K323">
        <f t="shared" si="16"/>
        <v>4</v>
      </c>
    </row>
    <row r="324" spans="1:11" x14ac:dyDescent="0.3">
      <c r="A324">
        <v>150668840</v>
      </c>
      <c r="B324" s="1">
        <v>44852</v>
      </c>
      <c r="C324" s="1">
        <v>44866</v>
      </c>
      <c r="D324" t="s">
        <v>7</v>
      </c>
      <c r="E324">
        <v>39</v>
      </c>
      <c r="F324" t="s">
        <v>6</v>
      </c>
      <c r="G324">
        <f t="shared" si="15"/>
        <v>14</v>
      </c>
      <c r="H324" s="1" t="str">
        <f t="shared" si="17"/>
        <v>Tuesday</v>
      </c>
      <c r="J324" s="1">
        <v>44846</v>
      </c>
      <c r="K324">
        <f t="shared" si="16"/>
        <v>4</v>
      </c>
    </row>
    <row r="325" spans="1:11" x14ac:dyDescent="0.3">
      <c r="A325">
        <v>158184958</v>
      </c>
      <c r="B325" s="1">
        <v>44852</v>
      </c>
      <c r="C325" s="1">
        <v>44867</v>
      </c>
      <c r="D325" t="s">
        <v>7</v>
      </c>
      <c r="E325">
        <v>39</v>
      </c>
      <c r="F325" t="s">
        <v>6</v>
      </c>
      <c r="G325">
        <f t="shared" si="15"/>
        <v>15</v>
      </c>
      <c r="H325" s="1" t="str">
        <f t="shared" si="17"/>
        <v>Tuesday</v>
      </c>
      <c r="J325" s="1">
        <v>44875</v>
      </c>
      <c r="K325">
        <f t="shared" si="16"/>
        <v>4</v>
      </c>
    </row>
    <row r="326" spans="1:11" x14ac:dyDescent="0.3">
      <c r="A326">
        <v>158362440</v>
      </c>
      <c r="B326" s="1">
        <v>44853</v>
      </c>
      <c r="C326" s="1">
        <v>45065</v>
      </c>
      <c r="D326" t="s">
        <v>7</v>
      </c>
      <c r="E326">
        <v>39</v>
      </c>
      <c r="F326" t="s">
        <v>6</v>
      </c>
      <c r="G326">
        <f t="shared" si="15"/>
        <v>212</v>
      </c>
      <c r="H326" s="1" t="str">
        <f t="shared" si="17"/>
        <v>Wednesday</v>
      </c>
      <c r="J326" s="1">
        <v>44886</v>
      </c>
      <c r="K326">
        <f t="shared" si="16"/>
        <v>4</v>
      </c>
    </row>
    <row r="327" spans="1:11" x14ac:dyDescent="0.3">
      <c r="A327">
        <v>158477370</v>
      </c>
      <c r="B327" s="1">
        <v>44853</v>
      </c>
      <c r="C327" s="1">
        <v>44978</v>
      </c>
      <c r="D327" t="s">
        <v>7</v>
      </c>
      <c r="E327">
        <v>39</v>
      </c>
      <c r="F327" t="s">
        <v>6</v>
      </c>
      <c r="G327">
        <f t="shared" si="15"/>
        <v>125</v>
      </c>
      <c r="H327" s="1" t="str">
        <f t="shared" si="17"/>
        <v>Wednesday</v>
      </c>
      <c r="J327" s="1">
        <v>44887</v>
      </c>
      <c r="K327">
        <f t="shared" si="16"/>
        <v>4</v>
      </c>
    </row>
    <row r="328" spans="1:11" x14ac:dyDescent="0.3">
      <c r="A328">
        <v>158047538</v>
      </c>
      <c r="B328" s="1">
        <v>44853</v>
      </c>
      <c r="C328" s="1">
        <v>44948</v>
      </c>
      <c r="D328" t="s">
        <v>7</v>
      </c>
      <c r="E328">
        <v>39</v>
      </c>
      <c r="F328" t="s">
        <v>6</v>
      </c>
      <c r="G328">
        <f t="shared" si="15"/>
        <v>95</v>
      </c>
      <c r="H328" s="1" t="str">
        <f t="shared" si="17"/>
        <v>Wednesday</v>
      </c>
      <c r="J328" s="1">
        <v>44891</v>
      </c>
      <c r="K328">
        <f t="shared" si="16"/>
        <v>4</v>
      </c>
    </row>
    <row r="329" spans="1:11" x14ac:dyDescent="0.3">
      <c r="A329">
        <v>157910445</v>
      </c>
      <c r="B329" s="1">
        <v>44853</v>
      </c>
      <c r="C329" s="1">
        <v>44941</v>
      </c>
      <c r="D329" t="s">
        <v>7</v>
      </c>
      <c r="E329">
        <v>39</v>
      </c>
      <c r="F329" t="s">
        <v>6</v>
      </c>
      <c r="G329">
        <f t="shared" si="15"/>
        <v>88</v>
      </c>
      <c r="H329" s="1" t="str">
        <f t="shared" si="17"/>
        <v>Wednesday</v>
      </c>
      <c r="J329" s="1">
        <v>44905</v>
      </c>
      <c r="K329">
        <f t="shared" si="16"/>
        <v>4</v>
      </c>
    </row>
    <row r="330" spans="1:11" x14ac:dyDescent="0.3">
      <c r="A330">
        <v>154091460</v>
      </c>
      <c r="B330" s="1">
        <v>44853</v>
      </c>
      <c r="C330" s="1">
        <v>45098</v>
      </c>
      <c r="D330" t="s">
        <v>7</v>
      </c>
      <c r="E330">
        <v>39</v>
      </c>
      <c r="F330" t="s">
        <v>6</v>
      </c>
      <c r="G330">
        <f t="shared" si="15"/>
        <v>245</v>
      </c>
      <c r="H330" s="1" t="str">
        <f t="shared" si="17"/>
        <v>Wednesday</v>
      </c>
      <c r="J330" s="1">
        <v>44918</v>
      </c>
      <c r="K330">
        <f t="shared" si="16"/>
        <v>4</v>
      </c>
    </row>
    <row r="331" spans="1:11" x14ac:dyDescent="0.3">
      <c r="A331">
        <v>158532103</v>
      </c>
      <c r="B331" s="1">
        <v>44854</v>
      </c>
      <c r="C331" s="1">
        <v>45059</v>
      </c>
      <c r="D331" t="s">
        <v>7</v>
      </c>
      <c r="E331">
        <v>39</v>
      </c>
      <c r="F331" t="s">
        <v>6</v>
      </c>
      <c r="G331">
        <f t="shared" si="15"/>
        <v>205</v>
      </c>
      <c r="H331" s="1" t="str">
        <f t="shared" si="17"/>
        <v>Thursday</v>
      </c>
      <c r="J331" s="1">
        <v>44948</v>
      </c>
      <c r="K331">
        <f t="shared" si="16"/>
        <v>4</v>
      </c>
    </row>
    <row r="332" spans="1:11" x14ac:dyDescent="0.3">
      <c r="A332">
        <v>158591698</v>
      </c>
      <c r="B332" s="1">
        <v>44854</v>
      </c>
      <c r="C332" s="1">
        <v>45002</v>
      </c>
      <c r="D332" t="s">
        <v>7</v>
      </c>
      <c r="E332">
        <v>39</v>
      </c>
      <c r="F332" t="s">
        <v>6</v>
      </c>
      <c r="G332">
        <f t="shared" si="15"/>
        <v>148</v>
      </c>
      <c r="H332" s="1" t="str">
        <f t="shared" si="17"/>
        <v>Thursday</v>
      </c>
      <c r="J332" s="1">
        <v>44992</v>
      </c>
      <c r="K332">
        <f t="shared" si="16"/>
        <v>4</v>
      </c>
    </row>
    <row r="333" spans="1:11" x14ac:dyDescent="0.3">
      <c r="A333">
        <v>158533909</v>
      </c>
      <c r="B333" s="1">
        <v>44854</v>
      </c>
      <c r="C333" s="1">
        <v>44953</v>
      </c>
      <c r="D333" t="s">
        <v>7</v>
      </c>
      <c r="E333">
        <v>39</v>
      </c>
      <c r="F333" t="s">
        <v>6</v>
      </c>
      <c r="G333">
        <f t="shared" si="15"/>
        <v>99</v>
      </c>
      <c r="H333" s="1" t="str">
        <f t="shared" si="17"/>
        <v>Thursday</v>
      </c>
      <c r="J333" s="1">
        <v>45039</v>
      </c>
      <c r="K333">
        <f t="shared" si="16"/>
        <v>4</v>
      </c>
    </row>
    <row r="334" spans="1:11" x14ac:dyDescent="0.3">
      <c r="A334">
        <v>156372496</v>
      </c>
      <c r="B334" s="1">
        <v>44854</v>
      </c>
      <c r="C334" s="1">
        <v>44910</v>
      </c>
      <c r="D334" t="s">
        <v>7</v>
      </c>
      <c r="E334">
        <v>39</v>
      </c>
      <c r="F334" t="s">
        <v>6</v>
      </c>
      <c r="G334">
        <f t="shared" si="15"/>
        <v>56</v>
      </c>
      <c r="H334" s="1" t="str">
        <f t="shared" si="17"/>
        <v>Thursday</v>
      </c>
      <c r="J334" s="1">
        <v>45041</v>
      </c>
      <c r="K334">
        <f t="shared" si="16"/>
        <v>4</v>
      </c>
    </row>
    <row r="335" spans="1:11" x14ac:dyDescent="0.3">
      <c r="A335">
        <v>158620475</v>
      </c>
      <c r="B335" s="1">
        <v>44854</v>
      </c>
      <c r="C335" s="1">
        <v>45135</v>
      </c>
      <c r="D335" t="s">
        <v>7</v>
      </c>
      <c r="E335">
        <v>39</v>
      </c>
      <c r="F335" t="s">
        <v>6</v>
      </c>
      <c r="G335">
        <f t="shared" si="15"/>
        <v>281</v>
      </c>
      <c r="H335" s="1" t="str">
        <f t="shared" si="17"/>
        <v>Thursday</v>
      </c>
      <c r="J335" s="1">
        <v>45061</v>
      </c>
      <c r="K335">
        <f t="shared" si="16"/>
        <v>4</v>
      </c>
    </row>
    <row r="336" spans="1:11" x14ac:dyDescent="0.3">
      <c r="A336">
        <v>158539824</v>
      </c>
      <c r="B336" s="1">
        <v>44854</v>
      </c>
      <c r="C336" s="1">
        <v>45097</v>
      </c>
      <c r="D336" t="s">
        <v>7</v>
      </c>
      <c r="E336">
        <v>39</v>
      </c>
      <c r="F336" t="s">
        <v>6</v>
      </c>
      <c r="G336">
        <f t="shared" si="15"/>
        <v>243</v>
      </c>
      <c r="H336" s="1" t="str">
        <f t="shared" si="17"/>
        <v>Thursday</v>
      </c>
      <c r="J336" s="1">
        <v>45070</v>
      </c>
      <c r="K336">
        <f t="shared" si="16"/>
        <v>4</v>
      </c>
    </row>
    <row r="337" spans="1:11" x14ac:dyDescent="0.3">
      <c r="A337">
        <v>158499042</v>
      </c>
      <c r="B337" s="1">
        <v>44855</v>
      </c>
      <c r="C337" t="s">
        <v>19</v>
      </c>
      <c r="D337" t="s">
        <v>7</v>
      </c>
      <c r="E337">
        <v>39</v>
      </c>
      <c r="F337" t="s">
        <v>6</v>
      </c>
      <c r="G337" t="str">
        <f t="shared" si="15"/>
        <v>Active</v>
      </c>
      <c r="H337" s="1" t="str">
        <f t="shared" si="17"/>
        <v>Friday</v>
      </c>
      <c r="J337" s="1">
        <v>45088</v>
      </c>
      <c r="K337">
        <f t="shared" si="16"/>
        <v>4</v>
      </c>
    </row>
    <row r="338" spans="1:11" x14ac:dyDescent="0.3">
      <c r="A338">
        <v>158755464</v>
      </c>
      <c r="B338" s="1">
        <v>44855</v>
      </c>
      <c r="C338" s="1">
        <v>44893</v>
      </c>
      <c r="D338" t="s">
        <v>7</v>
      </c>
      <c r="E338">
        <v>39</v>
      </c>
      <c r="F338" t="s">
        <v>6</v>
      </c>
      <c r="G338">
        <f t="shared" si="15"/>
        <v>38</v>
      </c>
      <c r="H338" s="1" t="str">
        <f t="shared" si="17"/>
        <v>Friday</v>
      </c>
      <c r="J338" s="1">
        <v>45143</v>
      </c>
      <c r="K338">
        <f t="shared" si="16"/>
        <v>4</v>
      </c>
    </row>
    <row r="339" spans="1:11" x14ac:dyDescent="0.3">
      <c r="A339">
        <v>149112756</v>
      </c>
      <c r="B339" s="1">
        <v>44855</v>
      </c>
      <c r="C339" s="1">
        <v>45074</v>
      </c>
      <c r="D339" t="s">
        <v>7</v>
      </c>
      <c r="E339">
        <v>39</v>
      </c>
      <c r="F339" t="s">
        <v>6</v>
      </c>
      <c r="G339">
        <f t="shared" si="15"/>
        <v>219</v>
      </c>
      <c r="H339" s="1" t="str">
        <f t="shared" si="17"/>
        <v>Friday</v>
      </c>
      <c r="J339" s="1">
        <v>45153</v>
      </c>
      <c r="K339">
        <f t="shared" si="16"/>
        <v>4</v>
      </c>
    </row>
    <row r="340" spans="1:11" x14ac:dyDescent="0.3">
      <c r="A340">
        <v>149065622</v>
      </c>
      <c r="B340" s="1">
        <v>44855</v>
      </c>
      <c r="C340" s="1">
        <v>44923</v>
      </c>
      <c r="D340" t="s">
        <v>7</v>
      </c>
      <c r="E340">
        <v>39</v>
      </c>
      <c r="F340" t="s">
        <v>6</v>
      </c>
      <c r="G340">
        <f t="shared" si="15"/>
        <v>68</v>
      </c>
      <c r="H340" s="1" t="str">
        <f t="shared" si="17"/>
        <v>Friday</v>
      </c>
      <c r="J340" s="1">
        <v>44828</v>
      </c>
      <c r="K340">
        <f t="shared" si="16"/>
        <v>3</v>
      </c>
    </row>
    <row r="341" spans="1:11" x14ac:dyDescent="0.3">
      <c r="A341">
        <v>158656065</v>
      </c>
      <c r="B341" s="1">
        <v>44855</v>
      </c>
      <c r="C341" s="1">
        <v>44925</v>
      </c>
      <c r="D341" t="s">
        <v>7</v>
      </c>
      <c r="E341">
        <v>39</v>
      </c>
      <c r="F341" t="s">
        <v>6</v>
      </c>
      <c r="G341">
        <f t="shared" si="15"/>
        <v>70</v>
      </c>
      <c r="H341" s="1" t="str">
        <f t="shared" si="17"/>
        <v>Friday</v>
      </c>
      <c r="J341" s="1">
        <v>44840</v>
      </c>
      <c r="K341">
        <f t="shared" si="16"/>
        <v>3</v>
      </c>
    </row>
    <row r="342" spans="1:11" x14ac:dyDescent="0.3">
      <c r="A342">
        <v>158756090</v>
      </c>
      <c r="B342" s="1">
        <v>44855</v>
      </c>
      <c r="C342" s="1">
        <v>44867</v>
      </c>
      <c r="D342" t="s">
        <v>7</v>
      </c>
      <c r="E342">
        <v>39</v>
      </c>
      <c r="F342" t="s">
        <v>6</v>
      </c>
      <c r="G342">
        <f t="shared" si="15"/>
        <v>12</v>
      </c>
      <c r="H342" s="1" t="str">
        <f t="shared" si="17"/>
        <v>Friday</v>
      </c>
      <c r="J342" s="1">
        <v>44844</v>
      </c>
      <c r="K342">
        <f t="shared" si="16"/>
        <v>3</v>
      </c>
    </row>
    <row r="343" spans="1:11" x14ac:dyDescent="0.3">
      <c r="A343">
        <v>158447710</v>
      </c>
      <c r="B343" s="1">
        <v>44855</v>
      </c>
      <c r="C343" s="1">
        <v>44883</v>
      </c>
      <c r="D343" t="s">
        <v>7</v>
      </c>
      <c r="E343">
        <v>39</v>
      </c>
      <c r="F343" t="s">
        <v>6</v>
      </c>
      <c r="G343">
        <f t="shared" si="15"/>
        <v>28</v>
      </c>
      <c r="H343" s="1" t="str">
        <f t="shared" si="17"/>
        <v>Friday</v>
      </c>
      <c r="J343" s="1">
        <v>44849</v>
      </c>
      <c r="K343">
        <f t="shared" si="16"/>
        <v>3</v>
      </c>
    </row>
    <row r="344" spans="1:11" x14ac:dyDescent="0.3">
      <c r="A344">
        <v>157568391</v>
      </c>
      <c r="B344" s="1">
        <v>44855</v>
      </c>
      <c r="C344" s="1">
        <v>44886</v>
      </c>
      <c r="D344" t="s">
        <v>7</v>
      </c>
      <c r="E344">
        <v>39</v>
      </c>
      <c r="F344" t="s">
        <v>6</v>
      </c>
      <c r="G344">
        <f t="shared" si="15"/>
        <v>31</v>
      </c>
      <c r="H344" s="1" t="str">
        <f t="shared" si="17"/>
        <v>Friday</v>
      </c>
      <c r="J344" s="1">
        <v>44876</v>
      </c>
      <c r="K344">
        <f t="shared" si="16"/>
        <v>3</v>
      </c>
    </row>
    <row r="345" spans="1:11" x14ac:dyDescent="0.3">
      <c r="A345">
        <v>157505106</v>
      </c>
      <c r="B345" s="1">
        <v>44856</v>
      </c>
      <c r="C345" t="s">
        <v>19</v>
      </c>
      <c r="D345" t="s">
        <v>7</v>
      </c>
      <c r="E345">
        <v>39</v>
      </c>
      <c r="F345" t="s">
        <v>6</v>
      </c>
      <c r="G345" t="str">
        <f t="shared" si="15"/>
        <v>Active</v>
      </c>
      <c r="H345" s="1" t="str">
        <f t="shared" si="17"/>
        <v>Saturday</v>
      </c>
      <c r="J345" s="1">
        <v>44884</v>
      </c>
      <c r="K345">
        <f t="shared" si="16"/>
        <v>3</v>
      </c>
    </row>
    <row r="346" spans="1:11" x14ac:dyDescent="0.3">
      <c r="A346">
        <v>158761363</v>
      </c>
      <c r="B346" s="1">
        <v>44856</v>
      </c>
      <c r="C346" s="1">
        <v>44983</v>
      </c>
      <c r="D346" t="s">
        <v>7</v>
      </c>
      <c r="E346">
        <v>39</v>
      </c>
      <c r="F346" t="s">
        <v>6</v>
      </c>
      <c r="G346">
        <f t="shared" si="15"/>
        <v>127</v>
      </c>
      <c r="H346" s="1" t="str">
        <f t="shared" si="17"/>
        <v>Saturday</v>
      </c>
      <c r="J346" s="1">
        <v>44885</v>
      </c>
      <c r="K346">
        <f t="shared" si="16"/>
        <v>3</v>
      </c>
    </row>
    <row r="347" spans="1:11" x14ac:dyDescent="0.3">
      <c r="A347">
        <v>144858980</v>
      </c>
      <c r="B347" s="1">
        <v>44856</v>
      </c>
      <c r="C347" s="1">
        <v>44917</v>
      </c>
      <c r="D347" t="s">
        <v>7</v>
      </c>
      <c r="E347">
        <v>39</v>
      </c>
      <c r="F347" t="s">
        <v>6</v>
      </c>
      <c r="G347">
        <f t="shared" si="15"/>
        <v>61</v>
      </c>
      <c r="H347" s="1" t="str">
        <f t="shared" si="17"/>
        <v>Saturday</v>
      </c>
      <c r="J347" s="1">
        <v>44892</v>
      </c>
      <c r="K347">
        <f t="shared" si="16"/>
        <v>3</v>
      </c>
    </row>
    <row r="348" spans="1:11" x14ac:dyDescent="0.3">
      <c r="A348">
        <v>151000288</v>
      </c>
      <c r="B348" s="1">
        <v>44856</v>
      </c>
      <c r="C348" s="1">
        <v>44917</v>
      </c>
      <c r="D348" t="s">
        <v>7</v>
      </c>
      <c r="E348">
        <v>39</v>
      </c>
      <c r="F348" t="s">
        <v>6</v>
      </c>
      <c r="G348">
        <f t="shared" si="15"/>
        <v>61</v>
      </c>
      <c r="H348" s="1" t="str">
        <f t="shared" si="17"/>
        <v>Saturday</v>
      </c>
      <c r="J348" s="1">
        <v>44899</v>
      </c>
      <c r="K348">
        <f t="shared" si="16"/>
        <v>3</v>
      </c>
    </row>
    <row r="349" spans="1:11" x14ac:dyDescent="0.3">
      <c r="A349">
        <v>136276852</v>
      </c>
      <c r="B349" s="1">
        <v>44856</v>
      </c>
      <c r="C349" s="1">
        <v>44887</v>
      </c>
      <c r="D349" t="s">
        <v>7</v>
      </c>
      <c r="E349">
        <v>39</v>
      </c>
      <c r="F349" t="s">
        <v>6</v>
      </c>
      <c r="G349">
        <f t="shared" si="15"/>
        <v>31</v>
      </c>
      <c r="H349" s="1" t="str">
        <f t="shared" si="17"/>
        <v>Saturday</v>
      </c>
      <c r="J349" s="1">
        <v>44920</v>
      </c>
      <c r="K349">
        <f t="shared" si="16"/>
        <v>3</v>
      </c>
    </row>
    <row r="350" spans="1:11" x14ac:dyDescent="0.3">
      <c r="A350">
        <v>158767852</v>
      </c>
      <c r="B350" s="1">
        <v>44856</v>
      </c>
      <c r="C350" s="1">
        <v>44894</v>
      </c>
      <c r="D350" t="s">
        <v>7</v>
      </c>
      <c r="E350">
        <v>39</v>
      </c>
      <c r="F350" t="s">
        <v>6</v>
      </c>
      <c r="G350">
        <f t="shared" si="15"/>
        <v>38</v>
      </c>
      <c r="H350" s="1" t="str">
        <f t="shared" si="17"/>
        <v>Saturday</v>
      </c>
      <c r="J350" s="1">
        <v>44927</v>
      </c>
      <c r="K350">
        <f t="shared" si="16"/>
        <v>3</v>
      </c>
    </row>
    <row r="351" spans="1:11" x14ac:dyDescent="0.3">
      <c r="A351">
        <v>158849640</v>
      </c>
      <c r="B351" s="1">
        <v>44857</v>
      </c>
      <c r="C351" t="s">
        <v>19</v>
      </c>
      <c r="D351" t="s">
        <v>7</v>
      </c>
      <c r="E351">
        <v>39</v>
      </c>
      <c r="F351" t="s">
        <v>6</v>
      </c>
      <c r="G351" t="str">
        <f t="shared" si="15"/>
        <v>Active</v>
      </c>
      <c r="H351" s="1" t="str">
        <f t="shared" si="17"/>
        <v>Sunday</v>
      </c>
      <c r="J351" s="1">
        <v>44983</v>
      </c>
      <c r="K351">
        <f t="shared" si="16"/>
        <v>3</v>
      </c>
    </row>
    <row r="352" spans="1:11" x14ac:dyDescent="0.3">
      <c r="A352">
        <v>151491892</v>
      </c>
      <c r="B352" s="1">
        <v>44857</v>
      </c>
      <c r="C352" s="1">
        <v>44858</v>
      </c>
      <c r="D352" t="s">
        <v>7</v>
      </c>
      <c r="E352">
        <v>39</v>
      </c>
      <c r="F352" t="s">
        <v>6</v>
      </c>
      <c r="G352">
        <f t="shared" si="15"/>
        <v>1</v>
      </c>
      <c r="H352" s="1" t="str">
        <f t="shared" si="17"/>
        <v>Sunday</v>
      </c>
      <c r="J352" s="1">
        <v>44990</v>
      </c>
      <c r="K352">
        <f t="shared" si="16"/>
        <v>3</v>
      </c>
    </row>
    <row r="353" spans="1:11" x14ac:dyDescent="0.3">
      <c r="A353">
        <v>157474087</v>
      </c>
      <c r="B353" s="1">
        <v>44857</v>
      </c>
      <c r="C353" s="1">
        <v>44925</v>
      </c>
      <c r="D353" t="s">
        <v>7</v>
      </c>
      <c r="E353">
        <v>39</v>
      </c>
      <c r="F353" t="s">
        <v>6</v>
      </c>
      <c r="G353">
        <f t="shared" si="15"/>
        <v>68</v>
      </c>
      <c r="H353" s="1" t="str">
        <f t="shared" si="17"/>
        <v>Sunday</v>
      </c>
      <c r="J353" s="1">
        <v>44997</v>
      </c>
      <c r="K353">
        <f t="shared" si="16"/>
        <v>3</v>
      </c>
    </row>
    <row r="354" spans="1:11" x14ac:dyDescent="0.3">
      <c r="A354">
        <v>157997679</v>
      </c>
      <c r="B354" s="1">
        <v>44857</v>
      </c>
      <c r="C354" s="1">
        <v>45095</v>
      </c>
      <c r="D354" t="s">
        <v>7</v>
      </c>
      <c r="E354">
        <v>39</v>
      </c>
      <c r="F354" t="s">
        <v>6</v>
      </c>
      <c r="G354">
        <f t="shared" si="15"/>
        <v>238</v>
      </c>
      <c r="H354" s="1" t="str">
        <f t="shared" si="17"/>
        <v>Sunday</v>
      </c>
      <c r="J354" s="1">
        <v>45052</v>
      </c>
      <c r="K354">
        <f t="shared" si="16"/>
        <v>3</v>
      </c>
    </row>
    <row r="355" spans="1:11" x14ac:dyDescent="0.3">
      <c r="A355">
        <v>158566772</v>
      </c>
      <c r="B355" s="1">
        <v>44857</v>
      </c>
      <c r="C355" s="1">
        <v>44978</v>
      </c>
      <c r="D355" t="s">
        <v>7</v>
      </c>
      <c r="E355">
        <v>39</v>
      </c>
      <c r="F355" t="s">
        <v>6</v>
      </c>
      <c r="G355">
        <f t="shared" si="15"/>
        <v>121</v>
      </c>
      <c r="H355" s="1" t="str">
        <f t="shared" si="17"/>
        <v>Sunday</v>
      </c>
      <c r="J355" s="1">
        <v>45059</v>
      </c>
      <c r="K355">
        <f t="shared" si="16"/>
        <v>3</v>
      </c>
    </row>
    <row r="356" spans="1:11" x14ac:dyDescent="0.3">
      <c r="A356">
        <v>157788656</v>
      </c>
      <c r="B356" s="1">
        <v>44857</v>
      </c>
      <c r="C356" s="1">
        <v>44915</v>
      </c>
      <c r="D356" t="s">
        <v>7</v>
      </c>
      <c r="E356">
        <v>39</v>
      </c>
      <c r="F356" t="s">
        <v>6</v>
      </c>
      <c r="G356">
        <f t="shared" si="15"/>
        <v>58</v>
      </c>
      <c r="H356" s="1" t="str">
        <f t="shared" si="17"/>
        <v>Sunday</v>
      </c>
      <c r="J356" s="1">
        <v>45066</v>
      </c>
      <c r="K356">
        <f t="shared" si="16"/>
        <v>3</v>
      </c>
    </row>
    <row r="357" spans="1:11" x14ac:dyDescent="0.3">
      <c r="A357">
        <v>158832658</v>
      </c>
      <c r="B357" s="1">
        <v>44857</v>
      </c>
      <c r="C357" s="1">
        <v>44867</v>
      </c>
      <c r="D357" t="s">
        <v>7</v>
      </c>
      <c r="E357">
        <v>39</v>
      </c>
      <c r="F357" t="s">
        <v>6</v>
      </c>
      <c r="G357">
        <f t="shared" si="15"/>
        <v>10</v>
      </c>
      <c r="H357" s="1" t="str">
        <f t="shared" si="17"/>
        <v>Sunday</v>
      </c>
      <c r="J357" s="1">
        <v>45074</v>
      </c>
      <c r="K357">
        <f t="shared" si="16"/>
        <v>3</v>
      </c>
    </row>
    <row r="358" spans="1:11" x14ac:dyDescent="0.3">
      <c r="A358">
        <v>130837976</v>
      </c>
      <c r="B358" s="1">
        <v>44857</v>
      </c>
      <c r="C358" s="1">
        <v>44888</v>
      </c>
      <c r="D358" t="s">
        <v>7</v>
      </c>
      <c r="E358">
        <v>39</v>
      </c>
      <c r="F358" t="s">
        <v>6</v>
      </c>
      <c r="G358">
        <f t="shared" si="15"/>
        <v>31</v>
      </c>
      <c r="H358" s="1" t="str">
        <f t="shared" si="17"/>
        <v>Sunday</v>
      </c>
      <c r="J358" s="1">
        <v>45081</v>
      </c>
      <c r="K358">
        <f t="shared" si="16"/>
        <v>3</v>
      </c>
    </row>
    <row r="359" spans="1:11" x14ac:dyDescent="0.3">
      <c r="A359">
        <v>159095030</v>
      </c>
      <c r="B359" s="1">
        <v>44858</v>
      </c>
      <c r="C359" s="1">
        <v>44973</v>
      </c>
      <c r="D359" t="s">
        <v>7</v>
      </c>
      <c r="E359">
        <v>39</v>
      </c>
      <c r="F359" t="s">
        <v>6</v>
      </c>
      <c r="G359">
        <f t="shared" si="15"/>
        <v>115</v>
      </c>
      <c r="H359" s="1" t="str">
        <f t="shared" si="17"/>
        <v>Monday</v>
      </c>
      <c r="J359" s="1">
        <v>45087</v>
      </c>
      <c r="K359">
        <f t="shared" si="16"/>
        <v>3</v>
      </c>
    </row>
    <row r="360" spans="1:11" x14ac:dyDescent="0.3">
      <c r="A360">
        <v>159028041</v>
      </c>
      <c r="B360" s="1">
        <v>44858</v>
      </c>
      <c r="C360" s="1">
        <v>44896</v>
      </c>
      <c r="D360" t="s">
        <v>7</v>
      </c>
      <c r="E360">
        <v>39</v>
      </c>
      <c r="F360" t="s">
        <v>6</v>
      </c>
      <c r="G360">
        <f t="shared" si="15"/>
        <v>38</v>
      </c>
      <c r="H360" s="1" t="str">
        <f t="shared" si="17"/>
        <v>Monday</v>
      </c>
      <c r="J360" s="1">
        <v>45101</v>
      </c>
      <c r="K360">
        <f t="shared" si="16"/>
        <v>3</v>
      </c>
    </row>
    <row r="361" spans="1:11" x14ac:dyDescent="0.3">
      <c r="A361">
        <v>159018168</v>
      </c>
      <c r="B361" s="1">
        <v>44858</v>
      </c>
      <c r="C361" s="1">
        <v>44896</v>
      </c>
      <c r="D361" t="s">
        <v>7</v>
      </c>
      <c r="E361">
        <v>39</v>
      </c>
      <c r="F361" t="s">
        <v>6</v>
      </c>
      <c r="G361">
        <f t="shared" si="15"/>
        <v>38</v>
      </c>
      <c r="H361" s="1" t="str">
        <f t="shared" si="17"/>
        <v>Monday</v>
      </c>
      <c r="J361" s="1">
        <v>45150</v>
      </c>
      <c r="K361">
        <f t="shared" si="16"/>
        <v>3</v>
      </c>
    </row>
    <row r="362" spans="1:11" x14ac:dyDescent="0.3">
      <c r="A362">
        <v>157981870</v>
      </c>
      <c r="B362" s="1">
        <v>44858</v>
      </c>
      <c r="C362" s="1">
        <v>44872</v>
      </c>
      <c r="D362" t="s">
        <v>7</v>
      </c>
      <c r="E362">
        <v>39</v>
      </c>
      <c r="F362" t="s">
        <v>6</v>
      </c>
      <c r="G362">
        <f t="shared" si="15"/>
        <v>14</v>
      </c>
      <c r="H362" s="1" t="str">
        <f t="shared" si="17"/>
        <v>Monday</v>
      </c>
      <c r="J362" s="1">
        <v>45165</v>
      </c>
      <c r="K362">
        <f t="shared" si="16"/>
        <v>3</v>
      </c>
    </row>
    <row r="363" spans="1:11" x14ac:dyDescent="0.3">
      <c r="A363">
        <v>153061698</v>
      </c>
      <c r="B363" s="1">
        <v>44858</v>
      </c>
      <c r="C363" s="1">
        <v>44889</v>
      </c>
      <c r="D363" t="s">
        <v>7</v>
      </c>
      <c r="E363">
        <v>39</v>
      </c>
      <c r="F363" t="s">
        <v>6</v>
      </c>
      <c r="G363">
        <f t="shared" si="15"/>
        <v>31</v>
      </c>
      <c r="H363" s="1" t="str">
        <f t="shared" si="17"/>
        <v>Monday</v>
      </c>
      <c r="J363" s="1">
        <v>45177</v>
      </c>
      <c r="K363">
        <f t="shared" si="16"/>
        <v>3</v>
      </c>
    </row>
    <row r="364" spans="1:11" x14ac:dyDescent="0.3">
      <c r="A364">
        <v>159204523</v>
      </c>
      <c r="B364" s="1">
        <v>44859</v>
      </c>
      <c r="C364" t="s">
        <v>19</v>
      </c>
      <c r="D364" t="s">
        <v>7</v>
      </c>
      <c r="E364">
        <v>39</v>
      </c>
      <c r="F364" t="s">
        <v>6</v>
      </c>
      <c r="G364" t="str">
        <f t="shared" si="15"/>
        <v>Active</v>
      </c>
      <c r="H364" s="1" t="str">
        <f t="shared" si="17"/>
        <v>Tuesday</v>
      </c>
      <c r="J364" s="1">
        <v>44878</v>
      </c>
      <c r="K364">
        <f t="shared" si="16"/>
        <v>2</v>
      </c>
    </row>
    <row r="365" spans="1:11" x14ac:dyDescent="0.3">
      <c r="A365">
        <v>159236268</v>
      </c>
      <c r="B365" s="1">
        <v>44859</v>
      </c>
      <c r="C365" t="s">
        <v>19</v>
      </c>
      <c r="D365" t="s">
        <v>8</v>
      </c>
      <c r="E365">
        <v>39</v>
      </c>
      <c r="F365" t="s">
        <v>6</v>
      </c>
      <c r="G365" t="str">
        <f t="shared" si="15"/>
        <v>Active</v>
      </c>
      <c r="H365" s="1" t="str">
        <f t="shared" si="17"/>
        <v>Tuesday</v>
      </c>
      <c r="J365" s="1">
        <v>44888</v>
      </c>
      <c r="K365">
        <f t="shared" si="16"/>
        <v>2</v>
      </c>
    </row>
    <row r="366" spans="1:11" x14ac:dyDescent="0.3">
      <c r="A366">
        <v>159256553</v>
      </c>
      <c r="B366" s="1">
        <v>44859</v>
      </c>
      <c r="C366" s="1">
        <v>44936</v>
      </c>
      <c r="D366" t="s">
        <v>7</v>
      </c>
      <c r="E366">
        <v>39</v>
      </c>
      <c r="F366" t="s">
        <v>6</v>
      </c>
      <c r="G366">
        <f t="shared" si="15"/>
        <v>77</v>
      </c>
      <c r="H366" s="1" t="str">
        <f t="shared" si="17"/>
        <v>Tuesday</v>
      </c>
      <c r="J366" s="1">
        <v>44921</v>
      </c>
      <c r="K366">
        <f t="shared" si="16"/>
        <v>2</v>
      </c>
    </row>
    <row r="367" spans="1:11" x14ac:dyDescent="0.3">
      <c r="A367">
        <v>159211568</v>
      </c>
      <c r="B367" s="1">
        <v>44859</v>
      </c>
      <c r="C367" s="1">
        <v>44928</v>
      </c>
      <c r="D367" t="s">
        <v>7</v>
      </c>
      <c r="E367">
        <v>39</v>
      </c>
      <c r="F367" t="s">
        <v>6</v>
      </c>
      <c r="G367">
        <f t="shared" si="15"/>
        <v>69</v>
      </c>
      <c r="H367" s="1" t="str">
        <f t="shared" si="17"/>
        <v>Tuesday</v>
      </c>
      <c r="J367" s="1">
        <v>44967</v>
      </c>
      <c r="K367">
        <f t="shared" si="16"/>
        <v>2</v>
      </c>
    </row>
    <row r="368" spans="1:11" x14ac:dyDescent="0.3">
      <c r="A368">
        <v>154778395</v>
      </c>
      <c r="B368" s="1">
        <v>44859</v>
      </c>
      <c r="C368" s="1">
        <v>44893</v>
      </c>
      <c r="D368" t="s">
        <v>7</v>
      </c>
      <c r="E368">
        <v>39</v>
      </c>
      <c r="F368" t="s">
        <v>6</v>
      </c>
      <c r="G368">
        <f t="shared" si="15"/>
        <v>34</v>
      </c>
      <c r="H368" s="1" t="str">
        <f t="shared" si="17"/>
        <v>Tuesday</v>
      </c>
      <c r="J368" s="1">
        <v>45001</v>
      </c>
      <c r="K368">
        <f t="shared" si="16"/>
        <v>2</v>
      </c>
    </row>
    <row r="369" spans="1:11" x14ac:dyDescent="0.3">
      <c r="A369">
        <v>157961180</v>
      </c>
      <c r="B369" s="1">
        <v>44859</v>
      </c>
      <c r="C369" s="1">
        <v>44889</v>
      </c>
      <c r="D369" t="s">
        <v>7</v>
      </c>
      <c r="E369">
        <v>39</v>
      </c>
      <c r="F369" t="s">
        <v>6</v>
      </c>
      <c r="G369">
        <f t="shared" si="15"/>
        <v>30</v>
      </c>
      <c r="H369" s="1" t="str">
        <f t="shared" si="17"/>
        <v>Tuesday</v>
      </c>
      <c r="J369" s="1">
        <v>45045</v>
      </c>
      <c r="K369">
        <f t="shared" si="16"/>
        <v>2</v>
      </c>
    </row>
    <row r="370" spans="1:11" x14ac:dyDescent="0.3">
      <c r="A370">
        <v>159281338</v>
      </c>
      <c r="B370" s="1">
        <v>44860</v>
      </c>
      <c r="C370" t="s">
        <v>19</v>
      </c>
      <c r="D370" t="s">
        <v>7</v>
      </c>
      <c r="E370">
        <v>39</v>
      </c>
      <c r="F370" t="s">
        <v>6</v>
      </c>
      <c r="G370" t="str">
        <f t="shared" si="15"/>
        <v>Active</v>
      </c>
      <c r="H370" s="1" t="str">
        <f t="shared" si="17"/>
        <v>Wednesday</v>
      </c>
      <c r="J370" s="1">
        <v>44889</v>
      </c>
      <c r="K370">
        <f t="shared" si="16"/>
        <v>1</v>
      </c>
    </row>
    <row r="371" spans="1:11" x14ac:dyDescent="0.3">
      <c r="A371">
        <v>159364232</v>
      </c>
      <c r="B371" s="1">
        <v>44860</v>
      </c>
      <c r="C371" t="s">
        <v>19</v>
      </c>
      <c r="D371" t="s">
        <v>7</v>
      </c>
      <c r="E371">
        <v>39</v>
      </c>
      <c r="F371" t="s">
        <v>6</v>
      </c>
      <c r="G371" t="str">
        <f t="shared" si="15"/>
        <v>Active</v>
      </c>
      <c r="H371" s="1" t="str">
        <f t="shared" si="17"/>
        <v>Wednesday</v>
      </c>
      <c r="J371" s="1">
        <v>45032</v>
      </c>
      <c r="K371">
        <f t="shared" si="16"/>
        <v>1</v>
      </c>
    </row>
    <row r="372" spans="1:11" x14ac:dyDescent="0.3">
      <c r="A372">
        <v>159276280</v>
      </c>
      <c r="B372" s="1">
        <v>44860</v>
      </c>
      <c r="C372" t="s">
        <v>19</v>
      </c>
      <c r="D372" t="s">
        <v>7</v>
      </c>
      <c r="E372">
        <v>39</v>
      </c>
      <c r="F372" t="s">
        <v>6</v>
      </c>
      <c r="G372" t="str">
        <f t="shared" si="15"/>
        <v>Active</v>
      </c>
      <c r="H372" s="1" t="str">
        <f t="shared" si="17"/>
        <v>Wednesday</v>
      </c>
    </row>
    <row r="373" spans="1:11" x14ac:dyDescent="0.3">
      <c r="A373">
        <v>159326830</v>
      </c>
      <c r="B373" s="1">
        <v>44860</v>
      </c>
      <c r="C373" s="1">
        <v>44861</v>
      </c>
      <c r="D373" t="s">
        <v>7</v>
      </c>
      <c r="E373">
        <v>39</v>
      </c>
      <c r="F373" t="s">
        <v>6</v>
      </c>
      <c r="G373">
        <f t="shared" si="15"/>
        <v>1</v>
      </c>
      <c r="H373" s="1" t="str">
        <f t="shared" si="17"/>
        <v>Wednesday</v>
      </c>
    </row>
    <row r="374" spans="1:11" x14ac:dyDescent="0.3">
      <c r="A374">
        <v>158144924</v>
      </c>
      <c r="B374" s="1">
        <v>44860</v>
      </c>
      <c r="C374" s="1">
        <v>44980</v>
      </c>
      <c r="D374" t="s">
        <v>7</v>
      </c>
      <c r="E374">
        <v>39</v>
      </c>
      <c r="F374" t="s">
        <v>6</v>
      </c>
      <c r="G374">
        <f t="shared" si="15"/>
        <v>120</v>
      </c>
      <c r="H374" s="1" t="str">
        <f t="shared" si="17"/>
        <v>Wednesday</v>
      </c>
    </row>
    <row r="375" spans="1:11" x14ac:dyDescent="0.3">
      <c r="A375">
        <v>159239867</v>
      </c>
      <c r="B375" s="1">
        <v>44860</v>
      </c>
      <c r="C375" s="1">
        <v>44910</v>
      </c>
      <c r="D375" t="s">
        <v>7</v>
      </c>
      <c r="E375">
        <v>39</v>
      </c>
      <c r="F375" t="s">
        <v>6</v>
      </c>
      <c r="G375">
        <f t="shared" si="15"/>
        <v>50</v>
      </c>
      <c r="H375" s="1" t="str">
        <f t="shared" si="17"/>
        <v>Wednesday</v>
      </c>
    </row>
    <row r="376" spans="1:11" x14ac:dyDescent="0.3">
      <c r="A376">
        <v>159108970</v>
      </c>
      <c r="B376" s="1">
        <v>44860</v>
      </c>
      <c r="C376" s="1">
        <v>44915</v>
      </c>
      <c r="D376" t="s">
        <v>7</v>
      </c>
      <c r="E376">
        <v>39</v>
      </c>
      <c r="F376" t="s">
        <v>6</v>
      </c>
      <c r="G376">
        <f t="shared" si="15"/>
        <v>55</v>
      </c>
      <c r="H376" s="1" t="str">
        <f t="shared" si="17"/>
        <v>Wednesday</v>
      </c>
    </row>
    <row r="377" spans="1:11" x14ac:dyDescent="0.3">
      <c r="A377">
        <v>158644133</v>
      </c>
      <c r="B377" s="1">
        <v>44860</v>
      </c>
      <c r="C377" s="1">
        <v>44891</v>
      </c>
      <c r="D377" t="s">
        <v>7</v>
      </c>
      <c r="E377">
        <v>39</v>
      </c>
      <c r="F377" t="s">
        <v>6</v>
      </c>
      <c r="G377">
        <f t="shared" si="15"/>
        <v>31</v>
      </c>
      <c r="H377" s="1" t="str">
        <f t="shared" si="17"/>
        <v>Wednesday</v>
      </c>
    </row>
    <row r="378" spans="1:11" x14ac:dyDescent="0.3">
      <c r="A378">
        <v>153830193</v>
      </c>
      <c r="B378" s="1">
        <v>44860</v>
      </c>
      <c r="C378" s="1">
        <v>44861</v>
      </c>
      <c r="D378" t="s">
        <v>7</v>
      </c>
      <c r="E378">
        <v>39</v>
      </c>
      <c r="F378" t="s">
        <v>6</v>
      </c>
      <c r="G378">
        <f t="shared" si="15"/>
        <v>1</v>
      </c>
      <c r="H378" s="1" t="str">
        <f t="shared" si="17"/>
        <v>Wednesday</v>
      </c>
    </row>
    <row r="379" spans="1:11" x14ac:dyDescent="0.3">
      <c r="A379">
        <v>159664292</v>
      </c>
      <c r="B379" s="1">
        <v>44861</v>
      </c>
      <c r="C379" t="s">
        <v>19</v>
      </c>
      <c r="D379" t="s">
        <v>7</v>
      </c>
      <c r="E379">
        <v>39</v>
      </c>
      <c r="F379" t="s">
        <v>6</v>
      </c>
      <c r="G379" t="str">
        <f t="shared" si="15"/>
        <v>Active</v>
      </c>
      <c r="H379" s="1" t="str">
        <f t="shared" si="17"/>
        <v>Thursday</v>
      </c>
    </row>
    <row r="380" spans="1:11" x14ac:dyDescent="0.3">
      <c r="A380">
        <v>152937944</v>
      </c>
      <c r="B380" s="1">
        <v>44861</v>
      </c>
      <c r="C380" s="1">
        <v>44862</v>
      </c>
      <c r="D380" t="s">
        <v>8</v>
      </c>
      <c r="E380">
        <v>39</v>
      </c>
      <c r="F380" t="s">
        <v>6</v>
      </c>
      <c r="G380">
        <f t="shared" si="15"/>
        <v>1</v>
      </c>
      <c r="H380" s="1" t="str">
        <f t="shared" si="17"/>
        <v>Thursday</v>
      </c>
    </row>
    <row r="381" spans="1:11" x14ac:dyDescent="0.3">
      <c r="A381">
        <v>159446393</v>
      </c>
      <c r="B381" s="1">
        <v>44861</v>
      </c>
      <c r="C381" s="1">
        <v>45035</v>
      </c>
      <c r="D381" t="s">
        <v>7</v>
      </c>
      <c r="E381">
        <v>39</v>
      </c>
      <c r="F381" t="s">
        <v>6</v>
      </c>
      <c r="G381">
        <f t="shared" si="15"/>
        <v>174</v>
      </c>
      <c r="H381" s="1" t="str">
        <f t="shared" si="17"/>
        <v>Thursday</v>
      </c>
    </row>
    <row r="382" spans="1:11" x14ac:dyDescent="0.3">
      <c r="A382">
        <v>156837717</v>
      </c>
      <c r="B382" s="1">
        <v>44861</v>
      </c>
      <c r="C382" s="1">
        <v>45088</v>
      </c>
      <c r="D382" t="s">
        <v>7</v>
      </c>
      <c r="E382">
        <v>39</v>
      </c>
      <c r="F382" t="s">
        <v>6</v>
      </c>
      <c r="G382">
        <f t="shared" si="15"/>
        <v>227</v>
      </c>
      <c r="H382" s="1" t="str">
        <f t="shared" si="17"/>
        <v>Thursday</v>
      </c>
    </row>
    <row r="383" spans="1:11" x14ac:dyDescent="0.3">
      <c r="A383">
        <v>149000400</v>
      </c>
      <c r="B383" s="1">
        <v>44861</v>
      </c>
      <c r="C383" s="1">
        <v>44983</v>
      </c>
      <c r="D383" t="s">
        <v>7</v>
      </c>
      <c r="E383">
        <v>39</v>
      </c>
      <c r="F383" t="s">
        <v>6</v>
      </c>
      <c r="G383">
        <f t="shared" si="15"/>
        <v>122</v>
      </c>
      <c r="H383" s="1" t="str">
        <f t="shared" si="17"/>
        <v>Thursday</v>
      </c>
    </row>
    <row r="384" spans="1:11" x14ac:dyDescent="0.3">
      <c r="A384">
        <v>157923615</v>
      </c>
      <c r="B384" s="1">
        <v>44861</v>
      </c>
      <c r="C384" s="1">
        <v>44929</v>
      </c>
      <c r="D384" t="s">
        <v>7</v>
      </c>
      <c r="E384">
        <v>39</v>
      </c>
      <c r="F384" t="s">
        <v>6</v>
      </c>
      <c r="G384">
        <f t="shared" si="15"/>
        <v>68</v>
      </c>
      <c r="H384" s="1" t="str">
        <f t="shared" si="17"/>
        <v>Thursday</v>
      </c>
    </row>
    <row r="385" spans="1:8" x14ac:dyDescent="0.3">
      <c r="A385">
        <v>159699736</v>
      </c>
      <c r="B385" s="1">
        <v>44861</v>
      </c>
      <c r="C385" s="1">
        <v>44890</v>
      </c>
      <c r="D385" t="s">
        <v>7</v>
      </c>
      <c r="E385">
        <v>39</v>
      </c>
      <c r="F385" t="s">
        <v>6</v>
      </c>
      <c r="G385">
        <f t="shared" si="15"/>
        <v>29</v>
      </c>
      <c r="H385" s="1" t="str">
        <f t="shared" si="17"/>
        <v>Thursday</v>
      </c>
    </row>
    <row r="386" spans="1:8" x14ac:dyDescent="0.3">
      <c r="A386">
        <v>150816815</v>
      </c>
      <c r="B386" s="1">
        <v>44861</v>
      </c>
      <c r="C386" s="1">
        <v>44881</v>
      </c>
      <c r="D386" t="s">
        <v>7</v>
      </c>
      <c r="E386">
        <v>39</v>
      </c>
      <c r="F386" t="s">
        <v>6</v>
      </c>
      <c r="G386">
        <f t="shared" ref="G386:G450" si="18">IF(C386="Active","Active",C386-B386)</f>
        <v>20</v>
      </c>
      <c r="H386" s="1" t="str">
        <f t="shared" si="17"/>
        <v>Thursday</v>
      </c>
    </row>
    <row r="387" spans="1:8" x14ac:dyDescent="0.3">
      <c r="A387">
        <v>159634168</v>
      </c>
      <c r="B387" s="1">
        <v>44861</v>
      </c>
      <c r="C387" s="1">
        <v>45107</v>
      </c>
      <c r="D387" t="s">
        <v>7</v>
      </c>
      <c r="E387">
        <v>39</v>
      </c>
      <c r="F387" t="s">
        <v>6</v>
      </c>
      <c r="G387">
        <f t="shared" si="18"/>
        <v>246</v>
      </c>
      <c r="H387" s="1" t="str">
        <f t="shared" ref="H387:H450" si="19">TEXT(B387,"dddd")</f>
        <v>Thursday</v>
      </c>
    </row>
    <row r="388" spans="1:8" x14ac:dyDescent="0.3">
      <c r="A388">
        <v>158114418</v>
      </c>
      <c r="B388" s="1">
        <v>44862</v>
      </c>
      <c r="C388" t="s">
        <v>19</v>
      </c>
      <c r="D388" t="s">
        <v>7</v>
      </c>
      <c r="E388">
        <v>39</v>
      </c>
      <c r="F388" t="s">
        <v>6</v>
      </c>
      <c r="G388" t="str">
        <f t="shared" si="18"/>
        <v>Active</v>
      </c>
      <c r="H388" s="1" t="str">
        <f t="shared" si="19"/>
        <v>Friday</v>
      </c>
    </row>
    <row r="389" spans="1:8" x14ac:dyDescent="0.3">
      <c r="A389">
        <v>159706104</v>
      </c>
      <c r="B389" s="1">
        <v>44862</v>
      </c>
      <c r="C389" t="s">
        <v>19</v>
      </c>
      <c r="D389" t="s">
        <v>7</v>
      </c>
      <c r="E389">
        <v>39</v>
      </c>
      <c r="F389" t="s">
        <v>6</v>
      </c>
      <c r="G389" t="str">
        <f t="shared" si="18"/>
        <v>Active</v>
      </c>
      <c r="H389" s="1" t="str">
        <f t="shared" si="19"/>
        <v>Friday</v>
      </c>
    </row>
    <row r="390" spans="1:8" x14ac:dyDescent="0.3">
      <c r="A390">
        <v>150704581</v>
      </c>
      <c r="B390" s="1">
        <v>44862</v>
      </c>
      <c r="C390" s="1">
        <v>45056</v>
      </c>
      <c r="D390" t="s">
        <v>7</v>
      </c>
      <c r="E390">
        <v>39</v>
      </c>
      <c r="F390" t="s">
        <v>6</v>
      </c>
      <c r="G390">
        <f t="shared" si="18"/>
        <v>194</v>
      </c>
      <c r="H390" s="1" t="str">
        <f t="shared" si="19"/>
        <v>Friday</v>
      </c>
    </row>
    <row r="391" spans="1:8" x14ac:dyDescent="0.3">
      <c r="A391">
        <v>159733207</v>
      </c>
      <c r="B391" s="1">
        <v>44862</v>
      </c>
      <c r="C391" s="1">
        <v>44984</v>
      </c>
      <c r="D391" t="s">
        <v>7</v>
      </c>
      <c r="E391">
        <v>39</v>
      </c>
      <c r="F391" t="s">
        <v>6</v>
      </c>
      <c r="G391">
        <f t="shared" si="18"/>
        <v>122</v>
      </c>
      <c r="H391" s="1" t="str">
        <f t="shared" si="19"/>
        <v>Friday</v>
      </c>
    </row>
    <row r="392" spans="1:8" x14ac:dyDescent="0.3">
      <c r="A392">
        <v>159775056</v>
      </c>
      <c r="B392" s="1">
        <v>44862</v>
      </c>
      <c r="C392" s="1">
        <v>45016</v>
      </c>
      <c r="D392" t="s">
        <v>7</v>
      </c>
      <c r="E392">
        <v>39</v>
      </c>
      <c r="F392" t="s">
        <v>6</v>
      </c>
      <c r="G392">
        <f t="shared" si="18"/>
        <v>154</v>
      </c>
      <c r="H392" s="1" t="str">
        <f t="shared" si="19"/>
        <v>Friday</v>
      </c>
    </row>
    <row r="393" spans="1:8" x14ac:dyDescent="0.3">
      <c r="A393">
        <v>144328609</v>
      </c>
      <c r="B393" s="1">
        <v>44862</v>
      </c>
      <c r="C393" s="1">
        <v>44920</v>
      </c>
      <c r="D393" t="s">
        <v>7</v>
      </c>
      <c r="E393">
        <v>39</v>
      </c>
      <c r="F393" t="s">
        <v>6</v>
      </c>
      <c r="G393">
        <f t="shared" si="18"/>
        <v>58</v>
      </c>
      <c r="H393" s="1" t="str">
        <f t="shared" si="19"/>
        <v>Friday</v>
      </c>
    </row>
    <row r="394" spans="1:8" x14ac:dyDescent="0.3">
      <c r="A394">
        <v>153172687</v>
      </c>
      <c r="B394" s="1">
        <v>44862</v>
      </c>
      <c r="C394" s="1">
        <v>45159</v>
      </c>
      <c r="D394" t="s">
        <v>7</v>
      </c>
      <c r="E394">
        <v>39</v>
      </c>
      <c r="F394" t="s">
        <v>6</v>
      </c>
      <c r="G394">
        <f t="shared" si="18"/>
        <v>297</v>
      </c>
      <c r="H394" s="1" t="str">
        <f t="shared" si="19"/>
        <v>Friday</v>
      </c>
    </row>
    <row r="395" spans="1:8" x14ac:dyDescent="0.3">
      <c r="A395">
        <v>159861170</v>
      </c>
      <c r="B395" s="1">
        <v>44863</v>
      </c>
      <c r="C395" t="s">
        <v>19</v>
      </c>
      <c r="D395" t="s">
        <v>7</v>
      </c>
      <c r="E395">
        <v>39</v>
      </c>
      <c r="F395" t="s">
        <v>6</v>
      </c>
      <c r="G395" t="str">
        <f t="shared" si="18"/>
        <v>Active</v>
      </c>
      <c r="H395" s="1" t="str">
        <f t="shared" si="19"/>
        <v>Saturday</v>
      </c>
    </row>
    <row r="396" spans="1:8" x14ac:dyDescent="0.3">
      <c r="A396">
        <v>133474642</v>
      </c>
      <c r="B396" s="1">
        <v>44863</v>
      </c>
      <c r="C396" s="1">
        <v>44915</v>
      </c>
      <c r="D396" t="s">
        <v>7</v>
      </c>
      <c r="E396">
        <v>39</v>
      </c>
      <c r="F396" t="s">
        <v>6</v>
      </c>
      <c r="G396">
        <f t="shared" si="18"/>
        <v>52</v>
      </c>
      <c r="H396" s="1" t="str">
        <f t="shared" si="19"/>
        <v>Saturday</v>
      </c>
    </row>
    <row r="397" spans="1:8" x14ac:dyDescent="0.3">
      <c r="A397">
        <v>159817608</v>
      </c>
      <c r="B397" s="1">
        <v>44863</v>
      </c>
      <c r="C397" s="1">
        <v>45008</v>
      </c>
      <c r="D397" t="s">
        <v>7</v>
      </c>
      <c r="E397">
        <v>39</v>
      </c>
      <c r="F397" t="s">
        <v>6</v>
      </c>
      <c r="G397">
        <f t="shared" si="18"/>
        <v>145</v>
      </c>
      <c r="H397" s="1" t="str">
        <f t="shared" si="19"/>
        <v>Saturday</v>
      </c>
    </row>
    <row r="398" spans="1:8" x14ac:dyDescent="0.3">
      <c r="A398">
        <v>159867686</v>
      </c>
      <c r="B398" s="1">
        <v>44863</v>
      </c>
      <c r="C398" s="1">
        <v>44931</v>
      </c>
      <c r="D398" t="s">
        <v>7</v>
      </c>
      <c r="E398">
        <v>39</v>
      </c>
      <c r="F398" t="s">
        <v>6</v>
      </c>
      <c r="G398">
        <f t="shared" si="18"/>
        <v>68</v>
      </c>
      <c r="H398" s="1" t="str">
        <f t="shared" si="19"/>
        <v>Saturday</v>
      </c>
    </row>
    <row r="399" spans="1:8" x14ac:dyDescent="0.3">
      <c r="A399">
        <v>158484064</v>
      </c>
      <c r="B399" s="1">
        <v>44863</v>
      </c>
      <c r="C399" s="1">
        <v>44931</v>
      </c>
      <c r="D399" t="s">
        <v>7</v>
      </c>
      <c r="E399">
        <v>39</v>
      </c>
      <c r="F399" t="s">
        <v>6</v>
      </c>
      <c r="G399">
        <f t="shared" si="18"/>
        <v>68</v>
      </c>
      <c r="H399" s="1" t="str">
        <f t="shared" si="19"/>
        <v>Saturday</v>
      </c>
    </row>
    <row r="400" spans="1:8" x14ac:dyDescent="0.3">
      <c r="A400">
        <v>159829834</v>
      </c>
      <c r="B400" s="1">
        <v>44864</v>
      </c>
      <c r="C400" t="s">
        <v>19</v>
      </c>
      <c r="D400" t="s">
        <v>7</v>
      </c>
      <c r="E400">
        <v>39</v>
      </c>
      <c r="F400" t="s">
        <v>6</v>
      </c>
      <c r="G400" t="str">
        <f t="shared" si="18"/>
        <v>Active</v>
      </c>
      <c r="H400" s="1" t="str">
        <f t="shared" si="19"/>
        <v>Sunday</v>
      </c>
    </row>
    <row r="401" spans="1:8" x14ac:dyDescent="0.3">
      <c r="A401">
        <v>159875790</v>
      </c>
      <c r="B401" s="1">
        <v>44864</v>
      </c>
      <c r="C401" s="1">
        <v>44992</v>
      </c>
      <c r="D401" t="s">
        <v>7</v>
      </c>
      <c r="E401">
        <v>39</v>
      </c>
      <c r="F401" t="s">
        <v>6</v>
      </c>
      <c r="G401">
        <f t="shared" si="18"/>
        <v>128</v>
      </c>
      <c r="H401" s="1" t="str">
        <f t="shared" si="19"/>
        <v>Sunday</v>
      </c>
    </row>
    <row r="402" spans="1:8" x14ac:dyDescent="0.3">
      <c r="A402">
        <v>155520280</v>
      </c>
      <c r="B402" s="1">
        <v>44864</v>
      </c>
      <c r="C402" s="1">
        <v>44902</v>
      </c>
      <c r="D402" t="s">
        <v>7</v>
      </c>
      <c r="E402">
        <v>39</v>
      </c>
      <c r="F402" t="s">
        <v>6</v>
      </c>
      <c r="G402">
        <f t="shared" si="18"/>
        <v>38</v>
      </c>
      <c r="H402" s="1" t="str">
        <f t="shared" si="19"/>
        <v>Sunday</v>
      </c>
    </row>
    <row r="403" spans="1:8" x14ac:dyDescent="0.3">
      <c r="A403">
        <v>159783942</v>
      </c>
      <c r="B403" s="1">
        <v>44864</v>
      </c>
      <c r="C403" s="1">
        <v>44923</v>
      </c>
      <c r="D403" t="s">
        <v>7</v>
      </c>
      <c r="E403">
        <v>39</v>
      </c>
      <c r="F403" t="s">
        <v>6</v>
      </c>
      <c r="G403">
        <f t="shared" si="18"/>
        <v>59</v>
      </c>
      <c r="H403" s="1" t="str">
        <f t="shared" si="19"/>
        <v>Sunday</v>
      </c>
    </row>
    <row r="404" spans="1:8" x14ac:dyDescent="0.3">
      <c r="A404">
        <v>149696432</v>
      </c>
      <c r="B404" s="1">
        <v>44864</v>
      </c>
      <c r="C404" s="1">
        <v>44891</v>
      </c>
      <c r="D404" t="s">
        <v>7</v>
      </c>
      <c r="E404">
        <v>39</v>
      </c>
      <c r="F404" t="s">
        <v>6</v>
      </c>
      <c r="G404">
        <f t="shared" si="18"/>
        <v>27</v>
      </c>
      <c r="H404" s="1" t="str">
        <f t="shared" si="19"/>
        <v>Sunday</v>
      </c>
    </row>
    <row r="405" spans="1:8" x14ac:dyDescent="0.3">
      <c r="A405">
        <v>159979372</v>
      </c>
      <c r="B405" s="1">
        <v>44865</v>
      </c>
      <c r="C405" t="s">
        <v>19</v>
      </c>
      <c r="D405" t="s">
        <v>7</v>
      </c>
      <c r="E405">
        <v>39</v>
      </c>
      <c r="F405" t="s">
        <v>6</v>
      </c>
      <c r="G405" t="str">
        <f t="shared" si="18"/>
        <v>Active</v>
      </c>
      <c r="H405" s="1" t="str">
        <f t="shared" si="19"/>
        <v>Monday</v>
      </c>
    </row>
    <row r="406" spans="1:8" x14ac:dyDescent="0.3">
      <c r="A406">
        <v>153814649</v>
      </c>
      <c r="B406" s="1">
        <v>44865</v>
      </c>
      <c r="C406" t="s">
        <v>19</v>
      </c>
      <c r="D406" t="s">
        <v>7</v>
      </c>
      <c r="E406">
        <v>39</v>
      </c>
      <c r="F406" t="s">
        <v>6</v>
      </c>
      <c r="G406" t="str">
        <f t="shared" si="18"/>
        <v>Active</v>
      </c>
      <c r="H406" s="1" t="str">
        <f t="shared" si="19"/>
        <v>Monday</v>
      </c>
    </row>
    <row r="407" spans="1:8" x14ac:dyDescent="0.3">
      <c r="A407">
        <v>159931469</v>
      </c>
      <c r="B407" s="1">
        <v>44865</v>
      </c>
      <c r="C407" t="s">
        <v>19</v>
      </c>
      <c r="D407" t="s">
        <v>7</v>
      </c>
      <c r="E407">
        <v>39</v>
      </c>
      <c r="F407" t="s">
        <v>6</v>
      </c>
      <c r="G407" t="str">
        <f t="shared" si="18"/>
        <v>Active</v>
      </c>
      <c r="H407" s="1" t="str">
        <f t="shared" si="19"/>
        <v>Monday</v>
      </c>
    </row>
    <row r="408" spans="1:8" x14ac:dyDescent="0.3">
      <c r="A408">
        <v>138061210</v>
      </c>
      <c r="B408" s="1">
        <v>44865</v>
      </c>
      <c r="C408" s="1">
        <v>44865</v>
      </c>
      <c r="D408" t="s">
        <v>7</v>
      </c>
      <c r="E408">
        <v>39</v>
      </c>
      <c r="F408" t="s">
        <v>6</v>
      </c>
      <c r="G408">
        <f t="shared" si="18"/>
        <v>0</v>
      </c>
      <c r="H408" s="1" t="str">
        <f t="shared" si="19"/>
        <v>Monday</v>
      </c>
    </row>
    <row r="409" spans="1:8" x14ac:dyDescent="0.3">
      <c r="A409">
        <v>141403460</v>
      </c>
      <c r="B409" s="1">
        <v>44865</v>
      </c>
      <c r="C409" s="1">
        <v>44942</v>
      </c>
      <c r="D409" t="s">
        <v>7</v>
      </c>
      <c r="E409">
        <v>39</v>
      </c>
      <c r="F409" t="s">
        <v>6</v>
      </c>
      <c r="G409">
        <f t="shared" si="18"/>
        <v>77</v>
      </c>
      <c r="H409" s="1" t="str">
        <f t="shared" si="19"/>
        <v>Monday</v>
      </c>
    </row>
    <row r="410" spans="1:8" x14ac:dyDescent="0.3">
      <c r="A410">
        <v>159991922</v>
      </c>
      <c r="B410" s="1">
        <v>44865</v>
      </c>
      <c r="C410" s="1">
        <v>44912</v>
      </c>
      <c r="D410" t="s">
        <v>7</v>
      </c>
      <c r="E410">
        <v>39</v>
      </c>
      <c r="F410" t="s">
        <v>6</v>
      </c>
      <c r="G410">
        <f t="shared" si="18"/>
        <v>47</v>
      </c>
      <c r="H410" s="1" t="str">
        <f t="shared" si="19"/>
        <v>Monday</v>
      </c>
    </row>
    <row r="411" spans="1:8" x14ac:dyDescent="0.3">
      <c r="A411">
        <v>159241648</v>
      </c>
      <c r="B411" s="1">
        <v>44865</v>
      </c>
      <c r="C411" s="1">
        <v>44909</v>
      </c>
      <c r="D411" t="s">
        <v>7</v>
      </c>
      <c r="E411">
        <v>39</v>
      </c>
      <c r="F411" t="s">
        <v>6</v>
      </c>
      <c r="G411">
        <f t="shared" si="18"/>
        <v>44</v>
      </c>
      <c r="H411" s="1" t="str">
        <f t="shared" si="19"/>
        <v>Monday</v>
      </c>
    </row>
    <row r="412" spans="1:8" x14ac:dyDescent="0.3">
      <c r="A412">
        <v>150703411</v>
      </c>
      <c r="B412" s="1">
        <v>44865</v>
      </c>
      <c r="C412" s="1">
        <v>44896</v>
      </c>
      <c r="D412" t="s">
        <v>7</v>
      </c>
      <c r="E412">
        <v>39</v>
      </c>
      <c r="F412" t="s">
        <v>6</v>
      </c>
      <c r="G412">
        <f t="shared" si="18"/>
        <v>31</v>
      </c>
      <c r="H412" s="1" t="str">
        <f t="shared" si="19"/>
        <v>Monday</v>
      </c>
    </row>
    <row r="413" spans="1:8" x14ac:dyDescent="0.3">
      <c r="A413">
        <v>159773641</v>
      </c>
      <c r="B413" s="1">
        <v>44865</v>
      </c>
      <c r="C413" s="1">
        <v>44880</v>
      </c>
      <c r="D413" t="s">
        <v>7</v>
      </c>
      <c r="E413">
        <v>39</v>
      </c>
      <c r="F413" t="s">
        <v>6</v>
      </c>
      <c r="G413">
        <f t="shared" si="18"/>
        <v>15</v>
      </c>
      <c r="H413" s="1" t="str">
        <f t="shared" si="19"/>
        <v>Monday</v>
      </c>
    </row>
    <row r="414" spans="1:8" x14ac:dyDescent="0.3">
      <c r="A414">
        <v>128002797</v>
      </c>
      <c r="B414" s="1">
        <v>44865</v>
      </c>
      <c r="C414" s="1">
        <v>44895</v>
      </c>
      <c r="D414" t="s">
        <v>7</v>
      </c>
      <c r="E414">
        <v>39</v>
      </c>
      <c r="F414" t="s">
        <v>6</v>
      </c>
      <c r="G414">
        <f t="shared" si="18"/>
        <v>30</v>
      </c>
      <c r="H414" s="1" t="str">
        <f t="shared" si="19"/>
        <v>Monday</v>
      </c>
    </row>
    <row r="415" spans="1:8" x14ac:dyDescent="0.3">
      <c r="A415">
        <v>155807489</v>
      </c>
      <c r="B415" s="1">
        <v>44866</v>
      </c>
      <c r="C415" s="1">
        <v>44867</v>
      </c>
      <c r="D415" t="s">
        <v>8</v>
      </c>
      <c r="E415">
        <v>39</v>
      </c>
      <c r="F415" t="s">
        <v>6</v>
      </c>
      <c r="G415">
        <f t="shared" si="18"/>
        <v>1</v>
      </c>
      <c r="H415" s="1" t="str">
        <f t="shared" si="19"/>
        <v>Tuesday</v>
      </c>
    </row>
    <row r="416" spans="1:8" x14ac:dyDescent="0.3">
      <c r="A416">
        <v>143077712</v>
      </c>
      <c r="B416" s="1">
        <v>44866</v>
      </c>
      <c r="C416" s="1">
        <v>44867</v>
      </c>
      <c r="D416" t="s">
        <v>8</v>
      </c>
      <c r="E416">
        <v>39</v>
      </c>
      <c r="F416" t="s">
        <v>6</v>
      </c>
      <c r="G416">
        <f t="shared" si="18"/>
        <v>1</v>
      </c>
      <c r="H416" s="1" t="str">
        <f t="shared" si="19"/>
        <v>Tuesday</v>
      </c>
    </row>
    <row r="417" spans="1:8" x14ac:dyDescent="0.3">
      <c r="A417">
        <v>159745646</v>
      </c>
      <c r="B417" s="1">
        <v>44866</v>
      </c>
      <c r="C417" s="1">
        <v>45030</v>
      </c>
      <c r="D417" t="s">
        <v>7</v>
      </c>
      <c r="E417">
        <v>39</v>
      </c>
      <c r="F417" t="s">
        <v>6</v>
      </c>
      <c r="G417">
        <f t="shared" si="18"/>
        <v>164</v>
      </c>
      <c r="H417" s="1" t="str">
        <f t="shared" si="19"/>
        <v>Tuesday</v>
      </c>
    </row>
    <row r="418" spans="1:8" x14ac:dyDescent="0.3">
      <c r="A418">
        <v>139004918</v>
      </c>
      <c r="B418" s="1">
        <v>44866</v>
      </c>
      <c r="C418" s="1">
        <v>44896</v>
      </c>
      <c r="D418" t="s">
        <v>7</v>
      </c>
      <c r="E418">
        <v>39</v>
      </c>
      <c r="F418" t="s">
        <v>6</v>
      </c>
      <c r="G418">
        <f t="shared" si="18"/>
        <v>30</v>
      </c>
      <c r="H418" s="1" t="str">
        <f t="shared" si="19"/>
        <v>Tuesday</v>
      </c>
    </row>
    <row r="419" spans="1:8" x14ac:dyDescent="0.3">
      <c r="A419">
        <v>153255183</v>
      </c>
      <c r="B419" s="1">
        <v>44866</v>
      </c>
      <c r="C419" s="1">
        <v>44973</v>
      </c>
      <c r="D419" t="s">
        <v>7</v>
      </c>
      <c r="E419">
        <v>39</v>
      </c>
      <c r="F419" t="s">
        <v>6</v>
      </c>
      <c r="G419">
        <f t="shared" si="18"/>
        <v>107</v>
      </c>
      <c r="H419" s="1" t="str">
        <f t="shared" si="19"/>
        <v>Tuesday</v>
      </c>
    </row>
    <row r="420" spans="1:8" x14ac:dyDescent="0.3">
      <c r="A420">
        <v>157708746</v>
      </c>
      <c r="B420" s="1">
        <v>44866</v>
      </c>
      <c r="C420" s="1">
        <v>44957</v>
      </c>
      <c r="D420" t="s">
        <v>7</v>
      </c>
      <c r="E420">
        <v>39</v>
      </c>
      <c r="F420" t="s">
        <v>6</v>
      </c>
      <c r="G420">
        <f t="shared" si="18"/>
        <v>91</v>
      </c>
      <c r="H420" s="1" t="str">
        <f t="shared" si="19"/>
        <v>Tuesday</v>
      </c>
    </row>
    <row r="421" spans="1:8" x14ac:dyDescent="0.3">
      <c r="A421">
        <v>155652993</v>
      </c>
      <c r="B421" s="1">
        <v>44866</v>
      </c>
      <c r="C421" s="1">
        <v>44934</v>
      </c>
      <c r="D421" t="s">
        <v>7</v>
      </c>
      <c r="E421">
        <v>39</v>
      </c>
      <c r="F421" t="s">
        <v>6</v>
      </c>
      <c r="G421">
        <f t="shared" si="18"/>
        <v>68</v>
      </c>
      <c r="H421" s="1" t="str">
        <f t="shared" si="19"/>
        <v>Tuesday</v>
      </c>
    </row>
    <row r="422" spans="1:8" x14ac:dyDescent="0.3">
      <c r="A422">
        <v>159977918</v>
      </c>
      <c r="B422" s="1">
        <v>44866</v>
      </c>
      <c r="C422" s="1">
        <v>44950</v>
      </c>
      <c r="D422" t="s">
        <v>7</v>
      </c>
      <c r="E422">
        <v>39</v>
      </c>
      <c r="F422" t="s">
        <v>6</v>
      </c>
      <c r="G422">
        <f t="shared" si="18"/>
        <v>84</v>
      </c>
      <c r="H422" s="1" t="str">
        <f t="shared" si="19"/>
        <v>Tuesday</v>
      </c>
    </row>
    <row r="423" spans="1:8" x14ac:dyDescent="0.3">
      <c r="A423">
        <v>160108159</v>
      </c>
      <c r="B423" s="1">
        <v>44866</v>
      </c>
      <c r="C423" s="1">
        <v>44899</v>
      </c>
      <c r="D423" t="s">
        <v>7</v>
      </c>
      <c r="E423">
        <v>39</v>
      </c>
      <c r="F423" t="s">
        <v>6</v>
      </c>
      <c r="G423">
        <f t="shared" si="18"/>
        <v>33</v>
      </c>
      <c r="H423" s="1" t="str">
        <f t="shared" si="19"/>
        <v>Tuesday</v>
      </c>
    </row>
    <row r="424" spans="1:8" x14ac:dyDescent="0.3">
      <c r="A424">
        <v>160051910</v>
      </c>
      <c r="B424" s="1">
        <v>44866</v>
      </c>
      <c r="C424" s="1">
        <v>44874</v>
      </c>
      <c r="D424" t="s">
        <v>7</v>
      </c>
      <c r="E424">
        <v>39</v>
      </c>
      <c r="F424" t="s">
        <v>6</v>
      </c>
      <c r="G424">
        <f t="shared" si="18"/>
        <v>8</v>
      </c>
      <c r="H424" s="1" t="str">
        <f t="shared" si="19"/>
        <v>Tuesday</v>
      </c>
    </row>
    <row r="425" spans="1:8" x14ac:dyDescent="0.3">
      <c r="A425">
        <v>146169043</v>
      </c>
      <c r="B425" s="1">
        <v>44866</v>
      </c>
      <c r="C425" s="1">
        <v>45148</v>
      </c>
      <c r="D425" t="s">
        <v>7</v>
      </c>
      <c r="E425">
        <v>39</v>
      </c>
      <c r="F425" t="s">
        <v>6</v>
      </c>
      <c r="G425">
        <f t="shared" si="18"/>
        <v>282</v>
      </c>
      <c r="H425" s="1" t="str">
        <f t="shared" si="19"/>
        <v>Tuesday</v>
      </c>
    </row>
    <row r="426" spans="1:8" x14ac:dyDescent="0.3">
      <c r="A426">
        <v>159927090</v>
      </c>
      <c r="B426" s="1">
        <v>44867</v>
      </c>
      <c r="C426" t="s">
        <v>19</v>
      </c>
      <c r="D426" t="s">
        <v>7</v>
      </c>
      <c r="E426">
        <v>39</v>
      </c>
      <c r="F426" t="s">
        <v>6</v>
      </c>
      <c r="G426" t="str">
        <f t="shared" si="18"/>
        <v>Active</v>
      </c>
      <c r="H426" s="1" t="str">
        <f t="shared" si="19"/>
        <v>Wednesday</v>
      </c>
    </row>
    <row r="427" spans="1:8" x14ac:dyDescent="0.3">
      <c r="A427">
        <v>149188028</v>
      </c>
      <c r="B427" s="1">
        <v>44867</v>
      </c>
      <c r="C427" t="s">
        <v>19</v>
      </c>
      <c r="D427" t="s">
        <v>7</v>
      </c>
      <c r="E427">
        <v>39</v>
      </c>
      <c r="F427" t="s">
        <v>6</v>
      </c>
      <c r="G427" t="str">
        <f t="shared" si="18"/>
        <v>Active</v>
      </c>
      <c r="H427" s="1" t="str">
        <f t="shared" si="19"/>
        <v>Wednesday</v>
      </c>
    </row>
    <row r="428" spans="1:8" x14ac:dyDescent="0.3">
      <c r="A428">
        <v>138535334</v>
      </c>
      <c r="B428" s="1">
        <v>44867</v>
      </c>
      <c r="C428" s="1">
        <v>44910</v>
      </c>
      <c r="D428" t="s">
        <v>7</v>
      </c>
      <c r="E428">
        <v>39</v>
      </c>
      <c r="F428" t="s">
        <v>6</v>
      </c>
      <c r="G428">
        <f t="shared" si="18"/>
        <v>43</v>
      </c>
      <c r="H428" s="1" t="str">
        <f t="shared" si="19"/>
        <v>Wednesday</v>
      </c>
    </row>
    <row r="429" spans="1:8" x14ac:dyDescent="0.3">
      <c r="A429">
        <v>159901871</v>
      </c>
      <c r="B429" s="1">
        <v>44867</v>
      </c>
      <c r="C429" s="1">
        <v>44904</v>
      </c>
      <c r="D429" t="s">
        <v>7</v>
      </c>
      <c r="E429">
        <v>39</v>
      </c>
      <c r="F429" t="s">
        <v>6</v>
      </c>
      <c r="G429">
        <f t="shared" si="18"/>
        <v>37</v>
      </c>
      <c r="H429" s="1" t="str">
        <f t="shared" si="19"/>
        <v>Wednesday</v>
      </c>
    </row>
    <row r="430" spans="1:8" x14ac:dyDescent="0.3">
      <c r="A430">
        <v>159620660</v>
      </c>
      <c r="B430" s="1">
        <v>44867</v>
      </c>
      <c r="C430" s="1">
        <v>44907</v>
      </c>
      <c r="D430" t="s">
        <v>7</v>
      </c>
      <c r="E430">
        <v>39</v>
      </c>
      <c r="F430" t="s">
        <v>6</v>
      </c>
      <c r="G430">
        <f t="shared" si="18"/>
        <v>40</v>
      </c>
      <c r="H430" s="1" t="str">
        <f t="shared" si="19"/>
        <v>Wednesday</v>
      </c>
    </row>
    <row r="431" spans="1:8" x14ac:dyDescent="0.3">
      <c r="A431">
        <v>160199525</v>
      </c>
      <c r="B431" s="1">
        <v>44867</v>
      </c>
      <c r="C431" s="1">
        <v>44888</v>
      </c>
      <c r="D431" t="s">
        <v>7</v>
      </c>
      <c r="E431">
        <v>39</v>
      </c>
      <c r="F431" t="s">
        <v>6</v>
      </c>
      <c r="G431">
        <f t="shared" si="18"/>
        <v>21</v>
      </c>
      <c r="H431" s="1" t="str">
        <f t="shared" si="19"/>
        <v>Wednesday</v>
      </c>
    </row>
    <row r="432" spans="1:8" x14ac:dyDescent="0.3">
      <c r="A432">
        <v>160183686</v>
      </c>
      <c r="B432" s="1">
        <v>44868</v>
      </c>
      <c r="C432" s="1">
        <v>44869</v>
      </c>
      <c r="D432" t="s">
        <v>8</v>
      </c>
      <c r="E432">
        <v>39</v>
      </c>
      <c r="F432" t="s">
        <v>6</v>
      </c>
      <c r="G432">
        <f t="shared" si="18"/>
        <v>1</v>
      </c>
      <c r="H432" s="1" t="str">
        <f t="shared" si="19"/>
        <v>Thursday</v>
      </c>
    </row>
    <row r="433" spans="1:8" x14ac:dyDescent="0.3">
      <c r="A433">
        <v>152504354</v>
      </c>
      <c r="B433" s="1">
        <v>44868</v>
      </c>
      <c r="C433" s="1">
        <v>44988</v>
      </c>
      <c r="D433" t="s">
        <v>7</v>
      </c>
      <c r="E433">
        <v>39</v>
      </c>
      <c r="F433" t="s">
        <v>6</v>
      </c>
      <c r="G433">
        <f t="shared" si="18"/>
        <v>120</v>
      </c>
      <c r="H433" s="1" t="str">
        <f t="shared" si="19"/>
        <v>Thursday</v>
      </c>
    </row>
    <row r="434" spans="1:8" x14ac:dyDescent="0.3">
      <c r="A434">
        <v>143164854</v>
      </c>
      <c r="B434" s="1">
        <v>44868</v>
      </c>
      <c r="C434" s="1">
        <v>44975</v>
      </c>
      <c r="D434" t="s">
        <v>7</v>
      </c>
      <c r="E434">
        <v>39</v>
      </c>
      <c r="F434" t="s">
        <v>6</v>
      </c>
      <c r="G434">
        <f t="shared" si="18"/>
        <v>107</v>
      </c>
      <c r="H434" s="1" t="str">
        <f t="shared" si="19"/>
        <v>Thursday</v>
      </c>
    </row>
    <row r="435" spans="1:8" x14ac:dyDescent="0.3">
      <c r="A435">
        <v>160366020</v>
      </c>
      <c r="B435" s="1">
        <v>44868</v>
      </c>
      <c r="C435" s="1">
        <v>44898</v>
      </c>
      <c r="D435" t="s">
        <v>7</v>
      </c>
      <c r="E435">
        <v>39</v>
      </c>
      <c r="F435" t="s">
        <v>6</v>
      </c>
      <c r="G435">
        <f t="shared" si="18"/>
        <v>30</v>
      </c>
      <c r="H435" s="1" t="str">
        <f t="shared" si="19"/>
        <v>Thursday</v>
      </c>
    </row>
    <row r="436" spans="1:8" x14ac:dyDescent="0.3">
      <c r="A436">
        <v>160298168</v>
      </c>
      <c r="B436" s="1">
        <v>44868</v>
      </c>
      <c r="C436" s="1">
        <v>44897</v>
      </c>
      <c r="D436" t="s">
        <v>7</v>
      </c>
      <c r="E436">
        <v>39</v>
      </c>
      <c r="F436" t="s">
        <v>6</v>
      </c>
      <c r="G436">
        <f t="shared" si="18"/>
        <v>29</v>
      </c>
      <c r="H436" s="1" t="str">
        <f t="shared" si="19"/>
        <v>Thursday</v>
      </c>
    </row>
    <row r="437" spans="1:8" x14ac:dyDescent="0.3">
      <c r="A437">
        <v>160243008</v>
      </c>
      <c r="B437" s="1">
        <v>44868</v>
      </c>
      <c r="C437" s="1">
        <v>44924</v>
      </c>
      <c r="D437" t="s">
        <v>7</v>
      </c>
      <c r="E437">
        <v>39</v>
      </c>
      <c r="F437" t="s">
        <v>6</v>
      </c>
      <c r="G437">
        <f t="shared" si="18"/>
        <v>56</v>
      </c>
      <c r="H437" s="1" t="str">
        <f t="shared" si="19"/>
        <v>Thursday</v>
      </c>
    </row>
    <row r="438" spans="1:8" x14ac:dyDescent="0.3">
      <c r="A438">
        <v>150878120</v>
      </c>
      <c r="B438" s="1">
        <v>44868</v>
      </c>
      <c r="C438" s="1">
        <v>44905</v>
      </c>
      <c r="D438" t="s">
        <v>7</v>
      </c>
      <c r="E438">
        <v>39</v>
      </c>
      <c r="F438" t="s">
        <v>6</v>
      </c>
      <c r="G438">
        <f t="shared" si="18"/>
        <v>37</v>
      </c>
      <c r="H438" s="1" t="str">
        <f t="shared" si="19"/>
        <v>Thursday</v>
      </c>
    </row>
    <row r="439" spans="1:8" x14ac:dyDescent="0.3">
      <c r="A439">
        <v>160208723</v>
      </c>
      <c r="B439" s="1">
        <v>44869</v>
      </c>
      <c r="C439" t="s">
        <v>19</v>
      </c>
      <c r="D439" t="s">
        <v>7</v>
      </c>
      <c r="E439">
        <v>39</v>
      </c>
      <c r="F439" t="s">
        <v>6</v>
      </c>
      <c r="G439" t="str">
        <f t="shared" si="18"/>
        <v>Active</v>
      </c>
      <c r="H439" s="1" t="str">
        <f t="shared" si="19"/>
        <v>Friday</v>
      </c>
    </row>
    <row r="440" spans="1:8" x14ac:dyDescent="0.3">
      <c r="A440">
        <v>153539322</v>
      </c>
      <c r="B440" s="1">
        <v>44869</v>
      </c>
      <c r="C440" s="1">
        <v>44964</v>
      </c>
      <c r="D440" t="s">
        <v>7</v>
      </c>
      <c r="E440">
        <v>39</v>
      </c>
      <c r="F440" t="s">
        <v>6</v>
      </c>
      <c r="G440">
        <f t="shared" si="18"/>
        <v>95</v>
      </c>
      <c r="H440" s="1" t="str">
        <f t="shared" si="19"/>
        <v>Friday</v>
      </c>
    </row>
    <row r="441" spans="1:8" x14ac:dyDescent="0.3">
      <c r="A441">
        <v>160164472</v>
      </c>
      <c r="B441" s="1">
        <v>44869</v>
      </c>
      <c r="C441" s="1">
        <v>44981</v>
      </c>
      <c r="D441" t="s">
        <v>7</v>
      </c>
      <c r="E441">
        <v>39</v>
      </c>
      <c r="F441" t="s">
        <v>6</v>
      </c>
      <c r="G441">
        <f t="shared" si="18"/>
        <v>112</v>
      </c>
      <c r="H441" s="1" t="str">
        <f t="shared" si="19"/>
        <v>Friday</v>
      </c>
    </row>
    <row r="442" spans="1:8" x14ac:dyDescent="0.3">
      <c r="A442">
        <v>160193644</v>
      </c>
      <c r="B442" s="1">
        <v>44869</v>
      </c>
      <c r="C442" s="1">
        <v>44937</v>
      </c>
      <c r="D442" t="s">
        <v>7</v>
      </c>
      <c r="E442">
        <v>39</v>
      </c>
      <c r="F442" t="s">
        <v>6</v>
      </c>
      <c r="G442">
        <f t="shared" si="18"/>
        <v>68</v>
      </c>
      <c r="H442" s="1" t="str">
        <f t="shared" si="19"/>
        <v>Friday</v>
      </c>
    </row>
    <row r="443" spans="1:8" x14ac:dyDescent="0.3">
      <c r="A443">
        <v>156294098</v>
      </c>
      <c r="B443" s="1">
        <v>44869</v>
      </c>
      <c r="C443" s="1">
        <v>44898</v>
      </c>
      <c r="D443" t="s">
        <v>7</v>
      </c>
      <c r="E443">
        <v>39</v>
      </c>
      <c r="F443" t="s">
        <v>6</v>
      </c>
      <c r="G443">
        <f t="shared" si="18"/>
        <v>29</v>
      </c>
      <c r="H443" s="1" t="str">
        <f t="shared" si="19"/>
        <v>Friday</v>
      </c>
    </row>
    <row r="444" spans="1:8" x14ac:dyDescent="0.3">
      <c r="A444">
        <v>146625866</v>
      </c>
      <c r="B444" s="1">
        <v>44869</v>
      </c>
      <c r="C444" s="1">
        <v>44884</v>
      </c>
      <c r="D444" t="s">
        <v>7</v>
      </c>
      <c r="E444">
        <v>39</v>
      </c>
      <c r="F444" t="s">
        <v>6</v>
      </c>
      <c r="G444">
        <f t="shared" si="18"/>
        <v>15</v>
      </c>
      <c r="H444" s="1" t="str">
        <f t="shared" si="19"/>
        <v>Friday</v>
      </c>
    </row>
    <row r="445" spans="1:8" x14ac:dyDescent="0.3">
      <c r="A445">
        <v>157663870</v>
      </c>
      <c r="B445" s="1">
        <v>44870</v>
      </c>
      <c r="C445" s="1">
        <v>44871</v>
      </c>
      <c r="D445" t="s">
        <v>7</v>
      </c>
      <c r="E445">
        <v>39</v>
      </c>
      <c r="F445" t="s">
        <v>6</v>
      </c>
      <c r="G445">
        <f t="shared" si="18"/>
        <v>1</v>
      </c>
      <c r="H445" s="1" t="str">
        <f t="shared" si="19"/>
        <v>Saturday</v>
      </c>
    </row>
    <row r="446" spans="1:8" x14ac:dyDescent="0.3">
      <c r="A446">
        <v>159679042</v>
      </c>
      <c r="B446" s="1">
        <v>44870</v>
      </c>
      <c r="C446" s="1">
        <v>44871</v>
      </c>
      <c r="D446" t="s">
        <v>8</v>
      </c>
      <c r="E446">
        <v>39</v>
      </c>
      <c r="F446" t="s">
        <v>6</v>
      </c>
      <c r="G446">
        <f t="shared" si="18"/>
        <v>1</v>
      </c>
      <c r="H446" s="1" t="str">
        <f t="shared" si="19"/>
        <v>Saturday</v>
      </c>
    </row>
    <row r="447" spans="1:8" x14ac:dyDescent="0.3">
      <c r="A447">
        <v>160558904</v>
      </c>
      <c r="B447" s="1">
        <v>44870</v>
      </c>
      <c r="C447" s="1">
        <v>44950</v>
      </c>
      <c r="D447" t="s">
        <v>7</v>
      </c>
      <c r="E447">
        <v>39</v>
      </c>
      <c r="F447" t="s">
        <v>6</v>
      </c>
      <c r="G447">
        <f t="shared" si="18"/>
        <v>80</v>
      </c>
      <c r="H447" s="1" t="str">
        <f t="shared" si="19"/>
        <v>Saturday</v>
      </c>
    </row>
    <row r="448" spans="1:8" x14ac:dyDescent="0.3">
      <c r="A448">
        <v>127836197</v>
      </c>
      <c r="B448" s="1">
        <v>44870</v>
      </c>
      <c r="C448" s="1">
        <v>44870</v>
      </c>
      <c r="D448" t="s">
        <v>7</v>
      </c>
      <c r="E448">
        <v>39</v>
      </c>
      <c r="F448" t="s">
        <v>6</v>
      </c>
      <c r="G448">
        <f t="shared" si="18"/>
        <v>0</v>
      </c>
      <c r="H448" s="1" t="str">
        <f t="shared" si="19"/>
        <v>Saturday</v>
      </c>
    </row>
    <row r="449" spans="1:8" x14ac:dyDescent="0.3">
      <c r="A449">
        <v>155334332</v>
      </c>
      <c r="B449" s="1">
        <v>44870</v>
      </c>
      <c r="C449" s="1">
        <v>44899</v>
      </c>
      <c r="D449" t="s">
        <v>7</v>
      </c>
      <c r="E449">
        <v>39</v>
      </c>
      <c r="F449" t="s">
        <v>6</v>
      </c>
      <c r="G449">
        <f t="shared" si="18"/>
        <v>29</v>
      </c>
      <c r="H449" s="1" t="str">
        <f t="shared" si="19"/>
        <v>Saturday</v>
      </c>
    </row>
    <row r="450" spans="1:8" x14ac:dyDescent="0.3">
      <c r="A450">
        <v>160523170</v>
      </c>
      <c r="B450" s="1">
        <v>44870</v>
      </c>
      <c r="C450" s="1">
        <v>44907</v>
      </c>
      <c r="D450" t="s">
        <v>7</v>
      </c>
      <c r="E450">
        <v>39</v>
      </c>
      <c r="F450" t="s">
        <v>6</v>
      </c>
      <c r="G450">
        <f t="shared" si="18"/>
        <v>37</v>
      </c>
      <c r="H450" s="1" t="str">
        <f t="shared" si="19"/>
        <v>Saturday</v>
      </c>
    </row>
    <row r="451" spans="1:8" x14ac:dyDescent="0.3">
      <c r="A451">
        <v>156907890</v>
      </c>
      <c r="B451" s="1">
        <v>44870</v>
      </c>
      <c r="C451" s="1">
        <v>44870</v>
      </c>
      <c r="D451" t="s">
        <v>7</v>
      </c>
      <c r="E451">
        <v>39</v>
      </c>
      <c r="F451" t="s">
        <v>6</v>
      </c>
      <c r="G451">
        <f t="shared" ref="G451:G514" si="20">IF(C451="Active","Active",C451-B451)</f>
        <v>0</v>
      </c>
      <c r="H451" s="1" t="str">
        <f t="shared" ref="H451:H514" si="21">TEXT(B451,"dddd")</f>
        <v>Saturday</v>
      </c>
    </row>
    <row r="452" spans="1:8" x14ac:dyDescent="0.3">
      <c r="A452">
        <v>160608516</v>
      </c>
      <c r="B452" s="1">
        <v>44870</v>
      </c>
      <c r="C452" s="1">
        <v>45141</v>
      </c>
      <c r="D452" t="s">
        <v>7</v>
      </c>
      <c r="E452">
        <v>39</v>
      </c>
      <c r="F452" t="s">
        <v>6</v>
      </c>
      <c r="G452">
        <f t="shared" si="20"/>
        <v>271</v>
      </c>
      <c r="H452" s="1" t="str">
        <f t="shared" si="21"/>
        <v>Saturday</v>
      </c>
    </row>
    <row r="453" spans="1:8" x14ac:dyDescent="0.3">
      <c r="A453">
        <v>113181220</v>
      </c>
      <c r="B453" s="1">
        <v>44870</v>
      </c>
      <c r="C453" s="1">
        <v>45130</v>
      </c>
      <c r="D453" t="s">
        <v>7</v>
      </c>
      <c r="E453">
        <v>39</v>
      </c>
      <c r="F453" t="s">
        <v>6</v>
      </c>
      <c r="G453">
        <f t="shared" si="20"/>
        <v>260</v>
      </c>
      <c r="H453" s="1" t="str">
        <f t="shared" si="21"/>
        <v>Saturday</v>
      </c>
    </row>
    <row r="454" spans="1:8" x14ac:dyDescent="0.3">
      <c r="A454">
        <v>159790393</v>
      </c>
      <c r="B454" s="1">
        <v>44871</v>
      </c>
      <c r="C454" s="1">
        <v>44970</v>
      </c>
      <c r="D454" t="s">
        <v>7</v>
      </c>
      <c r="E454">
        <v>39</v>
      </c>
      <c r="F454" t="s">
        <v>6</v>
      </c>
      <c r="G454">
        <f t="shared" si="20"/>
        <v>99</v>
      </c>
      <c r="H454" s="1" t="str">
        <f t="shared" si="21"/>
        <v>Sunday</v>
      </c>
    </row>
    <row r="455" spans="1:8" x14ac:dyDescent="0.3">
      <c r="A455">
        <v>147813476</v>
      </c>
      <c r="B455" s="1">
        <v>44871</v>
      </c>
      <c r="C455" s="1">
        <v>44953</v>
      </c>
      <c r="D455" t="s">
        <v>7</v>
      </c>
      <c r="E455">
        <v>39</v>
      </c>
      <c r="F455" t="s">
        <v>6</v>
      </c>
      <c r="G455">
        <f t="shared" si="20"/>
        <v>82</v>
      </c>
      <c r="H455" s="1" t="str">
        <f t="shared" si="21"/>
        <v>Sunday</v>
      </c>
    </row>
    <row r="456" spans="1:8" x14ac:dyDescent="0.3">
      <c r="A456">
        <v>156078158</v>
      </c>
      <c r="B456" s="1">
        <v>44871</v>
      </c>
      <c r="C456" s="1">
        <v>44951</v>
      </c>
      <c r="D456" t="s">
        <v>7</v>
      </c>
      <c r="E456">
        <v>39</v>
      </c>
      <c r="F456" t="s">
        <v>6</v>
      </c>
      <c r="G456">
        <f t="shared" si="20"/>
        <v>80</v>
      </c>
      <c r="H456" s="1" t="str">
        <f t="shared" si="21"/>
        <v>Sunday</v>
      </c>
    </row>
    <row r="457" spans="1:8" x14ac:dyDescent="0.3">
      <c r="A457">
        <v>154879898</v>
      </c>
      <c r="B457" s="1">
        <v>44871</v>
      </c>
      <c r="C457" s="1">
        <v>44882</v>
      </c>
      <c r="D457" t="s">
        <v>7</v>
      </c>
      <c r="E457">
        <v>39</v>
      </c>
      <c r="F457" t="s">
        <v>6</v>
      </c>
      <c r="G457">
        <f t="shared" si="20"/>
        <v>11</v>
      </c>
      <c r="H457" s="1" t="str">
        <f t="shared" si="21"/>
        <v>Sunday</v>
      </c>
    </row>
    <row r="458" spans="1:8" x14ac:dyDescent="0.3">
      <c r="A458">
        <v>136157937</v>
      </c>
      <c r="B458" s="1">
        <v>44871</v>
      </c>
      <c r="C458" s="1">
        <v>44908</v>
      </c>
      <c r="D458" t="s">
        <v>7</v>
      </c>
      <c r="E458">
        <v>39</v>
      </c>
      <c r="F458" t="s">
        <v>6</v>
      </c>
      <c r="G458">
        <f t="shared" si="20"/>
        <v>37</v>
      </c>
      <c r="H458" s="1" t="str">
        <f t="shared" si="21"/>
        <v>Sunday</v>
      </c>
    </row>
    <row r="459" spans="1:8" x14ac:dyDescent="0.3">
      <c r="A459">
        <v>160176868</v>
      </c>
      <c r="B459" s="1">
        <v>44871</v>
      </c>
      <c r="C459" s="1">
        <v>44896</v>
      </c>
      <c r="D459" t="s">
        <v>7</v>
      </c>
      <c r="E459">
        <v>39</v>
      </c>
      <c r="F459" t="s">
        <v>6</v>
      </c>
      <c r="G459">
        <f t="shared" si="20"/>
        <v>25</v>
      </c>
      <c r="H459" s="1" t="str">
        <f t="shared" si="21"/>
        <v>Sunday</v>
      </c>
    </row>
    <row r="460" spans="1:8" x14ac:dyDescent="0.3">
      <c r="A460">
        <v>160622888</v>
      </c>
      <c r="B460" s="1">
        <v>44871</v>
      </c>
      <c r="C460" s="1">
        <v>44871</v>
      </c>
      <c r="D460" t="s">
        <v>7</v>
      </c>
      <c r="E460">
        <v>39</v>
      </c>
      <c r="F460" t="s">
        <v>6</v>
      </c>
      <c r="G460">
        <f t="shared" si="20"/>
        <v>0</v>
      </c>
      <c r="H460" s="1" t="str">
        <f t="shared" si="21"/>
        <v>Sunday</v>
      </c>
    </row>
    <row r="461" spans="1:8" x14ac:dyDescent="0.3">
      <c r="A461">
        <v>158736659</v>
      </c>
      <c r="B461" s="1">
        <v>44872</v>
      </c>
      <c r="C461" t="s">
        <v>19</v>
      </c>
      <c r="D461" t="s">
        <v>7</v>
      </c>
      <c r="E461">
        <v>39</v>
      </c>
      <c r="F461" t="s">
        <v>6</v>
      </c>
      <c r="G461" t="str">
        <f t="shared" si="20"/>
        <v>Active</v>
      </c>
      <c r="H461" s="1" t="str">
        <f t="shared" si="21"/>
        <v>Monday</v>
      </c>
    </row>
    <row r="462" spans="1:8" x14ac:dyDescent="0.3">
      <c r="A462">
        <v>160813660</v>
      </c>
      <c r="B462" s="1">
        <v>44872</v>
      </c>
      <c r="C462" t="s">
        <v>19</v>
      </c>
      <c r="D462" t="s">
        <v>7</v>
      </c>
      <c r="E462">
        <v>39</v>
      </c>
      <c r="F462" t="s">
        <v>6</v>
      </c>
      <c r="G462" t="str">
        <f t="shared" si="20"/>
        <v>Active</v>
      </c>
      <c r="H462" s="1" t="str">
        <f t="shared" si="21"/>
        <v>Monday</v>
      </c>
    </row>
    <row r="463" spans="1:8" x14ac:dyDescent="0.3">
      <c r="A463">
        <v>158524240</v>
      </c>
      <c r="B463" s="1">
        <v>44872</v>
      </c>
      <c r="C463" t="s">
        <v>19</v>
      </c>
      <c r="D463" t="s">
        <v>7</v>
      </c>
      <c r="E463">
        <v>39</v>
      </c>
      <c r="F463" t="s">
        <v>6</v>
      </c>
      <c r="G463" t="str">
        <f t="shared" si="20"/>
        <v>Active</v>
      </c>
      <c r="H463" s="1" t="str">
        <f t="shared" si="21"/>
        <v>Monday</v>
      </c>
    </row>
    <row r="464" spans="1:8" x14ac:dyDescent="0.3">
      <c r="A464">
        <v>160702738</v>
      </c>
      <c r="B464" s="1">
        <v>44872</v>
      </c>
      <c r="C464" t="s">
        <v>19</v>
      </c>
      <c r="D464" t="s">
        <v>7</v>
      </c>
      <c r="E464">
        <v>39</v>
      </c>
      <c r="F464" t="s">
        <v>6</v>
      </c>
      <c r="G464" t="str">
        <f t="shared" si="20"/>
        <v>Active</v>
      </c>
      <c r="H464" s="1" t="str">
        <f t="shared" si="21"/>
        <v>Monday</v>
      </c>
    </row>
    <row r="465" spans="1:8" x14ac:dyDescent="0.3">
      <c r="A465">
        <v>138919619</v>
      </c>
      <c r="B465" s="1">
        <v>44872</v>
      </c>
      <c r="C465" s="1">
        <v>44901</v>
      </c>
      <c r="D465" t="s">
        <v>7</v>
      </c>
      <c r="E465">
        <v>39</v>
      </c>
      <c r="F465" t="s">
        <v>6</v>
      </c>
      <c r="G465">
        <f t="shared" si="20"/>
        <v>29</v>
      </c>
      <c r="H465" s="1" t="str">
        <f t="shared" si="21"/>
        <v>Monday</v>
      </c>
    </row>
    <row r="466" spans="1:8" x14ac:dyDescent="0.3">
      <c r="A466">
        <v>121571816</v>
      </c>
      <c r="B466" s="1">
        <v>44872</v>
      </c>
      <c r="C466" s="1">
        <v>45011</v>
      </c>
      <c r="D466" t="s">
        <v>7</v>
      </c>
      <c r="E466">
        <v>39</v>
      </c>
      <c r="F466" t="s">
        <v>6</v>
      </c>
      <c r="G466">
        <f t="shared" si="20"/>
        <v>139</v>
      </c>
      <c r="H466" s="1" t="str">
        <f t="shared" si="21"/>
        <v>Monday</v>
      </c>
    </row>
    <row r="467" spans="1:8" x14ac:dyDescent="0.3">
      <c r="A467">
        <v>160623955</v>
      </c>
      <c r="B467" s="1">
        <v>44872</v>
      </c>
      <c r="C467" s="1">
        <v>45112</v>
      </c>
      <c r="D467" t="s">
        <v>7</v>
      </c>
      <c r="E467">
        <v>39</v>
      </c>
      <c r="F467" t="s">
        <v>6</v>
      </c>
      <c r="G467">
        <f t="shared" si="20"/>
        <v>240</v>
      </c>
      <c r="H467" s="1" t="str">
        <f t="shared" si="21"/>
        <v>Monday</v>
      </c>
    </row>
    <row r="468" spans="1:8" x14ac:dyDescent="0.3">
      <c r="A468">
        <v>160010850</v>
      </c>
      <c r="B468" s="1">
        <v>44872</v>
      </c>
      <c r="C468" s="1">
        <v>44994</v>
      </c>
      <c r="D468" t="s">
        <v>7</v>
      </c>
      <c r="E468">
        <v>39</v>
      </c>
      <c r="F468" t="s">
        <v>6</v>
      </c>
      <c r="G468">
        <f t="shared" si="20"/>
        <v>122</v>
      </c>
      <c r="H468" s="1" t="str">
        <f t="shared" si="21"/>
        <v>Monday</v>
      </c>
    </row>
    <row r="469" spans="1:8" x14ac:dyDescent="0.3">
      <c r="A469">
        <v>160823268</v>
      </c>
      <c r="B469" s="1">
        <v>44872</v>
      </c>
      <c r="C469" s="1">
        <v>44963</v>
      </c>
      <c r="D469" t="s">
        <v>7</v>
      </c>
      <c r="E469">
        <v>39</v>
      </c>
      <c r="F469" t="s">
        <v>6</v>
      </c>
      <c r="G469">
        <f t="shared" si="20"/>
        <v>91</v>
      </c>
      <c r="H469" s="1" t="str">
        <f t="shared" si="21"/>
        <v>Monday</v>
      </c>
    </row>
    <row r="470" spans="1:8" x14ac:dyDescent="0.3">
      <c r="A470">
        <v>158992873</v>
      </c>
      <c r="B470" s="1">
        <v>44872</v>
      </c>
      <c r="C470" s="1">
        <v>44971</v>
      </c>
      <c r="D470" t="s">
        <v>7</v>
      </c>
      <c r="E470">
        <v>39</v>
      </c>
      <c r="F470" t="s">
        <v>6</v>
      </c>
      <c r="G470">
        <f t="shared" si="20"/>
        <v>99</v>
      </c>
      <c r="H470" s="1" t="str">
        <f t="shared" si="21"/>
        <v>Monday</v>
      </c>
    </row>
    <row r="471" spans="1:8" x14ac:dyDescent="0.3">
      <c r="A471">
        <v>159878556</v>
      </c>
      <c r="B471" s="1">
        <v>44872</v>
      </c>
      <c r="C471" s="1">
        <v>44902</v>
      </c>
      <c r="D471" t="s">
        <v>7</v>
      </c>
      <c r="E471">
        <v>39</v>
      </c>
      <c r="F471" t="s">
        <v>6</v>
      </c>
      <c r="G471">
        <f t="shared" si="20"/>
        <v>30</v>
      </c>
      <c r="H471" s="1" t="str">
        <f t="shared" si="21"/>
        <v>Monday</v>
      </c>
    </row>
    <row r="472" spans="1:8" x14ac:dyDescent="0.3">
      <c r="A472">
        <v>160833652</v>
      </c>
      <c r="B472" s="1">
        <v>44872</v>
      </c>
      <c r="C472" s="1">
        <v>44909</v>
      </c>
      <c r="D472" t="s">
        <v>7</v>
      </c>
      <c r="E472">
        <v>39</v>
      </c>
      <c r="F472" t="s">
        <v>6</v>
      </c>
      <c r="G472">
        <f t="shared" si="20"/>
        <v>37</v>
      </c>
      <c r="H472" s="1" t="str">
        <f t="shared" si="21"/>
        <v>Monday</v>
      </c>
    </row>
    <row r="473" spans="1:8" x14ac:dyDescent="0.3">
      <c r="A473">
        <v>157663870</v>
      </c>
      <c r="B473" s="1">
        <v>44872</v>
      </c>
      <c r="C473" s="1">
        <v>44903</v>
      </c>
      <c r="D473" t="s">
        <v>7</v>
      </c>
      <c r="E473">
        <v>39</v>
      </c>
      <c r="F473" t="s">
        <v>6</v>
      </c>
      <c r="G473">
        <f t="shared" si="20"/>
        <v>31</v>
      </c>
      <c r="H473" s="1" t="str">
        <f t="shared" si="21"/>
        <v>Monday</v>
      </c>
    </row>
    <row r="474" spans="1:8" x14ac:dyDescent="0.3">
      <c r="A474">
        <v>160615413</v>
      </c>
      <c r="B474" s="1">
        <v>44872</v>
      </c>
      <c r="C474" s="1">
        <v>44920</v>
      </c>
      <c r="D474" t="s">
        <v>7</v>
      </c>
      <c r="E474">
        <v>39</v>
      </c>
      <c r="F474" t="s">
        <v>6</v>
      </c>
      <c r="G474">
        <f t="shared" si="20"/>
        <v>48</v>
      </c>
      <c r="H474" s="1" t="str">
        <f t="shared" si="21"/>
        <v>Monday</v>
      </c>
    </row>
    <row r="475" spans="1:8" x14ac:dyDescent="0.3">
      <c r="A475">
        <v>156207052</v>
      </c>
      <c r="B475" s="1">
        <v>44872</v>
      </c>
      <c r="C475" s="1">
        <v>44899</v>
      </c>
      <c r="D475" t="s">
        <v>7</v>
      </c>
      <c r="E475">
        <v>39</v>
      </c>
      <c r="F475" t="s">
        <v>6</v>
      </c>
      <c r="G475">
        <f t="shared" si="20"/>
        <v>27</v>
      </c>
      <c r="H475" s="1" t="str">
        <f t="shared" si="21"/>
        <v>Monday</v>
      </c>
    </row>
    <row r="476" spans="1:8" x14ac:dyDescent="0.3">
      <c r="A476">
        <v>160103792</v>
      </c>
      <c r="B476" s="1">
        <v>44872</v>
      </c>
      <c r="C476" s="1">
        <v>44872</v>
      </c>
      <c r="D476" t="s">
        <v>7</v>
      </c>
      <c r="E476">
        <v>39</v>
      </c>
      <c r="F476" t="s">
        <v>6</v>
      </c>
      <c r="G476">
        <f t="shared" si="20"/>
        <v>0</v>
      </c>
      <c r="H476" s="1" t="str">
        <f t="shared" si="21"/>
        <v>Monday</v>
      </c>
    </row>
    <row r="477" spans="1:8" x14ac:dyDescent="0.3">
      <c r="A477">
        <v>160969302</v>
      </c>
      <c r="B477" s="1">
        <v>44874</v>
      </c>
      <c r="C477" s="1">
        <v>45168</v>
      </c>
      <c r="D477" t="s">
        <v>7</v>
      </c>
      <c r="E477">
        <v>39</v>
      </c>
      <c r="F477" t="s">
        <v>6</v>
      </c>
      <c r="G477">
        <f t="shared" si="20"/>
        <v>294</v>
      </c>
      <c r="H477" s="1" t="str">
        <f t="shared" si="21"/>
        <v>Wednesday</v>
      </c>
    </row>
    <row r="478" spans="1:8" x14ac:dyDescent="0.3">
      <c r="A478">
        <v>149648746</v>
      </c>
      <c r="B478" s="1">
        <v>44874</v>
      </c>
      <c r="C478" s="1">
        <v>45079</v>
      </c>
      <c r="D478" t="s">
        <v>7</v>
      </c>
      <c r="E478">
        <v>39</v>
      </c>
      <c r="F478" t="s">
        <v>6</v>
      </c>
      <c r="G478">
        <f t="shared" si="20"/>
        <v>205</v>
      </c>
      <c r="H478" s="1" t="str">
        <f t="shared" si="21"/>
        <v>Wednesday</v>
      </c>
    </row>
    <row r="479" spans="1:8" x14ac:dyDescent="0.3">
      <c r="A479">
        <v>155643390</v>
      </c>
      <c r="B479" s="1">
        <v>44874</v>
      </c>
      <c r="C479" s="1">
        <v>45016</v>
      </c>
      <c r="D479" t="s">
        <v>7</v>
      </c>
      <c r="E479">
        <v>39</v>
      </c>
      <c r="F479" t="s">
        <v>6</v>
      </c>
      <c r="G479">
        <f t="shared" si="20"/>
        <v>142</v>
      </c>
      <c r="H479" s="1" t="str">
        <f t="shared" si="21"/>
        <v>Wednesday</v>
      </c>
    </row>
    <row r="480" spans="1:8" x14ac:dyDescent="0.3">
      <c r="A480">
        <v>119294384</v>
      </c>
      <c r="B480" s="1">
        <v>44874</v>
      </c>
      <c r="C480" s="1">
        <v>44987</v>
      </c>
      <c r="D480" t="s">
        <v>7</v>
      </c>
      <c r="E480">
        <v>39</v>
      </c>
      <c r="F480" t="s">
        <v>6</v>
      </c>
      <c r="G480">
        <f t="shared" si="20"/>
        <v>113</v>
      </c>
      <c r="H480" s="1" t="str">
        <f t="shared" si="21"/>
        <v>Wednesday</v>
      </c>
    </row>
    <row r="481" spans="1:8" x14ac:dyDescent="0.3">
      <c r="A481">
        <v>160171541</v>
      </c>
      <c r="B481" s="1">
        <v>44874</v>
      </c>
      <c r="C481" s="1">
        <v>44929</v>
      </c>
      <c r="D481" t="s">
        <v>7</v>
      </c>
      <c r="E481">
        <v>39</v>
      </c>
      <c r="F481" t="s">
        <v>6</v>
      </c>
      <c r="G481">
        <f t="shared" si="20"/>
        <v>55</v>
      </c>
      <c r="H481" s="1" t="str">
        <f t="shared" si="21"/>
        <v>Wednesday</v>
      </c>
    </row>
    <row r="482" spans="1:8" x14ac:dyDescent="0.3">
      <c r="A482">
        <v>150569213</v>
      </c>
      <c r="B482" s="1">
        <v>44874</v>
      </c>
      <c r="C482" s="1">
        <v>44911</v>
      </c>
      <c r="D482" t="s">
        <v>7</v>
      </c>
      <c r="E482">
        <v>39</v>
      </c>
      <c r="F482" t="s">
        <v>6</v>
      </c>
      <c r="G482">
        <f t="shared" si="20"/>
        <v>37</v>
      </c>
      <c r="H482" s="1" t="str">
        <f t="shared" si="21"/>
        <v>Wednesday</v>
      </c>
    </row>
    <row r="483" spans="1:8" x14ac:dyDescent="0.3">
      <c r="A483">
        <v>156710028</v>
      </c>
      <c r="B483" s="1">
        <v>44875</v>
      </c>
      <c r="C483" s="1">
        <v>44992</v>
      </c>
      <c r="D483" t="s">
        <v>7</v>
      </c>
      <c r="E483">
        <v>39</v>
      </c>
      <c r="F483" t="s">
        <v>6</v>
      </c>
      <c r="G483">
        <f t="shared" si="20"/>
        <v>117</v>
      </c>
      <c r="H483" s="1" t="str">
        <f t="shared" si="21"/>
        <v>Thursday</v>
      </c>
    </row>
    <row r="484" spans="1:8" x14ac:dyDescent="0.3">
      <c r="A484">
        <v>157670310</v>
      </c>
      <c r="B484" s="1">
        <v>44875</v>
      </c>
      <c r="C484" s="1">
        <v>44958</v>
      </c>
      <c r="D484" t="s">
        <v>7</v>
      </c>
      <c r="E484">
        <v>39</v>
      </c>
      <c r="F484" t="s">
        <v>6</v>
      </c>
      <c r="G484">
        <f t="shared" si="20"/>
        <v>83</v>
      </c>
      <c r="H484" s="1" t="str">
        <f t="shared" si="21"/>
        <v>Thursday</v>
      </c>
    </row>
    <row r="485" spans="1:8" x14ac:dyDescent="0.3">
      <c r="A485">
        <v>157091067</v>
      </c>
      <c r="B485" s="1">
        <v>44875</v>
      </c>
      <c r="C485" s="1">
        <v>44969</v>
      </c>
      <c r="D485" t="s">
        <v>7</v>
      </c>
      <c r="E485">
        <v>39</v>
      </c>
      <c r="F485" t="s">
        <v>6</v>
      </c>
      <c r="G485">
        <f t="shared" si="20"/>
        <v>94</v>
      </c>
      <c r="H485" s="1" t="str">
        <f t="shared" si="21"/>
        <v>Thursday</v>
      </c>
    </row>
    <row r="486" spans="1:8" x14ac:dyDescent="0.3">
      <c r="A486">
        <v>159639128</v>
      </c>
      <c r="B486" s="1">
        <v>44875</v>
      </c>
      <c r="C486" s="1">
        <v>44875</v>
      </c>
      <c r="D486" t="s">
        <v>7</v>
      </c>
      <c r="E486">
        <v>39</v>
      </c>
      <c r="F486" t="s">
        <v>6</v>
      </c>
      <c r="G486">
        <f t="shared" si="20"/>
        <v>0</v>
      </c>
      <c r="H486" s="1" t="str">
        <f t="shared" si="21"/>
        <v>Thursday</v>
      </c>
    </row>
    <row r="487" spans="1:8" x14ac:dyDescent="0.3">
      <c r="A487">
        <v>149728468</v>
      </c>
      <c r="B487" s="1">
        <v>44876</v>
      </c>
      <c r="C487" s="1">
        <v>44877</v>
      </c>
      <c r="D487" t="s">
        <v>7</v>
      </c>
      <c r="E487">
        <v>39</v>
      </c>
      <c r="F487" t="s">
        <v>6</v>
      </c>
      <c r="G487">
        <f t="shared" si="20"/>
        <v>1</v>
      </c>
      <c r="H487" s="1" t="str">
        <f t="shared" si="21"/>
        <v>Friday</v>
      </c>
    </row>
    <row r="488" spans="1:8" x14ac:dyDescent="0.3">
      <c r="A488">
        <v>160714172</v>
      </c>
      <c r="B488" s="1">
        <v>44876</v>
      </c>
      <c r="C488" s="1">
        <v>44926</v>
      </c>
      <c r="D488" t="s">
        <v>7</v>
      </c>
      <c r="E488">
        <v>39</v>
      </c>
      <c r="F488" t="s">
        <v>6</v>
      </c>
      <c r="G488">
        <f t="shared" si="20"/>
        <v>50</v>
      </c>
      <c r="H488" s="1" t="str">
        <f t="shared" si="21"/>
        <v>Friday</v>
      </c>
    </row>
    <row r="489" spans="1:8" x14ac:dyDescent="0.3">
      <c r="A489">
        <v>161464205</v>
      </c>
      <c r="B489" s="1">
        <v>44876</v>
      </c>
      <c r="C489" s="1">
        <v>44911</v>
      </c>
      <c r="D489" t="s">
        <v>7</v>
      </c>
      <c r="E489">
        <v>39</v>
      </c>
      <c r="F489" t="s">
        <v>6</v>
      </c>
      <c r="G489">
        <f t="shared" si="20"/>
        <v>35</v>
      </c>
      <c r="H489" s="1" t="str">
        <f t="shared" si="21"/>
        <v>Friday</v>
      </c>
    </row>
    <row r="490" spans="1:8" x14ac:dyDescent="0.3">
      <c r="A490">
        <v>141084753</v>
      </c>
      <c r="B490" s="1">
        <v>44877</v>
      </c>
      <c r="C490" s="1">
        <v>45035</v>
      </c>
      <c r="D490" t="s">
        <v>7</v>
      </c>
      <c r="E490">
        <v>39</v>
      </c>
      <c r="F490" t="s">
        <v>6</v>
      </c>
      <c r="G490">
        <f t="shared" si="20"/>
        <v>158</v>
      </c>
      <c r="H490" s="1" t="str">
        <f t="shared" si="21"/>
        <v>Saturday</v>
      </c>
    </row>
    <row r="491" spans="1:8" x14ac:dyDescent="0.3">
      <c r="A491">
        <v>161768948</v>
      </c>
      <c r="B491" s="1">
        <v>44877</v>
      </c>
      <c r="C491" s="1">
        <v>45021</v>
      </c>
      <c r="D491" t="s">
        <v>7</v>
      </c>
      <c r="E491">
        <v>39</v>
      </c>
      <c r="F491" t="s">
        <v>6</v>
      </c>
      <c r="G491">
        <f t="shared" si="20"/>
        <v>144</v>
      </c>
      <c r="H491" s="1" t="str">
        <f t="shared" si="21"/>
        <v>Saturday</v>
      </c>
    </row>
    <row r="492" spans="1:8" x14ac:dyDescent="0.3">
      <c r="A492">
        <v>161692109</v>
      </c>
      <c r="B492" s="1">
        <v>44877</v>
      </c>
      <c r="C492" s="1">
        <v>44976</v>
      </c>
      <c r="D492" t="s">
        <v>7</v>
      </c>
      <c r="E492">
        <v>39</v>
      </c>
      <c r="F492" t="s">
        <v>6</v>
      </c>
      <c r="G492">
        <f t="shared" si="20"/>
        <v>99</v>
      </c>
      <c r="H492" s="1" t="str">
        <f t="shared" si="21"/>
        <v>Saturday</v>
      </c>
    </row>
    <row r="493" spans="1:8" x14ac:dyDescent="0.3">
      <c r="A493">
        <v>161424706</v>
      </c>
      <c r="B493" s="1">
        <v>44877</v>
      </c>
      <c r="C493" s="1">
        <v>44904</v>
      </c>
      <c r="D493" t="s">
        <v>7</v>
      </c>
      <c r="E493">
        <v>39</v>
      </c>
      <c r="F493" t="s">
        <v>6</v>
      </c>
      <c r="G493">
        <f t="shared" si="20"/>
        <v>27</v>
      </c>
      <c r="H493" s="1" t="str">
        <f t="shared" si="21"/>
        <v>Saturday</v>
      </c>
    </row>
    <row r="494" spans="1:8" x14ac:dyDescent="0.3">
      <c r="A494">
        <v>153186137</v>
      </c>
      <c r="B494" s="1">
        <v>44877</v>
      </c>
      <c r="C494" s="1">
        <v>44877</v>
      </c>
      <c r="D494" t="s">
        <v>7</v>
      </c>
      <c r="E494">
        <v>39</v>
      </c>
      <c r="F494" t="s">
        <v>6</v>
      </c>
      <c r="G494">
        <f t="shared" si="20"/>
        <v>0</v>
      </c>
      <c r="H494" s="1" t="str">
        <f t="shared" si="21"/>
        <v>Saturday</v>
      </c>
    </row>
    <row r="495" spans="1:8" x14ac:dyDescent="0.3">
      <c r="A495">
        <v>158906669</v>
      </c>
      <c r="B495" s="1">
        <v>44878</v>
      </c>
      <c r="C495" s="1">
        <v>44969</v>
      </c>
      <c r="D495" t="s">
        <v>7</v>
      </c>
      <c r="E495">
        <v>39</v>
      </c>
      <c r="F495" t="s">
        <v>6</v>
      </c>
      <c r="G495">
        <f t="shared" si="20"/>
        <v>91</v>
      </c>
      <c r="H495" s="1" t="str">
        <f t="shared" si="21"/>
        <v>Sunday</v>
      </c>
    </row>
    <row r="496" spans="1:8" x14ac:dyDescent="0.3">
      <c r="A496">
        <v>154085972</v>
      </c>
      <c r="B496" s="1">
        <v>44878</v>
      </c>
      <c r="C496" s="1">
        <v>44900</v>
      </c>
      <c r="D496" t="s">
        <v>7</v>
      </c>
      <c r="E496">
        <v>39</v>
      </c>
      <c r="F496" t="s">
        <v>6</v>
      </c>
      <c r="G496">
        <f t="shared" si="20"/>
        <v>22</v>
      </c>
      <c r="H496" s="1" t="str">
        <f t="shared" si="21"/>
        <v>Sunday</v>
      </c>
    </row>
    <row r="497" spans="1:8" x14ac:dyDescent="0.3">
      <c r="A497">
        <v>162409676</v>
      </c>
      <c r="B497" s="1">
        <v>44879</v>
      </c>
      <c r="C497" t="s">
        <v>19</v>
      </c>
      <c r="D497" t="s">
        <v>7</v>
      </c>
      <c r="E497">
        <v>39</v>
      </c>
      <c r="F497" t="s">
        <v>6</v>
      </c>
      <c r="G497" t="str">
        <f t="shared" si="20"/>
        <v>Active</v>
      </c>
      <c r="H497" s="1" t="str">
        <f t="shared" si="21"/>
        <v>Monday</v>
      </c>
    </row>
    <row r="498" spans="1:8" x14ac:dyDescent="0.3">
      <c r="A498">
        <v>157438261</v>
      </c>
      <c r="B498" s="1">
        <v>44879</v>
      </c>
      <c r="C498" t="s">
        <v>19</v>
      </c>
      <c r="D498" t="s">
        <v>7</v>
      </c>
      <c r="E498">
        <v>39</v>
      </c>
      <c r="F498" t="s">
        <v>6</v>
      </c>
      <c r="G498" t="str">
        <f t="shared" si="20"/>
        <v>Active</v>
      </c>
      <c r="H498" s="1" t="str">
        <f t="shared" si="21"/>
        <v>Monday</v>
      </c>
    </row>
    <row r="499" spans="1:8" x14ac:dyDescent="0.3">
      <c r="A499">
        <v>132579012</v>
      </c>
      <c r="B499" s="1">
        <v>44879</v>
      </c>
      <c r="C499" s="1">
        <v>44999</v>
      </c>
      <c r="D499" t="s">
        <v>7</v>
      </c>
      <c r="E499">
        <v>39</v>
      </c>
      <c r="F499" t="s">
        <v>6</v>
      </c>
      <c r="G499">
        <f t="shared" si="20"/>
        <v>120</v>
      </c>
      <c r="H499" s="1" t="str">
        <f t="shared" si="21"/>
        <v>Monday</v>
      </c>
    </row>
    <row r="500" spans="1:8" x14ac:dyDescent="0.3">
      <c r="A500">
        <v>129140042</v>
      </c>
      <c r="B500" s="1">
        <v>44879</v>
      </c>
      <c r="C500" s="1">
        <v>44966</v>
      </c>
      <c r="D500" t="s">
        <v>7</v>
      </c>
      <c r="E500">
        <v>39</v>
      </c>
      <c r="F500" t="s">
        <v>6</v>
      </c>
      <c r="G500">
        <f t="shared" si="20"/>
        <v>87</v>
      </c>
      <c r="H500" s="1" t="str">
        <f t="shared" si="21"/>
        <v>Monday</v>
      </c>
    </row>
    <row r="501" spans="1:8" x14ac:dyDescent="0.3">
      <c r="A501">
        <v>147100996</v>
      </c>
      <c r="B501" s="1">
        <v>44879</v>
      </c>
      <c r="C501" s="1">
        <v>44941</v>
      </c>
      <c r="D501" t="s">
        <v>7</v>
      </c>
      <c r="E501">
        <v>39</v>
      </c>
      <c r="F501" t="s">
        <v>6</v>
      </c>
      <c r="G501">
        <f t="shared" si="20"/>
        <v>62</v>
      </c>
      <c r="H501" s="1" t="str">
        <f t="shared" si="21"/>
        <v>Monday</v>
      </c>
    </row>
    <row r="502" spans="1:8" x14ac:dyDescent="0.3">
      <c r="A502">
        <v>158437198</v>
      </c>
      <c r="B502" s="1">
        <v>44879</v>
      </c>
      <c r="C502" s="1">
        <v>45011</v>
      </c>
      <c r="D502" t="s">
        <v>7</v>
      </c>
      <c r="E502">
        <v>39</v>
      </c>
      <c r="F502" t="s">
        <v>6</v>
      </c>
      <c r="G502">
        <f t="shared" si="20"/>
        <v>132</v>
      </c>
      <c r="H502" s="1" t="str">
        <f t="shared" si="21"/>
        <v>Monday</v>
      </c>
    </row>
    <row r="503" spans="1:8" x14ac:dyDescent="0.3">
      <c r="A503">
        <v>162343403</v>
      </c>
      <c r="B503" s="1">
        <v>44879</v>
      </c>
      <c r="C503" s="1">
        <v>45001</v>
      </c>
      <c r="D503" t="s">
        <v>7</v>
      </c>
      <c r="E503">
        <v>39</v>
      </c>
      <c r="F503" t="s">
        <v>6</v>
      </c>
      <c r="G503">
        <f t="shared" si="20"/>
        <v>122</v>
      </c>
      <c r="H503" s="1" t="str">
        <f t="shared" si="21"/>
        <v>Monday</v>
      </c>
    </row>
    <row r="504" spans="1:8" x14ac:dyDescent="0.3">
      <c r="A504">
        <v>162218672</v>
      </c>
      <c r="B504" s="1">
        <v>44879</v>
      </c>
      <c r="C504" s="1">
        <v>44994</v>
      </c>
      <c r="D504" t="s">
        <v>7</v>
      </c>
      <c r="E504">
        <v>39</v>
      </c>
      <c r="F504" t="s">
        <v>6</v>
      </c>
      <c r="G504">
        <f t="shared" si="20"/>
        <v>115</v>
      </c>
      <c r="H504" s="1" t="str">
        <f t="shared" si="21"/>
        <v>Monday</v>
      </c>
    </row>
    <row r="505" spans="1:8" x14ac:dyDescent="0.3">
      <c r="A505">
        <v>120738319</v>
      </c>
      <c r="B505" s="1">
        <v>44879</v>
      </c>
      <c r="C505" s="1">
        <v>45019</v>
      </c>
      <c r="D505" t="s">
        <v>7</v>
      </c>
      <c r="E505">
        <v>39</v>
      </c>
      <c r="F505" t="s">
        <v>6</v>
      </c>
      <c r="G505">
        <f t="shared" si="20"/>
        <v>140</v>
      </c>
      <c r="H505" s="1" t="str">
        <f t="shared" si="21"/>
        <v>Monday</v>
      </c>
    </row>
    <row r="506" spans="1:8" x14ac:dyDescent="0.3">
      <c r="A506">
        <v>162147786</v>
      </c>
      <c r="B506" s="1">
        <v>44879</v>
      </c>
      <c r="C506" s="1">
        <v>45030</v>
      </c>
      <c r="D506" t="s">
        <v>7</v>
      </c>
      <c r="E506">
        <v>39</v>
      </c>
      <c r="F506" t="s">
        <v>6</v>
      </c>
      <c r="G506">
        <f t="shared" si="20"/>
        <v>151</v>
      </c>
      <c r="H506" s="1" t="str">
        <f t="shared" si="21"/>
        <v>Monday</v>
      </c>
    </row>
    <row r="507" spans="1:8" x14ac:dyDescent="0.3">
      <c r="A507">
        <v>153165084</v>
      </c>
      <c r="B507" s="1">
        <v>44879</v>
      </c>
      <c r="C507" s="1">
        <v>44965</v>
      </c>
      <c r="D507" t="s">
        <v>7</v>
      </c>
      <c r="E507">
        <v>39</v>
      </c>
      <c r="F507" t="s">
        <v>6</v>
      </c>
      <c r="G507">
        <f t="shared" si="20"/>
        <v>86</v>
      </c>
      <c r="H507" s="1" t="str">
        <f t="shared" si="21"/>
        <v>Monday</v>
      </c>
    </row>
    <row r="508" spans="1:8" x14ac:dyDescent="0.3">
      <c r="A508">
        <v>161815335</v>
      </c>
      <c r="B508" s="1">
        <v>44879</v>
      </c>
      <c r="C508" s="1">
        <v>44976</v>
      </c>
      <c r="D508" t="s">
        <v>7</v>
      </c>
      <c r="E508">
        <v>39</v>
      </c>
      <c r="F508" t="s">
        <v>6</v>
      </c>
      <c r="G508">
        <f t="shared" si="20"/>
        <v>97</v>
      </c>
      <c r="H508" s="1" t="str">
        <f t="shared" si="21"/>
        <v>Monday</v>
      </c>
    </row>
    <row r="509" spans="1:8" x14ac:dyDescent="0.3">
      <c r="A509">
        <v>162294529</v>
      </c>
      <c r="B509" s="1">
        <v>44879</v>
      </c>
      <c r="C509" s="1">
        <v>44964</v>
      </c>
      <c r="D509" t="s">
        <v>7</v>
      </c>
      <c r="E509">
        <v>39</v>
      </c>
      <c r="F509" t="s">
        <v>6</v>
      </c>
      <c r="G509">
        <f t="shared" si="20"/>
        <v>85</v>
      </c>
      <c r="H509" s="1" t="str">
        <f t="shared" si="21"/>
        <v>Monday</v>
      </c>
    </row>
    <row r="510" spans="1:8" x14ac:dyDescent="0.3">
      <c r="A510">
        <v>162176080</v>
      </c>
      <c r="B510" s="1">
        <v>44879</v>
      </c>
      <c r="C510" s="1">
        <v>44962</v>
      </c>
      <c r="D510" t="s">
        <v>7</v>
      </c>
      <c r="E510">
        <v>39</v>
      </c>
      <c r="F510" t="s">
        <v>6</v>
      </c>
      <c r="G510">
        <f t="shared" si="20"/>
        <v>83</v>
      </c>
      <c r="H510" s="1" t="str">
        <f t="shared" si="21"/>
        <v>Monday</v>
      </c>
    </row>
    <row r="511" spans="1:8" x14ac:dyDescent="0.3">
      <c r="A511">
        <v>162412232</v>
      </c>
      <c r="B511" s="1">
        <v>44879</v>
      </c>
      <c r="C511" s="1">
        <v>44916</v>
      </c>
      <c r="D511" t="s">
        <v>7</v>
      </c>
      <c r="E511">
        <v>39</v>
      </c>
      <c r="F511" t="s">
        <v>6</v>
      </c>
      <c r="G511">
        <f t="shared" si="20"/>
        <v>37</v>
      </c>
      <c r="H511" s="1" t="str">
        <f t="shared" si="21"/>
        <v>Monday</v>
      </c>
    </row>
    <row r="512" spans="1:8" x14ac:dyDescent="0.3">
      <c r="A512">
        <v>158575772</v>
      </c>
      <c r="B512" s="1">
        <v>44879</v>
      </c>
      <c r="C512" s="1">
        <v>44911</v>
      </c>
      <c r="D512" t="s">
        <v>7</v>
      </c>
      <c r="E512">
        <v>39</v>
      </c>
      <c r="F512" t="s">
        <v>6</v>
      </c>
      <c r="G512">
        <f t="shared" si="20"/>
        <v>32</v>
      </c>
      <c r="H512" s="1" t="str">
        <f t="shared" si="21"/>
        <v>Monday</v>
      </c>
    </row>
    <row r="513" spans="1:8" x14ac:dyDescent="0.3">
      <c r="A513">
        <v>162247173</v>
      </c>
      <c r="B513" s="1">
        <v>44879</v>
      </c>
      <c r="C513" s="1">
        <v>44906</v>
      </c>
      <c r="D513" t="s">
        <v>7</v>
      </c>
      <c r="E513">
        <v>39</v>
      </c>
      <c r="F513" t="s">
        <v>6</v>
      </c>
      <c r="G513">
        <f t="shared" si="20"/>
        <v>27</v>
      </c>
      <c r="H513" s="1" t="str">
        <f t="shared" si="21"/>
        <v>Monday</v>
      </c>
    </row>
    <row r="514" spans="1:8" x14ac:dyDescent="0.3">
      <c r="A514">
        <v>153630282</v>
      </c>
      <c r="B514" s="1">
        <v>44879</v>
      </c>
      <c r="C514" s="1">
        <v>44903</v>
      </c>
      <c r="D514" t="s">
        <v>7</v>
      </c>
      <c r="E514">
        <v>39</v>
      </c>
      <c r="F514" t="s">
        <v>6</v>
      </c>
      <c r="G514">
        <f t="shared" si="20"/>
        <v>24</v>
      </c>
      <c r="H514" s="1" t="str">
        <f t="shared" si="21"/>
        <v>Monday</v>
      </c>
    </row>
    <row r="515" spans="1:8" x14ac:dyDescent="0.3">
      <c r="A515">
        <v>156699431</v>
      </c>
      <c r="B515" s="1">
        <v>44879</v>
      </c>
      <c r="C515" s="1">
        <v>44888</v>
      </c>
      <c r="D515" t="s">
        <v>7</v>
      </c>
      <c r="E515">
        <v>39</v>
      </c>
      <c r="F515" t="s">
        <v>6</v>
      </c>
      <c r="G515">
        <f t="shared" ref="G515:G578" si="22">IF(C515="Active","Active",C515-B515)</f>
        <v>9</v>
      </c>
      <c r="H515" s="1" t="str">
        <f t="shared" ref="H515:H578" si="23">TEXT(B515,"dddd")</f>
        <v>Monday</v>
      </c>
    </row>
    <row r="516" spans="1:8" x14ac:dyDescent="0.3">
      <c r="A516">
        <v>148018000</v>
      </c>
      <c r="B516" s="1">
        <v>44879</v>
      </c>
      <c r="C516" s="1">
        <v>45139</v>
      </c>
      <c r="D516" t="s">
        <v>7</v>
      </c>
      <c r="E516">
        <v>39</v>
      </c>
      <c r="F516" t="s">
        <v>6</v>
      </c>
      <c r="G516">
        <f t="shared" si="22"/>
        <v>260</v>
      </c>
      <c r="H516" s="1" t="str">
        <f t="shared" si="23"/>
        <v>Monday</v>
      </c>
    </row>
    <row r="517" spans="1:8" x14ac:dyDescent="0.3">
      <c r="A517">
        <v>161623906</v>
      </c>
      <c r="B517" s="1">
        <v>44880</v>
      </c>
      <c r="C517" t="s">
        <v>19</v>
      </c>
      <c r="D517" t="s">
        <v>7</v>
      </c>
      <c r="E517">
        <v>39</v>
      </c>
      <c r="F517" t="s">
        <v>6</v>
      </c>
      <c r="G517" t="str">
        <f t="shared" si="22"/>
        <v>Active</v>
      </c>
      <c r="H517" s="1" t="str">
        <f t="shared" si="23"/>
        <v>Tuesday</v>
      </c>
    </row>
    <row r="518" spans="1:8" x14ac:dyDescent="0.3">
      <c r="A518">
        <v>145664226</v>
      </c>
      <c r="B518" s="1">
        <v>44880</v>
      </c>
      <c r="C518" t="s">
        <v>19</v>
      </c>
      <c r="D518" t="s">
        <v>7</v>
      </c>
      <c r="E518">
        <v>39</v>
      </c>
      <c r="F518" t="s">
        <v>6</v>
      </c>
      <c r="G518" t="str">
        <f t="shared" si="22"/>
        <v>Active</v>
      </c>
      <c r="H518" s="1" t="str">
        <f t="shared" si="23"/>
        <v>Tuesday</v>
      </c>
    </row>
    <row r="519" spans="1:8" x14ac:dyDescent="0.3">
      <c r="A519">
        <v>162529715</v>
      </c>
      <c r="B519" s="1">
        <v>44880</v>
      </c>
      <c r="C519" s="1">
        <v>45007</v>
      </c>
      <c r="D519" t="s">
        <v>7</v>
      </c>
      <c r="E519">
        <v>39</v>
      </c>
      <c r="F519" t="s">
        <v>6</v>
      </c>
      <c r="G519">
        <f t="shared" si="22"/>
        <v>127</v>
      </c>
      <c r="H519" s="1" t="str">
        <f t="shared" si="23"/>
        <v>Tuesday</v>
      </c>
    </row>
    <row r="520" spans="1:8" x14ac:dyDescent="0.3">
      <c r="A520">
        <v>162581284</v>
      </c>
      <c r="B520" s="1">
        <v>44880</v>
      </c>
      <c r="C520" s="1">
        <v>44906</v>
      </c>
      <c r="D520" t="s">
        <v>7</v>
      </c>
      <c r="E520">
        <v>39</v>
      </c>
      <c r="F520" t="s">
        <v>6</v>
      </c>
      <c r="G520">
        <f t="shared" si="22"/>
        <v>26</v>
      </c>
      <c r="H520" s="1" t="str">
        <f t="shared" si="23"/>
        <v>Tuesday</v>
      </c>
    </row>
    <row r="521" spans="1:8" x14ac:dyDescent="0.3">
      <c r="A521">
        <v>152655443</v>
      </c>
      <c r="B521" s="1">
        <v>44880</v>
      </c>
      <c r="C521" s="1">
        <v>44950</v>
      </c>
      <c r="D521" t="s">
        <v>7</v>
      </c>
      <c r="E521">
        <v>39</v>
      </c>
      <c r="F521" t="s">
        <v>6</v>
      </c>
      <c r="G521">
        <f t="shared" si="22"/>
        <v>70</v>
      </c>
      <c r="H521" s="1" t="str">
        <f t="shared" si="23"/>
        <v>Tuesday</v>
      </c>
    </row>
    <row r="522" spans="1:8" x14ac:dyDescent="0.3">
      <c r="A522">
        <v>162443327</v>
      </c>
      <c r="B522" s="1">
        <v>44880</v>
      </c>
      <c r="C522" s="1">
        <v>44938</v>
      </c>
      <c r="D522" t="s">
        <v>7</v>
      </c>
      <c r="E522">
        <v>39</v>
      </c>
      <c r="F522" t="s">
        <v>6</v>
      </c>
      <c r="G522">
        <f t="shared" si="22"/>
        <v>58</v>
      </c>
      <c r="H522" s="1" t="str">
        <f t="shared" si="23"/>
        <v>Tuesday</v>
      </c>
    </row>
    <row r="523" spans="1:8" x14ac:dyDescent="0.3">
      <c r="A523">
        <v>148348600</v>
      </c>
      <c r="B523" s="1">
        <v>44880</v>
      </c>
      <c r="C523" s="1">
        <v>44908</v>
      </c>
      <c r="D523" t="s">
        <v>7</v>
      </c>
      <c r="E523">
        <v>39</v>
      </c>
      <c r="F523" t="s">
        <v>6</v>
      </c>
      <c r="G523">
        <f t="shared" si="22"/>
        <v>28</v>
      </c>
      <c r="H523" s="1" t="str">
        <f t="shared" si="23"/>
        <v>Tuesday</v>
      </c>
    </row>
    <row r="524" spans="1:8" x14ac:dyDescent="0.3">
      <c r="A524">
        <v>162992590</v>
      </c>
      <c r="B524" s="1">
        <v>44881</v>
      </c>
      <c r="C524" t="s">
        <v>19</v>
      </c>
      <c r="D524" t="s">
        <v>7</v>
      </c>
      <c r="E524">
        <v>39</v>
      </c>
      <c r="F524" t="s">
        <v>6</v>
      </c>
      <c r="G524" t="str">
        <f t="shared" si="22"/>
        <v>Active</v>
      </c>
      <c r="H524" s="1" t="str">
        <f t="shared" si="23"/>
        <v>Wednesday</v>
      </c>
    </row>
    <row r="525" spans="1:8" x14ac:dyDescent="0.3">
      <c r="A525">
        <v>156633222</v>
      </c>
      <c r="B525" s="1">
        <v>44881</v>
      </c>
      <c r="C525" s="1">
        <v>44881</v>
      </c>
      <c r="D525" t="s">
        <v>8</v>
      </c>
      <c r="E525">
        <v>39</v>
      </c>
      <c r="F525" t="s">
        <v>6</v>
      </c>
      <c r="G525">
        <f t="shared" si="22"/>
        <v>0</v>
      </c>
      <c r="H525" s="1" t="str">
        <f t="shared" si="23"/>
        <v>Wednesday</v>
      </c>
    </row>
    <row r="526" spans="1:8" x14ac:dyDescent="0.3">
      <c r="A526">
        <v>133595094</v>
      </c>
      <c r="B526" s="1">
        <v>44881</v>
      </c>
      <c r="C526" s="1">
        <v>44988</v>
      </c>
      <c r="D526" t="s">
        <v>7</v>
      </c>
      <c r="E526">
        <v>39</v>
      </c>
      <c r="F526" t="s">
        <v>6</v>
      </c>
      <c r="G526">
        <f t="shared" si="22"/>
        <v>107</v>
      </c>
      <c r="H526" s="1" t="str">
        <f t="shared" si="23"/>
        <v>Wednesday</v>
      </c>
    </row>
    <row r="527" spans="1:8" x14ac:dyDescent="0.3">
      <c r="A527">
        <v>147770763</v>
      </c>
      <c r="B527" s="1">
        <v>44881</v>
      </c>
      <c r="C527" s="1">
        <v>44988</v>
      </c>
      <c r="D527" t="s">
        <v>7</v>
      </c>
      <c r="E527">
        <v>39</v>
      </c>
      <c r="F527" t="s">
        <v>6</v>
      </c>
      <c r="G527">
        <f t="shared" si="22"/>
        <v>107</v>
      </c>
      <c r="H527" s="1" t="str">
        <f t="shared" si="23"/>
        <v>Wednesday</v>
      </c>
    </row>
    <row r="528" spans="1:8" x14ac:dyDescent="0.3">
      <c r="A528">
        <v>155370139</v>
      </c>
      <c r="B528" s="1">
        <v>44881</v>
      </c>
      <c r="C528" s="1">
        <v>45008</v>
      </c>
      <c r="D528" t="s">
        <v>7</v>
      </c>
      <c r="E528">
        <v>39</v>
      </c>
      <c r="F528" t="s">
        <v>6</v>
      </c>
      <c r="G528">
        <f t="shared" si="22"/>
        <v>127</v>
      </c>
      <c r="H528" s="1" t="str">
        <f t="shared" si="23"/>
        <v>Wednesday</v>
      </c>
    </row>
    <row r="529" spans="1:8" x14ac:dyDescent="0.3">
      <c r="A529">
        <v>151890876</v>
      </c>
      <c r="B529" s="1">
        <v>44881</v>
      </c>
      <c r="C529" s="1">
        <v>44980</v>
      </c>
      <c r="D529" t="s">
        <v>7</v>
      </c>
      <c r="E529">
        <v>39</v>
      </c>
      <c r="F529" t="s">
        <v>6</v>
      </c>
      <c r="G529">
        <f t="shared" si="22"/>
        <v>99</v>
      </c>
      <c r="H529" s="1" t="str">
        <f t="shared" si="23"/>
        <v>Wednesday</v>
      </c>
    </row>
    <row r="530" spans="1:8" x14ac:dyDescent="0.3">
      <c r="A530">
        <v>162920304</v>
      </c>
      <c r="B530" s="1">
        <v>44881</v>
      </c>
      <c r="C530" s="1">
        <v>44941</v>
      </c>
      <c r="D530" t="s">
        <v>7</v>
      </c>
      <c r="E530">
        <v>39</v>
      </c>
      <c r="F530" t="s">
        <v>6</v>
      </c>
      <c r="G530">
        <f t="shared" si="22"/>
        <v>60</v>
      </c>
      <c r="H530" s="1" t="str">
        <f t="shared" si="23"/>
        <v>Wednesday</v>
      </c>
    </row>
    <row r="531" spans="1:8" x14ac:dyDescent="0.3">
      <c r="A531">
        <v>148838269</v>
      </c>
      <c r="B531" s="1">
        <v>44881</v>
      </c>
      <c r="C531" s="1">
        <v>44881</v>
      </c>
      <c r="D531" t="s">
        <v>7</v>
      </c>
      <c r="E531">
        <v>39</v>
      </c>
      <c r="F531" t="s">
        <v>6</v>
      </c>
      <c r="G531">
        <f t="shared" si="22"/>
        <v>0</v>
      </c>
      <c r="H531" s="1" t="str">
        <f t="shared" si="23"/>
        <v>Wednesday</v>
      </c>
    </row>
    <row r="532" spans="1:8" x14ac:dyDescent="0.3">
      <c r="A532">
        <v>162913792</v>
      </c>
      <c r="B532" s="1">
        <v>44881</v>
      </c>
      <c r="C532" s="1">
        <v>45161</v>
      </c>
      <c r="D532" t="s">
        <v>7</v>
      </c>
      <c r="E532">
        <v>39</v>
      </c>
      <c r="F532" t="s">
        <v>6</v>
      </c>
      <c r="G532">
        <f t="shared" si="22"/>
        <v>280</v>
      </c>
      <c r="H532" s="1" t="str">
        <f t="shared" si="23"/>
        <v>Wednesday</v>
      </c>
    </row>
    <row r="533" spans="1:8" x14ac:dyDescent="0.3">
      <c r="A533">
        <v>152316740</v>
      </c>
      <c r="B533" s="1">
        <v>44882</v>
      </c>
      <c r="C533" t="s">
        <v>19</v>
      </c>
      <c r="D533" t="s">
        <v>7</v>
      </c>
      <c r="E533">
        <v>39</v>
      </c>
      <c r="F533" t="s">
        <v>6</v>
      </c>
      <c r="G533" t="str">
        <f t="shared" si="22"/>
        <v>Active</v>
      </c>
      <c r="H533" s="1" t="str">
        <f t="shared" si="23"/>
        <v>Thursday</v>
      </c>
    </row>
    <row r="534" spans="1:8" x14ac:dyDescent="0.3">
      <c r="A534">
        <v>135480868</v>
      </c>
      <c r="B534" s="1">
        <v>44882</v>
      </c>
      <c r="C534" s="1">
        <v>44952</v>
      </c>
      <c r="D534" t="s">
        <v>7</v>
      </c>
      <c r="E534">
        <v>39</v>
      </c>
      <c r="F534" t="s">
        <v>6</v>
      </c>
      <c r="G534">
        <f t="shared" si="22"/>
        <v>70</v>
      </c>
      <c r="H534" s="1" t="str">
        <f t="shared" si="23"/>
        <v>Thursday</v>
      </c>
    </row>
    <row r="535" spans="1:8" x14ac:dyDescent="0.3">
      <c r="A535">
        <v>136315690</v>
      </c>
      <c r="B535" s="1">
        <v>44882</v>
      </c>
      <c r="C535" s="1">
        <v>44981</v>
      </c>
      <c r="D535" t="s">
        <v>7</v>
      </c>
      <c r="E535">
        <v>39</v>
      </c>
      <c r="F535" t="s">
        <v>6</v>
      </c>
      <c r="G535">
        <f t="shared" si="22"/>
        <v>99</v>
      </c>
      <c r="H535" s="1" t="str">
        <f t="shared" si="23"/>
        <v>Thursday</v>
      </c>
    </row>
    <row r="536" spans="1:8" x14ac:dyDescent="0.3">
      <c r="A536">
        <v>163224262</v>
      </c>
      <c r="B536" s="1">
        <v>44882</v>
      </c>
      <c r="C536" s="1">
        <v>44969</v>
      </c>
      <c r="D536" t="s">
        <v>7</v>
      </c>
      <c r="E536">
        <v>39</v>
      </c>
      <c r="F536" t="s">
        <v>6</v>
      </c>
      <c r="G536">
        <f t="shared" si="22"/>
        <v>87</v>
      </c>
      <c r="H536" s="1" t="str">
        <f t="shared" si="23"/>
        <v>Thursday</v>
      </c>
    </row>
    <row r="537" spans="1:8" x14ac:dyDescent="0.3">
      <c r="A537">
        <v>163330072</v>
      </c>
      <c r="B537" s="1">
        <v>44882</v>
      </c>
      <c r="C537" s="1">
        <v>44950</v>
      </c>
      <c r="D537" t="s">
        <v>7</v>
      </c>
      <c r="E537">
        <v>39</v>
      </c>
      <c r="F537" t="s">
        <v>6</v>
      </c>
      <c r="G537">
        <f t="shared" si="22"/>
        <v>68</v>
      </c>
      <c r="H537" s="1" t="str">
        <f t="shared" si="23"/>
        <v>Thursday</v>
      </c>
    </row>
    <row r="538" spans="1:8" x14ac:dyDescent="0.3">
      <c r="A538">
        <v>134646164</v>
      </c>
      <c r="B538" s="1">
        <v>44882</v>
      </c>
      <c r="C538" s="1">
        <v>44919</v>
      </c>
      <c r="D538" t="s">
        <v>7</v>
      </c>
      <c r="E538">
        <v>39</v>
      </c>
      <c r="F538" t="s">
        <v>6</v>
      </c>
      <c r="G538">
        <f t="shared" si="22"/>
        <v>37</v>
      </c>
      <c r="H538" s="1" t="str">
        <f t="shared" si="23"/>
        <v>Thursday</v>
      </c>
    </row>
    <row r="539" spans="1:8" x14ac:dyDescent="0.3">
      <c r="A539">
        <v>163282336</v>
      </c>
      <c r="B539" s="1">
        <v>44882</v>
      </c>
      <c r="C539" s="1">
        <v>45148</v>
      </c>
      <c r="D539" t="s">
        <v>7</v>
      </c>
      <c r="E539">
        <v>39</v>
      </c>
      <c r="F539" t="s">
        <v>6</v>
      </c>
      <c r="G539">
        <f t="shared" si="22"/>
        <v>266</v>
      </c>
      <c r="H539" s="1" t="str">
        <f t="shared" si="23"/>
        <v>Thursday</v>
      </c>
    </row>
    <row r="540" spans="1:8" x14ac:dyDescent="0.3">
      <c r="A540">
        <v>162490128</v>
      </c>
      <c r="B540" s="1">
        <v>44883</v>
      </c>
      <c r="C540" t="s">
        <v>19</v>
      </c>
      <c r="D540" t="s">
        <v>7</v>
      </c>
      <c r="E540">
        <v>39</v>
      </c>
      <c r="F540" t="s">
        <v>6</v>
      </c>
      <c r="G540" t="str">
        <f t="shared" si="22"/>
        <v>Active</v>
      </c>
      <c r="H540" s="1" t="str">
        <f t="shared" si="23"/>
        <v>Friday</v>
      </c>
    </row>
    <row r="541" spans="1:8" x14ac:dyDescent="0.3">
      <c r="A541">
        <v>147122277</v>
      </c>
      <c r="B541" s="1">
        <v>44883</v>
      </c>
      <c r="C541" s="1">
        <v>44884</v>
      </c>
      <c r="D541" t="s">
        <v>8</v>
      </c>
      <c r="E541">
        <v>39</v>
      </c>
      <c r="F541" t="s">
        <v>6</v>
      </c>
      <c r="G541">
        <f t="shared" si="22"/>
        <v>1</v>
      </c>
      <c r="H541" s="1" t="str">
        <f t="shared" si="23"/>
        <v>Friday</v>
      </c>
    </row>
    <row r="542" spans="1:8" x14ac:dyDescent="0.3">
      <c r="A542">
        <v>163623375</v>
      </c>
      <c r="B542" s="1">
        <v>44883</v>
      </c>
      <c r="C542" s="1">
        <v>44884</v>
      </c>
      <c r="D542" t="s">
        <v>8</v>
      </c>
      <c r="E542">
        <v>39</v>
      </c>
      <c r="F542" t="s">
        <v>6</v>
      </c>
      <c r="G542">
        <f t="shared" si="22"/>
        <v>1</v>
      </c>
      <c r="H542" s="1" t="str">
        <f t="shared" si="23"/>
        <v>Friday</v>
      </c>
    </row>
    <row r="543" spans="1:8" x14ac:dyDescent="0.3">
      <c r="A543">
        <v>132918654</v>
      </c>
      <c r="B543" s="1">
        <v>44883</v>
      </c>
      <c r="C543" s="1">
        <v>44944</v>
      </c>
      <c r="D543" t="s">
        <v>7</v>
      </c>
      <c r="E543">
        <v>39</v>
      </c>
      <c r="F543" t="s">
        <v>6</v>
      </c>
      <c r="G543">
        <f t="shared" si="22"/>
        <v>61</v>
      </c>
      <c r="H543" s="1" t="str">
        <f t="shared" si="23"/>
        <v>Friday</v>
      </c>
    </row>
    <row r="544" spans="1:8" x14ac:dyDescent="0.3">
      <c r="A544">
        <v>160601062</v>
      </c>
      <c r="B544" s="1">
        <v>44883</v>
      </c>
      <c r="C544" s="1">
        <v>44935</v>
      </c>
      <c r="D544" t="s">
        <v>7</v>
      </c>
      <c r="E544">
        <v>39</v>
      </c>
      <c r="F544" t="s">
        <v>6</v>
      </c>
      <c r="G544">
        <f t="shared" si="22"/>
        <v>52</v>
      </c>
      <c r="H544" s="1" t="str">
        <f t="shared" si="23"/>
        <v>Friday</v>
      </c>
    </row>
    <row r="545" spans="1:8" x14ac:dyDescent="0.3">
      <c r="A545">
        <v>144573808</v>
      </c>
      <c r="B545" s="1">
        <v>44883</v>
      </c>
      <c r="C545" s="1">
        <v>44944</v>
      </c>
      <c r="D545" t="s">
        <v>7</v>
      </c>
      <c r="E545">
        <v>39</v>
      </c>
      <c r="F545" t="s">
        <v>6</v>
      </c>
      <c r="G545">
        <f t="shared" si="22"/>
        <v>61</v>
      </c>
      <c r="H545" s="1" t="str">
        <f t="shared" si="23"/>
        <v>Friday</v>
      </c>
    </row>
    <row r="546" spans="1:8" x14ac:dyDescent="0.3">
      <c r="A546">
        <v>114435366</v>
      </c>
      <c r="B546" s="1">
        <v>44883</v>
      </c>
      <c r="C546" s="1">
        <v>44883</v>
      </c>
      <c r="D546" t="s">
        <v>7</v>
      </c>
      <c r="E546">
        <v>39</v>
      </c>
      <c r="F546" t="s">
        <v>6</v>
      </c>
      <c r="G546">
        <f t="shared" si="22"/>
        <v>0</v>
      </c>
      <c r="H546" s="1" t="str">
        <f t="shared" si="23"/>
        <v>Friday</v>
      </c>
    </row>
    <row r="547" spans="1:8" x14ac:dyDescent="0.3">
      <c r="A547">
        <v>163399934</v>
      </c>
      <c r="B547" s="1">
        <v>44883</v>
      </c>
      <c r="C547" s="1">
        <v>44883</v>
      </c>
      <c r="D547" t="s">
        <v>7</v>
      </c>
      <c r="E547">
        <v>39</v>
      </c>
      <c r="F547" t="s">
        <v>6</v>
      </c>
      <c r="G547">
        <f t="shared" si="22"/>
        <v>0</v>
      </c>
      <c r="H547" s="1" t="str">
        <f t="shared" si="23"/>
        <v>Friday</v>
      </c>
    </row>
    <row r="548" spans="1:8" x14ac:dyDescent="0.3">
      <c r="A548">
        <v>133599090</v>
      </c>
      <c r="B548" s="1">
        <v>44884</v>
      </c>
      <c r="C548" s="1">
        <v>44996</v>
      </c>
      <c r="D548" t="s">
        <v>7</v>
      </c>
      <c r="E548">
        <v>39</v>
      </c>
      <c r="F548" t="s">
        <v>6</v>
      </c>
      <c r="G548">
        <f t="shared" si="22"/>
        <v>112</v>
      </c>
      <c r="H548" s="1" t="str">
        <f t="shared" si="23"/>
        <v>Saturday</v>
      </c>
    </row>
    <row r="549" spans="1:8" x14ac:dyDescent="0.3">
      <c r="A549">
        <v>154767246</v>
      </c>
      <c r="B549" s="1">
        <v>44884</v>
      </c>
      <c r="C549" s="1">
        <v>44915</v>
      </c>
      <c r="D549" t="s">
        <v>7</v>
      </c>
      <c r="E549">
        <v>39</v>
      </c>
      <c r="F549" t="s">
        <v>6</v>
      </c>
      <c r="G549">
        <f t="shared" si="22"/>
        <v>31</v>
      </c>
      <c r="H549" s="1" t="str">
        <f t="shared" si="23"/>
        <v>Saturday</v>
      </c>
    </row>
    <row r="550" spans="1:8" x14ac:dyDescent="0.3">
      <c r="A550">
        <v>164085988</v>
      </c>
      <c r="B550" s="1">
        <v>44884</v>
      </c>
      <c r="C550" s="1">
        <v>44915</v>
      </c>
      <c r="D550" t="s">
        <v>7</v>
      </c>
      <c r="E550">
        <v>39</v>
      </c>
      <c r="F550" t="s">
        <v>6</v>
      </c>
      <c r="G550">
        <f t="shared" si="22"/>
        <v>31</v>
      </c>
      <c r="H550" s="1" t="str">
        <f t="shared" si="23"/>
        <v>Saturday</v>
      </c>
    </row>
    <row r="551" spans="1:8" x14ac:dyDescent="0.3">
      <c r="A551">
        <v>164255751</v>
      </c>
      <c r="B551" s="1">
        <v>44885</v>
      </c>
      <c r="C551" s="1">
        <v>45159</v>
      </c>
      <c r="D551" t="s">
        <v>7</v>
      </c>
      <c r="E551">
        <v>39</v>
      </c>
      <c r="F551" t="s">
        <v>6</v>
      </c>
      <c r="G551">
        <f t="shared" si="22"/>
        <v>274</v>
      </c>
      <c r="H551" s="1" t="str">
        <f t="shared" si="23"/>
        <v>Sunday</v>
      </c>
    </row>
    <row r="552" spans="1:8" x14ac:dyDescent="0.3">
      <c r="A552">
        <v>150663530</v>
      </c>
      <c r="B552" s="1">
        <v>44885</v>
      </c>
      <c r="C552" s="1">
        <v>45043</v>
      </c>
      <c r="D552" t="s">
        <v>7</v>
      </c>
      <c r="E552">
        <v>39</v>
      </c>
      <c r="F552" t="s">
        <v>6</v>
      </c>
      <c r="G552">
        <f t="shared" si="22"/>
        <v>158</v>
      </c>
      <c r="H552" s="1" t="str">
        <f t="shared" si="23"/>
        <v>Sunday</v>
      </c>
    </row>
    <row r="553" spans="1:8" x14ac:dyDescent="0.3">
      <c r="A553">
        <v>155333508</v>
      </c>
      <c r="B553" s="1">
        <v>44885</v>
      </c>
      <c r="C553" s="1">
        <v>44945</v>
      </c>
      <c r="D553" t="s">
        <v>7</v>
      </c>
      <c r="E553">
        <v>39</v>
      </c>
      <c r="F553" t="s">
        <v>6</v>
      </c>
      <c r="G553">
        <f t="shared" si="22"/>
        <v>60</v>
      </c>
      <c r="H553" s="1" t="str">
        <f t="shared" si="23"/>
        <v>Sunday</v>
      </c>
    </row>
    <row r="554" spans="1:8" x14ac:dyDescent="0.3">
      <c r="A554">
        <v>163178244</v>
      </c>
      <c r="B554" s="1">
        <v>44886</v>
      </c>
      <c r="C554" t="s">
        <v>19</v>
      </c>
      <c r="D554" t="s">
        <v>8</v>
      </c>
      <c r="E554">
        <v>39</v>
      </c>
      <c r="F554" t="s">
        <v>6</v>
      </c>
      <c r="G554" t="str">
        <f t="shared" si="22"/>
        <v>Active</v>
      </c>
      <c r="H554" s="1" t="str">
        <f t="shared" si="23"/>
        <v>Monday</v>
      </c>
    </row>
    <row r="555" spans="1:8" x14ac:dyDescent="0.3">
      <c r="A555">
        <v>130245484</v>
      </c>
      <c r="B555" s="1">
        <v>44886</v>
      </c>
      <c r="C555" s="1">
        <v>44977</v>
      </c>
      <c r="D555" t="s">
        <v>7</v>
      </c>
      <c r="E555">
        <v>39</v>
      </c>
      <c r="F555" t="s">
        <v>6</v>
      </c>
      <c r="G555">
        <f t="shared" si="22"/>
        <v>91</v>
      </c>
      <c r="H555" s="1" t="str">
        <f t="shared" si="23"/>
        <v>Monday</v>
      </c>
    </row>
    <row r="556" spans="1:8" x14ac:dyDescent="0.3">
      <c r="A556">
        <v>164578320</v>
      </c>
      <c r="B556" s="1">
        <v>44886</v>
      </c>
      <c r="C556" s="1">
        <v>44916</v>
      </c>
      <c r="D556" t="s">
        <v>7</v>
      </c>
      <c r="E556">
        <v>39</v>
      </c>
      <c r="F556" t="s">
        <v>6</v>
      </c>
      <c r="G556">
        <f t="shared" si="22"/>
        <v>30</v>
      </c>
      <c r="H556" s="1" t="str">
        <f t="shared" si="23"/>
        <v>Monday</v>
      </c>
    </row>
    <row r="557" spans="1:8" x14ac:dyDescent="0.3">
      <c r="A557">
        <v>164542692</v>
      </c>
      <c r="B557" s="1">
        <v>44886</v>
      </c>
      <c r="C557" s="1">
        <v>44923</v>
      </c>
      <c r="D557" t="s">
        <v>7</v>
      </c>
      <c r="E557">
        <v>39</v>
      </c>
      <c r="F557" t="s">
        <v>6</v>
      </c>
      <c r="G557">
        <f t="shared" si="22"/>
        <v>37</v>
      </c>
      <c r="H557" s="1" t="str">
        <f t="shared" si="23"/>
        <v>Monday</v>
      </c>
    </row>
    <row r="558" spans="1:8" x14ac:dyDescent="0.3">
      <c r="A558">
        <v>164087136</v>
      </c>
      <c r="B558" s="1">
        <v>44887</v>
      </c>
      <c r="C558" t="s">
        <v>19</v>
      </c>
      <c r="D558" t="s">
        <v>7</v>
      </c>
      <c r="E558">
        <v>39</v>
      </c>
      <c r="F558" t="s">
        <v>6</v>
      </c>
      <c r="G558" t="str">
        <f t="shared" si="22"/>
        <v>Active</v>
      </c>
      <c r="H558" s="1" t="str">
        <f t="shared" si="23"/>
        <v>Tuesday</v>
      </c>
    </row>
    <row r="559" spans="1:8" x14ac:dyDescent="0.3">
      <c r="A559">
        <v>155414052</v>
      </c>
      <c r="B559" s="1">
        <v>44887</v>
      </c>
      <c r="C559" s="1">
        <v>44888</v>
      </c>
      <c r="D559" t="s">
        <v>8</v>
      </c>
      <c r="E559">
        <v>39</v>
      </c>
      <c r="F559" t="s">
        <v>6</v>
      </c>
      <c r="G559">
        <f t="shared" si="22"/>
        <v>1</v>
      </c>
      <c r="H559" s="1" t="str">
        <f t="shared" si="23"/>
        <v>Tuesday</v>
      </c>
    </row>
    <row r="560" spans="1:8" x14ac:dyDescent="0.3">
      <c r="A560">
        <v>152253972</v>
      </c>
      <c r="B560" s="1">
        <v>44887</v>
      </c>
      <c r="C560" s="1">
        <v>45014</v>
      </c>
      <c r="D560" t="s">
        <v>7</v>
      </c>
      <c r="E560">
        <v>39</v>
      </c>
      <c r="F560" t="s">
        <v>6</v>
      </c>
      <c r="G560">
        <f t="shared" si="22"/>
        <v>127</v>
      </c>
      <c r="H560" s="1" t="str">
        <f t="shared" si="23"/>
        <v>Tuesday</v>
      </c>
    </row>
    <row r="561" spans="1:8" x14ac:dyDescent="0.3">
      <c r="A561">
        <v>152754329</v>
      </c>
      <c r="B561" s="1">
        <v>44887</v>
      </c>
      <c r="C561" s="1">
        <v>44949</v>
      </c>
      <c r="D561" t="s">
        <v>7</v>
      </c>
      <c r="E561">
        <v>39</v>
      </c>
      <c r="F561" t="s">
        <v>6</v>
      </c>
      <c r="G561">
        <f t="shared" si="22"/>
        <v>62</v>
      </c>
      <c r="H561" s="1" t="str">
        <f t="shared" si="23"/>
        <v>Tuesday</v>
      </c>
    </row>
    <row r="562" spans="1:8" x14ac:dyDescent="0.3">
      <c r="A562">
        <v>159724071</v>
      </c>
      <c r="B562" s="1">
        <v>44888</v>
      </c>
      <c r="C562" s="1">
        <v>44945</v>
      </c>
      <c r="D562" t="s">
        <v>7</v>
      </c>
      <c r="E562">
        <v>39</v>
      </c>
      <c r="F562" t="s">
        <v>6</v>
      </c>
      <c r="G562">
        <f t="shared" si="22"/>
        <v>57</v>
      </c>
      <c r="H562" s="1" t="str">
        <f t="shared" si="23"/>
        <v>Wednesday</v>
      </c>
    </row>
    <row r="563" spans="1:8" x14ac:dyDescent="0.3">
      <c r="A563">
        <v>165164673</v>
      </c>
      <c r="B563" s="1">
        <v>44888</v>
      </c>
      <c r="C563" s="1">
        <v>44891</v>
      </c>
      <c r="D563" t="s">
        <v>7</v>
      </c>
      <c r="E563">
        <v>39</v>
      </c>
      <c r="F563" t="s">
        <v>6</v>
      </c>
      <c r="G563">
        <f t="shared" si="22"/>
        <v>3</v>
      </c>
      <c r="H563" s="1" t="str">
        <f t="shared" si="23"/>
        <v>Wednesday</v>
      </c>
    </row>
    <row r="564" spans="1:8" x14ac:dyDescent="0.3">
      <c r="A564">
        <v>165529460</v>
      </c>
      <c r="B564" s="1">
        <v>44889</v>
      </c>
      <c r="C564" s="1">
        <v>45037</v>
      </c>
      <c r="D564" t="s">
        <v>7</v>
      </c>
      <c r="E564">
        <v>39</v>
      </c>
      <c r="F564" t="s">
        <v>6</v>
      </c>
      <c r="G564">
        <f t="shared" si="22"/>
        <v>148</v>
      </c>
      <c r="H564" s="1" t="str">
        <f t="shared" si="23"/>
        <v>Thursday</v>
      </c>
    </row>
    <row r="565" spans="1:8" x14ac:dyDescent="0.3">
      <c r="A565">
        <v>163362190</v>
      </c>
      <c r="B565" s="1">
        <v>44890</v>
      </c>
      <c r="C565" t="s">
        <v>19</v>
      </c>
      <c r="D565" t="s">
        <v>7</v>
      </c>
      <c r="E565">
        <v>39</v>
      </c>
      <c r="F565" t="s">
        <v>6</v>
      </c>
      <c r="G565" t="str">
        <f t="shared" si="22"/>
        <v>Active</v>
      </c>
      <c r="H565" s="1" t="str">
        <f t="shared" si="23"/>
        <v>Friday</v>
      </c>
    </row>
    <row r="566" spans="1:8" x14ac:dyDescent="0.3">
      <c r="A566">
        <v>155810350</v>
      </c>
      <c r="B566" s="1">
        <v>44890</v>
      </c>
      <c r="C566" s="1">
        <v>44917</v>
      </c>
      <c r="D566" t="s">
        <v>7</v>
      </c>
      <c r="E566">
        <v>39</v>
      </c>
      <c r="F566" t="s">
        <v>6</v>
      </c>
      <c r="G566">
        <f t="shared" si="22"/>
        <v>27</v>
      </c>
      <c r="H566" s="1" t="str">
        <f t="shared" si="23"/>
        <v>Friday</v>
      </c>
    </row>
    <row r="567" spans="1:8" x14ac:dyDescent="0.3">
      <c r="A567">
        <v>161793136</v>
      </c>
      <c r="B567" s="1">
        <v>44890</v>
      </c>
      <c r="C567" s="1">
        <v>45090</v>
      </c>
      <c r="D567" t="s">
        <v>7</v>
      </c>
      <c r="E567">
        <v>39</v>
      </c>
      <c r="F567" t="s">
        <v>6</v>
      </c>
      <c r="G567">
        <f t="shared" si="22"/>
        <v>200</v>
      </c>
      <c r="H567" s="1" t="str">
        <f t="shared" si="23"/>
        <v>Friday</v>
      </c>
    </row>
    <row r="568" spans="1:8" x14ac:dyDescent="0.3">
      <c r="A568">
        <v>159255776</v>
      </c>
      <c r="B568" s="1">
        <v>44890</v>
      </c>
      <c r="C568" s="1">
        <v>45006</v>
      </c>
      <c r="D568" t="s">
        <v>7</v>
      </c>
      <c r="E568">
        <v>39</v>
      </c>
      <c r="F568" t="s">
        <v>6</v>
      </c>
      <c r="G568">
        <f t="shared" si="22"/>
        <v>116</v>
      </c>
      <c r="H568" s="1" t="str">
        <f t="shared" si="23"/>
        <v>Friday</v>
      </c>
    </row>
    <row r="569" spans="1:8" x14ac:dyDescent="0.3">
      <c r="A569">
        <v>165807144</v>
      </c>
      <c r="B569" s="1">
        <v>44890</v>
      </c>
      <c r="C569" s="1">
        <v>44958</v>
      </c>
      <c r="D569" t="s">
        <v>7</v>
      </c>
      <c r="E569">
        <v>39</v>
      </c>
      <c r="F569" t="s">
        <v>6</v>
      </c>
      <c r="G569">
        <f t="shared" si="22"/>
        <v>68</v>
      </c>
      <c r="H569" s="1" t="str">
        <f t="shared" si="23"/>
        <v>Friday</v>
      </c>
    </row>
    <row r="570" spans="1:8" x14ac:dyDescent="0.3">
      <c r="A570">
        <v>165788743</v>
      </c>
      <c r="B570" s="1">
        <v>44890</v>
      </c>
      <c r="C570" s="1">
        <v>44975</v>
      </c>
      <c r="D570" t="s">
        <v>7</v>
      </c>
      <c r="E570">
        <v>39</v>
      </c>
      <c r="F570" t="s">
        <v>6</v>
      </c>
      <c r="G570">
        <f t="shared" si="22"/>
        <v>85</v>
      </c>
      <c r="H570" s="1" t="str">
        <f t="shared" si="23"/>
        <v>Friday</v>
      </c>
    </row>
    <row r="571" spans="1:8" x14ac:dyDescent="0.3">
      <c r="A571">
        <v>162513776</v>
      </c>
      <c r="B571" s="1">
        <v>44890</v>
      </c>
      <c r="C571" s="1">
        <v>44956</v>
      </c>
      <c r="D571" t="s">
        <v>7</v>
      </c>
      <c r="E571">
        <v>39</v>
      </c>
      <c r="F571" t="s">
        <v>6</v>
      </c>
      <c r="G571">
        <f t="shared" si="22"/>
        <v>66</v>
      </c>
      <c r="H571" s="1" t="str">
        <f t="shared" si="23"/>
        <v>Friday</v>
      </c>
    </row>
    <row r="572" spans="1:8" x14ac:dyDescent="0.3">
      <c r="A572">
        <v>161841028</v>
      </c>
      <c r="B572" s="1">
        <v>44890</v>
      </c>
      <c r="C572" s="1">
        <v>44951</v>
      </c>
      <c r="D572" t="s">
        <v>7</v>
      </c>
      <c r="E572">
        <v>39</v>
      </c>
      <c r="F572" t="s">
        <v>6</v>
      </c>
      <c r="G572">
        <f t="shared" si="22"/>
        <v>61</v>
      </c>
      <c r="H572" s="1" t="str">
        <f t="shared" si="23"/>
        <v>Friday</v>
      </c>
    </row>
    <row r="573" spans="1:8" x14ac:dyDescent="0.3">
      <c r="A573">
        <v>160597612</v>
      </c>
      <c r="B573" s="1">
        <v>44890</v>
      </c>
      <c r="C573" s="1">
        <v>44906</v>
      </c>
      <c r="D573" t="s">
        <v>7</v>
      </c>
      <c r="E573">
        <v>39</v>
      </c>
      <c r="F573" t="s">
        <v>6</v>
      </c>
      <c r="G573">
        <f t="shared" si="22"/>
        <v>16</v>
      </c>
      <c r="H573" s="1" t="str">
        <f t="shared" si="23"/>
        <v>Friday</v>
      </c>
    </row>
    <row r="574" spans="1:8" x14ac:dyDescent="0.3">
      <c r="A574">
        <v>165937140</v>
      </c>
      <c r="B574" s="1">
        <v>44891</v>
      </c>
      <c r="C574" s="1">
        <v>44892</v>
      </c>
      <c r="D574" t="s">
        <v>8</v>
      </c>
      <c r="E574">
        <v>39</v>
      </c>
      <c r="F574" t="s">
        <v>6</v>
      </c>
      <c r="G574">
        <f t="shared" si="22"/>
        <v>1</v>
      </c>
      <c r="H574" s="1" t="str">
        <f t="shared" si="23"/>
        <v>Saturday</v>
      </c>
    </row>
    <row r="575" spans="1:8" x14ac:dyDescent="0.3">
      <c r="A575">
        <v>165613975</v>
      </c>
      <c r="B575" s="1">
        <v>44891</v>
      </c>
      <c r="C575" s="1">
        <v>45053</v>
      </c>
      <c r="D575" t="s">
        <v>7</v>
      </c>
      <c r="E575">
        <v>39</v>
      </c>
      <c r="F575" t="s">
        <v>6</v>
      </c>
      <c r="G575">
        <f t="shared" si="22"/>
        <v>162</v>
      </c>
      <c r="H575" s="1" t="str">
        <f t="shared" si="23"/>
        <v>Saturday</v>
      </c>
    </row>
    <row r="576" spans="1:8" x14ac:dyDescent="0.3">
      <c r="A576">
        <v>164662173</v>
      </c>
      <c r="B576" s="1">
        <v>44891</v>
      </c>
      <c r="C576" s="1">
        <v>44952</v>
      </c>
      <c r="D576" t="s">
        <v>7</v>
      </c>
      <c r="E576">
        <v>39</v>
      </c>
      <c r="F576" t="s">
        <v>6</v>
      </c>
      <c r="G576">
        <f t="shared" si="22"/>
        <v>61</v>
      </c>
      <c r="H576" s="1" t="str">
        <f t="shared" si="23"/>
        <v>Saturday</v>
      </c>
    </row>
    <row r="577" spans="1:8" x14ac:dyDescent="0.3">
      <c r="A577">
        <v>162411394</v>
      </c>
      <c r="B577" s="1">
        <v>44891</v>
      </c>
      <c r="C577" s="1">
        <v>44930</v>
      </c>
      <c r="D577" t="s">
        <v>7</v>
      </c>
      <c r="E577">
        <v>39</v>
      </c>
      <c r="F577" t="s">
        <v>6</v>
      </c>
      <c r="G577">
        <f t="shared" si="22"/>
        <v>39</v>
      </c>
      <c r="H577" s="1" t="str">
        <f t="shared" si="23"/>
        <v>Saturday</v>
      </c>
    </row>
    <row r="578" spans="1:8" x14ac:dyDescent="0.3">
      <c r="A578">
        <v>121439836</v>
      </c>
      <c r="B578" s="1">
        <v>44892</v>
      </c>
      <c r="C578" t="s">
        <v>19</v>
      </c>
      <c r="D578" t="s">
        <v>7</v>
      </c>
      <c r="E578">
        <v>39</v>
      </c>
      <c r="F578" t="s">
        <v>6</v>
      </c>
      <c r="G578" t="str">
        <f t="shared" si="22"/>
        <v>Active</v>
      </c>
      <c r="H578" s="1" t="str">
        <f t="shared" si="23"/>
        <v>Sunday</v>
      </c>
    </row>
    <row r="579" spans="1:8" x14ac:dyDescent="0.3">
      <c r="A579">
        <v>157353623</v>
      </c>
      <c r="B579" s="1">
        <v>44892</v>
      </c>
      <c r="C579" s="1">
        <v>44892</v>
      </c>
      <c r="D579" t="s">
        <v>8</v>
      </c>
      <c r="E579">
        <v>39</v>
      </c>
      <c r="F579" t="s">
        <v>6</v>
      </c>
      <c r="G579">
        <f t="shared" ref="G579:G642" si="24">IF(C579="Active","Active",C579-B579)</f>
        <v>0</v>
      </c>
      <c r="H579" s="1" t="str">
        <f t="shared" ref="H579:H642" si="25">TEXT(B579,"dddd")</f>
        <v>Sunday</v>
      </c>
    </row>
    <row r="580" spans="1:8" x14ac:dyDescent="0.3">
      <c r="A580">
        <v>165953219</v>
      </c>
      <c r="B580" s="1">
        <v>44892</v>
      </c>
      <c r="C580" s="1">
        <v>44929</v>
      </c>
      <c r="D580" t="s">
        <v>7</v>
      </c>
      <c r="E580">
        <v>39</v>
      </c>
      <c r="F580" t="s">
        <v>6</v>
      </c>
      <c r="G580">
        <f t="shared" si="24"/>
        <v>37</v>
      </c>
      <c r="H580" s="1" t="str">
        <f t="shared" si="25"/>
        <v>Sunday</v>
      </c>
    </row>
    <row r="581" spans="1:8" x14ac:dyDescent="0.3">
      <c r="A581">
        <v>154710805</v>
      </c>
      <c r="B581" s="1">
        <v>44893</v>
      </c>
      <c r="C581" t="s">
        <v>19</v>
      </c>
      <c r="D581" t="s">
        <v>7</v>
      </c>
      <c r="E581">
        <v>39</v>
      </c>
      <c r="F581" t="s">
        <v>6</v>
      </c>
      <c r="G581" t="str">
        <f t="shared" si="24"/>
        <v>Active</v>
      </c>
      <c r="H581" s="1" t="str">
        <f t="shared" si="25"/>
        <v>Monday</v>
      </c>
    </row>
    <row r="582" spans="1:8" x14ac:dyDescent="0.3">
      <c r="A582">
        <v>164084318</v>
      </c>
      <c r="B582" s="1">
        <v>44893</v>
      </c>
      <c r="C582" t="s">
        <v>19</v>
      </c>
      <c r="D582" t="s">
        <v>7</v>
      </c>
      <c r="E582">
        <v>39</v>
      </c>
      <c r="F582" t="s">
        <v>6</v>
      </c>
      <c r="G582" t="str">
        <f t="shared" si="24"/>
        <v>Active</v>
      </c>
      <c r="H582" s="1" t="str">
        <f t="shared" si="25"/>
        <v>Monday</v>
      </c>
    </row>
    <row r="583" spans="1:8" x14ac:dyDescent="0.3">
      <c r="A583">
        <v>160043327</v>
      </c>
      <c r="B583" s="1">
        <v>44893</v>
      </c>
      <c r="C583" s="1">
        <v>44894</v>
      </c>
      <c r="D583" t="s">
        <v>8</v>
      </c>
      <c r="E583">
        <v>39</v>
      </c>
      <c r="F583" t="s">
        <v>6</v>
      </c>
      <c r="G583">
        <f t="shared" si="24"/>
        <v>1</v>
      </c>
      <c r="H583" s="1" t="str">
        <f t="shared" si="25"/>
        <v>Monday</v>
      </c>
    </row>
    <row r="584" spans="1:8" x14ac:dyDescent="0.3">
      <c r="A584">
        <v>131166579</v>
      </c>
      <c r="B584" s="1">
        <v>44893</v>
      </c>
      <c r="C584" s="1">
        <v>44930</v>
      </c>
      <c r="D584" t="s">
        <v>7</v>
      </c>
      <c r="E584">
        <v>39</v>
      </c>
      <c r="F584" t="s">
        <v>6</v>
      </c>
      <c r="G584">
        <f t="shared" si="24"/>
        <v>37</v>
      </c>
      <c r="H584" s="1" t="str">
        <f t="shared" si="25"/>
        <v>Monday</v>
      </c>
    </row>
    <row r="585" spans="1:8" x14ac:dyDescent="0.3">
      <c r="A585">
        <v>166109726</v>
      </c>
      <c r="B585" s="1">
        <v>44893</v>
      </c>
      <c r="C585" s="1">
        <v>44938</v>
      </c>
      <c r="D585" t="s">
        <v>7</v>
      </c>
      <c r="E585">
        <v>39</v>
      </c>
      <c r="F585" t="s">
        <v>6</v>
      </c>
      <c r="G585">
        <f t="shared" si="24"/>
        <v>45</v>
      </c>
      <c r="H585" s="1" t="str">
        <f t="shared" si="25"/>
        <v>Monday</v>
      </c>
    </row>
    <row r="586" spans="1:8" x14ac:dyDescent="0.3">
      <c r="A586">
        <v>155446081</v>
      </c>
      <c r="B586" s="1">
        <v>44893</v>
      </c>
      <c r="C586" s="1">
        <v>44927</v>
      </c>
      <c r="D586" t="s">
        <v>7</v>
      </c>
      <c r="E586">
        <v>39</v>
      </c>
      <c r="F586" t="s">
        <v>6</v>
      </c>
      <c r="G586">
        <f t="shared" si="24"/>
        <v>34</v>
      </c>
      <c r="H586" s="1" t="str">
        <f t="shared" si="25"/>
        <v>Monday</v>
      </c>
    </row>
    <row r="587" spans="1:8" x14ac:dyDescent="0.3">
      <c r="A587">
        <v>166342075</v>
      </c>
      <c r="B587" s="1">
        <v>44893</v>
      </c>
      <c r="C587" s="1">
        <v>44923</v>
      </c>
      <c r="D587" t="s">
        <v>7</v>
      </c>
      <c r="E587">
        <v>39</v>
      </c>
      <c r="F587" t="s">
        <v>6</v>
      </c>
      <c r="G587">
        <f t="shared" si="24"/>
        <v>30</v>
      </c>
      <c r="H587" s="1" t="str">
        <f t="shared" si="25"/>
        <v>Monday</v>
      </c>
    </row>
    <row r="588" spans="1:8" x14ac:dyDescent="0.3">
      <c r="A588">
        <v>154063985</v>
      </c>
      <c r="B588" s="1">
        <v>44893</v>
      </c>
      <c r="C588" s="1">
        <v>45142</v>
      </c>
      <c r="D588" t="s">
        <v>7</v>
      </c>
      <c r="E588">
        <v>39</v>
      </c>
      <c r="F588" t="s">
        <v>6</v>
      </c>
      <c r="G588">
        <f t="shared" si="24"/>
        <v>249</v>
      </c>
      <c r="H588" s="1" t="str">
        <f t="shared" si="25"/>
        <v>Monday</v>
      </c>
    </row>
    <row r="589" spans="1:8" x14ac:dyDescent="0.3">
      <c r="A589">
        <v>164141888</v>
      </c>
      <c r="B589" s="1">
        <v>44894</v>
      </c>
      <c r="C589" t="s">
        <v>19</v>
      </c>
      <c r="D589" t="s">
        <v>7</v>
      </c>
      <c r="E589">
        <v>39</v>
      </c>
      <c r="F589" t="s">
        <v>6</v>
      </c>
      <c r="G589" t="str">
        <f t="shared" si="24"/>
        <v>Active</v>
      </c>
      <c r="H589" s="1" t="str">
        <f t="shared" si="25"/>
        <v>Tuesday</v>
      </c>
    </row>
    <row r="590" spans="1:8" x14ac:dyDescent="0.3">
      <c r="A590">
        <v>165244044</v>
      </c>
      <c r="B590" s="1">
        <v>44894</v>
      </c>
      <c r="C590" s="1">
        <v>45061</v>
      </c>
      <c r="D590" t="s">
        <v>7</v>
      </c>
      <c r="E590">
        <v>39</v>
      </c>
      <c r="F590" t="s">
        <v>6</v>
      </c>
      <c r="G590">
        <f t="shared" si="24"/>
        <v>167</v>
      </c>
      <c r="H590" s="1" t="str">
        <f t="shared" si="25"/>
        <v>Tuesday</v>
      </c>
    </row>
    <row r="591" spans="1:8" x14ac:dyDescent="0.3">
      <c r="A591">
        <v>136149379</v>
      </c>
      <c r="B591" s="1">
        <v>44894</v>
      </c>
      <c r="C591" s="1">
        <v>45018</v>
      </c>
      <c r="D591" t="s">
        <v>7</v>
      </c>
      <c r="E591">
        <v>39</v>
      </c>
      <c r="F591" t="s">
        <v>6</v>
      </c>
      <c r="G591">
        <f t="shared" si="24"/>
        <v>124</v>
      </c>
      <c r="H591" s="1" t="str">
        <f t="shared" si="25"/>
        <v>Tuesday</v>
      </c>
    </row>
    <row r="592" spans="1:8" x14ac:dyDescent="0.3">
      <c r="A592">
        <v>158227426</v>
      </c>
      <c r="B592" s="1">
        <v>44894</v>
      </c>
      <c r="C592" s="1">
        <v>44986</v>
      </c>
      <c r="D592" t="s">
        <v>7</v>
      </c>
      <c r="E592">
        <v>39</v>
      </c>
      <c r="F592" t="s">
        <v>6</v>
      </c>
      <c r="G592">
        <f t="shared" si="24"/>
        <v>92</v>
      </c>
      <c r="H592" s="1" t="str">
        <f t="shared" si="25"/>
        <v>Tuesday</v>
      </c>
    </row>
    <row r="593" spans="1:8" x14ac:dyDescent="0.3">
      <c r="A593">
        <v>166366125</v>
      </c>
      <c r="B593" s="1">
        <v>44894</v>
      </c>
      <c r="C593" s="1">
        <v>44994</v>
      </c>
      <c r="D593" t="s">
        <v>7</v>
      </c>
      <c r="E593">
        <v>39</v>
      </c>
      <c r="F593" t="s">
        <v>6</v>
      </c>
      <c r="G593">
        <f t="shared" si="24"/>
        <v>100</v>
      </c>
      <c r="H593" s="1" t="str">
        <f t="shared" si="25"/>
        <v>Tuesday</v>
      </c>
    </row>
    <row r="594" spans="1:8" x14ac:dyDescent="0.3">
      <c r="A594">
        <v>166753946</v>
      </c>
      <c r="B594" s="1">
        <v>44894</v>
      </c>
      <c r="C594" s="1">
        <v>44962</v>
      </c>
      <c r="D594" t="s">
        <v>7</v>
      </c>
      <c r="E594">
        <v>39</v>
      </c>
      <c r="F594" t="s">
        <v>6</v>
      </c>
      <c r="G594">
        <f t="shared" si="24"/>
        <v>68</v>
      </c>
      <c r="H594" s="1" t="str">
        <f t="shared" si="25"/>
        <v>Tuesday</v>
      </c>
    </row>
    <row r="595" spans="1:8" x14ac:dyDescent="0.3">
      <c r="A595">
        <v>157883110</v>
      </c>
      <c r="B595" s="1">
        <v>44894</v>
      </c>
      <c r="C595" s="1">
        <v>44949</v>
      </c>
      <c r="D595" t="s">
        <v>7</v>
      </c>
      <c r="E595">
        <v>39</v>
      </c>
      <c r="F595" t="s">
        <v>6</v>
      </c>
      <c r="G595">
        <f t="shared" si="24"/>
        <v>55</v>
      </c>
      <c r="H595" s="1" t="str">
        <f t="shared" si="25"/>
        <v>Tuesday</v>
      </c>
    </row>
    <row r="596" spans="1:8" x14ac:dyDescent="0.3">
      <c r="A596">
        <v>138475621</v>
      </c>
      <c r="B596" s="1">
        <v>44894</v>
      </c>
      <c r="C596" s="1">
        <v>44910</v>
      </c>
      <c r="D596" t="s">
        <v>7</v>
      </c>
      <c r="E596">
        <v>39</v>
      </c>
      <c r="F596" t="s">
        <v>6</v>
      </c>
      <c r="G596">
        <f t="shared" si="24"/>
        <v>16</v>
      </c>
      <c r="H596" s="1" t="str">
        <f t="shared" si="25"/>
        <v>Tuesday</v>
      </c>
    </row>
    <row r="597" spans="1:8" x14ac:dyDescent="0.3">
      <c r="A597">
        <v>166529240</v>
      </c>
      <c r="B597" s="1">
        <v>44895</v>
      </c>
      <c r="C597" t="s">
        <v>19</v>
      </c>
      <c r="D597" t="s">
        <v>7</v>
      </c>
      <c r="E597">
        <v>39</v>
      </c>
      <c r="F597" t="s">
        <v>6</v>
      </c>
      <c r="G597" t="str">
        <f t="shared" si="24"/>
        <v>Active</v>
      </c>
      <c r="H597" s="1" t="str">
        <f t="shared" si="25"/>
        <v>Wednesday</v>
      </c>
    </row>
    <row r="598" spans="1:8" x14ac:dyDescent="0.3">
      <c r="A598">
        <v>125828506</v>
      </c>
      <c r="B598" s="1">
        <v>44895</v>
      </c>
      <c r="C598" s="1">
        <v>44971</v>
      </c>
      <c r="D598" t="s">
        <v>7</v>
      </c>
      <c r="E598">
        <v>39</v>
      </c>
      <c r="F598" t="s">
        <v>6</v>
      </c>
      <c r="G598">
        <f t="shared" si="24"/>
        <v>76</v>
      </c>
      <c r="H598" s="1" t="str">
        <f t="shared" si="25"/>
        <v>Wednesday</v>
      </c>
    </row>
    <row r="599" spans="1:8" x14ac:dyDescent="0.3">
      <c r="A599">
        <v>148869381</v>
      </c>
      <c r="B599" s="1">
        <v>44895</v>
      </c>
      <c r="C599" s="1">
        <v>44957</v>
      </c>
      <c r="D599" t="s">
        <v>7</v>
      </c>
      <c r="E599">
        <v>39</v>
      </c>
      <c r="F599" t="s">
        <v>6</v>
      </c>
      <c r="G599">
        <f t="shared" si="24"/>
        <v>62</v>
      </c>
      <c r="H599" s="1" t="str">
        <f t="shared" si="25"/>
        <v>Wednesday</v>
      </c>
    </row>
    <row r="600" spans="1:8" x14ac:dyDescent="0.3">
      <c r="A600">
        <v>134825962</v>
      </c>
      <c r="B600" s="1">
        <v>44895</v>
      </c>
      <c r="C600" s="1">
        <v>44927</v>
      </c>
      <c r="D600" t="s">
        <v>7</v>
      </c>
      <c r="E600">
        <v>39</v>
      </c>
      <c r="F600" t="s">
        <v>6</v>
      </c>
      <c r="G600">
        <f t="shared" si="24"/>
        <v>32</v>
      </c>
      <c r="H600" s="1" t="str">
        <f t="shared" si="25"/>
        <v>Wednesday</v>
      </c>
    </row>
    <row r="601" spans="1:8" x14ac:dyDescent="0.3">
      <c r="A601">
        <v>151163143</v>
      </c>
      <c r="B601" s="1">
        <v>44895</v>
      </c>
      <c r="C601" s="1">
        <v>44932</v>
      </c>
      <c r="D601" t="s">
        <v>7</v>
      </c>
      <c r="E601">
        <v>39</v>
      </c>
      <c r="F601" t="s">
        <v>6</v>
      </c>
      <c r="G601">
        <f t="shared" si="24"/>
        <v>37</v>
      </c>
      <c r="H601" s="1" t="str">
        <f t="shared" si="25"/>
        <v>Wednesday</v>
      </c>
    </row>
    <row r="602" spans="1:8" x14ac:dyDescent="0.3">
      <c r="A602">
        <v>156111982</v>
      </c>
      <c r="B602" s="1">
        <v>44895</v>
      </c>
      <c r="C602" s="1">
        <v>44918</v>
      </c>
      <c r="D602" t="s">
        <v>7</v>
      </c>
      <c r="E602">
        <v>39</v>
      </c>
      <c r="F602" t="s">
        <v>6</v>
      </c>
      <c r="G602">
        <f t="shared" si="24"/>
        <v>23</v>
      </c>
      <c r="H602" s="1" t="str">
        <f t="shared" si="25"/>
        <v>Wednesday</v>
      </c>
    </row>
    <row r="603" spans="1:8" x14ac:dyDescent="0.3">
      <c r="A603">
        <v>166546201</v>
      </c>
      <c r="B603" s="1">
        <v>44895</v>
      </c>
      <c r="C603" s="1">
        <v>44906</v>
      </c>
      <c r="D603" t="s">
        <v>7</v>
      </c>
      <c r="E603">
        <v>39</v>
      </c>
      <c r="F603" t="s">
        <v>6</v>
      </c>
      <c r="G603">
        <f t="shared" si="24"/>
        <v>11</v>
      </c>
      <c r="H603" s="1" t="str">
        <f t="shared" si="25"/>
        <v>Wednesday</v>
      </c>
    </row>
    <row r="604" spans="1:8" x14ac:dyDescent="0.3">
      <c r="A604">
        <v>162126074</v>
      </c>
      <c r="B604" s="1">
        <v>44896</v>
      </c>
      <c r="C604" t="s">
        <v>19</v>
      </c>
      <c r="D604" t="s">
        <v>7</v>
      </c>
      <c r="E604">
        <v>39</v>
      </c>
      <c r="F604" t="s">
        <v>6</v>
      </c>
      <c r="G604" t="str">
        <f t="shared" si="24"/>
        <v>Active</v>
      </c>
      <c r="H604" s="1" t="str">
        <f t="shared" si="25"/>
        <v>Thursday</v>
      </c>
    </row>
    <row r="605" spans="1:8" x14ac:dyDescent="0.3">
      <c r="A605">
        <v>162640429</v>
      </c>
      <c r="B605" s="1">
        <v>44896</v>
      </c>
      <c r="C605" t="s">
        <v>19</v>
      </c>
      <c r="D605" t="s">
        <v>7</v>
      </c>
      <c r="E605">
        <v>39</v>
      </c>
      <c r="F605" t="s">
        <v>6</v>
      </c>
      <c r="G605" t="str">
        <f t="shared" si="24"/>
        <v>Active</v>
      </c>
      <c r="H605" s="1" t="str">
        <f t="shared" si="25"/>
        <v>Thursday</v>
      </c>
    </row>
    <row r="606" spans="1:8" x14ac:dyDescent="0.3">
      <c r="A606">
        <v>164413682</v>
      </c>
      <c r="B606" s="1">
        <v>44896</v>
      </c>
      <c r="C606" t="s">
        <v>19</v>
      </c>
      <c r="D606" t="s">
        <v>7</v>
      </c>
      <c r="E606">
        <v>39</v>
      </c>
      <c r="F606" t="s">
        <v>6</v>
      </c>
      <c r="G606" t="str">
        <f t="shared" si="24"/>
        <v>Active</v>
      </c>
      <c r="H606" s="1" t="str">
        <f t="shared" si="25"/>
        <v>Thursday</v>
      </c>
    </row>
    <row r="607" spans="1:8" x14ac:dyDescent="0.3">
      <c r="A607">
        <v>162850052</v>
      </c>
      <c r="B607" s="1">
        <v>44896</v>
      </c>
      <c r="C607" t="s">
        <v>19</v>
      </c>
      <c r="D607" t="s">
        <v>7</v>
      </c>
      <c r="E607">
        <v>39</v>
      </c>
      <c r="F607" t="s">
        <v>6</v>
      </c>
      <c r="G607" t="str">
        <f t="shared" si="24"/>
        <v>Active</v>
      </c>
      <c r="H607" s="1" t="str">
        <f t="shared" si="25"/>
        <v>Thursday</v>
      </c>
    </row>
    <row r="608" spans="1:8" x14ac:dyDescent="0.3">
      <c r="A608">
        <v>162177746</v>
      </c>
      <c r="B608" s="1">
        <v>44896</v>
      </c>
      <c r="C608" s="1">
        <v>44924</v>
      </c>
      <c r="D608" t="s">
        <v>7</v>
      </c>
      <c r="E608">
        <v>39</v>
      </c>
      <c r="F608" t="s">
        <v>6</v>
      </c>
      <c r="G608">
        <f t="shared" si="24"/>
        <v>28</v>
      </c>
      <c r="H608" s="1" t="str">
        <f t="shared" si="25"/>
        <v>Thursday</v>
      </c>
    </row>
    <row r="609" spans="1:8" x14ac:dyDescent="0.3">
      <c r="A609">
        <v>135587508</v>
      </c>
      <c r="B609" s="1">
        <v>44896</v>
      </c>
      <c r="C609" s="1">
        <v>44966</v>
      </c>
      <c r="D609" t="s">
        <v>7</v>
      </c>
      <c r="E609">
        <v>39</v>
      </c>
      <c r="F609" t="s">
        <v>6</v>
      </c>
      <c r="G609">
        <f t="shared" si="24"/>
        <v>70</v>
      </c>
      <c r="H609" s="1" t="str">
        <f t="shared" si="25"/>
        <v>Thursday</v>
      </c>
    </row>
    <row r="610" spans="1:8" x14ac:dyDescent="0.3">
      <c r="A610">
        <v>161428649</v>
      </c>
      <c r="B610" s="1">
        <v>44896</v>
      </c>
      <c r="C610" s="1">
        <v>45024</v>
      </c>
      <c r="D610" t="s">
        <v>7</v>
      </c>
      <c r="E610">
        <v>39</v>
      </c>
      <c r="F610" t="s">
        <v>6</v>
      </c>
      <c r="G610">
        <f t="shared" si="24"/>
        <v>128</v>
      </c>
      <c r="H610" s="1" t="str">
        <f t="shared" si="25"/>
        <v>Thursday</v>
      </c>
    </row>
    <row r="611" spans="1:8" x14ac:dyDescent="0.3">
      <c r="A611">
        <v>166977144</v>
      </c>
      <c r="B611" s="1">
        <v>44896</v>
      </c>
      <c r="C611" s="1">
        <v>45024</v>
      </c>
      <c r="D611" t="s">
        <v>7</v>
      </c>
      <c r="E611">
        <v>39</v>
      </c>
      <c r="F611" t="s">
        <v>6</v>
      </c>
      <c r="G611">
        <f t="shared" si="24"/>
        <v>128</v>
      </c>
      <c r="H611" s="1" t="str">
        <f t="shared" si="25"/>
        <v>Thursday</v>
      </c>
    </row>
    <row r="612" spans="1:8" x14ac:dyDescent="0.3">
      <c r="A612">
        <v>161640666</v>
      </c>
      <c r="B612" s="1">
        <v>44896</v>
      </c>
      <c r="C612" s="1">
        <v>44986</v>
      </c>
      <c r="D612" t="s">
        <v>7</v>
      </c>
      <c r="E612">
        <v>39</v>
      </c>
      <c r="F612" t="s">
        <v>6</v>
      </c>
      <c r="G612">
        <f t="shared" si="24"/>
        <v>90</v>
      </c>
      <c r="H612" s="1" t="str">
        <f t="shared" si="25"/>
        <v>Thursday</v>
      </c>
    </row>
    <row r="613" spans="1:8" x14ac:dyDescent="0.3">
      <c r="A613">
        <v>165932696</v>
      </c>
      <c r="B613" s="1">
        <v>44896</v>
      </c>
      <c r="C613" s="1">
        <v>44986</v>
      </c>
      <c r="D613" t="s">
        <v>7</v>
      </c>
      <c r="E613">
        <v>39</v>
      </c>
      <c r="F613" t="s">
        <v>6</v>
      </c>
      <c r="G613">
        <f t="shared" si="24"/>
        <v>90</v>
      </c>
      <c r="H613" s="1" t="str">
        <f t="shared" si="25"/>
        <v>Thursday</v>
      </c>
    </row>
    <row r="614" spans="1:8" x14ac:dyDescent="0.3">
      <c r="A614">
        <v>165204032</v>
      </c>
      <c r="B614" s="1">
        <v>44896</v>
      </c>
      <c r="C614" s="1">
        <v>44971</v>
      </c>
      <c r="D614" t="s">
        <v>7</v>
      </c>
      <c r="E614">
        <v>39</v>
      </c>
      <c r="F614" t="s">
        <v>6</v>
      </c>
      <c r="G614">
        <f t="shared" si="24"/>
        <v>75</v>
      </c>
      <c r="H614" s="1" t="str">
        <f t="shared" si="25"/>
        <v>Thursday</v>
      </c>
    </row>
    <row r="615" spans="1:8" x14ac:dyDescent="0.3">
      <c r="A615">
        <v>162469903</v>
      </c>
      <c r="B615" s="1">
        <v>44896</v>
      </c>
      <c r="C615" s="1">
        <v>44965</v>
      </c>
      <c r="D615" t="s">
        <v>7</v>
      </c>
      <c r="E615">
        <v>39</v>
      </c>
      <c r="F615" t="s">
        <v>6</v>
      </c>
      <c r="G615">
        <f t="shared" si="24"/>
        <v>69</v>
      </c>
      <c r="H615" s="1" t="str">
        <f t="shared" si="25"/>
        <v>Thursday</v>
      </c>
    </row>
    <row r="616" spans="1:8" x14ac:dyDescent="0.3">
      <c r="A616">
        <v>166515564</v>
      </c>
      <c r="B616" s="1">
        <v>44896</v>
      </c>
      <c r="C616" s="1">
        <v>44945</v>
      </c>
      <c r="D616" t="s">
        <v>7</v>
      </c>
      <c r="E616">
        <v>39</v>
      </c>
      <c r="F616" t="s">
        <v>6</v>
      </c>
      <c r="G616">
        <f t="shared" si="24"/>
        <v>49</v>
      </c>
      <c r="H616" s="1" t="str">
        <f t="shared" si="25"/>
        <v>Thursday</v>
      </c>
    </row>
    <row r="617" spans="1:8" x14ac:dyDescent="0.3">
      <c r="A617">
        <v>139323228</v>
      </c>
      <c r="B617" s="1">
        <v>44896</v>
      </c>
      <c r="C617" s="1">
        <v>44950</v>
      </c>
      <c r="D617" t="s">
        <v>7</v>
      </c>
      <c r="E617">
        <v>39</v>
      </c>
      <c r="F617" t="s">
        <v>6</v>
      </c>
      <c r="G617">
        <f t="shared" si="24"/>
        <v>54</v>
      </c>
      <c r="H617" s="1" t="str">
        <f t="shared" si="25"/>
        <v>Thursday</v>
      </c>
    </row>
    <row r="618" spans="1:8" x14ac:dyDescent="0.3">
      <c r="A618">
        <v>162569750</v>
      </c>
      <c r="B618" s="1">
        <v>44896</v>
      </c>
      <c r="C618" s="1">
        <v>44899</v>
      </c>
      <c r="D618" t="s">
        <v>7</v>
      </c>
      <c r="E618">
        <v>39</v>
      </c>
      <c r="F618" t="s">
        <v>6</v>
      </c>
      <c r="G618">
        <f t="shared" si="24"/>
        <v>3</v>
      </c>
      <c r="H618" s="1" t="str">
        <f t="shared" si="25"/>
        <v>Thursday</v>
      </c>
    </row>
    <row r="619" spans="1:8" x14ac:dyDescent="0.3">
      <c r="A619">
        <v>165959602</v>
      </c>
      <c r="B619" s="1">
        <v>44896</v>
      </c>
      <c r="C619" s="1">
        <v>44918</v>
      </c>
      <c r="D619" t="s">
        <v>7</v>
      </c>
      <c r="E619">
        <v>39</v>
      </c>
      <c r="F619" t="s">
        <v>6</v>
      </c>
      <c r="G619">
        <f t="shared" si="24"/>
        <v>22</v>
      </c>
      <c r="H619" s="1" t="str">
        <f t="shared" si="25"/>
        <v>Thursday</v>
      </c>
    </row>
    <row r="620" spans="1:8" x14ac:dyDescent="0.3">
      <c r="A620">
        <v>160968524</v>
      </c>
      <c r="B620" s="1">
        <v>44896</v>
      </c>
      <c r="C620" s="1">
        <v>45127</v>
      </c>
      <c r="D620" t="s">
        <v>7</v>
      </c>
      <c r="E620">
        <v>39</v>
      </c>
      <c r="F620" t="s">
        <v>6</v>
      </c>
      <c r="G620">
        <f t="shared" si="24"/>
        <v>231</v>
      </c>
      <c r="H620" s="1" t="str">
        <f t="shared" si="25"/>
        <v>Thursday</v>
      </c>
    </row>
    <row r="621" spans="1:8" x14ac:dyDescent="0.3">
      <c r="A621">
        <v>163258260</v>
      </c>
      <c r="B621" s="1">
        <v>44897</v>
      </c>
      <c r="C621" t="s">
        <v>19</v>
      </c>
      <c r="D621" t="s">
        <v>7</v>
      </c>
      <c r="E621">
        <v>39</v>
      </c>
      <c r="F621" t="s">
        <v>6</v>
      </c>
      <c r="G621" t="str">
        <f t="shared" si="24"/>
        <v>Active</v>
      </c>
      <c r="H621" s="1" t="str">
        <f t="shared" si="25"/>
        <v>Friday</v>
      </c>
    </row>
    <row r="622" spans="1:8" x14ac:dyDescent="0.3">
      <c r="A622">
        <v>167051046</v>
      </c>
      <c r="B622" s="1">
        <v>44897</v>
      </c>
      <c r="C622" t="s">
        <v>19</v>
      </c>
      <c r="D622" t="s">
        <v>7</v>
      </c>
      <c r="E622">
        <v>39</v>
      </c>
      <c r="F622" t="s">
        <v>6</v>
      </c>
      <c r="G622" t="str">
        <f t="shared" si="24"/>
        <v>Active</v>
      </c>
      <c r="H622" s="1" t="str">
        <f t="shared" si="25"/>
        <v>Friday</v>
      </c>
    </row>
    <row r="623" spans="1:8" x14ac:dyDescent="0.3">
      <c r="A623">
        <v>161182367</v>
      </c>
      <c r="B623" s="1">
        <v>44897</v>
      </c>
      <c r="C623" s="1">
        <v>44898</v>
      </c>
      <c r="D623" t="s">
        <v>7</v>
      </c>
      <c r="E623">
        <v>39</v>
      </c>
      <c r="F623" t="s">
        <v>6</v>
      </c>
      <c r="G623">
        <f t="shared" si="24"/>
        <v>1</v>
      </c>
      <c r="H623" s="1" t="str">
        <f t="shared" si="25"/>
        <v>Friday</v>
      </c>
    </row>
    <row r="624" spans="1:8" x14ac:dyDescent="0.3">
      <c r="A624">
        <v>167292985</v>
      </c>
      <c r="B624" s="1">
        <v>44897</v>
      </c>
      <c r="C624" s="1">
        <v>44898</v>
      </c>
      <c r="D624" t="s">
        <v>8</v>
      </c>
      <c r="E624">
        <v>39</v>
      </c>
      <c r="F624" t="s">
        <v>6</v>
      </c>
      <c r="G624">
        <f t="shared" si="24"/>
        <v>1</v>
      </c>
      <c r="H624" s="1" t="str">
        <f t="shared" si="25"/>
        <v>Friday</v>
      </c>
    </row>
    <row r="625" spans="1:8" x14ac:dyDescent="0.3">
      <c r="A625">
        <v>166183014</v>
      </c>
      <c r="B625" s="1">
        <v>44897</v>
      </c>
      <c r="C625" s="1">
        <v>44898</v>
      </c>
      <c r="D625" t="s">
        <v>8</v>
      </c>
      <c r="E625">
        <v>39</v>
      </c>
      <c r="F625" t="s">
        <v>6</v>
      </c>
      <c r="G625">
        <f t="shared" si="24"/>
        <v>1</v>
      </c>
      <c r="H625" s="1" t="str">
        <f t="shared" si="25"/>
        <v>Friday</v>
      </c>
    </row>
    <row r="626" spans="1:8" x14ac:dyDescent="0.3">
      <c r="A626">
        <v>165143920</v>
      </c>
      <c r="B626" s="1">
        <v>44897</v>
      </c>
      <c r="C626" s="1">
        <v>45079</v>
      </c>
      <c r="D626" t="s">
        <v>7</v>
      </c>
      <c r="E626">
        <v>39</v>
      </c>
      <c r="F626" t="s">
        <v>6</v>
      </c>
      <c r="G626">
        <f t="shared" si="24"/>
        <v>182</v>
      </c>
      <c r="H626" s="1" t="str">
        <f t="shared" si="25"/>
        <v>Friday</v>
      </c>
    </row>
    <row r="627" spans="1:8" x14ac:dyDescent="0.3">
      <c r="A627">
        <v>165958089</v>
      </c>
      <c r="B627" s="1">
        <v>44897</v>
      </c>
      <c r="C627" s="1">
        <v>44966</v>
      </c>
      <c r="D627" t="s">
        <v>7</v>
      </c>
      <c r="E627">
        <v>39</v>
      </c>
      <c r="F627" t="s">
        <v>6</v>
      </c>
      <c r="G627">
        <f t="shared" si="24"/>
        <v>69</v>
      </c>
      <c r="H627" s="1" t="str">
        <f t="shared" si="25"/>
        <v>Friday</v>
      </c>
    </row>
    <row r="628" spans="1:8" x14ac:dyDescent="0.3">
      <c r="A628">
        <v>165431576</v>
      </c>
      <c r="B628" s="1">
        <v>44897</v>
      </c>
      <c r="C628" s="1">
        <v>44958</v>
      </c>
      <c r="D628" t="s">
        <v>7</v>
      </c>
      <c r="E628">
        <v>39</v>
      </c>
      <c r="F628" t="s">
        <v>6</v>
      </c>
      <c r="G628">
        <f t="shared" si="24"/>
        <v>61</v>
      </c>
      <c r="H628" s="1" t="str">
        <f t="shared" si="25"/>
        <v>Friday</v>
      </c>
    </row>
    <row r="629" spans="1:8" x14ac:dyDescent="0.3">
      <c r="A629">
        <v>163708513</v>
      </c>
      <c r="B629" s="1">
        <v>44897</v>
      </c>
      <c r="C629" s="1">
        <v>44925</v>
      </c>
      <c r="D629" t="s">
        <v>7</v>
      </c>
      <c r="E629">
        <v>39</v>
      </c>
      <c r="F629" t="s">
        <v>6</v>
      </c>
      <c r="G629">
        <f t="shared" si="24"/>
        <v>28</v>
      </c>
      <c r="H629" s="1" t="str">
        <f t="shared" si="25"/>
        <v>Friday</v>
      </c>
    </row>
    <row r="630" spans="1:8" x14ac:dyDescent="0.3">
      <c r="A630">
        <v>164521419</v>
      </c>
      <c r="B630" s="1">
        <v>44897</v>
      </c>
      <c r="C630" s="1">
        <v>44924</v>
      </c>
      <c r="D630" t="s">
        <v>7</v>
      </c>
      <c r="E630">
        <v>39</v>
      </c>
      <c r="F630" t="s">
        <v>6</v>
      </c>
      <c r="G630">
        <f t="shared" si="24"/>
        <v>27</v>
      </c>
      <c r="H630" s="1" t="str">
        <f t="shared" si="25"/>
        <v>Friday</v>
      </c>
    </row>
    <row r="631" spans="1:8" x14ac:dyDescent="0.3">
      <c r="A631">
        <v>166257164</v>
      </c>
      <c r="B631" s="1">
        <v>44897</v>
      </c>
      <c r="C631" s="1">
        <v>44916</v>
      </c>
      <c r="D631" t="s">
        <v>7</v>
      </c>
      <c r="E631">
        <v>39</v>
      </c>
      <c r="F631" t="s">
        <v>6</v>
      </c>
      <c r="G631">
        <f t="shared" si="24"/>
        <v>19</v>
      </c>
      <c r="H631" s="1" t="str">
        <f t="shared" si="25"/>
        <v>Friday</v>
      </c>
    </row>
    <row r="632" spans="1:8" x14ac:dyDescent="0.3">
      <c r="A632">
        <v>121348156</v>
      </c>
      <c r="B632" s="1">
        <v>44897</v>
      </c>
      <c r="C632" s="1">
        <v>44901</v>
      </c>
      <c r="D632" t="s">
        <v>7</v>
      </c>
      <c r="E632">
        <v>39</v>
      </c>
      <c r="F632" t="s">
        <v>6</v>
      </c>
      <c r="G632">
        <f t="shared" si="24"/>
        <v>4</v>
      </c>
      <c r="H632" s="1" t="str">
        <f t="shared" si="25"/>
        <v>Friday</v>
      </c>
    </row>
    <row r="633" spans="1:8" x14ac:dyDescent="0.3">
      <c r="A633">
        <v>167280894</v>
      </c>
      <c r="B633" s="1">
        <v>44897</v>
      </c>
      <c r="C633" s="1">
        <v>45113</v>
      </c>
      <c r="D633" t="s">
        <v>7</v>
      </c>
      <c r="E633">
        <v>39</v>
      </c>
      <c r="F633" t="s">
        <v>6</v>
      </c>
      <c r="G633">
        <f t="shared" si="24"/>
        <v>216</v>
      </c>
      <c r="H633" s="1" t="str">
        <f t="shared" si="25"/>
        <v>Friday</v>
      </c>
    </row>
    <row r="634" spans="1:8" x14ac:dyDescent="0.3">
      <c r="A634">
        <v>160980795</v>
      </c>
      <c r="B634" s="1">
        <v>44898</v>
      </c>
      <c r="C634" t="s">
        <v>19</v>
      </c>
      <c r="D634" t="s">
        <v>7</v>
      </c>
      <c r="E634">
        <v>39</v>
      </c>
      <c r="F634" t="s">
        <v>6</v>
      </c>
      <c r="G634" t="str">
        <f t="shared" si="24"/>
        <v>Active</v>
      </c>
      <c r="H634" s="1" t="str">
        <f t="shared" si="25"/>
        <v>Saturday</v>
      </c>
    </row>
    <row r="635" spans="1:8" x14ac:dyDescent="0.3">
      <c r="A635">
        <v>167544686</v>
      </c>
      <c r="B635" s="1">
        <v>44898</v>
      </c>
      <c r="C635" t="s">
        <v>19</v>
      </c>
      <c r="D635" t="s">
        <v>7</v>
      </c>
      <c r="E635">
        <v>39</v>
      </c>
      <c r="F635" t="s">
        <v>6</v>
      </c>
      <c r="G635" t="str">
        <f t="shared" si="24"/>
        <v>Active</v>
      </c>
      <c r="H635" s="1" t="str">
        <f t="shared" si="25"/>
        <v>Saturday</v>
      </c>
    </row>
    <row r="636" spans="1:8" x14ac:dyDescent="0.3">
      <c r="A636">
        <v>161968719</v>
      </c>
      <c r="B636" s="1">
        <v>44898</v>
      </c>
      <c r="C636" t="s">
        <v>19</v>
      </c>
      <c r="D636" t="s">
        <v>7</v>
      </c>
      <c r="E636">
        <v>39</v>
      </c>
      <c r="F636" t="s">
        <v>6</v>
      </c>
      <c r="G636" t="str">
        <f t="shared" si="24"/>
        <v>Active</v>
      </c>
      <c r="H636" s="1" t="str">
        <f t="shared" si="25"/>
        <v>Saturday</v>
      </c>
    </row>
    <row r="637" spans="1:8" x14ac:dyDescent="0.3">
      <c r="A637">
        <v>159070152</v>
      </c>
      <c r="B637" s="1">
        <v>44898</v>
      </c>
      <c r="C637" t="s">
        <v>19</v>
      </c>
      <c r="D637" t="s">
        <v>7</v>
      </c>
      <c r="E637">
        <v>39</v>
      </c>
      <c r="F637" t="s">
        <v>6</v>
      </c>
      <c r="G637" t="str">
        <f t="shared" si="24"/>
        <v>Active</v>
      </c>
      <c r="H637" s="1" t="str">
        <f t="shared" si="25"/>
        <v>Saturday</v>
      </c>
    </row>
    <row r="638" spans="1:8" x14ac:dyDescent="0.3">
      <c r="A638">
        <v>167445788</v>
      </c>
      <c r="B638" s="1">
        <v>44898</v>
      </c>
      <c r="C638" s="1">
        <v>44899</v>
      </c>
      <c r="D638" t="s">
        <v>8</v>
      </c>
      <c r="E638">
        <v>39</v>
      </c>
      <c r="F638" t="s">
        <v>6</v>
      </c>
      <c r="G638">
        <f t="shared" si="24"/>
        <v>1</v>
      </c>
      <c r="H638" s="1" t="str">
        <f t="shared" si="25"/>
        <v>Saturday</v>
      </c>
    </row>
    <row r="639" spans="1:8" x14ac:dyDescent="0.3">
      <c r="A639">
        <v>167441263</v>
      </c>
      <c r="B639" s="1">
        <v>44898</v>
      </c>
      <c r="C639" s="1">
        <v>45087</v>
      </c>
      <c r="D639" t="s">
        <v>7</v>
      </c>
      <c r="E639">
        <v>39</v>
      </c>
      <c r="F639" t="s">
        <v>6</v>
      </c>
      <c r="G639">
        <f t="shared" si="24"/>
        <v>189</v>
      </c>
      <c r="H639" s="1" t="str">
        <f t="shared" si="25"/>
        <v>Saturday</v>
      </c>
    </row>
    <row r="640" spans="1:8" x14ac:dyDescent="0.3">
      <c r="A640">
        <v>167586100</v>
      </c>
      <c r="B640" s="1">
        <v>44898</v>
      </c>
      <c r="C640" s="1">
        <v>44987</v>
      </c>
      <c r="D640" t="s">
        <v>7</v>
      </c>
      <c r="E640">
        <v>39</v>
      </c>
      <c r="F640" t="s">
        <v>6</v>
      </c>
      <c r="G640">
        <f t="shared" si="24"/>
        <v>89</v>
      </c>
      <c r="H640" s="1" t="str">
        <f t="shared" si="25"/>
        <v>Saturday</v>
      </c>
    </row>
    <row r="641" spans="1:8" x14ac:dyDescent="0.3">
      <c r="A641">
        <v>139789436</v>
      </c>
      <c r="B641" s="1">
        <v>44898</v>
      </c>
      <c r="C641" s="1">
        <v>44955</v>
      </c>
      <c r="D641" t="s">
        <v>7</v>
      </c>
      <c r="E641">
        <v>39</v>
      </c>
      <c r="F641" t="s">
        <v>6</v>
      </c>
      <c r="G641">
        <f t="shared" si="24"/>
        <v>57</v>
      </c>
      <c r="H641" s="1" t="str">
        <f t="shared" si="25"/>
        <v>Saturday</v>
      </c>
    </row>
    <row r="642" spans="1:8" x14ac:dyDescent="0.3">
      <c r="A642">
        <v>116319450</v>
      </c>
      <c r="B642" s="1">
        <v>44899</v>
      </c>
      <c r="C642" s="1">
        <v>45035</v>
      </c>
      <c r="D642" t="s">
        <v>7</v>
      </c>
      <c r="E642">
        <v>39</v>
      </c>
      <c r="F642" t="s">
        <v>6</v>
      </c>
      <c r="G642">
        <f t="shared" si="24"/>
        <v>136</v>
      </c>
      <c r="H642" s="1" t="str">
        <f t="shared" si="25"/>
        <v>Sunday</v>
      </c>
    </row>
    <row r="643" spans="1:8" x14ac:dyDescent="0.3">
      <c r="A643">
        <v>162939264</v>
      </c>
      <c r="B643" s="1">
        <v>44899</v>
      </c>
      <c r="C643" s="1">
        <v>45050</v>
      </c>
      <c r="D643" t="s">
        <v>7</v>
      </c>
      <c r="E643">
        <v>39</v>
      </c>
      <c r="F643" t="s">
        <v>6</v>
      </c>
      <c r="G643">
        <f t="shared" ref="G643:G706" si="26">IF(C643="Active","Active",C643-B643)</f>
        <v>151</v>
      </c>
      <c r="H643" s="1" t="str">
        <f t="shared" ref="H643:H706" si="27">TEXT(B643,"dddd")</f>
        <v>Sunday</v>
      </c>
    </row>
    <row r="644" spans="1:8" x14ac:dyDescent="0.3">
      <c r="A644">
        <v>167711417</v>
      </c>
      <c r="B644" s="1">
        <v>44899</v>
      </c>
      <c r="C644" s="1">
        <v>45010</v>
      </c>
      <c r="D644" t="s">
        <v>7</v>
      </c>
      <c r="E644">
        <v>39</v>
      </c>
      <c r="F644" t="s">
        <v>6</v>
      </c>
      <c r="G644">
        <f t="shared" si="26"/>
        <v>111</v>
      </c>
      <c r="H644" s="1" t="str">
        <f t="shared" si="27"/>
        <v>Sunday</v>
      </c>
    </row>
    <row r="645" spans="1:8" x14ac:dyDescent="0.3">
      <c r="A645">
        <v>157381517</v>
      </c>
      <c r="B645" s="1">
        <v>44900</v>
      </c>
      <c r="C645" t="s">
        <v>19</v>
      </c>
      <c r="D645" t="s">
        <v>7</v>
      </c>
      <c r="E645">
        <v>39</v>
      </c>
      <c r="F645" t="s">
        <v>6</v>
      </c>
      <c r="G645" t="str">
        <f t="shared" si="26"/>
        <v>Active</v>
      </c>
      <c r="H645" s="1" t="str">
        <f t="shared" si="27"/>
        <v>Monday</v>
      </c>
    </row>
    <row r="646" spans="1:8" x14ac:dyDescent="0.3">
      <c r="A646">
        <v>162912102</v>
      </c>
      <c r="B646" s="1">
        <v>44900</v>
      </c>
      <c r="C646" s="1">
        <v>44901</v>
      </c>
      <c r="D646" t="s">
        <v>7</v>
      </c>
      <c r="E646">
        <v>39</v>
      </c>
      <c r="F646" t="s">
        <v>6</v>
      </c>
      <c r="G646">
        <f t="shared" si="26"/>
        <v>1</v>
      </c>
      <c r="H646" s="1" t="str">
        <f t="shared" si="27"/>
        <v>Monday</v>
      </c>
    </row>
    <row r="647" spans="1:8" x14ac:dyDescent="0.3">
      <c r="A647">
        <v>167833210</v>
      </c>
      <c r="B647" s="1">
        <v>44900</v>
      </c>
      <c r="C647" s="1">
        <v>45110</v>
      </c>
      <c r="D647" t="s">
        <v>7</v>
      </c>
      <c r="E647">
        <v>39</v>
      </c>
      <c r="F647" t="s">
        <v>6</v>
      </c>
      <c r="G647">
        <f t="shared" si="26"/>
        <v>210</v>
      </c>
      <c r="H647" s="1" t="str">
        <f t="shared" si="27"/>
        <v>Monday</v>
      </c>
    </row>
    <row r="648" spans="1:8" x14ac:dyDescent="0.3">
      <c r="A648">
        <v>165676999</v>
      </c>
      <c r="B648" s="1">
        <v>44900</v>
      </c>
      <c r="C648" s="1">
        <v>44962</v>
      </c>
      <c r="D648" t="s">
        <v>7</v>
      </c>
      <c r="E648">
        <v>39</v>
      </c>
      <c r="F648" t="s">
        <v>6</v>
      </c>
      <c r="G648">
        <f t="shared" si="26"/>
        <v>62</v>
      </c>
      <c r="H648" s="1" t="str">
        <f t="shared" si="27"/>
        <v>Monday</v>
      </c>
    </row>
    <row r="649" spans="1:8" x14ac:dyDescent="0.3">
      <c r="A649">
        <v>167253106</v>
      </c>
      <c r="B649" s="1">
        <v>44900</v>
      </c>
      <c r="C649" s="1">
        <v>44963</v>
      </c>
      <c r="D649" t="s">
        <v>7</v>
      </c>
      <c r="E649">
        <v>39</v>
      </c>
      <c r="F649" t="s">
        <v>6</v>
      </c>
      <c r="G649">
        <f t="shared" si="26"/>
        <v>63</v>
      </c>
      <c r="H649" s="1" t="str">
        <f t="shared" si="27"/>
        <v>Monday</v>
      </c>
    </row>
    <row r="650" spans="1:8" x14ac:dyDescent="0.3">
      <c r="A650">
        <v>168022972</v>
      </c>
      <c r="B650" s="1">
        <v>44900</v>
      </c>
      <c r="C650" s="1">
        <v>44939</v>
      </c>
      <c r="D650" t="s">
        <v>7</v>
      </c>
      <c r="E650">
        <v>39</v>
      </c>
      <c r="F650" t="s">
        <v>6</v>
      </c>
      <c r="G650">
        <f t="shared" si="26"/>
        <v>39</v>
      </c>
      <c r="H650" s="1" t="str">
        <f t="shared" si="27"/>
        <v>Monday</v>
      </c>
    </row>
    <row r="651" spans="1:8" x14ac:dyDescent="0.3">
      <c r="A651">
        <v>167315920</v>
      </c>
      <c r="B651" s="1">
        <v>44900</v>
      </c>
      <c r="C651" s="1">
        <v>44931</v>
      </c>
      <c r="D651" t="s">
        <v>7</v>
      </c>
      <c r="E651">
        <v>39</v>
      </c>
      <c r="F651" t="s">
        <v>6</v>
      </c>
      <c r="G651">
        <f t="shared" si="26"/>
        <v>31</v>
      </c>
      <c r="H651" s="1" t="str">
        <f t="shared" si="27"/>
        <v>Monday</v>
      </c>
    </row>
    <row r="652" spans="1:8" x14ac:dyDescent="0.3">
      <c r="A652">
        <v>167928962</v>
      </c>
      <c r="B652" s="1">
        <v>44900</v>
      </c>
      <c r="C652" s="1">
        <v>44924</v>
      </c>
      <c r="D652" t="s">
        <v>7</v>
      </c>
      <c r="E652">
        <v>39</v>
      </c>
      <c r="F652" t="s">
        <v>6</v>
      </c>
      <c r="G652">
        <f t="shared" si="26"/>
        <v>24</v>
      </c>
      <c r="H652" s="1" t="str">
        <f t="shared" si="27"/>
        <v>Monday</v>
      </c>
    </row>
    <row r="653" spans="1:8" x14ac:dyDescent="0.3">
      <c r="A653">
        <v>166211741</v>
      </c>
      <c r="B653" s="1">
        <v>44901</v>
      </c>
      <c r="C653" s="1">
        <v>45027</v>
      </c>
      <c r="D653" t="s">
        <v>7</v>
      </c>
      <c r="E653">
        <v>39</v>
      </c>
      <c r="F653" t="s">
        <v>6</v>
      </c>
      <c r="G653">
        <f t="shared" si="26"/>
        <v>126</v>
      </c>
      <c r="H653" s="1" t="str">
        <f t="shared" si="27"/>
        <v>Tuesday</v>
      </c>
    </row>
    <row r="654" spans="1:8" x14ac:dyDescent="0.3">
      <c r="A654">
        <v>161450418</v>
      </c>
      <c r="B654" s="1">
        <v>44901</v>
      </c>
      <c r="C654" s="1">
        <v>45050</v>
      </c>
      <c r="D654" t="s">
        <v>7</v>
      </c>
      <c r="E654">
        <v>39</v>
      </c>
      <c r="F654" t="s">
        <v>6</v>
      </c>
      <c r="G654">
        <f t="shared" si="26"/>
        <v>149</v>
      </c>
      <c r="H654" s="1" t="str">
        <f t="shared" si="27"/>
        <v>Tuesday</v>
      </c>
    </row>
    <row r="655" spans="1:8" x14ac:dyDescent="0.3">
      <c r="A655">
        <v>144961802</v>
      </c>
      <c r="B655" s="1">
        <v>44901</v>
      </c>
      <c r="C655" s="1">
        <v>44987</v>
      </c>
      <c r="D655" t="s">
        <v>7</v>
      </c>
      <c r="E655">
        <v>39</v>
      </c>
      <c r="F655" t="s">
        <v>6</v>
      </c>
      <c r="G655">
        <f t="shared" si="26"/>
        <v>86</v>
      </c>
      <c r="H655" s="1" t="str">
        <f t="shared" si="27"/>
        <v>Tuesday</v>
      </c>
    </row>
    <row r="656" spans="1:8" x14ac:dyDescent="0.3">
      <c r="A656">
        <v>168137404</v>
      </c>
      <c r="B656" s="1">
        <v>44901</v>
      </c>
      <c r="C656" s="1">
        <v>44958</v>
      </c>
      <c r="D656" t="s">
        <v>7</v>
      </c>
      <c r="E656">
        <v>39</v>
      </c>
      <c r="F656" t="s">
        <v>6</v>
      </c>
      <c r="G656">
        <f t="shared" si="26"/>
        <v>57</v>
      </c>
      <c r="H656" s="1" t="str">
        <f t="shared" si="27"/>
        <v>Tuesday</v>
      </c>
    </row>
    <row r="657" spans="1:8" x14ac:dyDescent="0.3">
      <c r="A657">
        <v>153441732</v>
      </c>
      <c r="B657" s="1">
        <v>44901</v>
      </c>
      <c r="C657" s="1">
        <v>44970</v>
      </c>
      <c r="D657" t="s">
        <v>7</v>
      </c>
      <c r="E657">
        <v>39</v>
      </c>
      <c r="F657" t="s">
        <v>6</v>
      </c>
      <c r="G657">
        <f t="shared" si="26"/>
        <v>69</v>
      </c>
      <c r="H657" s="1" t="str">
        <f t="shared" si="27"/>
        <v>Tuesday</v>
      </c>
    </row>
    <row r="658" spans="1:8" x14ac:dyDescent="0.3">
      <c r="A658">
        <v>167649041</v>
      </c>
      <c r="B658" s="1">
        <v>44901</v>
      </c>
      <c r="C658" s="1">
        <v>44957</v>
      </c>
      <c r="D658" t="s">
        <v>7</v>
      </c>
      <c r="E658">
        <v>39</v>
      </c>
      <c r="F658" t="s">
        <v>6</v>
      </c>
      <c r="G658">
        <f t="shared" si="26"/>
        <v>56</v>
      </c>
      <c r="H658" s="1" t="str">
        <f t="shared" si="27"/>
        <v>Tuesday</v>
      </c>
    </row>
    <row r="659" spans="1:8" x14ac:dyDescent="0.3">
      <c r="A659">
        <v>168089746</v>
      </c>
      <c r="B659" s="1">
        <v>44901</v>
      </c>
      <c r="C659" s="1">
        <v>44939</v>
      </c>
      <c r="D659" t="s">
        <v>7</v>
      </c>
      <c r="E659">
        <v>39</v>
      </c>
      <c r="F659" t="s">
        <v>6</v>
      </c>
      <c r="G659">
        <f t="shared" si="26"/>
        <v>38</v>
      </c>
      <c r="H659" s="1" t="str">
        <f t="shared" si="27"/>
        <v>Tuesday</v>
      </c>
    </row>
    <row r="660" spans="1:8" x14ac:dyDescent="0.3">
      <c r="A660">
        <v>158177274</v>
      </c>
      <c r="B660" s="1">
        <v>44901</v>
      </c>
      <c r="C660" s="1">
        <v>44952</v>
      </c>
      <c r="D660" t="s">
        <v>7</v>
      </c>
      <c r="E660">
        <v>39</v>
      </c>
      <c r="F660" t="s">
        <v>6</v>
      </c>
      <c r="G660">
        <f t="shared" si="26"/>
        <v>51</v>
      </c>
      <c r="H660" s="1" t="str">
        <f t="shared" si="27"/>
        <v>Tuesday</v>
      </c>
    </row>
    <row r="661" spans="1:8" x14ac:dyDescent="0.3">
      <c r="A661">
        <v>168061628</v>
      </c>
      <c r="B661" s="1">
        <v>44901</v>
      </c>
      <c r="C661" s="1">
        <v>44939</v>
      </c>
      <c r="D661" t="s">
        <v>7</v>
      </c>
      <c r="E661">
        <v>39</v>
      </c>
      <c r="F661" t="s">
        <v>6</v>
      </c>
      <c r="G661">
        <f t="shared" si="26"/>
        <v>38</v>
      </c>
      <c r="H661" s="1" t="str">
        <f t="shared" si="27"/>
        <v>Tuesday</v>
      </c>
    </row>
    <row r="662" spans="1:8" x14ac:dyDescent="0.3">
      <c r="A662">
        <v>168436401</v>
      </c>
      <c r="B662" s="1">
        <v>44902</v>
      </c>
      <c r="C662" t="s">
        <v>19</v>
      </c>
      <c r="D662" t="s">
        <v>7</v>
      </c>
      <c r="E662">
        <v>39</v>
      </c>
      <c r="F662" t="s">
        <v>6</v>
      </c>
      <c r="G662" t="str">
        <f t="shared" si="26"/>
        <v>Active</v>
      </c>
      <c r="H662" s="1" t="str">
        <f t="shared" si="27"/>
        <v>Wednesday</v>
      </c>
    </row>
    <row r="663" spans="1:8" x14ac:dyDescent="0.3">
      <c r="A663">
        <v>126770376</v>
      </c>
      <c r="B663" s="1">
        <v>44902</v>
      </c>
      <c r="C663" s="1">
        <v>44928</v>
      </c>
      <c r="D663" t="s">
        <v>7</v>
      </c>
      <c r="E663">
        <v>39</v>
      </c>
      <c r="F663" t="s">
        <v>6</v>
      </c>
      <c r="G663">
        <f t="shared" si="26"/>
        <v>26</v>
      </c>
      <c r="H663" s="1" t="str">
        <f t="shared" si="27"/>
        <v>Wednesday</v>
      </c>
    </row>
    <row r="664" spans="1:8" x14ac:dyDescent="0.3">
      <c r="A664">
        <v>153468957</v>
      </c>
      <c r="B664" s="1">
        <v>44902</v>
      </c>
      <c r="C664" s="1">
        <v>44971</v>
      </c>
      <c r="D664" t="s">
        <v>7</v>
      </c>
      <c r="E664">
        <v>39</v>
      </c>
      <c r="F664" t="s">
        <v>6</v>
      </c>
      <c r="G664">
        <f t="shared" si="26"/>
        <v>69</v>
      </c>
      <c r="H664" s="1" t="str">
        <f t="shared" si="27"/>
        <v>Wednesday</v>
      </c>
    </row>
    <row r="665" spans="1:8" x14ac:dyDescent="0.3">
      <c r="A665">
        <v>168336474</v>
      </c>
      <c r="B665" s="1">
        <v>44902</v>
      </c>
      <c r="C665" s="1">
        <v>44984</v>
      </c>
      <c r="D665" t="s">
        <v>7</v>
      </c>
      <c r="E665">
        <v>39</v>
      </c>
      <c r="F665" t="s">
        <v>6</v>
      </c>
      <c r="G665">
        <f t="shared" si="26"/>
        <v>82</v>
      </c>
      <c r="H665" s="1" t="str">
        <f t="shared" si="27"/>
        <v>Wednesday</v>
      </c>
    </row>
    <row r="666" spans="1:8" x14ac:dyDescent="0.3">
      <c r="A666">
        <v>166929423</v>
      </c>
      <c r="B666" s="1">
        <v>44902</v>
      </c>
      <c r="C666" s="1">
        <v>44923</v>
      </c>
      <c r="D666" t="s">
        <v>7</v>
      </c>
      <c r="E666">
        <v>39</v>
      </c>
      <c r="F666" t="s">
        <v>6</v>
      </c>
      <c r="G666">
        <f t="shared" si="26"/>
        <v>21</v>
      </c>
      <c r="H666" s="1" t="str">
        <f t="shared" si="27"/>
        <v>Wednesday</v>
      </c>
    </row>
    <row r="667" spans="1:8" x14ac:dyDescent="0.3">
      <c r="A667">
        <v>163990458</v>
      </c>
      <c r="B667" s="1">
        <v>44902</v>
      </c>
      <c r="C667" s="1">
        <v>44917</v>
      </c>
      <c r="D667" t="s">
        <v>7</v>
      </c>
      <c r="E667">
        <v>39</v>
      </c>
      <c r="F667" t="s">
        <v>6</v>
      </c>
      <c r="G667">
        <f t="shared" si="26"/>
        <v>15</v>
      </c>
      <c r="H667" s="1" t="str">
        <f t="shared" si="27"/>
        <v>Wednesday</v>
      </c>
    </row>
    <row r="668" spans="1:8" x14ac:dyDescent="0.3">
      <c r="A668">
        <v>166411463</v>
      </c>
      <c r="B668" s="1">
        <v>44903</v>
      </c>
      <c r="C668" t="s">
        <v>19</v>
      </c>
      <c r="D668" t="s">
        <v>7</v>
      </c>
      <c r="E668">
        <v>39</v>
      </c>
      <c r="F668" t="s">
        <v>6</v>
      </c>
      <c r="G668" t="str">
        <f t="shared" si="26"/>
        <v>Active</v>
      </c>
      <c r="H668" s="1" t="str">
        <f t="shared" si="27"/>
        <v>Thursday</v>
      </c>
    </row>
    <row r="669" spans="1:8" x14ac:dyDescent="0.3">
      <c r="A669">
        <v>168433088</v>
      </c>
      <c r="B669" s="1">
        <v>44903</v>
      </c>
      <c r="C669" t="s">
        <v>19</v>
      </c>
      <c r="D669" t="s">
        <v>7</v>
      </c>
      <c r="E669">
        <v>39</v>
      </c>
      <c r="F669" t="s">
        <v>6</v>
      </c>
      <c r="G669" t="str">
        <f t="shared" si="26"/>
        <v>Active</v>
      </c>
      <c r="H669" s="1" t="str">
        <f t="shared" si="27"/>
        <v>Thursday</v>
      </c>
    </row>
    <row r="670" spans="1:8" x14ac:dyDescent="0.3">
      <c r="A670">
        <v>155426075</v>
      </c>
      <c r="B670" s="1">
        <v>44903</v>
      </c>
      <c r="C670" t="s">
        <v>19</v>
      </c>
      <c r="D670" t="s">
        <v>7</v>
      </c>
      <c r="E670">
        <v>39</v>
      </c>
      <c r="F670" t="s">
        <v>6</v>
      </c>
      <c r="G670" t="str">
        <f t="shared" si="26"/>
        <v>Active</v>
      </c>
      <c r="H670" s="1" t="str">
        <f t="shared" si="27"/>
        <v>Thursday</v>
      </c>
    </row>
    <row r="671" spans="1:8" x14ac:dyDescent="0.3">
      <c r="A671">
        <v>168555694</v>
      </c>
      <c r="B671" s="1">
        <v>44903</v>
      </c>
      <c r="C671" s="1">
        <v>44904</v>
      </c>
      <c r="D671" t="s">
        <v>8</v>
      </c>
      <c r="E671">
        <v>39</v>
      </c>
      <c r="F671" t="s">
        <v>6</v>
      </c>
      <c r="G671">
        <f t="shared" si="26"/>
        <v>1</v>
      </c>
      <c r="H671" s="1" t="str">
        <f t="shared" si="27"/>
        <v>Thursday</v>
      </c>
    </row>
    <row r="672" spans="1:8" x14ac:dyDescent="0.3">
      <c r="A672">
        <v>162912102</v>
      </c>
      <c r="B672" s="1">
        <v>44903</v>
      </c>
      <c r="C672" s="1">
        <v>45061</v>
      </c>
      <c r="D672" t="s">
        <v>7</v>
      </c>
      <c r="E672">
        <v>39</v>
      </c>
      <c r="F672" t="s">
        <v>6</v>
      </c>
      <c r="G672">
        <f t="shared" si="26"/>
        <v>158</v>
      </c>
      <c r="H672" s="1" t="str">
        <f t="shared" si="27"/>
        <v>Thursday</v>
      </c>
    </row>
    <row r="673" spans="1:8" x14ac:dyDescent="0.3">
      <c r="A673">
        <v>168471192</v>
      </c>
      <c r="B673" s="1">
        <v>44903</v>
      </c>
      <c r="C673" s="1">
        <v>44960</v>
      </c>
      <c r="D673" t="s">
        <v>7</v>
      </c>
      <c r="E673">
        <v>39</v>
      </c>
      <c r="F673" t="s">
        <v>6</v>
      </c>
      <c r="G673">
        <f t="shared" si="26"/>
        <v>57</v>
      </c>
      <c r="H673" s="1" t="str">
        <f t="shared" si="27"/>
        <v>Thursday</v>
      </c>
    </row>
    <row r="674" spans="1:8" x14ac:dyDescent="0.3">
      <c r="A674">
        <v>168825734</v>
      </c>
      <c r="B674" s="1">
        <v>44903</v>
      </c>
      <c r="C674" s="1">
        <v>44941</v>
      </c>
      <c r="D674" t="s">
        <v>7</v>
      </c>
      <c r="E674">
        <v>39</v>
      </c>
      <c r="F674" t="s">
        <v>6</v>
      </c>
      <c r="G674">
        <f t="shared" si="26"/>
        <v>38</v>
      </c>
      <c r="H674" s="1" t="str">
        <f t="shared" si="27"/>
        <v>Thursday</v>
      </c>
    </row>
    <row r="675" spans="1:8" x14ac:dyDescent="0.3">
      <c r="A675">
        <v>163852568</v>
      </c>
      <c r="B675" s="1">
        <v>44903</v>
      </c>
      <c r="C675" s="1">
        <v>44907</v>
      </c>
      <c r="D675" t="s">
        <v>7</v>
      </c>
      <c r="E675">
        <v>39</v>
      </c>
      <c r="F675" t="s">
        <v>6</v>
      </c>
      <c r="G675">
        <f t="shared" si="26"/>
        <v>4</v>
      </c>
      <c r="H675" s="1" t="str">
        <f t="shared" si="27"/>
        <v>Thursday</v>
      </c>
    </row>
    <row r="676" spans="1:8" x14ac:dyDescent="0.3">
      <c r="A676">
        <v>168460834</v>
      </c>
      <c r="B676" s="1">
        <v>44903</v>
      </c>
      <c r="C676" s="1">
        <v>44922</v>
      </c>
      <c r="D676" t="s">
        <v>7</v>
      </c>
      <c r="E676">
        <v>39</v>
      </c>
      <c r="F676" t="s">
        <v>6</v>
      </c>
      <c r="G676">
        <f t="shared" si="26"/>
        <v>19</v>
      </c>
      <c r="H676" s="1" t="str">
        <f t="shared" si="27"/>
        <v>Thursday</v>
      </c>
    </row>
    <row r="677" spans="1:8" x14ac:dyDescent="0.3">
      <c r="A677">
        <v>169085351</v>
      </c>
      <c r="B677" s="1">
        <v>44904</v>
      </c>
      <c r="C677" s="1">
        <v>45112</v>
      </c>
      <c r="D677" t="s">
        <v>7</v>
      </c>
      <c r="E677">
        <v>39</v>
      </c>
      <c r="F677" t="s">
        <v>6</v>
      </c>
      <c r="G677">
        <f t="shared" si="26"/>
        <v>208</v>
      </c>
      <c r="H677" s="1" t="str">
        <f t="shared" si="27"/>
        <v>Friday</v>
      </c>
    </row>
    <row r="678" spans="1:8" x14ac:dyDescent="0.3">
      <c r="A678">
        <v>168456070</v>
      </c>
      <c r="B678" s="1">
        <v>44904</v>
      </c>
      <c r="C678" s="1">
        <v>45038</v>
      </c>
      <c r="D678" t="s">
        <v>7</v>
      </c>
      <c r="E678">
        <v>39</v>
      </c>
      <c r="F678" t="s">
        <v>6</v>
      </c>
      <c r="G678">
        <f t="shared" si="26"/>
        <v>134</v>
      </c>
      <c r="H678" s="1" t="str">
        <f t="shared" si="27"/>
        <v>Friday</v>
      </c>
    </row>
    <row r="679" spans="1:8" x14ac:dyDescent="0.3">
      <c r="A679">
        <v>168900021</v>
      </c>
      <c r="B679" s="1">
        <v>44904</v>
      </c>
      <c r="C679" s="1">
        <v>44963</v>
      </c>
      <c r="D679" t="s">
        <v>7</v>
      </c>
      <c r="E679">
        <v>39</v>
      </c>
      <c r="F679" t="s">
        <v>6</v>
      </c>
      <c r="G679">
        <f t="shared" si="26"/>
        <v>59</v>
      </c>
      <c r="H679" s="1" t="str">
        <f t="shared" si="27"/>
        <v>Friday</v>
      </c>
    </row>
    <row r="680" spans="1:8" x14ac:dyDescent="0.3">
      <c r="A680">
        <v>169113748</v>
      </c>
      <c r="B680" s="1">
        <v>44904</v>
      </c>
      <c r="C680" s="1">
        <v>44939</v>
      </c>
      <c r="D680" t="s">
        <v>7</v>
      </c>
      <c r="E680">
        <v>39</v>
      </c>
      <c r="F680" t="s">
        <v>6</v>
      </c>
      <c r="G680">
        <f t="shared" si="26"/>
        <v>35</v>
      </c>
      <c r="H680" s="1" t="str">
        <f t="shared" si="27"/>
        <v>Friday</v>
      </c>
    </row>
    <row r="681" spans="1:8" x14ac:dyDescent="0.3">
      <c r="A681">
        <v>162193491</v>
      </c>
      <c r="B681" s="1">
        <v>44904</v>
      </c>
      <c r="C681" s="1">
        <v>44946</v>
      </c>
      <c r="D681" t="s">
        <v>7</v>
      </c>
      <c r="E681">
        <v>39</v>
      </c>
      <c r="F681" t="s">
        <v>6</v>
      </c>
      <c r="G681">
        <f t="shared" si="26"/>
        <v>42</v>
      </c>
      <c r="H681" s="1" t="str">
        <f t="shared" si="27"/>
        <v>Friday</v>
      </c>
    </row>
    <row r="682" spans="1:8" x14ac:dyDescent="0.3">
      <c r="A682">
        <v>167761722</v>
      </c>
      <c r="B682" s="1">
        <v>44904</v>
      </c>
      <c r="C682" s="1">
        <v>45123</v>
      </c>
      <c r="D682" t="s">
        <v>7</v>
      </c>
      <c r="E682">
        <v>39</v>
      </c>
      <c r="F682" t="s">
        <v>6</v>
      </c>
      <c r="G682">
        <f t="shared" si="26"/>
        <v>219</v>
      </c>
      <c r="H682" s="1" t="str">
        <f t="shared" si="27"/>
        <v>Friday</v>
      </c>
    </row>
    <row r="683" spans="1:8" x14ac:dyDescent="0.3">
      <c r="A683">
        <v>169244937</v>
      </c>
      <c r="B683" s="1">
        <v>44905</v>
      </c>
      <c r="C683" s="1">
        <v>44989</v>
      </c>
      <c r="D683" t="s">
        <v>7</v>
      </c>
      <c r="E683">
        <v>39</v>
      </c>
      <c r="F683" t="s">
        <v>6</v>
      </c>
      <c r="G683">
        <f t="shared" si="26"/>
        <v>84</v>
      </c>
      <c r="H683" s="1" t="str">
        <f t="shared" si="27"/>
        <v>Saturday</v>
      </c>
    </row>
    <row r="684" spans="1:8" x14ac:dyDescent="0.3">
      <c r="A684">
        <v>167923504</v>
      </c>
      <c r="B684" s="1">
        <v>44905</v>
      </c>
      <c r="C684" s="1">
        <v>44965</v>
      </c>
      <c r="D684" t="s">
        <v>7</v>
      </c>
      <c r="E684">
        <v>39</v>
      </c>
      <c r="F684" t="s">
        <v>6</v>
      </c>
      <c r="G684">
        <f t="shared" si="26"/>
        <v>60</v>
      </c>
      <c r="H684" s="1" t="str">
        <f t="shared" si="27"/>
        <v>Saturday</v>
      </c>
    </row>
    <row r="685" spans="1:8" x14ac:dyDescent="0.3">
      <c r="A685">
        <v>167459469</v>
      </c>
      <c r="B685" s="1">
        <v>44905</v>
      </c>
      <c r="C685" s="1">
        <v>44940</v>
      </c>
      <c r="D685" t="s">
        <v>7</v>
      </c>
      <c r="E685">
        <v>39</v>
      </c>
      <c r="F685" t="s">
        <v>6</v>
      </c>
      <c r="G685">
        <f t="shared" si="26"/>
        <v>35</v>
      </c>
      <c r="H685" s="1" t="str">
        <f t="shared" si="27"/>
        <v>Saturday</v>
      </c>
    </row>
    <row r="686" spans="1:8" x14ac:dyDescent="0.3">
      <c r="A686">
        <v>123169152</v>
      </c>
      <c r="B686" s="1">
        <v>44905</v>
      </c>
      <c r="C686" s="1">
        <v>44929</v>
      </c>
      <c r="D686" t="s">
        <v>7</v>
      </c>
      <c r="E686">
        <v>39</v>
      </c>
      <c r="F686" t="s">
        <v>6</v>
      </c>
      <c r="G686">
        <f t="shared" si="26"/>
        <v>24</v>
      </c>
      <c r="H686" s="1" t="str">
        <f t="shared" si="27"/>
        <v>Saturday</v>
      </c>
    </row>
    <row r="687" spans="1:8" x14ac:dyDescent="0.3">
      <c r="A687">
        <v>153157541</v>
      </c>
      <c r="B687" s="1">
        <v>44906</v>
      </c>
      <c r="C687" t="s">
        <v>19</v>
      </c>
      <c r="D687" t="s">
        <v>7</v>
      </c>
      <c r="E687">
        <v>39</v>
      </c>
      <c r="F687" t="s">
        <v>6</v>
      </c>
      <c r="G687" t="str">
        <f t="shared" si="26"/>
        <v>Active</v>
      </c>
      <c r="H687" s="1" t="str">
        <f t="shared" si="27"/>
        <v>Sunday</v>
      </c>
    </row>
    <row r="688" spans="1:8" x14ac:dyDescent="0.3">
      <c r="A688">
        <v>169133180</v>
      </c>
      <c r="B688" s="1">
        <v>44906</v>
      </c>
      <c r="C688" t="s">
        <v>19</v>
      </c>
      <c r="D688" t="s">
        <v>7</v>
      </c>
      <c r="E688">
        <v>39</v>
      </c>
      <c r="F688" t="s">
        <v>6</v>
      </c>
      <c r="G688" t="str">
        <f t="shared" si="26"/>
        <v>Active</v>
      </c>
      <c r="H688" s="1" t="str">
        <f t="shared" si="27"/>
        <v>Sunday</v>
      </c>
    </row>
    <row r="689" spans="1:8" x14ac:dyDescent="0.3">
      <c r="A689">
        <v>129447970</v>
      </c>
      <c r="B689" s="1">
        <v>44906</v>
      </c>
      <c r="C689" s="1">
        <v>44907</v>
      </c>
      <c r="D689" t="s">
        <v>7</v>
      </c>
      <c r="E689">
        <v>39</v>
      </c>
      <c r="F689" t="s">
        <v>6</v>
      </c>
      <c r="G689">
        <f t="shared" si="26"/>
        <v>1</v>
      </c>
      <c r="H689" s="1" t="str">
        <f t="shared" si="27"/>
        <v>Sunday</v>
      </c>
    </row>
    <row r="690" spans="1:8" x14ac:dyDescent="0.3">
      <c r="A690">
        <v>169388365</v>
      </c>
      <c r="B690" s="1">
        <v>44906</v>
      </c>
      <c r="C690" s="1">
        <v>45095</v>
      </c>
      <c r="D690" t="s">
        <v>7</v>
      </c>
      <c r="E690">
        <v>39</v>
      </c>
      <c r="F690" t="s">
        <v>6</v>
      </c>
      <c r="G690">
        <f t="shared" si="26"/>
        <v>189</v>
      </c>
      <c r="H690" s="1" t="str">
        <f t="shared" si="27"/>
        <v>Sunday</v>
      </c>
    </row>
    <row r="691" spans="1:8" x14ac:dyDescent="0.3">
      <c r="A691">
        <v>130872019</v>
      </c>
      <c r="B691" s="1">
        <v>44906</v>
      </c>
      <c r="C691" s="1">
        <v>45027</v>
      </c>
      <c r="D691" t="s">
        <v>7</v>
      </c>
      <c r="E691">
        <v>39</v>
      </c>
      <c r="F691" t="s">
        <v>6</v>
      </c>
      <c r="G691">
        <f t="shared" si="26"/>
        <v>121</v>
      </c>
      <c r="H691" s="1" t="str">
        <f t="shared" si="27"/>
        <v>Sunday</v>
      </c>
    </row>
    <row r="692" spans="1:8" x14ac:dyDescent="0.3">
      <c r="A692">
        <v>167674086</v>
      </c>
      <c r="B692" s="1">
        <v>44906</v>
      </c>
      <c r="C692" s="1">
        <v>45047</v>
      </c>
      <c r="D692" t="s">
        <v>7</v>
      </c>
      <c r="E692">
        <v>39</v>
      </c>
      <c r="F692" t="s">
        <v>6</v>
      </c>
      <c r="G692">
        <f t="shared" si="26"/>
        <v>141</v>
      </c>
      <c r="H692" s="1" t="str">
        <f t="shared" si="27"/>
        <v>Sunday</v>
      </c>
    </row>
    <row r="693" spans="1:8" x14ac:dyDescent="0.3">
      <c r="A693">
        <v>169590994</v>
      </c>
      <c r="B693" s="1">
        <v>44906</v>
      </c>
      <c r="C693" s="1">
        <v>44983</v>
      </c>
      <c r="D693" t="s">
        <v>7</v>
      </c>
      <c r="E693">
        <v>39</v>
      </c>
      <c r="F693" t="s">
        <v>6</v>
      </c>
      <c r="G693">
        <f t="shared" si="26"/>
        <v>77</v>
      </c>
      <c r="H693" s="1" t="str">
        <f t="shared" si="27"/>
        <v>Sunday</v>
      </c>
    </row>
    <row r="694" spans="1:8" x14ac:dyDescent="0.3">
      <c r="A694">
        <v>166199181</v>
      </c>
      <c r="B694" s="1">
        <v>44906</v>
      </c>
      <c r="C694" s="1">
        <v>44944</v>
      </c>
      <c r="D694" t="s">
        <v>7</v>
      </c>
      <c r="E694">
        <v>39</v>
      </c>
      <c r="F694" t="s">
        <v>6</v>
      </c>
      <c r="G694">
        <f t="shared" si="26"/>
        <v>38</v>
      </c>
      <c r="H694" s="1" t="str">
        <f t="shared" si="27"/>
        <v>Sunday</v>
      </c>
    </row>
    <row r="695" spans="1:8" x14ac:dyDescent="0.3">
      <c r="A695">
        <v>169895510</v>
      </c>
      <c r="B695" s="1">
        <v>44907</v>
      </c>
      <c r="C695" t="s">
        <v>19</v>
      </c>
      <c r="D695" t="s">
        <v>7</v>
      </c>
      <c r="E695">
        <v>39</v>
      </c>
      <c r="F695" t="s">
        <v>6</v>
      </c>
      <c r="G695" t="str">
        <f t="shared" si="26"/>
        <v>Active</v>
      </c>
      <c r="H695" s="1" t="str">
        <f t="shared" si="27"/>
        <v>Monday</v>
      </c>
    </row>
    <row r="696" spans="1:8" x14ac:dyDescent="0.3">
      <c r="A696">
        <v>169837410</v>
      </c>
      <c r="B696" s="1">
        <v>44907</v>
      </c>
      <c r="C696" t="s">
        <v>19</v>
      </c>
      <c r="D696" t="s">
        <v>7</v>
      </c>
      <c r="E696">
        <v>39</v>
      </c>
      <c r="F696" t="s">
        <v>6</v>
      </c>
      <c r="G696" t="str">
        <f t="shared" si="26"/>
        <v>Active</v>
      </c>
      <c r="H696" s="1" t="str">
        <f t="shared" si="27"/>
        <v>Monday</v>
      </c>
    </row>
    <row r="697" spans="1:8" x14ac:dyDescent="0.3">
      <c r="A697">
        <v>169854397</v>
      </c>
      <c r="B697" s="1">
        <v>44907</v>
      </c>
      <c r="C697" t="s">
        <v>19</v>
      </c>
      <c r="D697" t="s">
        <v>8</v>
      </c>
      <c r="E697">
        <v>39</v>
      </c>
      <c r="F697" t="s">
        <v>6</v>
      </c>
      <c r="G697" t="str">
        <f t="shared" si="26"/>
        <v>Active</v>
      </c>
      <c r="H697" s="1" t="str">
        <f t="shared" si="27"/>
        <v>Monday</v>
      </c>
    </row>
    <row r="698" spans="1:8" x14ac:dyDescent="0.3">
      <c r="A698">
        <v>145987169</v>
      </c>
      <c r="B698" s="1">
        <v>44907</v>
      </c>
      <c r="C698" s="1">
        <v>44953</v>
      </c>
      <c r="D698" t="s">
        <v>7</v>
      </c>
      <c r="E698">
        <v>39</v>
      </c>
      <c r="F698" t="s">
        <v>6</v>
      </c>
      <c r="G698">
        <f t="shared" si="26"/>
        <v>46</v>
      </c>
      <c r="H698" s="1" t="str">
        <f t="shared" si="27"/>
        <v>Monday</v>
      </c>
    </row>
    <row r="699" spans="1:8" x14ac:dyDescent="0.3">
      <c r="A699">
        <v>169915574</v>
      </c>
      <c r="B699" s="1">
        <v>44907</v>
      </c>
      <c r="C699" s="1">
        <v>44998</v>
      </c>
      <c r="D699" t="s">
        <v>7</v>
      </c>
      <c r="E699">
        <v>39</v>
      </c>
      <c r="F699" t="s">
        <v>6</v>
      </c>
      <c r="G699">
        <f t="shared" si="26"/>
        <v>91</v>
      </c>
      <c r="H699" s="1" t="str">
        <f t="shared" si="27"/>
        <v>Monday</v>
      </c>
    </row>
    <row r="700" spans="1:8" x14ac:dyDescent="0.3">
      <c r="A700">
        <v>164632485</v>
      </c>
      <c r="B700" s="1">
        <v>44907</v>
      </c>
      <c r="C700" s="1">
        <v>44992</v>
      </c>
      <c r="D700" t="s">
        <v>7</v>
      </c>
      <c r="E700">
        <v>39</v>
      </c>
      <c r="F700" t="s">
        <v>6</v>
      </c>
      <c r="G700">
        <f t="shared" si="26"/>
        <v>85</v>
      </c>
      <c r="H700" s="1" t="str">
        <f t="shared" si="27"/>
        <v>Monday</v>
      </c>
    </row>
    <row r="701" spans="1:8" x14ac:dyDescent="0.3">
      <c r="A701">
        <v>169830063</v>
      </c>
      <c r="B701" s="1">
        <v>44907</v>
      </c>
      <c r="C701" s="1">
        <v>44956</v>
      </c>
      <c r="D701" t="s">
        <v>7</v>
      </c>
      <c r="E701">
        <v>39</v>
      </c>
      <c r="F701" t="s">
        <v>6</v>
      </c>
      <c r="G701">
        <f t="shared" si="26"/>
        <v>49</v>
      </c>
      <c r="H701" s="1" t="str">
        <f t="shared" si="27"/>
        <v>Monday</v>
      </c>
    </row>
    <row r="702" spans="1:8" x14ac:dyDescent="0.3">
      <c r="A702">
        <v>162624984</v>
      </c>
      <c r="B702" s="1">
        <v>44907</v>
      </c>
      <c r="C702" s="1">
        <v>44949</v>
      </c>
      <c r="D702" t="s">
        <v>7</v>
      </c>
      <c r="E702">
        <v>39</v>
      </c>
      <c r="F702" t="s">
        <v>6</v>
      </c>
      <c r="G702">
        <f t="shared" si="26"/>
        <v>42</v>
      </c>
      <c r="H702" s="1" t="str">
        <f t="shared" si="27"/>
        <v>Monday</v>
      </c>
    </row>
    <row r="703" spans="1:8" x14ac:dyDescent="0.3">
      <c r="A703">
        <v>169020452</v>
      </c>
      <c r="B703" s="1">
        <v>44907</v>
      </c>
      <c r="C703" s="1">
        <v>45147</v>
      </c>
      <c r="D703" t="s">
        <v>7</v>
      </c>
      <c r="E703">
        <v>39</v>
      </c>
      <c r="F703" t="s">
        <v>6</v>
      </c>
      <c r="G703">
        <f t="shared" si="26"/>
        <v>240</v>
      </c>
      <c r="H703" s="1" t="str">
        <f t="shared" si="27"/>
        <v>Monday</v>
      </c>
    </row>
    <row r="704" spans="1:8" x14ac:dyDescent="0.3">
      <c r="A704">
        <v>170037760</v>
      </c>
      <c r="B704" s="1">
        <v>44908</v>
      </c>
      <c r="C704" t="s">
        <v>19</v>
      </c>
      <c r="D704" t="s">
        <v>7</v>
      </c>
      <c r="E704">
        <v>39</v>
      </c>
      <c r="F704" t="s">
        <v>6</v>
      </c>
      <c r="G704" t="str">
        <f t="shared" si="26"/>
        <v>Active</v>
      </c>
      <c r="H704" s="1" t="str">
        <f t="shared" si="27"/>
        <v>Tuesday</v>
      </c>
    </row>
    <row r="705" spans="1:8" x14ac:dyDescent="0.3">
      <c r="A705">
        <v>116060198</v>
      </c>
      <c r="B705" s="1">
        <v>44908</v>
      </c>
      <c r="C705" s="1">
        <v>45005</v>
      </c>
      <c r="D705" t="s">
        <v>7</v>
      </c>
      <c r="E705">
        <v>39</v>
      </c>
      <c r="F705" t="s">
        <v>6</v>
      </c>
      <c r="G705">
        <f t="shared" si="26"/>
        <v>97</v>
      </c>
      <c r="H705" s="1" t="str">
        <f t="shared" si="27"/>
        <v>Tuesday</v>
      </c>
    </row>
    <row r="706" spans="1:8" x14ac:dyDescent="0.3">
      <c r="A706">
        <v>129798657</v>
      </c>
      <c r="B706" s="1">
        <v>44908</v>
      </c>
      <c r="C706" s="1">
        <v>44998</v>
      </c>
      <c r="D706" t="s">
        <v>7</v>
      </c>
      <c r="E706">
        <v>39</v>
      </c>
      <c r="F706" t="s">
        <v>6</v>
      </c>
      <c r="G706">
        <f t="shared" si="26"/>
        <v>90</v>
      </c>
      <c r="H706" s="1" t="str">
        <f t="shared" si="27"/>
        <v>Tuesday</v>
      </c>
    </row>
    <row r="707" spans="1:8" x14ac:dyDescent="0.3">
      <c r="A707">
        <v>170426615</v>
      </c>
      <c r="B707" s="1">
        <v>44908</v>
      </c>
      <c r="C707" s="1">
        <v>44970</v>
      </c>
      <c r="D707" t="s">
        <v>7</v>
      </c>
      <c r="E707">
        <v>39</v>
      </c>
      <c r="F707" t="s">
        <v>6</v>
      </c>
      <c r="G707">
        <f t="shared" ref="G707:G770" si="28">IF(C707="Active","Active",C707-B707)</f>
        <v>62</v>
      </c>
      <c r="H707" s="1" t="str">
        <f t="shared" ref="H707:H770" si="29">TEXT(B707,"dddd")</f>
        <v>Tuesday</v>
      </c>
    </row>
    <row r="708" spans="1:8" x14ac:dyDescent="0.3">
      <c r="A708">
        <v>161574018</v>
      </c>
      <c r="B708" s="1">
        <v>44908</v>
      </c>
      <c r="C708" s="1">
        <v>44978</v>
      </c>
      <c r="D708" t="s">
        <v>7</v>
      </c>
      <c r="E708">
        <v>39</v>
      </c>
      <c r="F708" t="s">
        <v>6</v>
      </c>
      <c r="G708">
        <f t="shared" si="28"/>
        <v>70</v>
      </c>
      <c r="H708" s="1" t="str">
        <f t="shared" si="29"/>
        <v>Tuesday</v>
      </c>
    </row>
    <row r="709" spans="1:8" x14ac:dyDescent="0.3">
      <c r="A709">
        <v>160272364</v>
      </c>
      <c r="B709" s="1">
        <v>44909</v>
      </c>
      <c r="C709" t="s">
        <v>19</v>
      </c>
      <c r="D709" t="s">
        <v>7</v>
      </c>
      <c r="E709">
        <v>39</v>
      </c>
      <c r="F709" t="s">
        <v>6</v>
      </c>
      <c r="G709" t="str">
        <f t="shared" si="28"/>
        <v>Active</v>
      </c>
      <c r="H709" s="1" t="str">
        <f t="shared" si="29"/>
        <v>Wednesday</v>
      </c>
    </row>
    <row r="710" spans="1:8" x14ac:dyDescent="0.3">
      <c r="A710">
        <v>144938943</v>
      </c>
      <c r="B710" s="1">
        <v>44909</v>
      </c>
      <c r="C710" t="s">
        <v>19</v>
      </c>
      <c r="D710" t="s">
        <v>8</v>
      </c>
      <c r="E710">
        <v>39</v>
      </c>
      <c r="F710" t="s">
        <v>6</v>
      </c>
      <c r="G710" t="str">
        <f t="shared" si="28"/>
        <v>Active</v>
      </c>
      <c r="H710" s="1" t="str">
        <f t="shared" si="29"/>
        <v>Wednesday</v>
      </c>
    </row>
    <row r="711" spans="1:8" x14ac:dyDescent="0.3">
      <c r="A711">
        <v>170004555</v>
      </c>
      <c r="B711" s="1">
        <v>44909</v>
      </c>
      <c r="C711" s="1">
        <v>44968</v>
      </c>
      <c r="D711" t="s">
        <v>7</v>
      </c>
      <c r="E711">
        <v>39</v>
      </c>
      <c r="F711" t="s">
        <v>6</v>
      </c>
      <c r="G711">
        <f t="shared" si="28"/>
        <v>59</v>
      </c>
      <c r="H711" s="1" t="str">
        <f t="shared" si="29"/>
        <v>Wednesday</v>
      </c>
    </row>
    <row r="712" spans="1:8" x14ac:dyDescent="0.3">
      <c r="A712">
        <v>167673987</v>
      </c>
      <c r="B712" s="1">
        <v>44909</v>
      </c>
      <c r="C712" s="1">
        <v>44978</v>
      </c>
      <c r="D712" t="s">
        <v>7</v>
      </c>
      <c r="E712">
        <v>39</v>
      </c>
      <c r="F712" t="s">
        <v>6</v>
      </c>
      <c r="G712">
        <f t="shared" si="28"/>
        <v>69</v>
      </c>
      <c r="H712" s="1" t="str">
        <f t="shared" si="29"/>
        <v>Wednesday</v>
      </c>
    </row>
    <row r="713" spans="1:8" x14ac:dyDescent="0.3">
      <c r="A713">
        <v>154448870</v>
      </c>
      <c r="B713" s="1">
        <v>44909</v>
      </c>
      <c r="C713" s="1">
        <v>44928</v>
      </c>
      <c r="D713" t="s">
        <v>7</v>
      </c>
      <c r="E713">
        <v>39</v>
      </c>
      <c r="F713" t="s">
        <v>6</v>
      </c>
      <c r="G713">
        <f t="shared" si="28"/>
        <v>19</v>
      </c>
      <c r="H713" s="1" t="str">
        <f t="shared" si="29"/>
        <v>Wednesday</v>
      </c>
    </row>
    <row r="714" spans="1:8" x14ac:dyDescent="0.3">
      <c r="A714">
        <v>153508650</v>
      </c>
      <c r="B714" s="1">
        <v>44909</v>
      </c>
      <c r="C714" s="1">
        <v>44957</v>
      </c>
      <c r="D714" t="s">
        <v>7</v>
      </c>
      <c r="E714">
        <v>39</v>
      </c>
      <c r="F714" t="s">
        <v>6</v>
      </c>
      <c r="G714">
        <f t="shared" si="28"/>
        <v>48</v>
      </c>
      <c r="H714" s="1" t="str">
        <f t="shared" si="29"/>
        <v>Wednesday</v>
      </c>
    </row>
    <row r="715" spans="1:8" x14ac:dyDescent="0.3">
      <c r="A715">
        <v>156521981</v>
      </c>
      <c r="B715" s="1">
        <v>44909</v>
      </c>
      <c r="C715" s="1">
        <v>44940</v>
      </c>
      <c r="D715" t="s">
        <v>7</v>
      </c>
      <c r="E715">
        <v>39</v>
      </c>
      <c r="F715" t="s">
        <v>6</v>
      </c>
      <c r="G715">
        <f t="shared" si="28"/>
        <v>31</v>
      </c>
      <c r="H715" s="1" t="str">
        <f t="shared" si="29"/>
        <v>Wednesday</v>
      </c>
    </row>
    <row r="716" spans="1:8" x14ac:dyDescent="0.3">
      <c r="A716">
        <v>170897520</v>
      </c>
      <c r="B716" s="1">
        <v>44909</v>
      </c>
      <c r="C716" s="1">
        <v>45111</v>
      </c>
      <c r="D716" t="s">
        <v>7</v>
      </c>
      <c r="E716">
        <v>39</v>
      </c>
      <c r="F716" t="s">
        <v>6</v>
      </c>
      <c r="G716">
        <f t="shared" si="28"/>
        <v>202</v>
      </c>
      <c r="H716" s="1" t="str">
        <f t="shared" si="29"/>
        <v>Wednesday</v>
      </c>
    </row>
    <row r="717" spans="1:8" x14ac:dyDescent="0.3">
      <c r="A717">
        <v>167076396</v>
      </c>
      <c r="B717" s="1">
        <v>44909</v>
      </c>
      <c r="C717" s="1">
        <v>45142</v>
      </c>
      <c r="D717" t="s">
        <v>7</v>
      </c>
      <c r="E717">
        <v>39</v>
      </c>
      <c r="F717" t="s">
        <v>6</v>
      </c>
      <c r="G717">
        <f t="shared" si="28"/>
        <v>233</v>
      </c>
      <c r="H717" s="1" t="str">
        <f t="shared" si="29"/>
        <v>Wednesday</v>
      </c>
    </row>
    <row r="718" spans="1:8" x14ac:dyDescent="0.3">
      <c r="A718">
        <v>170968987</v>
      </c>
      <c r="B718" s="1">
        <v>44910</v>
      </c>
      <c r="C718" t="s">
        <v>19</v>
      </c>
      <c r="D718" t="s">
        <v>7</v>
      </c>
      <c r="E718">
        <v>39</v>
      </c>
      <c r="F718" t="s">
        <v>6</v>
      </c>
      <c r="G718" t="str">
        <f t="shared" si="28"/>
        <v>Active</v>
      </c>
      <c r="H718" s="1" t="str">
        <f t="shared" si="29"/>
        <v>Thursday</v>
      </c>
    </row>
    <row r="719" spans="1:8" x14ac:dyDescent="0.3">
      <c r="A719">
        <v>170154956</v>
      </c>
      <c r="B719" s="1">
        <v>44910</v>
      </c>
      <c r="C719" s="1">
        <v>45034</v>
      </c>
      <c r="D719" t="s">
        <v>7</v>
      </c>
      <c r="E719">
        <v>39</v>
      </c>
      <c r="F719" t="s">
        <v>6</v>
      </c>
      <c r="G719">
        <f t="shared" si="28"/>
        <v>124</v>
      </c>
      <c r="H719" s="1" t="str">
        <f t="shared" si="29"/>
        <v>Thursday</v>
      </c>
    </row>
    <row r="720" spans="1:8" x14ac:dyDescent="0.3">
      <c r="A720">
        <v>170976924</v>
      </c>
      <c r="B720" s="1">
        <v>44910</v>
      </c>
      <c r="C720" s="1">
        <v>45076</v>
      </c>
      <c r="D720" t="s">
        <v>7</v>
      </c>
      <c r="E720">
        <v>39</v>
      </c>
      <c r="F720" t="s">
        <v>6</v>
      </c>
      <c r="G720">
        <f t="shared" si="28"/>
        <v>166</v>
      </c>
      <c r="H720" s="1" t="str">
        <f t="shared" si="29"/>
        <v>Thursday</v>
      </c>
    </row>
    <row r="721" spans="1:8" x14ac:dyDescent="0.3">
      <c r="A721">
        <v>171090027</v>
      </c>
      <c r="B721" s="1">
        <v>44910</v>
      </c>
      <c r="C721" s="1">
        <v>44999</v>
      </c>
      <c r="D721" t="s">
        <v>7</v>
      </c>
      <c r="E721">
        <v>39</v>
      </c>
      <c r="F721" t="s">
        <v>6</v>
      </c>
      <c r="G721">
        <f t="shared" si="28"/>
        <v>89</v>
      </c>
      <c r="H721" s="1" t="str">
        <f t="shared" si="29"/>
        <v>Thursday</v>
      </c>
    </row>
    <row r="722" spans="1:8" x14ac:dyDescent="0.3">
      <c r="A722">
        <v>167135160</v>
      </c>
      <c r="B722" s="1">
        <v>44910</v>
      </c>
      <c r="C722" s="1">
        <v>44944</v>
      </c>
      <c r="D722" t="s">
        <v>7</v>
      </c>
      <c r="E722">
        <v>39</v>
      </c>
      <c r="F722" t="s">
        <v>6</v>
      </c>
      <c r="G722">
        <f t="shared" si="28"/>
        <v>34</v>
      </c>
      <c r="H722" s="1" t="str">
        <f t="shared" si="29"/>
        <v>Thursday</v>
      </c>
    </row>
    <row r="723" spans="1:8" x14ac:dyDescent="0.3">
      <c r="A723">
        <v>171339244</v>
      </c>
      <c r="B723" s="1">
        <v>44910</v>
      </c>
      <c r="C723" s="1">
        <v>44910</v>
      </c>
      <c r="D723" t="s">
        <v>7</v>
      </c>
      <c r="E723">
        <v>39</v>
      </c>
      <c r="F723" t="s">
        <v>6</v>
      </c>
      <c r="G723">
        <f t="shared" si="28"/>
        <v>0</v>
      </c>
      <c r="H723" s="1" t="str">
        <f t="shared" si="29"/>
        <v>Thursday</v>
      </c>
    </row>
    <row r="724" spans="1:8" x14ac:dyDescent="0.3">
      <c r="A724">
        <v>169285280</v>
      </c>
      <c r="B724" s="1">
        <v>44911</v>
      </c>
      <c r="C724" s="1">
        <v>44912</v>
      </c>
      <c r="D724" t="s">
        <v>8</v>
      </c>
      <c r="E724">
        <v>39</v>
      </c>
      <c r="F724" t="s">
        <v>6</v>
      </c>
      <c r="G724">
        <f t="shared" si="28"/>
        <v>1</v>
      </c>
      <c r="H724" s="1" t="str">
        <f t="shared" si="29"/>
        <v>Friday</v>
      </c>
    </row>
    <row r="725" spans="1:8" x14ac:dyDescent="0.3">
      <c r="A725">
        <v>137315832</v>
      </c>
      <c r="B725" s="1">
        <v>44911</v>
      </c>
      <c r="C725" s="1">
        <v>45008</v>
      </c>
      <c r="D725" t="s">
        <v>7</v>
      </c>
      <c r="E725">
        <v>39</v>
      </c>
      <c r="F725" t="s">
        <v>6</v>
      </c>
      <c r="G725">
        <f t="shared" si="28"/>
        <v>97</v>
      </c>
      <c r="H725" s="1" t="str">
        <f t="shared" si="29"/>
        <v>Friday</v>
      </c>
    </row>
    <row r="726" spans="1:8" x14ac:dyDescent="0.3">
      <c r="A726">
        <v>171286538</v>
      </c>
      <c r="B726" s="1">
        <v>44911</v>
      </c>
      <c r="C726" s="1">
        <v>45029</v>
      </c>
      <c r="D726" t="s">
        <v>7</v>
      </c>
      <c r="E726">
        <v>39</v>
      </c>
      <c r="F726" t="s">
        <v>6</v>
      </c>
      <c r="G726">
        <f t="shared" si="28"/>
        <v>118</v>
      </c>
      <c r="H726" s="1" t="str">
        <f t="shared" si="29"/>
        <v>Friday</v>
      </c>
    </row>
    <row r="727" spans="1:8" x14ac:dyDescent="0.3">
      <c r="A727">
        <v>154531106</v>
      </c>
      <c r="B727" s="1">
        <v>44911</v>
      </c>
      <c r="C727" s="1">
        <v>45030</v>
      </c>
      <c r="D727" t="s">
        <v>7</v>
      </c>
      <c r="E727">
        <v>39</v>
      </c>
      <c r="F727" t="s">
        <v>6</v>
      </c>
      <c r="G727">
        <f t="shared" si="28"/>
        <v>119</v>
      </c>
      <c r="H727" s="1" t="str">
        <f t="shared" si="29"/>
        <v>Friday</v>
      </c>
    </row>
    <row r="728" spans="1:8" x14ac:dyDescent="0.3">
      <c r="A728">
        <v>169998988</v>
      </c>
      <c r="B728" s="1">
        <v>44911</v>
      </c>
      <c r="C728" s="1">
        <v>45063</v>
      </c>
      <c r="D728" t="s">
        <v>7</v>
      </c>
      <c r="E728">
        <v>39</v>
      </c>
      <c r="F728" t="s">
        <v>6</v>
      </c>
      <c r="G728">
        <f t="shared" si="28"/>
        <v>152</v>
      </c>
      <c r="H728" s="1" t="str">
        <f t="shared" si="29"/>
        <v>Friday</v>
      </c>
    </row>
    <row r="729" spans="1:8" x14ac:dyDescent="0.3">
      <c r="A729">
        <v>171860036</v>
      </c>
      <c r="B729" s="1">
        <v>44911</v>
      </c>
      <c r="C729" s="1">
        <v>45003</v>
      </c>
      <c r="D729" t="s">
        <v>7</v>
      </c>
      <c r="E729">
        <v>39</v>
      </c>
      <c r="F729" t="s">
        <v>6</v>
      </c>
      <c r="G729">
        <f t="shared" si="28"/>
        <v>92</v>
      </c>
      <c r="H729" s="1" t="str">
        <f t="shared" si="29"/>
        <v>Friday</v>
      </c>
    </row>
    <row r="730" spans="1:8" x14ac:dyDescent="0.3">
      <c r="A730">
        <v>169906376</v>
      </c>
      <c r="B730" s="1">
        <v>44911</v>
      </c>
      <c r="C730" s="1">
        <v>44970</v>
      </c>
      <c r="D730" t="s">
        <v>7</v>
      </c>
      <c r="E730">
        <v>39</v>
      </c>
      <c r="F730" t="s">
        <v>6</v>
      </c>
      <c r="G730">
        <f t="shared" si="28"/>
        <v>59</v>
      </c>
      <c r="H730" s="1" t="str">
        <f t="shared" si="29"/>
        <v>Friday</v>
      </c>
    </row>
    <row r="731" spans="1:8" x14ac:dyDescent="0.3">
      <c r="A731">
        <v>171681744</v>
      </c>
      <c r="B731" s="1">
        <v>44911</v>
      </c>
      <c r="C731" s="1">
        <v>44979</v>
      </c>
      <c r="D731" t="s">
        <v>7</v>
      </c>
      <c r="E731">
        <v>39</v>
      </c>
      <c r="F731" t="s">
        <v>6</v>
      </c>
      <c r="G731">
        <f t="shared" si="28"/>
        <v>68</v>
      </c>
      <c r="H731" s="1" t="str">
        <f t="shared" si="29"/>
        <v>Friday</v>
      </c>
    </row>
    <row r="732" spans="1:8" x14ac:dyDescent="0.3">
      <c r="A732">
        <v>171375108</v>
      </c>
      <c r="B732" s="1">
        <v>44911</v>
      </c>
      <c r="C732" s="1">
        <v>44942</v>
      </c>
      <c r="D732" t="s">
        <v>7</v>
      </c>
      <c r="E732">
        <v>39</v>
      </c>
      <c r="F732" t="s">
        <v>6</v>
      </c>
      <c r="G732">
        <f t="shared" si="28"/>
        <v>31</v>
      </c>
      <c r="H732" s="1" t="str">
        <f t="shared" si="29"/>
        <v>Friday</v>
      </c>
    </row>
    <row r="733" spans="1:8" x14ac:dyDescent="0.3">
      <c r="A733">
        <v>166358674</v>
      </c>
      <c r="B733" s="1">
        <v>44911</v>
      </c>
      <c r="C733" s="1">
        <v>44949</v>
      </c>
      <c r="D733" t="s">
        <v>7</v>
      </c>
      <c r="E733">
        <v>39</v>
      </c>
      <c r="F733" t="s">
        <v>6</v>
      </c>
      <c r="G733">
        <f t="shared" si="28"/>
        <v>38</v>
      </c>
      <c r="H733" s="1" t="str">
        <f t="shared" si="29"/>
        <v>Friday</v>
      </c>
    </row>
    <row r="734" spans="1:8" x14ac:dyDescent="0.3">
      <c r="A734">
        <v>168696864</v>
      </c>
      <c r="B734" s="1">
        <v>44912</v>
      </c>
      <c r="C734" s="1">
        <v>44913</v>
      </c>
      <c r="D734" t="s">
        <v>7</v>
      </c>
      <c r="E734">
        <v>39</v>
      </c>
      <c r="F734" t="s">
        <v>6</v>
      </c>
      <c r="G734">
        <f t="shared" si="28"/>
        <v>1</v>
      </c>
      <c r="H734" s="1" t="str">
        <f t="shared" si="29"/>
        <v>Saturday</v>
      </c>
    </row>
    <row r="735" spans="1:8" x14ac:dyDescent="0.3">
      <c r="A735">
        <v>149303812</v>
      </c>
      <c r="B735" s="1">
        <v>44912</v>
      </c>
      <c r="C735" s="1">
        <v>44977</v>
      </c>
      <c r="D735" t="s">
        <v>7</v>
      </c>
      <c r="E735">
        <v>39</v>
      </c>
      <c r="F735" t="s">
        <v>6</v>
      </c>
      <c r="G735">
        <f t="shared" si="28"/>
        <v>65</v>
      </c>
      <c r="H735" s="1" t="str">
        <f t="shared" si="29"/>
        <v>Saturday</v>
      </c>
    </row>
    <row r="736" spans="1:8" x14ac:dyDescent="0.3">
      <c r="A736">
        <v>145969392</v>
      </c>
      <c r="B736" s="1">
        <v>44912</v>
      </c>
      <c r="C736" s="1">
        <v>44958</v>
      </c>
      <c r="D736" t="s">
        <v>7</v>
      </c>
      <c r="E736">
        <v>39</v>
      </c>
      <c r="F736" t="s">
        <v>6</v>
      </c>
      <c r="G736">
        <f t="shared" si="28"/>
        <v>46</v>
      </c>
      <c r="H736" s="1" t="str">
        <f t="shared" si="29"/>
        <v>Saturday</v>
      </c>
    </row>
    <row r="737" spans="1:8" x14ac:dyDescent="0.3">
      <c r="A737">
        <v>169399624</v>
      </c>
      <c r="B737" s="1">
        <v>44912</v>
      </c>
      <c r="C737" s="1">
        <v>44967</v>
      </c>
      <c r="D737" t="s">
        <v>7</v>
      </c>
      <c r="E737">
        <v>39</v>
      </c>
      <c r="F737" t="s">
        <v>6</v>
      </c>
      <c r="G737">
        <f t="shared" si="28"/>
        <v>55</v>
      </c>
      <c r="H737" s="1" t="str">
        <f t="shared" si="29"/>
        <v>Saturday</v>
      </c>
    </row>
    <row r="738" spans="1:8" x14ac:dyDescent="0.3">
      <c r="A738">
        <v>162423643</v>
      </c>
      <c r="B738" s="1">
        <v>44912</v>
      </c>
      <c r="C738" s="1">
        <v>44912</v>
      </c>
      <c r="D738" t="s">
        <v>7</v>
      </c>
      <c r="E738">
        <v>39</v>
      </c>
      <c r="F738" t="s">
        <v>6</v>
      </c>
      <c r="G738">
        <f t="shared" si="28"/>
        <v>0</v>
      </c>
      <c r="H738" s="1" t="str">
        <f t="shared" si="29"/>
        <v>Saturday</v>
      </c>
    </row>
    <row r="739" spans="1:8" x14ac:dyDescent="0.3">
      <c r="A739">
        <v>171131528</v>
      </c>
      <c r="B739" s="1">
        <v>44913</v>
      </c>
      <c r="C739" t="s">
        <v>19</v>
      </c>
      <c r="D739" t="s">
        <v>7</v>
      </c>
      <c r="E739">
        <v>39</v>
      </c>
      <c r="F739" t="s">
        <v>6</v>
      </c>
      <c r="G739" t="str">
        <f t="shared" si="28"/>
        <v>Active</v>
      </c>
      <c r="H739" s="1" t="str">
        <f t="shared" si="29"/>
        <v>Sunday</v>
      </c>
    </row>
    <row r="740" spans="1:8" x14ac:dyDescent="0.3">
      <c r="A740">
        <v>172370430</v>
      </c>
      <c r="B740" s="1">
        <v>44913</v>
      </c>
      <c r="C740" s="1">
        <v>44914</v>
      </c>
      <c r="D740" t="s">
        <v>8</v>
      </c>
      <c r="E740">
        <v>39</v>
      </c>
      <c r="F740" t="s">
        <v>6</v>
      </c>
      <c r="G740">
        <f t="shared" si="28"/>
        <v>1</v>
      </c>
      <c r="H740" s="1" t="str">
        <f t="shared" si="29"/>
        <v>Sunday</v>
      </c>
    </row>
    <row r="741" spans="1:8" x14ac:dyDescent="0.3">
      <c r="A741">
        <v>122646091</v>
      </c>
      <c r="B741" s="1">
        <v>44913</v>
      </c>
      <c r="C741" s="1">
        <v>45006</v>
      </c>
      <c r="D741" t="s">
        <v>7</v>
      </c>
      <c r="E741">
        <v>39</v>
      </c>
      <c r="F741" t="s">
        <v>6</v>
      </c>
      <c r="G741">
        <f t="shared" si="28"/>
        <v>93</v>
      </c>
      <c r="H741" s="1" t="str">
        <f t="shared" si="29"/>
        <v>Sunday</v>
      </c>
    </row>
    <row r="742" spans="1:8" x14ac:dyDescent="0.3">
      <c r="A742">
        <v>171688728</v>
      </c>
      <c r="B742" s="1">
        <v>44913</v>
      </c>
      <c r="C742" s="1">
        <v>44939</v>
      </c>
      <c r="D742" t="s">
        <v>7</v>
      </c>
      <c r="E742">
        <v>39</v>
      </c>
      <c r="F742" t="s">
        <v>6</v>
      </c>
      <c r="G742">
        <f t="shared" si="28"/>
        <v>26</v>
      </c>
      <c r="H742" s="1" t="str">
        <f t="shared" si="29"/>
        <v>Sunday</v>
      </c>
    </row>
    <row r="743" spans="1:8" x14ac:dyDescent="0.3">
      <c r="A743">
        <v>173037778</v>
      </c>
      <c r="B743" s="1">
        <v>44913</v>
      </c>
      <c r="C743" s="1">
        <v>44953</v>
      </c>
      <c r="D743" t="s">
        <v>7</v>
      </c>
      <c r="E743">
        <v>39</v>
      </c>
      <c r="F743" t="s">
        <v>6</v>
      </c>
      <c r="G743">
        <f t="shared" si="28"/>
        <v>40</v>
      </c>
      <c r="H743" s="1" t="str">
        <f t="shared" si="29"/>
        <v>Sunday</v>
      </c>
    </row>
    <row r="744" spans="1:8" x14ac:dyDescent="0.3">
      <c r="A744">
        <v>139247241</v>
      </c>
      <c r="B744" s="1">
        <v>44913</v>
      </c>
      <c r="C744" s="1">
        <v>44933</v>
      </c>
      <c r="D744" t="s">
        <v>7</v>
      </c>
      <c r="E744">
        <v>39</v>
      </c>
      <c r="F744" t="s">
        <v>6</v>
      </c>
      <c r="G744">
        <f t="shared" si="28"/>
        <v>20</v>
      </c>
      <c r="H744" s="1" t="str">
        <f t="shared" si="29"/>
        <v>Sunday</v>
      </c>
    </row>
    <row r="745" spans="1:8" x14ac:dyDescent="0.3">
      <c r="A745">
        <v>138235674</v>
      </c>
      <c r="B745" s="1">
        <v>44914</v>
      </c>
      <c r="C745" t="s">
        <v>19</v>
      </c>
      <c r="D745" t="s">
        <v>7</v>
      </c>
      <c r="E745">
        <v>39</v>
      </c>
      <c r="F745" t="s">
        <v>6</v>
      </c>
      <c r="G745" t="str">
        <f t="shared" si="28"/>
        <v>Active</v>
      </c>
      <c r="H745" s="1" t="str">
        <f t="shared" si="29"/>
        <v>Monday</v>
      </c>
    </row>
    <row r="746" spans="1:8" x14ac:dyDescent="0.3">
      <c r="A746">
        <v>173832314</v>
      </c>
      <c r="B746" s="1">
        <v>44914</v>
      </c>
      <c r="C746" s="1">
        <v>44983</v>
      </c>
      <c r="D746" t="s">
        <v>7</v>
      </c>
      <c r="E746">
        <v>39</v>
      </c>
      <c r="F746" t="s">
        <v>6</v>
      </c>
      <c r="G746">
        <f t="shared" si="28"/>
        <v>69</v>
      </c>
      <c r="H746" s="1" t="str">
        <f t="shared" si="29"/>
        <v>Monday</v>
      </c>
    </row>
    <row r="747" spans="1:8" x14ac:dyDescent="0.3">
      <c r="A747">
        <v>170752898</v>
      </c>
      <c r="B747" s="1">
        <v>44914</v>
      </c>
      <c r="C747" s="1">
        <v>44980</v>
      </c>
      <c r="D747" t="s">
        <v>7</v>
      </c>
      <c r="E747">
        <v>39</v>
      </c>
      <c r="F747" t="s">
        <v>6</v>
      </c>
      <c r="G747">
        <f t="shared" si="28"/>
        <v>66</v>
      </c>
      <c r="H747" s="1" t="str">
        <f t="shared" si="29"/>
        <v>Monday</v>
      </c>
    </row>
    <row r="748" spans="1:8" x14ac:dyDescent="0.3">
      <c r="A748">
        <v>172517999</v>
      </c>
      <c r="B748" s="1">
        <v>44914</v>
      </c>
      <c r="C748" s="1">
        <v>44952</v>
      </c>
      <c r="D748" t="s">
        <v>7</v>
      </c>
      <c r="E748">
        <v>39</v>
      </c>
      <c r="F748" t="s">
        <v>6</v>
      </c>
      <c r="G748">
        <f t="shared" si="28"/>
        <v>38</v>
      </c>
      <c r="H748" s="1" t="str">
        <f t="shared" si="29"/>
        <v>Monday</v>
      </c>
    </row>
    <row r="749" spans="1:8" x14ac:dyDescent="0.3">
      <c r="A749">
        <v>150779000</v>
      </c>
      <c r="B749" s="1">
        <v>44914</v>
      </c>
      <c r="C749" s="1">
        <v>44928</v>
      </c>
      <c r="D749" t="s">
        <v>7</v>
      </c>
      <c r="E749">
        <v>39</v>
      </c>
      <c r="F749" t="s">
        <v>6</v>
      </c>
      <c r="G749">
        <f t="shared" si="28"/>
        <v>14</v>
      </c>
      <c r="H749" s="1" t="str">
        <f t="shared" si="29"/>
        <v>Monday</v>
      </c>
    </row>
    <row r="750" spans="1:8" x14ac:dyDescent="0.3">
      <c r="A750">
        <v>171304646</v>
      </c>
      <c r="B750" s="1">
        <v>44914</v>
      </c>
      <c r="C750" s="1">
        <v>45164</v>
      </c>
      <c r="D750" t="s">
        <v>7</v>
      </c>
      <c r="E750">
        <v>39</v>
      </c>
      <c r="F750" t="s">
        <v>6</v>
      </c>
      <c r="G750">
        <f t="shared" si="28"/>
        <v>250</v>
      </c>
      <c r="H750" s="1" t="str">
        <f t="shared" si="29"/>
        <v>Monday</v>
      </c>
    </row>
    <row r="751" spans="1:8" x14ac:dyDescent="0.3">
      <c r="A751">
        <v>168696864</v>
      </c>
      <c r="B751" s="1">
        <v>44915</v>
      </c>
      <c r="C751" t="s">
        <v>19</v>
      </c>
      <c r="D751" t="s">
        <v>7</v>
      </c>
      <c r="E751">
        <v>39</v>
      </c>
      <c r="F751" t="s">
        <v>6</v>
      </c>
      <c r="G751" t="str">
        <f t="shared" si="28"/>
        <v>Active</v>
      </c>
      <c r="H751" s="1" t="str">
        <f t="shared" si="29"/>
        <v>Tuesday</v>
      </c>
    </row>
    <row r="752" spans="1:8" x14ac:dyDescent="0.3">
      <c r="A752">
        <v>174268714</v>
      </c>
      <c r="B752" s="1">
        <v>44915</v>
      </c>
      <c r="C752" t="s">
        <v>19</v>
      </c>
      <c r="D752" t="s">
        <v>7</v>
      </c>
      <c r="E752">
        <v>39</v>
      </c>
      <c r="F752" t="s">
        <v>6</v>
      </c>
      <c r="G752" t="str">
        <f t="shared" si="28"/>
        <v>Active</v>
      </c>
      <c r="H752" s="1" t="str">
        <f t="shared" si="29"/>
        <v>Tuesday</v>
      </c>
    </row>
    <row r="753" spans="1:8" x14ac:dyDescent="0.3">
      <c r="A753">
        <v>147022677</v>
      </c>
      <c r="B753" s="1">
        <v>44915</v>
      </c>
      <c r="C753" t="s">
        <v>19</v>
      </c>
      <c r="D753" t="s">
        <v>7</v>
      </c>
      <c r="E753">
        <v>39</v>
      </c>
      <c r="F753" t="s">
        <v>6</v>
      </c>
      <c r="G753" t="str">
        <f t="shared" si="28"/>
        <v>Active</v>
      </c>
      <c r="H753" s="1" t="str">
        <f t="shared" si="29"/>
        <v>Tuesday</v>
      </c>
    </row>
    <row r="754" spans="1:8" x14ac:dyDescent="0.3">
      <c r="A754">
        <v>156864062</v>
      </c>
      <c r="B754" s="1">
        <v>44915</v>
      </c>
      <c r="C754" s="1">
        <v>44916</v>
      </c>
      <c r="D754" t="s">
        <v>8</v>
      </c>
      <c r="E754">
        <v>39</v>
      </c>
      <c r="F754" t="s">
        <v>6</v>
      </c>
      <c r="G754">
        <f t="shared" si="28"/>
        <v>1</v>
      </c>
      <c r="H754" s="1" t="str">
        <f t="shared" si="29"/>
        <v>Tuesday</v>
      </c>
    </row>
    <row r="755" spans="1:8" x14ac:dyDescent="0.3">
      <c r="A755">
        <v>123065349</v>
      </c>
      <c r="B755" s="1">
        <v>44915</v>
      </c>
      <c r="C755" s="1">
        <v>45012</v>
      </c>
      <c r="D755" t="s">
        <v>7</v>
      </c>
      <c r="E755">
        <v>39</v>
      </c>
      <c r="F755" t="s">
        <v>6</v>
      </c>
      <c r="G755">
        <f t="shared" si="28"/>
        <v>97</v>
      </c>
      <c r="H755" s="1" t="str">
        <f t="shared" si="29"/>
        <v>Tuesday</v>
      </c>
    </row>
    <row r="756" spans="1:8" x14ac:dyDescent="0.3">
      <c r="A756">
        <v>174258180</v>
      </c>
      <c r="B756" s="1">
        <v>44915</v>
      </c>
      <c r="C756" s="1">
        <v>45045</v>
      </c>
      <c r="D756" t="s">
        <v>7</v>
      </c>
      <c r="E756">
        <v>39</v>
      </c>
      <c r="F756" t="s">
        <v>6</v>
      </c>
      <c r="G756">
        <f t="shared" si="28"/>
        <v>130</v>
      </c>
      <c r="H756" s="1" t="str">
        <f t="shared" si="29"/>
        <v>Tuesday</v>
      </c>
    </row>
    <row r="757" spans="1:8" x14ac:dyDescent="0.3">
      <c r="A757">
        <v>174269667</v>
      </c>
      <c r="B757" s="1">
        <v>44915</v>
      </c>
      <c r="C757" s="1">
        <v>44988</v>
      </c>
      <c r="D757" t="s">
        <v>7</v>
      </c>
      <c r="E757">
        <v>39</v>
      </c>
      <c r="F757" t="s">
        <v>6</v>
      </c>
      <c r="G757">
        <f t="shared" si="28"/>
        <v>73</v>
      </c>
      <c r="H757" s="1" t="str">
        <f t="shared" si="29"/>
        <v>Tuesday</v>
      </c>
    </row>
    <row r="758" spans="1:8" x14ac:dyDescent="0.3">
      <c r="A758">
        <v>171889946</v>
      </c>
      <c r="B758" s="1">
        <v>44915</v>
      </c>
      <c r="C758" s="1">
        <v>44967</v>
      </c>
      <c r="D758" t="s">
        <v>7</v>
      </c>
      <c r="E758">
        <v>39</v>
      </c>
      <c r="F758" t="s">
        <v>6</v>
      </c>
      <c r="G758">
        <f t="shared" si="28"/>
        <v>52</v>
      </c>
      <c r="H758" s="1" t="str">
        <f t="shared" si="29"/>
        <v>Tuesday</v>
      </c>
    </row>
    <row r="759" spans="1:8" x14ac:dyDescent="0.3">
      <c r="A759">
        <v>171613468</v>
      </c>
      <c r="B759" s="1">
        <v>44915</v>
      </c>
      <c r="C759" s="1">
        <v>44979</v>
      </c>
      <c r="D759" t="s">
        <v>7</v>
      </c>
      <c r="E759">
        <v>39</v>
      </c>
      <c r="F759" t="s">
        <v>6</v>
      </c>
      <c r="G759">
        <f t="shared" si="28"/>
        <v>64</v>
      </c>
      <c r="H759" s="1" t="str">
        <f t="shared" si="29"/>
        <v>Tuesday</v>
      </c>
    </row>
    <row r="760" spans="1:8" x14ac:dyDescent="0.3">
      <c r="A760">
        <v>122922737</v>
      </c>
      <c r="B760" s="1">
        <v>44916</v>
      </c>
      <c r="C760" t="s">
        <v>19</v>
      </c>
      <c r="D760" t="s">
        <v>7</v>
      </c>
      <c r="E760">
        <v>39</v>
      </c>
      <c r="F760" t="s">
        <v>6</v>
      </c>
      <c r="G760" t="str">
        <f t="shared" si="28"/>
        <v>Active</v>
      </c>
      <c r="H760" s="1" t="str">
        <f t="shared" si="29"/>
        <v>Wednesday</v>
      </c>
    </row>
    <row r="761" spans="1:8" x14ac:dyDescent="0.3">
      <c r="A761">
        <v>174646924</v>
      </c>
      <c r="B761" s="1">
        <v>44916</v>
      </c>
      <c r="C761" s="1">
        <v>45013</v>
      </c>
      <c r="D761" t="s">
        <v>7</v>
      </c>
      <c r="E761">
        <v>39</v>
      </c>
      <c r="F761" t="s">
        <v>6</v>
      </c>
      <c r="G761">
        <f t="shared" si="28"/>
        <v>97</v>
      </c>
      <c r="H761" s="1" t="str">
        <f t="shared" si="29"/>
        <v>Wednesday</v>
      </c>
    </row>
    <row r="762" spans="1:8" x14ac:dyDescent="0.3">
      <c r="A762">
        <v>174264280</v>
      </c>
      <c r="B762" s="1">
        <v>44916</v>
      </c>
      <c r="C762" s="1">
        <v>45013</v>
      </c>
      <c r="D762" t="s">
        <v>7</v>
      </c>
      <c r="E762">
        <v>39</v>
      </c>
      <c r="F762" t="s">
        <v>6</v>
      </c>
      <c r="G762">
        <f t="shared" si="28"/>
        <v>97</v>
      </c>
      <c r="H762" s="1" t="str">
        <f t="shared" si="29"/>
        <v>Wednesday</v>
      </c>
    </row>
    <row r="763" spans="1:8" x14ac:dyDescent="0.3">
      <c r="A763">
        <v>174609120</v>
      </c>
      <c r="B763" s="1">
        <v>44916</v>
      </c>
      <c r="C763" s="1">
        <v>45003</v>
      </c>
      <c r="D763" t="s">
        <v>7</v>
      </c>
      <c r="E763">
        <v>39</v>
      </c>
      <c r="F763" t="s">
        <v>6</v>
      </c>
      <c r="G763">
        <f t="shared" si="28"/>
        <v>87</v>
      </c>
      <c r="H763" s="1" t="str">
        <f t="shared" si="29"/>
        <v>Wednesday</v>
      </c>
    </row>
    <row r="764" spans="1:8" x14ac:dyDescent="0.3">
      <c r="A764">
        <v>174158995</v>
      </c>
      <c r="B764" s="1">
        <v>44916</v>
      </c>
      <c r="C764" s="1">
        <v>44982</v>
      </c>
      <c r="D764" t="s">
        <v>7</v>
      </c>
      <c r="E764">
        <v>39</v>
      </c>
      <c r="F764" t="s">
        <v>6</v>
      </c>
      <c r="G764">
        <f t="shared" si="28"/>
        <v>66</v>
      </c>
      <c r="H764" s="1" t="str">
        <f t="shared" si="29"/>
        <v>Wednesday</v>
      </c>
    </row>
    <row r="765" spans="1:8" x14ac:dyDescent="0.3">
      <c r="A765">
        <v>174484311</v>
      </c>
      <c r="B765" s="1">
        <v>44916</v>
      </c>
      <c r="C765" s="1">
        <v>44982</v>
      </c>
      <c r="D765" t="s">
        <v>7</v>
      </c>
      <c r="E765">
        <v>39</v>
      </c>
      <c r="F765" t="s">
        <v>6</v>
      </c>
      <c r="G765">
        <f t="shared" si="28"/>
        <v>66</v>
      </c>
      <c r="H765" s="1" t="str">
        <f t="shared" si="29"/>
        <v>Wednesday</v>
      </c>
    </row>
    <row r="766" spans="1:8" x14ac:dyDescent="0.3">
      <c r="A766">
        <v>169556175</v>
      </c>
      <c r="B766" s="1">
        <v>44916</v>
      </c>
      <c r="C766" s="1">
        <v>44948</v>
      </c>
      <c r="D766" t="s">
        <v>7</v>
      </c>
      <c r="E766">
        <v>39</v>
      </c>
      <c r="F766" t="s">
        <v>6</v>
      </c>
      <c r="G766">
        <f t="shared" si="28"/>
        <v>32</v>
      </c>
      <c r="H766" s="1" t="str">
        <f t="shared" si="29"/>
        <v>Wednesday</v>
      </c>
    </row>
    <row r="767" spans="1:8" x14ac:dyDescent="0.3">
      <c r="A767">
        <v>153122282</v>
      </c>
      <c r="B767" s="1">
        <v>44916</v>
      </c>
      <c r="C767" s="1">
        <v>44916</v>
      </c>
      <c r="D767" t="s">
        <v>7</v>
      </c>
      <c r="E767">
        <v>39</v>
      </c>
      <c r="F767" t="s">
        <v>6</v>
      </c>
      <c r="G767">
        <f t="shared" si="28"/>
        <v>0</v>
      </c>
      <c r="H767" s="1" t="str">
        <f t="shared" si="29"/>
        <v>Wednesday</v>
      </c>
    </row>
    <row r="768" spans="1:8" x14ac:dyDescent="0.3">
      <c r="A768">
        <v>174576654</v>
      </c>
      <c r="B768" s="1">
        <v>44916</v>
      </c>
      <c r="C768" s="1">
        <v>45114</v>
      </c>
      <c r="D768" t="s">
        <v>7</v>
      </c>
      <c r="E768">
        <v>39</v>
      </c>
      <c r="F768" t="s">
        <v>6</v>
      </c>
      <c r="G768">
        <f t="shared" si="28"/>
        <v>198</v>
      </c>
      <c r="H768" s="1" t="str">
        <f t="shared" si="29"/>
        <v>Wednesday</v>
      </c>
    </row>
    <row r="769" spans="1:8" x14ac:dyDescent="0.3">
      <c r="A769">
        <v>154711077</v>
      </c>
      <c r="B769" s="1">
        <v>44917</v>
      </c>
      <c r="C769" t="s">
        <v>19</v>
      </c>
      <c r="D769" t="s">
        <v>7</v>
      </c>
      <c r="E769">
        <v>39</v>
      </c>
      <c r="F769" t="s">
        <v>6</v>
      </c>
      <c r="G769" t="str">
        <f t="shared" si="28"/>
        <v>Active</v>
      </c>
      <c r="H769" s="1" t="str">
        <f t="shared" si="29"/>
        <v>Thursday</v>
      </c>
    </row>
    <row r="770" spans="1:8" x14ac:dyDescent="0.3">
      <c r="A770">
        <v>163619032</v>
      </c>
      <c r="B770" s="1">
        <v>44917</v>
      </c>
      <c r="C770" t="s">
        <v>19</v>
      </c>
      <c r="D770" t="s">
        <v>7</v>
      </c>
      <c r="E770">
        <v>39</v>
      </c>
      <c r="F770" t="s">
        <v>6</v>
      </c>
      <c r="G770" t="str">
        <f t="shared" si="28"/>
        <v>Active</v>
      </c>
      <c r="H770" s="1" t="str">
        <f t="shared" si="29"/>
        <v>Thursday</v>
      </c>
    </row>
    <row r="771" spans="1:8" x14ac:dyDescent="0.3">
      <c r="A771">
        <v>171001864</v>
      </c>
      <c r="B771" s="1">
        <v>44917</v>
      </c>
      <c r="C771" t="s">
        <v>19</v>
      </c>
      <c r="D771" t="s">
        <v>7</v>
      </c>
      <c r="E771">
        <v>39</v>
      </c>
      <c r="F771" t="s">
        <v>6</v>
      </c>
      <c r="G771" t="str">
        <f t="shared" ref="G771:G834" si="30">IF(C771="Active","Active",C771-B771)</f>
        <v>Active</v>
      </c>
      <c r="H771" s="1" t="str">
        <f t="shared" ref="H771:H834" si="31">TEXT(B771,"dddd")</f>
        <v>Thursday</v>
      </c>
    </row>
    <row r="772" spans="1:8" x14ac:dyDescent="0.3">
      <c r="A772">
        <v>151890014</v>
      </c>
      <c r="B772" s="1">
        <v>44917</v>
      </c>
      <c r="C772" t="s">
        <v>19</v>
      </c>
      <c r="D772" t="s">
        <v>7</v>
      </c>
      <c r="E772">
        <v>39</v>
      </c>
      <c r="F772" t="s">
        <v>6</v>
      </c>
      <c r="G772" t="str">
        <f t="shared" si="30"/>
        <v>Active</v>
      </c>
      <c r="H772" s="1" t="str">
        <f t="shared" si="31"/>
        <v>Thursday</v>
      </c>
    </row>
    <row r="773" spans="1:8" x14ac:dyDescent="0.3">
      <c r="A773">
        <v>158575772</v>
      </c>
      <c r="B773" s="1">
        <v>44917</v>
      </c>
      <c r="C773" s="1">
        <v>44918</v>
      </c>
      <c r="D773" t="s">
        <v>7</v>
      </c>
      <c r="E773">
        <v>39</v>
      </c>
      <c r="F773" t="s">
        <v>6</v>
      </c>
      <c r="G773">
        <f t="shared" si="30"/>
        <v>1</v>
      </c>
      <c r="H773" s="1" t="str">
        <f t="shared" si="31"/>
        <v>Thursday</v>
      </c>
    </row>
    <row r="774" spans="1:8" x14ac:dyDescent="0.3">
      <c r="A774">
        <v>164462665</v>
      </c>
      <c r="B774" s="1">
        <v>44917</v>
      </c>
      <c r="C774" s="1">
        <v>44918</v>
      </c>
      <c r="D774" t="s">
        <v>8</v>
      </c>
      <c r="E774">
        <v>39</v>
      </c>
      <c r="F774" t="s">
        <v>6</v>
      </c>
      <c r="G774">
        <f t="shared" si="30"/>
        <v>1</v>
      </c>
      <c r="H774" s="1" t="str">
        <f t="shared" si="31"/>
        <v>Thursday</v>
      </c>
    </row>
    <row r="775" spans="1:8" x14ac:dyDescent="0.3">
      <c r="A775">
        <v>121830768</v>
      </c>
      <c r="B775" s="1">
        <v>44917</v>
      </c>
      <c r="C775" s="1">
        <v>44950</v>
      </c>
      <c r="D775" t="s">
        <v>7</v>
      </c>
      <c r="E775">
        <v>39</v>
      </c>
      <c r="F775" t="s">
        <v>6</v>
      </c>
      <c r="G775">
        <f t="shared" si="30"/>
        <v>33</v>
      </c>
      <c r="H775" s="1" t="str">
        <f t="shared" si="31"/>
        <v>Thursday</v>
      </c>
    </row>
    <row r="776" spans="1:8" x14ac:dyDescent="0.3">
      <c r="A776">
        <v>174605216</v>
      </c>
      <c r="B776" s="1">
        <v>44917</v>
      </c>
      <c r="C776" s="1">
        <v>45058</v>
      </c>
      <c r="D776" t="s">
        <v>7</v>
      </c>
      <c r="E776">
        <v>39</v>
      </c>
      <c r="F776" t="s">
        <v>6</v>
      </c>
      <c r="G776">
        <f t="shared" si="30"/>
        <v>141</v>
      </c>
      <c r="H776" s="1" t="str">
        <f t="shared" si="31"/>
        <v>Thursday</v>
      </c>
    </row>
    <row r="777" spans="1:8" x14ac:dyDescent="0.3">
      <c r="A777">
        <v>174655316</v>
      </c>
      <c r="B777" s="1">
        <v>44917</v>
      </c>
      <c r="C777" s="1">
        <v>45000</v>
      </c>
      <c r="D777" t="s">
        <v>7</v>
      </c>
      <c r="E777">
        <v>39</v>
      </c>
      <c r="F777" t="s">
        <v>6</v>
      </c>
      <c r="G777">
        <f t="shared" si="30"/>
        <v>83</v>
      </c>
      <c r="H777" s="1" t="str">
        <f t="shared" si="31"/>
        <v>Thursday</v>
      </c>
    </row>
    <row r="778" spans="1:8" x14ac:dyDescent="0.3">
      <c r="A778">
        <v>174622570</v>
      </c>
      <c r="B778" s="1">
        <v>44917</v>
      </c>
      <c r="C778" s="1">
        <v>44927</v>
      </c>
      <c r="D778" t="s">
        <v>7</v>
      </c>
      <c r="E778">
        <v>39</v>
      </c>
      <c r="F778" t="s">
        <v>6</v>
      </c>
      <c r="G778">
        <f t="shared" si="30"/>
        <v>10</v>
      </c>
      <c r="H778" s="1" t="str">
        <f t="shared" si="31"/>
        <v>Thursday</v>
      </c>
    </row>
    <row r="779" spans="1:8" x14ac:dyDescent="0.3">
      <c r="A779">
        <v>174720005</v>
      </c>
      <c r="B779" s="1">
        <v>44917</v>
      </c>
      <c r="C779" s="1">
        <v>44918</v>
      </c>
      <c r="D779" t="s">
        <v>7</v>
      </c>
      <c r="E779">
        <v>39</v>
      </c>
      <c r="F779" t="s">
        <v>6</v>
      </c>
      <c r="G779">
        <f t="shared" si="30"/>
        <v>1</v>
      </c>
      <c r="H779" s="1" t="str">
        <f t="shared" si="31"/>
        <v>Thursday</v>
      </c>
    </row>
    <row r="780" spans="1:8" x14ac:dyDescent="0.3">
      <c r="A780">
        <v>174696512</v>
      </c>
      <c r="B780" s="1">
        <v>44918</v>
      </c>
      <c r="C780" t="s">
        <v>19</v>
      </c>
      <c r="D780" t="s">
        <v>7</v>
      </c>
      <c r="E780">
        <v>39</v>
      </c>
      <c r="F780" t="s">
        <v>6</v>
      </c>
      <c r="G780" t="str">
        <f t="shared" si="30"/>
        <v>Active</v>
      </c>
      <c r="H780" s="1" t="str">
        <f t="shared" si="31"/>
        <v>Friday</v>
      </c>
    </row>
    <row r="781" spans="1:8" x14ac:dyDescent="0.3">
      <c r="A781">
        <v>175314293</v>
      </c>
      <c r="B781" s="1">
        <v>44918</v>
      </c>
      <c r="C781" t="s">
        <v>19</v>
      </c>
      <c r="D781" t="s">
        <v>7</v>
      </c>
      <c r="E781">
        <v>39</v>
      </c>
      <c r="F781" t="s">
        <v>6</v>
      </c>
      <c r="G781" t="str">
        <f t="shared" si="30"/>
        <v>Active</v>
      </c>
      <c r="H781" s="1" t="str">
        <f t="shared" si="31"/>
        <v>Friday</v>
      </c>
    </row>
    <row r="782" spans="1:8" x14ac:dyDescent="0.3">
      <c r="A782">
        <v>175451863</v>
      </c>
      <c r="B782" s="1">
        <v>44918</v>
      </c>
      <c r="C782" s="1">
        <v>45005</v>
      </c>
      <c r="D782" t="s">
        <v>7</v>
      </c>
      <c r="E782">
        <v>39</v>
      </c>
      <c r="F782" t="s">
        <v>6</v>
      </c>
      <c r="G782">
        <f t="shared" si="30"/>
        <v>87</v>
      </c>
      <c r="H782" s="1" t="str">
        <f t="shared" si="31"/>
        <v>Friday</v>
      </c>
    </row>
    <row r="783" spans="1:8" x14ac:dyDescent="0.3">
      <c r="A783">
        <v>174752844</v>
      </c>
      <c r="B783" s="1">
        <v>44918</v>
      </c>
      <c r="C783" s="1">
        <v>44956</v>
      </c>
      <c r="D783" t="s">
        <v>7</v>
      </c>
      <c r="E783">
        <v>39</v>
      </c>
      <c r="F783" t="s">
        <v>6</v>
      </c>
      <c r="G783">
        <f t="shared" si="30"/>
        <v>38</v>
      </c>
      <c r="H783" s="1" t="str">
        <f t="shared" si="31"/>
        <v>Friday</v>
      </c>
    </row>
    <row r="784" spans="1:8" x14ac:dyDescent="0.3">
      <c r="A784">
        <v>175431141</v>
      </c>
      <c r="B784" s="1">
        <v>44919</v>
      </c>
      <c r="C784" t="s">
        <v>19</v>
      </c>
      <c r="D784" t="s">
        <v>7</v>
      </c>
      <c r="E784">
        <v>39</v>
      </c>
      <c r="F784" t="s">
        <v>6</v>
      </c>
      <c r="G784" t="str">
        <f t="shared" si="30"/>
        <v>Active</v>
      </c>
      <c r="H784" s="1" t="str">
        <f t="shared" si="31"/>
        <v>Saturday</v>
      </c>
    </row>
    <row r="785" spans="1:8" x14ac:dyDescent="0.3">
      <c r="A785">
        <v>132228678</v>
      </c>
      <c r="B785" s="1">
        <v>44919</v>
      </c>
      <c r="C785" s="1">
        <v>44919</v>
      </c>
      <c r="D785" t="s">
        <v>7</v>
      </c>
      <c r="E785">
        <v>39</v>
      </c>
      <c r="F785" t="s">
        <v>6</v>
      </c>
      <c r="G785">
        <f t="shared" si="30"/>
        <v>0</v>
      </c>
      <c r="H785" s="1" t="str">
        <f t="shared" si="31"/>
        <v>Saturday</v>
      </c>
    </row>
    <row r="786" spans="1:8" x14ac:dyDescent="0.3">
      <c r="A786">
        <v>161151062</v>
      </c>
      <c r="B786" s="1">
        <v>44919</v>
      </c>
      <c r="C786" s="1">
        <v>45035</v>
      </c>
      <c r="D786" t="s">
        <v>7</v>
      </c>
      <c r="E786">
        <v>39</v>
      </c>
      <c r="F786" t="s">
        <v>6</v>
      </c>
      <c r="G786">
        <f t="shared" si="30"/>
        <v>116</v>
      </c>
      <c r="H786" s="1" t="str">
        <f t="shared" si="31"/>
        <v>Saturday</v>
      </c>
    </row>
    <row r="787" spans="1:8" x14ac:dyDescent="0.3">
      <c r="A787">
        <v>167653319</v>
      </c>
      <c r="B787" s="1">
        <v>44919</v>
      </c>
      <c r="C787" s="1">
        <v>44998</v>
      </c>
      <c r="D787" t="s">
        <v>7</v>
      </c>
      <c r="E787">
        <v>39</v>
      </c>
      <c r="F787" t="s">
        <v>6</v>
      </c>
      <c r="G787">
        <f t="shared" si="30"/>
        <v>79</v>
      </c>
      <c r="H787" s="1" t="str">
        <f t="shared" si="31"/>
        <v>Saturday</v>
      </c>
    </row>
    <row r="788" spans="1:8" x14ac:dyDescent="0.3">
      <c r="A788">
        <v>171659515</v>
      </c>
      <c r="B788" s="1">
        <v>44919</v>
      </c>
      <c r="C788" s="1">
        <v>44949</v>
      </c>
      <c r="D788" t="s">
        <v>7</v>
      </c>
      <c r="E788">
        <v>39</v>
      </c>
      <c r="F788" t="s">
        <v>6</v>
      </c>
      <c r="G788">
        <f t="shared" si="30"/>
        <v>30</v>
      </c>
      <c r="H788" s="1" t="str">
        <f t="shared" si="31"/>
        <v>Saturday</v>
      </c>
    </row>
    <row r="789" spans="1:8" x14ac:dyDescent="0.3">
      <c r="A789">
        <v>175720159</v>
      </c>
      <c r="B789" s="1">
        <v>44919</v>
      </c>
      <c r="C789" s="1">
        <v>44935</v>
      </c>
      <c r="D789" t="s">
        <v>7</v>
      </c>
      <c r="E789">
        <v>39</v>
      </c>
      <c r="F789" t="s">
        <v>6</v>
      </c>
      <c r="G789">
        <f t="shared" si="30"/>
        <v>16</v>
      </c>
      <c r="H789" s="1" t="str">
        <f t="shared" si="31"/>
        <v>Saturday</v>
      </c>
    </row>
    <row r="790" spans="1:8" x14ac:dyDescent="0.3">
      <c r="A790">
        <v>170593141</v>
      </c>
      <c r="B790" s="1">
        <v>44919</v>
      </c>
      <c r="C790" s="1">
        <v>44934</v>
      </c>
      <c r="D790" t="s">
        <v>7</v>
      </c>
      <c r="E790">
        <v>39</v>
      </c>
      <c r="F790" t="s">
        <v>6</v>
      </c>
      <c r="G790">
        <f t="shared" si="30"/>
        <v>15</v>
      </c>
      <c r="H790" s="1" t="str">
        <f t="shared" si="31"/>
        <v>Saturday</v>
      </c>
    </row>
    <row r="791" spans="1:8" x14ac:dyDescent="0.3">
      <c r="A791">
        <v>173981170</v>
      </c>
      <c r="B791" s="1">
        <v>44919</v>
      </c>
      <c r="C791" s="1">
        <v>44920</v>
      </c>
      <c r="D791" t="s">
        <v>7</v>
      </c>
      <c r="E791">
        <v>39</v>
      </c>
      <c r="F791" t="s">
        <v>6</v>
      </c>
      <c r="G791">
        <f t="shared" si="30"/>
        <v>1</v>
      </c>
      <c r="H791" s="1" t="str">
        <f t="shared" si="31"/>
        <v>Saturday</v>
      </c>
    </row>
    <row r="792" spans="1:8" x14ac:dyDescent="0.3">
      <c r="A792">
        <v>175166391</v>
      </c>
      <c r="B792" s="1">
        <v>44920</v>
      </c>
      <c r="C792" t="s">
        <v>19</v>
      </c>
      <c r="D792" t="s">
        <v>7</v>
      </c>
      <c r="E792">
        <v>39</v>
      </c>
      <c r="F792" t="s">
        <v>6</v>
      </c>
      <c r="G792" t="str">
        <f t="shared" si="30"/>
        <v>Active</v>
      </c>
      <c r="H792" s="1" t="str">
        <f t="shared" si="31"/>
        <v>Sunday</v>
      </c>
    </row>
    <row r="793" spans="1:8" x14ac:dyDescent="0.3">
      <c r="A793">
        <v>161175048</v>
      </c>
      <c r="B793" s="1">
        <v>44920</v>
      </c>
      <c r="C793" s="1">
        <v>44979</v>
      </c>
      <c r="D793" t="s">
        <v>7</v>
      </c>
      <c r="E793">
        <v>39</v>
      </c>
      <c r="F793" t="s">
        <v>6</v>
      </c>
      <c r="G793">
        <f t="shared" si="30"/>
        <v>59</v>
      </c>
      <c r="H793" s="1" t="str">
        <f t="shared" si="31"/>
        <v>Sunday</v>
      </c>
    </row>
    <row r="794" spans="1:8" x14ac:dyDescent="0.3">
      <c r="A794">
        <v>164254865</v>
      </c>
      <c r="B794" s="1">
        <v>44920</v>
      </c>
      <c r="C794" s="1">
        <v>44950</v>
      </c>
      <c r="D794" t="s">
        <v>7</v>
      </c>
      <c r="E794">
        <v>39</v>
      </c>
      <c r="F794" t="s">
        <v>6</v>
      </c>
      <c r="G794">
        <f t="shared" si="30"/>
        <v>30</v>
      </c>
      <c r="H794" s="1" t="str">
        <f t="shared" si="31"/>
        <v>Sunday</v>
      </c>
    </row>
    <row r="795" spans="1:8" x14ac:dyDescent="0.3">
      <c r="A795">
        <v>143248615</v>
      </c>
      <c r="B795" s="1">
        <v>44921</v>
      </c>
      <c r="C795" t="s">
        <v>19</v>
      </c>
      <c r="D795" t="s">
        <v>7</v>
      </c>
      <c r="E795">
        <v>39</v>
      </c>
      <c r="F795" t="s">
        <v>6</v>
      </c>
      <c r="G795" t="str">
        <f t="shared" si="30"/>
        <v>Active</v>
      </c>
      <c r="H795" s="1" t="str">
        <f t="shared" si="31"/>
        <v>Monday</v>
      </c>
    </row>
    <row r="796" spans="1:8" x14ac:dyDescent="0.3">
      <c r="A796">
        <v>176032070</v>
      </c>
      <c r="B796" s="1">
        <v>44921</v>
      </c>
      <c r="C796" s="1">
        <v>44940</v>
      </c>
      <c r="D796" t="s">
        <v>7</v>
      </c>
      <c r="E796">
        <v>39</v>
      </c>
      <c r="F796" t="s">
        <v>6</v>
      </c>
      <c r="G796">
        <f t="shared" si="30"/>
        <v>19</v>
      </c>
      <c r="H796" s="1" t="str">
        <f t="shared" si="31"/>
        <v>Monday</v>
      </c>
    </row>
    <row r="797" spans="1:8" x14ac:dyDescent="0.3">
      <c r="A797">
        <v>174132333</v>
      </c>
      <c r="B797" s="1">
        <v>44922</v>
      </c>
      <c r="C797" t="s">
        <v>19</v>
      </c>
      <c r="D797" t="s">
        <v>7</v>
      </c>
      <c r="E797">
        <v>39</v>
      </c>
      <c r="F797" t="s">
        <v>6</v>
      </c>
      <c r="G797" t="str">
        <f t="shared" si="30"/>
        <v>Active</v>
      </c>
      <c r="H797" s="1" t="str">
        <f t="shared" si="31"/>
        <v>Tuesday</v>
      </c>
    </row>
    <row r="798" spans="1:8" x14ac:dyDescent="0.3">
      <c r="A798">
        <v>177051147</v>
      </c>
      <c r="B798" s="1">
        <v>44922</v>
      </c>
      <c r="C798" s="1">
        <v>44923</v>
      </c>
      <c r="D798" t="s">
        <v>7</v>
      </c>
      <c r="E798">
        <v>39</v>
      </c>
      <c r="F798" t="s">
        <v>6</v>
      </c>
      <c r="G798">
        <f t="shared" si="30"/>
        <v>1</v>
      </c>
      <c r="H798" s="1" t="str">
        <f t="shared" si="31"/>
        <v>Tuesday</v>
      </c>
    </row>
    <row r="799" spans="1:8" x14ac:dyDescent="0.3">
      <c r="A799">
        <v>176571319</v>
      </c>
      <c r="B799" s="1">
        <v>44922</v>
      </c>
      <c r="C799" s="1">
        <v>45017</v>
      </c>
      <c r="D799" t="s">
        <v>7</v>
      </c>
      <c r="E799">
        <v>39</v>
      </c>
      <c r="F799" t="s">
        <v>6</v>
      </c>
      <c r="G799">
        <f t="shared" si="30"/>
        <v>95</v>
      </c>
      <c r="H799" s="1" t="str">
        <f t="shared" si="31"/>
        <v>Tuesday</v>
      </c>
    </row>
    <row r="800" spans="1:8" x14ac:dyDescent="0.3">
      <c r="A800">
        <v>166932902</v>
      </c>
      <c r="B800" s="1">
        <v>44922</v>
      </c>
      <c r="C800" s="1">
        <v>44991</v>
      </c>
      <c r="D800" t="s">
        <v>7</v>
      </c>
      <c r="E800">
        <v>39</v>
      </c>
      <c r="F800" t="s">
        <v>6</v>
      </c>
      <c r="G800">
        <f t="shared" si="30"/>
        <v>69</v>
      </c>
      <c r="H800" s="1" t="str">
        <f t="shared" si="31"/>
        <v>Tuesday</v>
      </c>
    </row>
    <row r="801" spans="1:8" x14ac:dyDescent="0.3">
      <c r="A801">
        <v>175851244</v>
      </c>
      <c r="B801" s="1">
        <v>44922</v>
      </c>
      <c r="C801" s="1">
        <v>44960</v>
      </c>
      <c r="D801" t="s">
        <v>7</v>
      </c>
      <c r="E801">
        <v>39</v>
      </c>
      <c r="F801" t="s">
        <v>6</v>
      </c>
      <c r="G801">
        <f t="shared" si="30"/>
        <v>38</v>
      </c>
      <c r="H801" s="1" t="str">
        <f t="shared" si="31"/>
        <v>Tuesday</v>
      </c>
    </row>
    <row r="802" spans="1:8" x14ac:dyDescent="0.3">
      <c r="A802">
        <v>155613371</v>
      </c>
      <c r="B802" s="1">
        <v>44922</v>
      </c>
      <c r="C802" s="1">
        <v>44960</v>
      </c>
      <c r="D802" t="s">
        <v>7</v>
      </c>
      <c r="E802">
        <v>39</v>
      </c>
      <c r="F802" t="s">
        <v>6</v>
      </c>
      <c r="G802">
        <f t="shared" si="30"/>
        <v>38</v>
      </c>
      <c r="H802" s="1" t="str">
        <f t="shared" si="31"/>
        <v>Tuesday</v>
      </c>
    </row>
    <row r="803" spans="1:8" x14ac:dyDescent="0.3">
      <c r="A803">
        <v>167678290</v>
      </c>
      <c r="B803" s="1">
        <v>44922</v>
      </c>
      <c r="C803" s="1">
        <v>44953</v>
      </c>
      <c r="D803" t="s">
        <v>7</v>
      </c>
      <c r="E803">
        <v>39</v>
      </c>
      <c r="F803" t="s">
        <v>6</v>
      </c>
      <c r="G803">
        <f t="shared" si="30"/>
        <v>31</v>
      </c>
      <c r="H803" s="1" t="str">
        <f t="shared" si="31"/>
        <v>Tuesday</v>
      </c>
    </row>
    <row r="804" spans="1:8" x14ac:dyDescent="0.3">
      <c r="A804">
        <v>176995917</v>
      </c>
      <c r="B804" s="1">
        <v>44922</v>
      </c>
      <c r="C804" s="1">
        <v>45106</v>
      </c>
      <c r="D804" t="s">
        <v>7</v>
      </c>
      <c r="E804">
        <v>39</v>
      </c>
      <c r="F804" t="s">
        <v>6</v>
      </c>
      <c r="G804">
        <f t="shared" si="30"/>
        <v>184</v>
      </c>
      <c r="H804" s="1" t="str">
        <f t="shared" si="31"/>
        <v>Tuesday</v>
      </c>
    </row>
    <row r="805" spans="1:8" x14ac:dyDescent="0.3">
      <c r="A805">
        <v>161187523</v>
      </c>
      <c r="B805" s="1">
        <v>44922</v>
      </c>
      <c r="C805" s="1">
        <v>45126</v>
      </c>
      <c r="D805" t="s">
        <v>7</v>
      </c>
      <c r="E805">
        <v>39</v>
      </c>
      <c r="F805" t="s">
        <v>6</v>
      </c>
      <c r="G805">
        <f t="shared" si="30"/>
        <v>204</v>
      </c>
      <c r="H805" s="1" t="str">
        <f t="shared" si="31"/>
        <v>Tuesday</v>
      </c>
    </row>
    <row r="806" spans="1:8" x14ac:dyDescent="0.3">
      <c r="A806">
        <v>175884318</v>
      </c>
      <c r="B806" s="1">
        <v>44923</v>
      </c>
      <c r="C806" s="1">
        <v>44940</v>
      </c>
      <c r="D806" t="s">
        <v>7</v>
      </c>
      <c r="E806">
        <v>39</v>
      </c>
      <c r="F806" t="s">
        <v>6</v>
      </c>
      <c r="G806">
        <f t="shared" si="30"/>
        <v>17</v>
      </c>
      <c r="H806" s="1" t="str">
        <f t="shared" si="31"/>
        <v>Wednesday</v>
      </c>
    </row>
    <row r="807" spans="1:8" x14ac:dyDescent="0.3">
      <c r="A807">
        <v>173911972</v>
      </c>
      <c r="B807" s="1">
        <v>44923</v>
      </c>
      <c r="C807" s="1">
        <v>45040</v>
      </c>
      <c r="D807" t="s">
        <v>7</v>
      </c>
      <c r="E807">
        <v>39</v>
      </c>
      <c r="F807" t="s">
        <v>6</v>
      </c>
      <c r="G807">
        <f t="shared" si="30"/>
        <v>117</v>
      </c>
      <c r="H807" s="1" t="str">
        <f t="shared" si="31"/>
        <v>Wednesday</v>
      </c>
    </row>
    <row r="808" spans="1:8" x14ac:dyDescent="0.3">
      <c r="A808">
        <v>177696301</v>
      </c>
      <c r="B808" s="1">
        <v>44923</v>
      </c>
      <c r="C808" s="1">
        <v>45073</v>
      </c>
      <c r="D808" t="s">
        <v>7</v>
      </c>
      <c r="E808">
        <v>39</v>
      </c>
      <c r="F808" t="s">
        <v>6</v>
      </c>
      <c r="G808">
        <f t="shared" si="30"/>
        <v>150</v>
      </c>
      <c r="H808" s="1" t="str">
        <f t="shared" si="31"/>
        <v>Wednesday</v>
      </c>
    </row>
    <row r="809" spans="1:8" x14ac:dyDescent="0.3">
      <c r="A809">
        <v>165744582</v>
      </c>
      <c r="B809" s="1">
        <v>44923</v>
      </c>
      <c r="C809" s="1">
        <v>44969</v>
      </c>
      <c r="D809" t="s">
        <v>7</v>
      </c>
      <c r="E809">
        <v>39</v>
      </c>
      <c r="F809" t="s">
        <v>6</v>
      </c>
      <c r="G809">
        <f t="shared" si="30"/>
        <v>46</v>
      </c>
      <c r="H809" s="1" t="str">
        <f t="shared" si="31"/>
        <v>Wednesday</v>
      </c>
    </row>
    <row r="810" spans="1:8" x14ac:dyDescent="0.3">
      <c r="A810">
        <v>177323966</v>
      </c>
      <c r="B810" s="1">
        <v>44923</v>
      </c>
      <c r="C810" s="1">
        <v>44923</v>
      </c>
      <c r="D810" t="s">
        <v>7</v>
      </c>
      <c r="E810">
        <v>39</v>
      </c>
      <c r="F810" t="s">
        <v>6</v>
      </c>
      <c r="G810">
        <f t="shared" si="30"/>
        <v>0</v>
      </c>
      <c r="H810" s="1" t="str">
        <f t="shared" si="31"/>
        <v>Wednesday</v>
      </c>
    </row>
    <row r="811" spans="1:8" x14ac:dyDescent="0.3">
      <c r="A811">
        <v>178355844</v>
      </c>
      <c r="B811" s="1">
        <v>44924</v>
      </c>
      <c r="C811" t="s">
        <v>19</v>
      </c>
      <c r="D811" t="s">
        <v>7</v>
      </c>
      <c r="E811">
        <v>39</v>
      </c>
      <c r="F811" t="s">
        <v>6</v>
      </c>
      <c r="G811" t="str">
        <f t="shared" si="30"/>
        <v>Active</v>
      </c>
      <c r="H811" s="1" t="str">
        <f t="shared" si="31"/>
        <v>Thursday</v>
      </c>
    </row>
    <row r="812" spans="1:8" x14ac:dyDescent="0.3">
      <c r="A812">
        <v>176989743</v>
      </c>
      <c r="B812" s="1">
        <v>44924</v>
      </c>
      <c r="C812" t="s">
        <v>19</v>
      </c>
      <c r="D812" t="s">
        <v>7</v>
      </c>
      <c r="E812">
        <v>39</v>
      </c>
      <c r="F812" t="s">
        <v>6</v>
      </c>
      <c r="G812" t="str">
        <f t="shared" si="30"/>
        <v>Active</v>
      </c>
      <c r="H812" s="1" t="str">
        <f t="shared" si="31"/>
        <v>Thursday</v>
      </c>
    </row>
    <row r="813" spans="1:8" x14ac:dyDescent="0.3">
      <c r="A813">
        <v>177971827</v>
      </c>
      <c r="B813" s="1">
        <v>44924</v>
      </c>
      <c r="C813" t="s">
        <v>19</v>
      </c>
      <c r="D813" t="s">
        <v>7</v>
      </c>
      <c r="E813">
        <v>39</v>
      </c>
      <c r="F813" t="s">
        <v>6</v>
      </c>
      <c r="G813" t="str">
        <f t="shared" si="30"/>
        <v>Active</v>
      </c>
      <c r="H813" s="1" t="str">
        <f t="shared" si="31"/>
        <v>Thursday</v>
      </c>
    </row>
    <row r="814" spans="1:8" x14ac:dyDescent="0.3">
      <c r="A814">
        <v>131147038</v>
      </c>
      <c r="B814" s="1">
        <v>44924</v>
      </c>
      <c r="C814" s="1">
        <v>44970</v>
      </c>
      <c r="D814" t="s">
        <v>7</v>
      </c>
      <c r="E814">
        <v>39</v>
      </c>
      <c r="F814" t="s">
        <v>6</v>
      </c>
      <c r="G814">
        <f t="shared" si="30"/>
        <v>46</v>
      </c>
      <c r="H814" s="1" t="str">
        <f t="shared" si="31"/>
        <v>Thursday</v>
      </c>
    </row>
    <row r="815" spans="1:8" x14ac:dyDescent="0.3">
      <c r="A815">
        <v>152142457</v>
      </c>
      <c r="B815" s="1">
        <v>44924</v>
      </c>
      <c r="C815" s="1">
        <v>44969</v>
      </c>
      <c r="D815" t="s">
        <v>7</v>
      </c>
      <c r="E815">
        <v>39</v>
      </c>
      <c r="F815" t="s">
        <v>6</v>
      </c>
      <c r="G815">
        <f t="shared" si="30"/>
        <v>45</v>
      </c>
      <c r="H815" s="1" t="str">
        <f t="shared" si="31"/>
        <v>Thursday</v>
      </c>
    </row>
    <row r="816" spans="1:8" x14ac:dyDescent="0.3">
      <c r="A816">
        <v>174293226</v>
      </c>
      <c r="B816" s="1">
        <v>44924</v>
      </c>
      <c r="C816" s="1">
        <v>45083</v>
      </c>
      <c r="D816" t="s">
        <v>7</v>
      </c>
      <c r="E816">
        <v>39</v>
      </c>
      <c r="F816" t="s">
        <v>6</v>
      </c>
      <c r="G816">
        <f t="shared" si="30"/>
        <v>159</v>
      </c>
      <c r="H816" s="1" t="str">
        <f t="shared" si="31"/>
        <v>Thursday</v>
      </c>
    </row>
    <row r="817" spans="1:8" x14ac:dyDescent="0.3">
      <c r="A817">
        <v>177051147</v>
      </c>
      <c r="B817" s="1">
        <v>44924</v>
      </c>
      <c r="C817" s="1">
        <v>45012</v>
      </c>
      <c r="D817" t="s">
        <v>7</v>
      </c>
      <c r="E817">
        <v>39</v>
      </c>
      <c r="F817" t="s">
        <v>6</v>
      </c>
      <c r="G817">
        <f t="shared" si="30"/>
        <v>88</v>
      </c>
      <c r="H817" s="1" t="str">
        <f t="shared" si="31"/>
        <v>Thursday</v>
      </c>
    </row>
    <row r="818" spans="1:8" x14ac:dyDescent="0.3">
      <c r="A818">
        <v>177963240</v>
      </c>
      <c r="B818" s="1">
        <v>44924</v>
      </c>
      <c r="C818" s="1">
        <v>44953</v>
      </c>
      <c r="D818" t="s">
        <v>7</v>
      </c>
      <c r="E818">
        <v>39</v>
      </c>
      <c r="F818" t="s">
        <v>6</v>
      </c>
      <c r="G818">
        <f t="shared" si="30"/>
        <v>29</v>
      </c>
      <c r="H818" s="1" t="str">
        <f t="shared" si="31"/>
        <v>Thursday</v>
      </c>
    </row>
    <row r="819" spans="1:8" x14ac:dyDescent="0.3">
      <c r="A819">
        <v>176639972</v>
      </c>
      <c r="B819" s="1">
        <v>44924</v>
      </c>
      <c r="C819" s="1">
        <v>44954</v>
      </c>
      <c r="D819" t="s">
        <v>7</v>
      </c>
      <c r="E819">
        <v>39</v>
      </c>
      <c r="F819" t="s">
        <v>6</v>
      </c>
      <c r="G819">
        <f t="shared" si="30"/>
        <v>30</v>
      </c>
      <c r="H819" s="1" t="str">
        <f t="shared" si="31"/>
        <v>Thursday</v>
      </c>
    </row>
    <row r="820" spans="1:8" x14ac:dyDescent="0.3">
      <c r="A820">
        <v>175818000</v>
      </c>
      <c r="B820" s="1">
        <v>44925</v>
      </c>
      <c r="C820" s="1">
        <v>45086</v>
      </c>
      <c r="D820" t="s">
        <v>7</v>
      </c>
      <c r="E820">
        <v>39</v>
      </c>
      <c r="F820" t="s">
        <v>6</v>
      </c>
      <c r="G820">
        <f t="shared" si="30"/>
        <v>161</v>
      </c>
      <c r="H820" s="1" t="str">
        <f t="shared" si="31"/>
        <v>Friday</v>
      </c>
    </row>
    <row r="821" spans="1:8" x14ac:dyDescent="0.3">
      <c r="A821">
        <v>117856836</v>
      </c>
      <c r="B821" s="1">
        <v>44925</v>
      </c>
      <c r="C821" s="1">
        <v>44959</v>
      </c>
      <c r="D821" t="s">
        <v>7</v>
      </c>
      <c r="E821">
        <v>39</v>
      </c>
      <c r="F821" t="s">
        <v>6</v>
      </c>
      <c r="G821">
        <f t="shared" si="30"/>
        <v>34</v>
      </c>
      <c r="H821" s="1" t="str">
        <f t="shared" si="31"/>
        <v>Friday</v>
      </c>
    </row>
    <row r="822" spans="1:8" x14ac:dyDescent="0.3">
      <c r="A822">
        <v>177266058</v>
      </c>
      <c r="B822" s="1">
        <v>44925</v>
      </c>
      <c r="C822" s="1">
        <v>45022</v>
      </c>
      <c r="D822" t="s">
        <v>7</v>
      </c>
      <c r="E822">
        <v>39</v>
      </c>
      <c r="F822" t="s">
        <v>6</v>
      </c>
      <c r="G822">
        <f t="shared" si="30"/>
        <v>97</v>
      </c>
      <c r="H822" s="1" t="str">
        <f t="shared" si="31"/>
        <v>Friday</v>
      </c>
    </row>
    <row r="823" spans="1:8" x14ac:dyDescent="0.3">
      <c r="A823">
        <v>174203866</v>
      </c>
      <c r="B823" s="1">
        <v>44925</v>
      </c>
      <c r="C823" s="1">
        <v>44985</v>
      </c>
      <c r="D823" t="s">
        <v>7</v>
      </c>
      <c r="E823">
        <v>39</v>
      </c>
      <c r="F823" t="s">
        <v>6</v>
      </c>
      <c r="G823">
        <f t="shared" si="30"/>
        <v>60</v>
      </c>
      <c r="H823" s="1" t="str">
        <f t="shared" si="31"/>
        <v>Friday</v>
      </c>
    </row>
    <row r="824" spans="1:8" x14ac:dyDescent="0.3">
      <c r="A824">
        <v>174991614</v>
      </c>
      <c r="B824" s="1">
        <v>44925</v>
      </c>
      <c r="C824" s="1">
        <v>44956</v>
      </c>
      <c r="D824" t="s">
        <v>7</v>
      </c>
      <c r="E824">
        <v>39</v>
      </c>
      <c r="F824" t="s">
        <v>6</v>
      </c>
      <c r="G824">
        <f t="shared" si="30"/>
        <v>31</v>
      </c>
      <c r="H824" s="1" t="str">
        <f t="shared" si="31"/>
        <v>Friday</v>
      </c>
    </row>
    <row r="825" spans="1:8" x14ac:dyDescent="0.3">
      <c r="A825">
        <v>175354348</v>
      </c>
      <c r="B825" s="1">
        <v>44925</v>
      </c>
      <c r="C825" s="1">
        <v>44947</v>
      </c>
      <c r="D825" t="s">
        <v>7</v>
      </c>
      <c r="E825">
        <v>39</v>
      </c>
      <c r="F825" t="s">
        <v>6</v>
      </c>
      <c r="G825">
        <f t="shared" si="30"/>
        <v>22</v>
      </c>
      <c r="H825" s="1" t="str">
        <f t="shared" si="31"/>
        <v>Friday</v>
      </c>
    </row>
    <row r="826" spans="1:8" x14ac:dyDescent="0.3">
      <c r="A826">
        <v>176573512</v>
      </c>
      <c r="B826" s="1">
        <v>44925</v>
      </c>
      <c r="C826" s="1">
        <v>45110</v>
      </c>
      <c r="D826" t="s">
        <v>7</v>
      </c>
      <c r="E826">
        <v>39</v>
      </c>
      <c r="F826" t="s">
        <v>6</v>
      </c>
      <c r="G826">
        <f t="shared" si="30"/>
        <v>185</v>
      </c>
      <c r="H826" s="1" t="str">
        <f t="shared" si="31"/>
        <v>Friday</v>
      </c>
    </row>
    <row r="827" spans="1:8" x14ac:dyDescent="0.3">
      <c r="A827">
        <v>178379352</v>
      </c>
      <c r="B827" s="1">
        <v>44926</v>
      </c>
      <c r="C827" s="1">
        <v>44928</v>
      </c>
      <c r="D827" t="s">
        <v>7</v>
      </c>
      <c r="E827">
        <v>39</v>
      </c>
      <c r="F827" t="s">
        <v>6</v>
      </c>
      <c r="G827">
        <f t="shared" si="30"/>
        <v>2</v>
      </c>
      <c r="H827" s="1" t="str">
        <f t="shared" si="31"/>
        <v>Saturday</v>
      </c>
    </row>
    <row r="828" spans="1:8" x14ac:dyDescent="0.3">
      <c r="A828">
        <v>152980676</v>
      </c>
      <c r="B828" s="1">
        <v>44926</v>
      </c>
      <c r="C828" s="1">
        <v>44947</v>
      </c>
      <c r="D828" t="s">
        <v>7</v>
      </c>
      <c r="E828">
        <v>39</v>
      </c>
      <c r="F828" t="s">
        <v>6</v>
      </c>
      <c r="G828">
        <f t="shared" si="30"/>
        <v>21</v>
      </c>
      <c r="H828" s="1" t="str">
        <f t="shared" si="31"/>
        <v>Saturday</v>
      </c>
    </row>
    <row r="829" spans="1:8" x14ac:dyDescent="0.3">
      <c r="A829">
        <v>179551652</v>
      </c>
      <c r="B829" s="1">
        <v>44926</v>
      </c>
      <c r="C829" s="1">
        <v>45053</v>
      </c>
      <c r="D829" t="s">
        <v>7</v>
      </c>
      <c r="E829">
        <v>39</v>
      </c>
      <c r="F829" t="s">
        <v>6</v>
      </c>
      <c r="G829">
        <f t="shared" si="30"/>
        <v>127</v>
      </c>
      <c r="H829" s="1" t="str">
        <f t="shared" si="31"/>
        <v>Saturday</v>
      </c>
    </row>
    <row r="830" spans="1:8" x14ac:dyDescent="0.3">
      <c r="A830">
        <v>175899028</v>
      </c>
      <c r="B830" s="1">
        <v>44926</v>
      </c>
      <c r="C830" s="1">
        <v>45009</v>
      </c>
      <c r="D830" t="s">
        <v>7</v>
      </c>
      <c r="E830">
        <v>39</v>
      </c>
      <c r="F830" t="s">
        <v>6</v>
      </c>
      <c r="G830">
        <f t="shared" si="30"/>
        <v>83</v>
      </c>
      <c r="H830" s="1" t="str">
        <f t="shared" si="31"/>
        <v>Saturday</v>
      </c>
    </row>
    <row r="831" spans="1:8" x14ac:dyDescent="0.3">
      <c r="A831">
        <v>148427368</v>
      </c>
      <c r="B831" s="1">
        <v>44926</v>
      </c>
      <c r="C831" s="1">
        <v>44964</v>
      </c>
      <c r="D831" t="s">
        <v>7</v>
      </c>
      <c r="E831">
        <v>39</v>
      </c>
      <c r="F831" t="s">
        <v>6</v>
      </c>
      <c r="G831">
        <f t="shared" si="30"/>
        <v>38</v>
      </c>
      <c r="H831" s="1" t="str">
        <f t="shared" si="31"/>
        <v>Saturday</v>
      </c>
    </row>
    <row r="832" spans="1:8" x14ac:dyDescent="0.3">
      <c r="A832">
        <v>149335749</v>
      </c>
      <c r="B832" s="1">
        <v>44926</v>
      </c>
      <c r="C832" s="1">
        <v>44956</v>
      </c>
      <c r="D832" t="s">
        <v>7</v>
      </c>
      <c r="E832">
        <v>39</v>
      </c>
      <c r="F832" t="s">
        <v>6</v>
      </c>
      <c r="G832">
        <f t="shared" si="30"/>
        <v>30</v>
      </c>
      <c r="H832" s="1" t="str">
        <f t="shared" si="31"/>
        <v>Saturday</v>
      </c>
    </row>
    <row r="833" spans="1:8" x14ac:dyDescent="0.3">
      <c r="A833">
        <v>179395204</v>
      </c>
      <c r="B833" s="1">
        <v>44926</v>
      </c>
      <c r="C833" s="1">
        <v>44942</v>
      </c>
      <c r="D833" t="s">
        <v>7</v>
      </c>
      <c r="E833">
        <v>39</v>
      </c>
      <c r="F833" t="s">
        <v>6</v>
      </c>
      <c r="G833">
        <f t="shared" si="30"/>
        <v>16</v>
      </c>
      <c r="H833" s="1" t="str">
        <f t="shared" si="31"/>
        <v>Saturday</v>
      </c>
    </row>
    <row r="834" spans="1:8" x14ac:dyDescent="0.3">
      <c r="A834">
        <v>150870576</v>
      </c>
      <c r="B834" s="1">
        <v>44927</v>
      </c>
      <c r="C834" s="1">
        <v>45092</v>
      </c>
      <c r="D834" t="s">
        <v>7</v>
      </c>
      <c r="E834">
        <v>39</v>
      </c>
      <c r="F834" t="s">
        <v>6</v>
      </c>
      <c r="G834">
        <f t="shared" si="30"/>
        <v>165</v>
      </c>
      <c r="H834" s="1" t="str">
        <f t="shared" si="31"/>
        <v>Sunday</v>
      </c>
    </row>
    <row r="835" spans="1:8" x14ac:dyDescent="0.3">
      <c r="A835">
        <v>176200716</v>
      </c>
      <c r="B835" s="1">
        <v>44927</v>
      </c>
      <c r="C835" s="1">
        <v>45040</v>
      </c>
      <c r="D835" t="s">
        <v>7</v>
      </c>
      <c r="E835">
        <v>39</v>
      </c>
      <c r="F835" t="s">
        <v>6</v>
      </c>
      <c r="G835">
        <f t="shared" ref="G835:G898" si="32">IF(C835="Active","Active",C835-B835)</f>
        <v>113</v>
      </c>
      <c r="H835" s="1" t="str">
        <f t="shared" ref="H835:H898" si="33">TEXT(B835,"dddd")</f>
        <v>Sunday</v>
      </c>
    </row>
    <row r="836" spans="1:8" x14ac:dyDescent="0.3">
      <c r="A836">
        <v>178097351</v>
      </c>
      <c r="B836" s="1">
        <v>44927</v>
      </c>
      <c r="C836" s="1">
        <v>44965</v>
      </c>
      <c r="D836" t="s">
        <v>7</v>
      </c>
      <c r="E836">
        <v>39</v>
      </c>
      <c r="F836" t="s">
        <v>6</v>
      </c>
      <c r="G836">
        <f t="shared" si="32"/>
        <v>38</v>
      </c>
      <c r="H836" s="1" t="str">
        <f t="shared" si="33"/>
        <v>Sunday</v>
      </c>
    </row>
    <row r="837" spans="1:8" x14ac:dyDescent="0.3">
      <c r="A837">
        <v>177238262</v>
      </c>
      <c r="B837" s="1">
        <v>44928</v>
      </c>
      <c r="C837" t="s">
        <v>19</v>
      </c>
      <c r="D837" t="s">
        <v>7</v>
      </c>
      <c r="E837">
        <v>39</v>
      </c>
      <c r="F837" t="s">
        <v>6</v>
      </c>
      <c r="G837" t="str">
        <f t="shared" si="32"/>
        <v>Active</v>
      </c>
      <c r="H837" s="1" t="str">
        <f t="shared" si="33"/>
        <v>Monday</v>
      </c>
    </row>
    <row r="838" spans="1:8" x14ac:dyDescent="0.3">
      <c r="A838">
        <v>173131478</v>
      </c>
      <c r="B838" s="1">
        <v>44928</v>
      </c>
      <c r="C838" t="s">
        <v>19</v>
      </c>
      <c r="D838" t="s">
        <v>7</v>
      </c>
      <c r="E838">
        <v>39</v>
      </c>
      <c r="F838" t="s">
        <v>6</v>
      </c>
      <c r="G838" t="str">
        <f t="shared" si="32"/>
        <v>Active</v>
      </c>
      <c r="H838" s="1" t="str">
        <f t="shared" si="33"/>
        <v>Monday</v>
      </c>
    </row>
    <row r="839" spans="1:8" x14ac:dyDescent="0.3">
      <c r="A839">
        <v>180123121</v>
      </c>
      <c r="B839" s="1">
        <v>44928</v>
      </c>
      <c r="C839" s="1">
        <v>44928</v>
      </c>
      <c r="D839" t="s">
        <v>8</v>
      </c>
      <c r="E839">
        <v>39</v>
      </c>
      <c r="F839" t="s">
        <v>6</v>
      </c>
      <c r="G839">
        <f t="shared" si="32"/>
        <v>0</v>
      </c>
      <c r="H839" s="1" t="str">
        <f t="shared" si="33"/>
        <v>Monday</v>
      </c>
    </row>
    <row r="840" spans="1:8" x14ac:dyDescent="0.3">
      <c r="A840">
        <v>139136640</v>
      </c>
      <c r="B840" s="1">
        <v>44928</v>
      </c>
      <c r="C840" s="1">
        <v>44994</v>
      </c>
      <c r="D840" t="s">
        <v>7</v>
      </c>
      <c r="E840">
        <v>39</v>
      </c>
      <c r="F840" t="s">
        <v>6</v>
      </c>
      <c r="G840">
        <f t="shared" si="32"/>
        <v>66</v>
      </c>
      <c r="H840" s="1" t="str">
        <f t="shared" si="33"/>
        <v>Monday</v>
      </c>
    </row>
    <row r="841" spans="1:8" x14ac:dyDescent="0.3">
      <c r="A841">
        <v>172951272</v>
      </c>
      <c r="B841" s="1">
        <v>44928</v>
      </c>
      <c r="C841" s="1">
        <v>45052</v>
      </c>
      <c r="D841" t="s">
        <v>7</v>
      </c>
      <c r="E841">
        <v>39</v>
      </c>
      <c r="F841" t="s">
        <v>6</v>
      </c>
      <c r="G841">
        <f t="shared" si="32"/>
        <v>124</v>
      </c>
      <c r="H841" s="1" t="str">
        <f t="shared" si="33"/>
        <v>Monday</v>
      </c>
    </row>
    <row r="842" spans="1:8" x14ac:dyDescent="0.3">
      <c r="A842">
        <v>175473611</v>
      </c>
      <c r="B842" s="1">
        <v>44928</v>
      </c>
      <c r="C842" s="1">
        <v>45039</v>
      </c>
      <c r="D842" t="s">
        <v>7</v>
      </c>
      <c r="E842">
        <v>39</v>
      </c>
      <c r="F842" t="s">
        <v>6</v>
      </c>
      <c r="G842">
        <f t="shared" si="32"/>
        <v>111</v>
      </c>
      <c r="H842" s="1" t="str">
        <f t="shared" si="33"/>
        <v>Monday</v>
      </c>
    </row>
    <row r="843" spans="1:8" x14ac:dyDescent="0.3">
      <c r="A843">
        <v>170776130</v>
      </c>
      <c r="B843" s="1">
        <v>44928</v>
      </c>
      <c r="C843" s="1">
        <v>45034</v>
      </c>
      <c r="D843" t="s">
        <v>7</v>
      </c>
      <c r="E843">
        <v>39</v>
      </c>
      <c r="F843" t="s">
        <v>6</v>
      </c>
      <c r="G843">
        <f t="shared" si="32"/>
        <v>106</v>
      </c>
      <c r="H843" s="1" t="str">
        <f t="shared" si="33"/>
        <v>Monday</v>
      </c>
    </row>
    <row r="844" spans="1:8" x14ac:dyDescent="0.3">
      <c r="A844">
        <v>180558466</v>
      </c>
      <c r="B844" s="1">
        <v>44928</v>
      </c>
      <c r="C844" s="1">
        <v>45009</v>
      </c>
      <c r="D844" t="s">
        <v>7</v>
      </c>
      <c r="E844">
        <v>39</v>
      </c>
      <c r="F844" t="s">
        <v>6</v>
      </c>
      <c r="G844">
        <f t="shared" si="32"/>
        <v>81</v>
      </c>
      <c r="H844" s="1" t="str">
        <f t="shared" si="33"/>
        <v>Monday</v>
      </c>
    </row>
    <row r="845" spans="1:8" x14ac:dyDescent="0.3">
      <c r="A845">
        <v>171398636</v>
      </c>
      <c r="B845" s="1">
        <v>44928</v>
      </c>
      <c r="C845" s="1">
        <v>44995</v>
      </c>
      <c r="D845" t="s">
        <v>7</v>
      </c>
      <c r="E845">
        <v>39</v>
      </c>
      <c r="F845" t="s">
        <v>6</v>
      </c>
      <c r="G845">
        <f t="shared" si="32"/>
        <v>67</v>
      </c>
      <c r="H845" s="1" t="str">
        <f t="shared" si="33"/>
        <v>Monday</v>
      </c>
    </row>
    <row r="846" spans="1:8" x14ac:dyDescent="0.3">
      <c r="A846">
        <v>180424776</v>
      </c>
      <c r="B846" s="1">
        <v>44928</v>
      </c>
      <c r="C846" s="1">
        <v>45004</v>
      </c>
      <c r="D846" t="s">
        <v>7</v>
      </c>
      <c r="E846">
        <v>39</v>
      </c>
      <c r="F846" t="s">
        <v>6</v>
      </c>
      <c r="G846">
        <f t="shared" si="32"/>
        <v>76</v>
      </c>
      <c r="H846" s="1" t="str">
        <f t="shared" si="33"/>
        <v>Monday</v>
      </c>
    </row>
    <row r="847" spans="1:8" x14ac:dyDescent="0.3">
      <c r="A847">
        <v>180198528</v>
      </c>
      <c r="B847" s="1">
        <v>44928</v>
      </c>
      <c r="C847" s="1">
        <v>44966</v>
      </c>
      <c r="D847" t="s">
        <v>7</v>
      </c>
      <c r="E847">
        <v>39</v>
      </c>
      <c r="F847" t="s">
        <v>6</v>
      </c>
      <c r="G847">
        <f t="shared" si="32"/>
        <v>38</v>
      </c>
      <c r="H847" s="1" t="str">
        <f t="shared" si="33"/>
        <v>Monday</v>
      </c>
    </row>
    <row r="848" spans="1:8" x14ac:dyDescent="0.3">
      <c r="A848">
        <v>124634385</v>
      </c>
      <c r="B848" s="1">
        <v>44929</v>
      </c>
      <c r="C848" t="s">
        <v>19</v>
      </c>
      <c r="D848" t="s">
        <v>7</v>
      </c>
      <c r="E848">
        <v>39</v>
      </c>
      <c r="F848" t="s">
        <v>6</v>
      </c>
      <c r="G848" t="str">
        <f t="shared" si="32"/>
        <v>Active</v>
      </c>
      <c r="H848" s="1" t="str">
        <f t="shared" si="33"/>
        <v>Tuesday</v>
      </c>
    </row>
    <row r="849" spans="1:8" x14ac:dyDescent="0.3">
      <c r="A849">
        <v>180740092</v>
      </c>
      <c r="B849" s="1">
        <v>44929</v>
      </c>
      <c r="C849" t="s">
        <v>19</v>
      </c>
      <c r="D849" t="s">
        <v>7</v>
      </c>
      <c r="E849">
        <v>39</v>
      </c>
      <c r="F849" t="s">
        <v>6</v>
      </c>
      <c r="G849" t="str">
        <f t="shared" si="32"/>
        <v>Active</v>
      </c>
      <c r="H849" s="1" t="str">
        <f t="shared" si="33"/>
        <v>Tuesday</v>
      </c>
    </row>
    <row r="850" spans="1:8" x14ac:dyDescent="0.3">
      <c r="A850">
        <v>144385898</v>
      </c>
      <c r="B850" s="1">
        <v>44929</v>
      </c>
      <c r="C850" s="1">
        <v>45110</v>
      </c>
      <c r="D850" t="s">
        <v>7</v>
      </c>
      <c r="E850">
        <v>39</v>
      </c>
      <c r="F850" t="s">
        <v>6</v>
      </c>
      <c r="G850">
        <f t="shared" si="32"/>
        <v>181</v>
      </c>
      <c r="H850" s="1" t="str">
        <f t="shared" si="33"/>
        <v>Tuesday</v>
      </c>
    </row>
    <row r="851" spans="1:8" x14ac:dyDescent="0.3">
      <c r="A851">
        <v>175138132</v>
      </c>
      <c r="B851" s="1">
        <v>44929</v>
      </c>
      <c r="C851" s="1">
        <v>45039</v>
      </c>
      <c r="D851" t="s">
        <v>7</v>
      </c>
      <c r="E851">
        <v>39</v>
      </c>
      <c r="F851" t="s">
        <v>6</v>
      </c>
      <c r="G851">
        <f t="shared" si="32"/>
        <v>110</v>
      </c>
      <c r="H851" s="1" t="str">
        <f t="shared" si="33"/>
        <v>Tuesday</v>
      </c>
    </row>
    <row r="852" spans="1:8" x14ac:dyDescent="0.3">
      <c r="A852">
        <v>180968287</v>
      </c>
      <c r="B852" s="1">
        <v>44929</v>
      </c>
      <c r="C852" s="1">
        <v>45012</v>
      </c>
      <c r="D852" t="s">
        <v>7</v>
      </c>
      <c r="E852">
        <v>39</v>
      </c>
      <c r="F852" t="s">
        <v>6</v>
      </c>
      <c r="G852">
        <f t="shared" si="32"/>
        <v>83</v>
      </c>
      <c r="H852" s="1" t="str">
        <f t="shared" si="33"/>
        <v>Tuesday</v>
      </c>
    </row>
    <row r="853" spans="1:8" x14ac:dyDescent="0.3">
      <c r="A853">
        <v>180959934</v>
      </c>
      <c r="B853" s="1">
        <v>44929</v>
      </c>
      <c r="C853" s="1">
        <v>44993</v>
      </c>
      <c r="D853" t="s">
        <v>7</v>
      </c>
      <c r="E853">
        <v>39</v>
      </c>
      <c r="F853" t="s">
        <v>6</v>
      </c>
      <c r="G853">
        <f t="shared" si="32"/>
        <v>64</v>
      </c>
      <c r="H853" s="1" t="str">
        <f t="shared" si="33"/>
        <v>Tuesday</v>
      </c>
    </row>
    <row r="854" spans="1:8" x14ac:dyDescent="0.3">
      <c r="A854">
        <v>176445635</v>
      </c>
      <c r="B854" s="1">
        <v>44929</v>
      </c>
      <c r="C854" s="1">
        <v>44975</v>
      </c>
      <c r="D854" t="s">
        <v>7</v>
      </c>
      <c r="E854">
        <v>39</v>
      </c>
      <c r="F854" t="s">
        <v>6</v>
      </c>
      <c r="G854">
        <f t="shared" si="32"/>
        <v>46</v>
      </c>
      <c r="H854" s="1" t="str">
        <f t="shared" si="33"/>
        <v>Tuesday</v>
      </c>
    </row>
    <row r="855" spans="1:8" x14ac:dyDescent="0.3">
      <c r="A855">
        <v>180798046</v>
      </c>
      <c r="B855" s="1">
        <v>44929</v>
      </c>
      <c r="C855" s="1">
        <v>44957</v>
      </c>
      <c r="D855" t="s">
        <v>7</v>
      </c>
      <c r="E855">
        <v>39</v>
      </c>
      <c r="F855" t="s">
        <v>6</v>
      </c>
      <c r="G855">
        <f t="shared" si="32"/>
        <v>28</v>
      </c>
      <c r="H855" s="1" t="str">
        <f t="shared" si="33"/>
        <v>Tuesday</v>
      </c>
    </row>
    <row r="856" spans="1:8" x14ac:dyDescent="0.3">
      <c r="A856">
        <v>180718702</v>
      </c>
      <c r="B856" s="1">
        <v>44929</v>
      </c>
      <c r="C856" s="1">
        <v>44951</v>
      </c>
      <c r="D856" t="s">
        <v>7</v>
      </c>
      <c r="E856">
        <v>39</v>
      </c>
      <c r="F856" t="s">
        <v>6</v>
      </c>
      <c r="G856">
        <f t="shared" si="32"/>
        <v>22</v>
      </c>
      <c r="H856" s="1" t="str">
        <f t="shared" si="33"/>
        <v>Tuesday</v>
      </c>
    </row>
    <row r="857" spans="1:8" x14ac:dyDescent="0.3">
      <c r="A857">
        <v>181052392</v>
      </c>
      <c r="B857" s="1">
        <v>44929</v>
      </c>
      <c r="C857" s="1">
        <v>45161</v>
      </c>
      <c r="D857" t="s">
        <v>7</v>
      </c>
      <c r="E857">
        <v>39</v>
      </c>
      <c r="F857" t="s">
        <v>6</v>
      </c>
      <c r="G857">
        <f t="shared" si="32"/>
        <v>232</v>
      </c>
      <c r="H857" s="1" t="str">
        <f t="shared" si="33"/>
        <v>Tuesday</v>
      </c>
    </row>
    <row r="858" spans="1:8" x14ac:dyDescent="0.3">
      <c r="A858">
        <v>181717508</v>
      </c>
      <c r="B858" s="1">
        <v>44930</v>
      </c>
      <c r="C858" t="s">
        <v>19</v>
      </c>
      <c r="D858" t="s">
        <v>7</v>
      </c>
      <c r="E858">
        <v>39</v>
      </c>
      <c r="F858" t="s">
        <v>6</v>
      </c>
      <c r="G858" t="str">
        <f t="shared" si="32"/>
        <v>Active</v>
      </c>
      <c r="H858" s="1" t="str">
        <f t="shared" si="33"/>
        <v>Wednesday</v>
      </c>
    </row>
    <row r="859" spans="1:8" x14ac:dyDescent="0.3">
      <c r="A859">
        <v>163103592</v>
      </c>
      <c r="B859" s="1">
        <v>44930</v>
      </c>
      <c r="C859" s="1">
        <v>44931</v>
      </c>
      <c r="D859" t="s">
        <v>8</v>
      </c>
      <c r="E859">
        <v>39</v>
      </c>
      <c r="F859" t="s">
        <v>6</v>
      </c>
      <c r="G859">
        <f t="shared" si="32"/>
        <v>1</v>
      </c>
      <c r="H859" s="1" t="str">
        <f t="shared" si="33"/>
        <v>Wednesday</v>
      </c>
    </row>
    <row r="860" spans="1:8" x14ac:dyDescent="0.3">
      <c r="A860">
        <v>146860806</v>
      </c>
      <c r="B860" s="1">
        <v>44930</v>
      </c>
      <c r="C860" s="1">
        <v>44989</v>
      </c>
      <c r="D860" t="s">
        <v>7</v>
      </c>
      <c r="E860">
        <v>39</v>
      </c>
      <c r="F860" t="s">
        <v>6</v>
      </c>
      <c r="G860">
        <f t="shared" si="32"/>
        <v>59</v>
      </c>
      <c r="H860" s="1" t="str">
        <f t="shared" si="33"/>
        <v>Wednesday</v>
      </c>
    </row>
    <row r="861" spans="1:8" x14ac:dyDescent="0.3">
      <c r="A861">
        <v>160532210</v>
      </c>
      <c r="B861" s="1">
        <v>44930</v>
      </c>
      <c r="C861" s="1">
        <v>44969</v>
      </c>
      <c r="D861" t="s">
        <v>7</v>
      </c>
      <c r="E861">
        <v>39</v>
      </c>
      <c r="F861" t="s">
        <v>6</v>
      </c>
      <c r="G861">
        <f t="shared" si="32"/>
        <v>39</v>
      </c>
      <c r="H861" s="1" t="str">
        <f t="shared" si="33"/>
        <v>Wednesday</v>
      </c>
    </row>
    <row r="862" spans="1:8" x14ac:dyDescent="0.3">
      <c r="A862">
        <v>181003342</v>
      </c>
      <c r="B862" s="1">
        <v>44930</v>
      </c>
      <c r="C862" s="1">
        <v>44985</v>
      </c>
      <c r="D862" t="s">
        <v>7</v>
      </c>
      <c r="E862">
        <v>39</v>
      </c>
      <c r="F862" t="s">
        <v>6</v>
      </c>
      <c r="G862">
        <f t="shared" si="32"/>
        <v>55</v>
      </c>
      <c r="H862" s="1" t="str">
        <f t="shared" si="33"/>
        <v>Wednesday</v>
      </c>
    </row>
    <row r="863" spans="1:8" x14ac:dyDescent="0.3">
      <c r="A863">
        <v>178661698</v>
      </c>
      <c r="B863" s="1">
        <v>44930</v>
      </c>
      <c r="C863" s="1">
        <v>45118</v>
      </c>
      <c r="D863" t="s">
        <v>7</v>
      </c>
      <c r="E863">
        <v>39</v>
      </c>
      <c r="F863" t="s">
        <v>6</v>
      </c>
      <c r="G863">
        <f t="shared" si="32"/>
        <v>188</v>
      </c>
      <c r="H863" s="1" t="str">
        <f t="shared" si="33"/>
        <v>Wednesday</v>
      </c>
    </row>
    <row r="864" spans="1:8" x14ac:dyDescent="0.3">
      <c r="A864">
        <v>178928897</v>
      </c>
      <c r="B864" s="1">
        <v>44931</v>
      </c>
      <c r="C864" t="s">
        <v>19</v>
      </c>
      <c r="D864" t="s">
        <v>7</v>
      </c>
      <c r="E864">
        <v>39</v>
      </c>
      <c r="F864" t="s">
        <v>6</v>
      </c>
      <c r="G864" t="str">
        <f t="shared" si="32"/>
        <v>Active</v>
      </c>
      <c r="H864" s="1" t="str">
        <f t="shared" si="33"/>
        <v>Thursday</v>
      </c>
    </row>
    <row r="865" spans="1:8" x14ac:dyDescent="0.3">
      <c r="A865">
        <v>181840814</v>
      </c>
      <c r="B865" s="1">
        <v>44931</v>
      </c>
      <c r="C865" t="s">
        <v>19</v>
      </c>
      <c r="D865" t="s">
        <v>7</v>
      </c>
      <c r="E865">
        <v>39</v>
      </c>
      <c r="F865" t="s">
        <v>6</v>
      </c>
      <c r="G865" t="str">
        <f t="shared" si="32"/>
        <v>Active</v>
      </c>
      <c r="H865" s="1" t="str">
        <f t="shared" si="33"/>
        <v>Thursday</v>
      </c>
    </row>
    <row r="866" spans="1:8" x14ac:dyDescent="0.3">
      <c r="A866">
        <v>166930287</v>
      </c>
      <c r="B866" s="1">
        <v>44931</v>
      </c>
      <c r="C866" s="1">
        <v>44932</v>
      </c>
      <c r="D866" t="s">
        <v>8</v>
      </c>
      <c r="E866">
        <v>39</v>
      </c>
      <c r="F866" t="s">
        <v>6</v>
      </c>
      <c r="G866">
        <f t="shared" si="32"/>
        <v>1</v>
      </c>
      <c r="H866" s="1" t="str">
        <f t="shared" si="33"/>
        <v>Thursday</v>
      </c>
    </row>
    <row r="867" spans="1:8" x14ac:dyDescent="0.3">
      <c r="A867">
        <v>155956314</v>
      </c>
      <c r="B867" s="1">
        <v>44931</v>
      </c>
      <c r="C867" s="1">
        <v>44931</v>
      </c>
      <c r="D867" t="s">
        <v>8</v>
      </c>
      <c r="E867">
        <v>39</v>
      </c>
      <c r="F867" t="s">
        <v>6</v>
      </c>
      <c r="G867">
        <f t="shared" si="32"/>
        <v>0</v>
      </c>
      <c r="H867" s="1" t="str">
        <f t="shared" si="33"/>
        <v>Thursday</v>
      </c>
    </row>
    <row r="868" spans="1:8" x14ac:dyDescent="0.3">
      <c r="A868">
        <v>182408564</v>
      </c>
      <c r="B868" s="1">
        <v>44931</v>
      </c>
      <c r="C868" s="1">
        <v>45050</v>
      </c>
      <c r="D868" t="s">
        <v>7</v>
      </c>
      <c r="E868">
        <v>39</v>
      </c>
      <c r="F868" t="s">
        <v>6</v>
      </c>
      <c r="G868">
        <f t="shared" si="32"/>
        <v>119</v>
      </c>
      <c r="H868" s="1" t="str">
        <f t="shared" si="33"/>
        <v>Thursday</v>
      </c>
    </row>
    <row r="869" spans="1:8" x14ac:dyDescent="0.3">
      <c r="A869">
        <v>182295766</v>
      </c>
      <c r="B869" s="1">
        <v>44931</v>
      </c>
      <c r="C869" s="1">
        <v>44997</v>
      </c>
      <c r="D869" t="s">
        <v>7</v>
      </c>
      <c r="E869">
        <v>39</v>
      </c>
      <c r="F869" t="s">
        <v>6</v>
      </c>
      <c r="G869">
        <f t="shared" si="32"/>
        <v>66</v>
      </c>
      <c r="H869" s="1" t="str">
        <f t="shared" si="33"/>
        <v>Thursday</v>
      </c>
    </row>
    <row r="870" spans="1:8" x14ac:dyDescent="0.3">
      <c r="A870">
        <v>155881023</v>
      </c>
      <c r="B870" s="1">
        <v>44931</v>
      </c>
      <c r="C870" s="1">
        <v>44987</v>
      </c>
      <c r="D870" t="s">
        <v>7</v>
      </c>
      <c r="E870">
        <v>39</v>
      </c>
      <c r="F870" t="s">
        <v>6</v>
      </c>
      <c r="G870">
        <f t="shared" si="32"/>
        <v>56</v>
      </c>
      <c r="H870" s="1" t="str">
        <f t="shared" si="33"/>
        <v>Thursday</v>
      </c>
    </row>
    <row r="871" spans="1:8" x14ac:dyDescent="0.3">
      <c r="A871">
        <v>152750569</v>
      </c>
      <c r="B871" s="1">
        <v>44931</v>
      </c>
      <c r="C871" s="1">
        <v>44969</v>
      </c>
      <c r="D871" t="s">
        <v>7</v>
      </c>
      <c r="E871">
        <v>39</v>
      </c>
      <c r="F871" t="s">
        <v>6</v>
      </c>
      <c r="G871">
        <f t="shared" si="32"/>
        <v>38</v>
      </c>
      <c r="H871" s="1" t="str">
        <f t="shared" si="33"/>
        <v>Thursday</v>
      </c>
    </row>
    <row r="872" spans="1:8" x14ac:dyDescent="0.3">
      <c r="A872">
        <v>178345451</v>
      </c>
      <c r="B872" s="1">
        <v>44931</v>
      </c>
      <c r="C872" s="1">
        <v>44969</v>
      </c>
      <c r="D872" t="s">
        <v>7</v>
      </c>
      <c r="E872">
        <v>39</v>
      </c>
      <c r="F872" t="s">
        <v>6</v>
      </c>
      <c r="G872">
        <f t="shared" si="32"/>
        <v>38</v>
      </c>
      <c r="H872" s="1" t="str">
        <f t="shared" si="33"/>
        <v>Thursday</v>
      </c>
    </row>
    <row r="873" spans="1:8" x14ac:dyDescent="0.3">
      <c r="A873">
        <v>179758181</v>
      </c>
      <c r="B873" s="1">
        <v>44932</v>
      </c>
      <c r="C873" t="s">
        <v>19</v>
      </c>
      <c r="D873" t="s">
        <v>7</v>
      </c>
      <c r="E873">
        <v>39</v>
      </c>
      <c r="F873" t="s">
        <v>6</v>
      </c>
      <c r="G873" t="str">
        <f t="shared" si="32"/>
        <v>Active</v>
      </c>
      <c r="H873" s="1" t="str">
        <f t="shared" si="33"/>
        <v>Friday</v>
      </c>
    </row>
    <row r="874" spans="1:8" x14ac:dyDescent="0.3">
      <c r="A874">
        <v>167266048</v>
      </c>
      <c r="B874" s="1">
        <v>44932</v>
      </c>
      <c r="C874" t="s">
        <v>19</v>
      </c>
      <c r="D874" t="s">
        <v>7</v>
      </c>
      <c r="E874">
        <v>39</v>
      </c>
      <c r="F874" t="s">
        <v>6</v>
      </c>
      <c r="G874" t="str">
        <f t="shared" si="32"/>
        <v>Active</v>
      </c>
      <c r="H874" s="1" t="str">
        <f t="shared" si="33"/>
        <v>Friday</v>
      </c>
    </row>
    <row r="875" spans="1:8" x14ac:dyDescent="0.3">
      <c r="A875">
        <v>182719870</v>
      </c>
      <c r="B875" s="1">
        <v>44932</v>
      </c>
      <c r="C875" s="1">
        <v>45050</v>
      </c>
      <c r="D875" t="s">
        <v>7</v>
      </c>
      <c r="E875">
        <v>39</v>
      </c>
      <c r="F875" t="s">
        <v>6</v>
      </c>
      <c r="G875">
        <f t="shared" si="32"/>
        <v>118</v>
      </c>
      <c r="H875" s="1" t="str">
        <f t="shared" si="33"/>
        <v>Friday</v>
      </c>
    </row>
    <row r="876" spans="1:8" x14ac:dyDescent="0.3">
      <c r="A876">
        <v>182408430</v>
      </c>
      <c r="B876" s="1">
        <v>44932</v>
      </c>
      <c r="C876" s="1">
        <v>45056</v>
      </c>
      <c r="D876" t="s">
        <v>7</v>
      </c>
      <c r="E876">
        <v>39</v>
      </c>
      <c r="F876" t="s">
        <v>6</v>
      </c>
      <c r="G876">
        <f t="shared" si="32"/>
        <v>124</v>
      </c>
      <c r="H876" s="1" t="str">
        <f t="shared" si="33"/>
        <v>Friday</v>
      </c>
    </row>
    <row r="877" spans="1:8" x14ac:dyDescent="0.3">
      <c r="A877">
        <v>181072524</v>
      </c>
      <c r="B877" s="1">
        <v>44932</v>
      </c>
      <c r="C877" s="1">
        <v>45107</v>
      </c>
      <c r="D877" t="s">
        <v>7</v>
      </c>
      <c r="E877">
        <v>39</v>
      </c>
      <c r="F877" t="s">
        <v>6</v>
      </c>
      <c r="G877">
        <f t="shared" si="32"/>
        <v>175</v>
      </c>
      <c r="H877" s="1" t="str">
        <f t="shared" si="33"/>
        <v>Friday</v>
      </c>
    </row>
    <row r="878" spans="1:8" x14ac:dyDescent="0.3">
      <c r="A878">
        <v>182747824</v>
      </c>
      <c r="B878" s="1">
        <v>44932</v>
      </c>
      <c r="C878" s="1">
        <v>45029</v>
      </c>
      <c r="D878" t="s">
        <v>7</v>
      </c>
      <c r="E878">
        <v>39</v>
      </c>
      <c r="F878" t="s">
        <v>6</v>
      </c>
      <c r="G878">
        <f t="shared" si="32"/>
        <v>97</v>
      </c>
      <c r="H878" s="1" t="str">
        <f t="shared" si="33"/>
        <v>Friday</v>
      </c>
    </row>
    <row r="879" spans="1:8" x14ac:dyDescent="0.3">
      <c r="A879">
        <v>182700534</v>
      </c>
      <c r="B879" s="1">
        <v>44932</v>
      </c>
      <c r="C879" s="1">
        <v>45011</v>
      </c>
      <c r="D879" t="s">
        <v>7</v>
      </c>
      <c r="E879">
        <v>39</v>
      </c>
      <c r="F879" t="s">
        <v>6</v>
      </c>
      <c r="G879">
        <f t="shared" si="32"/>
        <v>79</v>
      </c>
      <c r="H879" s="1" t="str">
        <f t="shared" si="33"/>
        <v>Friday</v>
      </c>
    </row>
    <row r="880" spans="1:8" x14ac:dyDescent="0.3">
      <c r="A880">
        <v>182727349</v>
      </c>
      <c r="B880" s="1">
        <v>44932</v>
      </c>
      <c r="C880" s="1">
        <v>44963</v>
      </c>
      <c r="D880" t="s">
        <v>7</v>
      </c>
      <c r="E880">
        <v>39</v>
      </c>
      <c r="F880" t="s">
        <v>6</v>
      </c>
      <c r="G880">
        <f t="shared" si="32"/>
        <v>31</v>
      </c>
      <c r="H880" s="1" t="str">
        <f t="shared" si="33"/>
        <v>Friday</v>
      </c>
    </row>
    <row r="881" spans="1:8" x14ac:dyDescent="0.3">
      <c r="A881">
        <v>182636324</v>
      </c>
      <c r="B881" s="1">
        <v>44932</v>
      </c>
      <c r="C881" s="1">
        <v>44960</v>
      </c>
      <c r="D881" t="s">
        <v>7</v>
      </c>
      <c r="E881">
        <v>39</v>
      </c>
      <c r="F881" t="s">
        <v>6</v>
      </c>
      <c r="G881">
        <f t="shared" si="32"/>
        <v>28</v>
      </c>
      <c r="H881" s="1" t="str">
        <f t="shared" si="33"/>
        <v>Friday</v>
      </c>
    </row>
    <row r="882" spans="1:8" x14ac:dyDescent="0.3">
      <c r="A882">
        <v>170485769</v>
      </c>
      <c r="B882" s="1">
        <v>44932</v>
      </c>
      <c r="C882" s="1">
        <v>44932</v>
      </c>
      <c r="D882" t="s">
        <v>7</v>
      </c>
      <c r="E882">
        <v>39</v>
      </c>
      <c r="F882" t="s">
        <v>6</v>
      </c>
      <c r="G882">
        <f t="shared" si="32"/>
        <v>0</v>
      </c>
      <c r="H882" s="1" t="str">
        <f t="shared" si="33"/>
        <v>Friday</v>
      </c>
    </row>
    <row r="883" spans="1:8" x14ac:dyDescent="0.3">
      <c r="A883">
        <v>182627508</v>
      </c>
      <c r="B883" s="1">
        <v>44932</v>
      </c>
      <c r="C883" s="1">
        <v>44932</v>
      </c>
      <c r="D883" t="s">
        <v>7</v>
      </c>
      <c r="E883">
        <v>39</v>
      </c>
      <c r="F883" t="s">
        <v>6</v>
      </c>
      <c r="G883">
        <f t="shared" si="32"/>
        <v>0</v>
      </c>
      <c r="H883" s="1" t="str">
        <f t="shared" si="33"/>
        <v>Friday</v>
      </c>
    </row>
    <row r="884" spans="1:8" x14ac:dyDescent="0.3">
      <c r="A884">
        <v>182834016</v>
      </c>
      <c r="B884" s="1">
        <v>44933</v>
      </c>
      <c r="C884" s="1">
        <v>45091</v>
      </c>
      <c r="D884" t="s">
        <v>7</v>
      </c>
      <c r="E884">
        <v>39</v>
      </c>
      <c r="F884" t="s">
        <v>6</v>
      </c>
      <c r="G884">
        <f t="shared" si="32"/>
        <v>158</v>
      </c>
      <c r="H884" s="1" t="str">
        <f t="shared" si="33"/>
        <v>Saturday</v>
      </c>
    </row>
    <row r="885" spans="1:8" x14ac:dyDescent="0.3">
      <c r="A885">
        <v>163535855</v>
      </c>
      <c r="B885" s="1">
        <v>44933</v>
      </c>
      <c r="C885" s="1">
        <v>45098</v>
      </c>
      <c r="D885" t="s">
        <v>7</v>
      </c>
      <c r="E885">
        <v>39</v>
      </c>
      <c r="F885" t="s">
        <v>6</v>
      </c>
      <c r="G885">
        <f t="shared" si="32"/>
        <v>165</v>
      </c>
      <c r="H885" s="1" t="str">
        <f t="shared" si="33"/>
        <v>Saturday</v>
      </c>
    </row>
    <row r="886" spans="1:8" x14ac:dyDescent="0.3">
      <c r="A886">
        <v>183002853</v>
      </c>
      <c r="B886" s="1">
        <v>44933</v>
      </c>
      <c r="C886" s="1">
        <v>45024</v>
      </c>
      <c r="D886" t="s">
        <v>7</v>
      </c>
      <c r="E886">
        <v>39</v>
      </c>
      <c r="F886" t="s">
        <v>6</v>
      </c>
      <c r="G886">
        <f t="shared" si="32"/>
        <v>91</v>
      </c>
      <c r="H886" s="1" t="str">
        <f t="shared" si="33"/>
        <v>Saturday</v>
      </c>
    </row>
    <row r="887" spans="1:8" x14ac:dyDescent="0.3">
      <c r="A887">
        <v>148338824</v>
      </c>
      <c r="B887" s="1">
        <v>44933</v>
      </c>
      <c r="C887" s="1">
        <v>44964</v>
      </c>
      <c r="D887" t="s">
        <v>7</v>
      </c>
      <c r="E887">
        <v>39</v>
      </c>
      <c r="F887" t="s">
        <v>6</v>
      </c>
      <c r="G887">
        <f t="shared" si="32"/>
        <v>31</v>
      </c>
      <c r="H887" s="1" t="str">
        <f t="shared" si="33"/>
        <v>Saturday</v>
      </c>
    </row>
    <row r="888" spans="1:8" x14ac:dyDescent="0.3">
      <c r="A888">
        <v>181712692</v>
      </c>
      <c r="B888" s="1">
        <v>44933</v>
      </c>
      <c r="C888" s="1">
        <v>44933</v>
      </c>
      <c r="D888" t="s">
        <v>7</v>
      </c>
      <c r="E888">
        <v>39</v>
      </c>
      <c r="F888" t="s">
        <v>6</v>
      </c>
      <c r="G888">
        <f t="shared" si="32"/>
        <v>0</v>
      </c>
      <c r="H888" s="1" t="str">
        <f t="shared" si="33"/>
        <v>Saturday</v>
      </c>
    </row>
    <row r="889" spans="1:8" x14ac:dyDescent="0.3">
      <c r="A889">
        <v>181770777</v>
      </c>
      <c r="B889" s="1">
        <v>44934</v>
      </c>
      <c r="C889" t="s">
        <v>19</v>
      </c>
      <c r="D889" t="s">
        <v>7</v>
      </c>
      <c r="E889">
        <v>39</v>
      </c>
      <c r="F889" t="s">
        <v>6</v>
      </c>
      <c r="G889" t="str">
        <f t="shared" si="32"/>
        <v>Active</v>
      </c>
      <c r="H889" s="1" t="str">
        <f t="shared" si="33"/>
        <v>Sunday</v>
      </c>
    </row>
    <row r="890" spans="1:8" x14ac:dyDescent="0.3">
      <c r="A890">
        <v>161269602</v>
      </c>
      <c r="B890" s="1">
        <v>44934</v>
      </c>
      <c r="C890" s="1">
        <v>44934</v>
      </c>
      <c r="D890" t="s">
        <v>7</v>
      </c>
      <c r="E890">
        <v>39</v>
      </c>
      <c r="F890" t="s">
        <v>6</v>
      </c>
      <c r="G890">
        <f t="shared" si="32"/>
        <v>0</v>
      </c>
      <c r="H890" s="1" t="str">
        <f t="shared" si="33"/>
        <v>Sunday</v>
      </c>
    </row>
    <row r="891" spans="1:8" x14ac:dyDescent="0.3">
      <c r="A891">
        <v>145799416</v>
      </c>
      <c r="B891" s="1">
        <v>44934</v>
      </c>
      <c r="C891" s="1">
        <v>44967</v>
      </c>
      <c r="D891" t="s">
        <v>7</v>
      </c>
      <c r="E891">
        <v>39</v>
      </c>
      <c r="F891" t="s">
        <v>6</v>
      </c>
      <c r="G891">
        <f t="shared" si="32"/>
        <v>33</v>
      </c>
      <c r="H891" s="1" t="str">
        <f t="shared" si="33"/>
        <v>Sunday</v>
      </c>
    </row>
    <row r="892" spans="1:8" x14ac:dyDescent="0.3">
      <c r="A892">
        <v>182753953</v>
      </c>
      <c r="B892" s="1">
        <v>44934</v>
      </c>
      <c r="C892" s="1">
        <v>45019</v>
      </c>
      <c r="D892" t="s">
        <v>7</v>
      </c>
      <c r="E892">
        <v>39</v>
      </c>
      <c r="F892" t="s">
        <v>6</v>
      </c>
      <c r="G892">
        <f t="shared" si="32"/>
        <v>85</v>
      </c>
      <c r="H892" s="1" t="str">
        <f t="shared" si="33"/>
        <v>Sunday</v>
      </c>
    </row>
    <row r="893" spans="1:8" x14ac:dyDescent="0.3">
      <c r="A893">
        <v>162944728</v>
      </c>
      <c r="B893" s="1">
        <v>44934</v>
      </c>
      <c r="C893" s="1">
        <v>44986</v>
      </c>
      <c r="D893" t="s">
        <v>7</v>
      </c>
      <c r="E893">
        <v>39</v>
      </c>
      <c r="F893" t="s">
        <v>6</v>
      </c>
      <c r="G893">
        <f t="shared" si="32"/>
        <v>52</v>
      </c>
      <c r="H893" s="1" t="str">
        <f t="shared" si="33"/>
        <v>Sunday</v>
      </c>
    </row>
    <row r="894" spans="1:8" x14ac:dyDescent="0.3">
      <c r="A894">
        <v>161249852</v>
      </c>
      <c r="B894" s="1">
        <v>44934</v>
      </c>
      <c r="C894" s="1">
        <v>44941</v>
      </c>
      <c r="D894" t="s">
        <v>7</v>
      </c>
      <c r="E894">
        <v>39</v>
      </c>
      <c r="F894" t="s">
        <v>6</v>
      </c>
      <c r="G894">
        <f t="shared" si="32"/>
        <v>7</v>
      </c>
      <c r="H894" s="1" t="str">
        <f t="shared" si="33"/>
        <v>Sunday</v>
      </c>
    </row>
    <row r="895" spans="1:8" x14ac:dyDescent="0.3">
      <c r="A895">
        <v>183916833</v>
      </c>
      <c r="B895" s="1">
        <v>44935</v>
      </c>
      <c r="C895" t="s">
        <v>19</v>
      </c>
      <c r="D895" t="s">
        <v>7</v>
      </c>
      <c r="E895">
        <v>39</v>
      </c>
      <c r="F895" t="s">
        <v>6</v>
      </c>
      <c r="G895" t="str">
        <f t="shared" si="32"/>
        <v>Active</v>
      </c>
      <c r="H895" s="1" t="str">
        <f t="shared" si="33"/>
        <v>Monday</v>
      </c>
    </row>
    <row r="896" spans="1:8" x14ac:dyDescent="0.3">
      <c r="A896">
        <v>169141612</v>
      </c>
      <c r="B896" s="1">
        <v>44935</v>
      </c>
      <c r="C896" s="1">
        <v>44936</v>
      </c>
      <c r="D896" t="s">
        <v>8</v>
      </c>
      <c r="E896">
        <v>39</v>
      </c>
      <c r="F896" t="s">
        <v>6</v>
      </c>
      <c r="G896">
        <f t="shared" si="32"/>
        <v>1</v>
      </c>
      <c r="H896" s="1" t="str">
        <f t="shared" si="33"/>
        <v>Monday</v>
      </c>
    </row>
    <row r="897" spans="1:8" x14ac:dyDescent="0.3">
      <c r="A897">
        <v>128768010</v>
      </c>
      <c r="B897" s="1">
        <v>44935</v>
      </c>
      <c r="C897" s="1">
        <v>44938</v>
      </c>
      <c r="D897" t="s">
        <v>7</v>
      </c>
      <c r="E897">
        <v>39</v>
      </c>
      <c r="F897" t="s">
        <v>6</v>
      </c>
      <c r="G897">
        <f t="shared" si="32"/>
        <v>3</v>
      </c>
      <c r="H897" s="1" t="str">
        <f t="shared" si="33"/>
        <v>Monday</v>
      </c>
    </row>
    <row r="898" spans="1:8" x14ac:dyDescent="0.3">
      <c r="A898">
        <v>138520918</v>
      </c>
      <c r="B898" s="1">
        <v>44935</v>
      </c>
      <c r="C898" s="1">
        <v>44935</v>
      </c>
      <c r="D898" t="s">
        <v>7</v>
      </c>
      <c r="E898">
        <v>39</v>
      </c>
      <c r="F898" t="s">
        <v>6</v>
      </c>
      <c r="G898">
        <f t="shared" si="32"/>
        <v>0</v>
      </c>
      <c r="H898" s="1" t="str">
        <f t="shared" si="33"/>
        <v>Monday</v>
      </c>
    </row>
    <row r="899" spans="1:8" x14ac:dyDescent="0.3">
      <c r="A899">
        <v>162946328</v>
      </c>
      <c r="B899" s="1">
        <v>44935</v>
      </c>
      <c r="C899" s="1">
        <v>45054</v>
      </c>
      <c r="D899" t="s">
        <v>7</v>
      </c>
      <c r="E899">
        <v>39</v>
      </c>
      <c r="F899" t="s">
        <v>6</v>
      </c>
      <c r="G899">
        <f t="shared" ref="G899:G962" si="34">IF(C899="Active","Active",C899-B899)</f>
        <v>119</v>
      </c>
      <c r="H899" s="1" t="str">
        <f t="shared" ref="H899:H962" si="35">TEXT(B899,"dddd")</f>
        <v>Monday</v>
      </c>
    </row>
    <row r="900" spans="1:8" x14ac:dyDescent="0.3">
      <c r="A900">
        <v>182929556</v>
      </c>
      <c r="B900" s="1">
        <v>44935</v>
      </c>
      <c r="C900" s="1">
        <v>45026</v>
      </c>
      <c r="D900" t="s">
        <v>7</v>
      </c>
      <c r="E900">
        <v>39</v>
      </c>
      <c r="F900" t="s">
        <v>6</v>
      </c>
      <c r="G900">
        <f t="shared" si="34"/>
        <v>91</v>
      </c>
      <c r="H900" s="1" t="str">
        <f t="shared" si="35"/>
        <v>Monday</v>
      </c>
    </row>
    <row r="901" spans="1:8" x14ac:dyDescent="0.3">
      <c r="A901">
        <v>153704184</v>
      </c>
      <c r="B901" s="1">
        <v>44935</v>
      </c>
      <c r="C901" s="1">
        <v>45024</v>
      </c>
      <c r="D901" t="s">
        <v>7</v>
      </c>
      <c r="E901">
        <v>39</v>
      </c>
      <c r="F901" t="s">
        <v>6</v>
      </c>
      <c r="G901">
        <f t="shared" si="34"/>
        <v>89</v>
      </c>
      <c r="H901" s="1" t="str">
        <f t="shared" si="35"/>
        <v>Monday</v>
      </c>
    </row>
    <row r="902" spans="1:8" x14ac:dyDescent="0.3">
      <c r="A902">
        <v>136326172</v>
      </c>
      <c r="B902" s="1">
        <v>44935</v>
      </c>
      <c r="C902" s="1">
        <v>44993</v>
      </c>
      <c r="D902" t="s">
        <v>7</v>
      </c>
      <c r="E902">
        <v>39</v>
      </c>
      <c r="F902" t="s">
        <v>6</v>
      </c>
      <c r="G902">
        <f t="shared" si="34"/>
        <v>58</v>
      </c>
      <c r="H902" s="1" t="str">
        <f t="shared" si="35"/>
        <v>Monday</v>
      </c>
    </row>
    <row r="903" spans="1:8" x14ac:dyDescent="0.3">
      <c r="A903">
        <v>182505210</v>
      </c>
      <c r="B903" s="1">
        <v>44935</v>
      </c>
      <c r="C903" s="1">
        <v>44965</v>
      </c>
      <c r="D903" t="s">
        <v>7</v>
      </c>
      <c r="E903">
        <v>39</v>
      </c>
      <c r="F903" t="s">
        <v>6</v>
      </c>
      <c r="G903">
        <f t="shared" si="34"/>
        <v>30</v>
      </c>
      <c r="H903" s="1" t="str">
        <f t="shared" si="35"/>
        <v>Monday</v>
      </c>
    </row>
    <row r="904" spans="1:8" x14ac:dyDescent="0.3">
      <c r="A904">
        <v>184370857</v>
      </c>
      <c r="B904" s="1">
        <v>44936</v>
      </c>
      <c r="C904" t="s">
        <v>19</v>
      </c>
      <c r="D904" t="s">
        <v>7</v>
      </c>
      <c r="E904">
        <v>39</v>
      </c>
      <c r="F904" t="s">
        <v>6</v>
      </c>
      <c r="G904" t="str">
        <f t="shared" si="34"/>
        <v>Active</v>
      </c>
      <c r="H904" s="1" t="str">
        <f t="shared" si="35"/>
        <v>Tuesday</v>
      </c>
    </row>
    <row r="905" spans="1:8" x14ac:dyDescent="0.3">
      <c r="A905">
        <v>184310344</v>
      </c>
      <c r="B905" s="1">
        <v>44936</v>
      </c>
      <c r="C905" s="1">
        <v>45027</v>
      </c>
      <c r="D905" t="s">
        <v>7</v>
      </c>
      <c r="E905">
        <v>39</v>
      </c>
      <c r="F905" t="s">
        <v>6</v>
      </c>
      <c r="G905">
        <f t="shared" si="34"/>
        <v>91</v>
      </c>
      <c r="H905" s="1" t="str">
        <f t="shared" si="35"/>
        <v>Tuesday</v>
      </c>
    </row>
    <row r="906" spans="1:8" x14ac:dyDescent="0.3">
      <c r="A906">
        <v>183346055</v>
      </c>
      <c r="B906" s="1">
        <v>44936</v>
      </c>
      <c r="C906" s="1">
        <v>45002</v>
      </c>
      <c r="D906" t="s">
        <v>7</v>
      </c>
      <c r="E906">
        <v>39</v>
      </c>
      <c r="F906" t="s">
        <v>6</v>
      </c>
      <c r="G906">
        <f t="shared" si="34"/>
        <v>66</v>
      </c>
      <c r="H906" s="1" t="str">
        <f t="shared" si="35"/>
        <v>Tuesday</v>
      </c>
    </row>
    <row r="907" spans="1:8" x14ac:dyDescent="0.3">
      <c r="A907">
        <v>178952278</v>
      </c>
      <c r="B907" s="1">
        <v>44936</v>
      </c>
      <c r="C907" s="1">
        <v>44996</v>
      </c>
      <c r="D907" t="s">
        <v>7</v>
      </c>
      <c r="E907">
        <v>39</v>
      </c>
      <c r="F907" t="s">
        <v>6</v>
      </c>
      <c r="G907">
        <f t="shared" si="34"/>
        <v>60</v>
      </c>
      <c r="H907" s="1" t="str">
        <f t="shared" si="35"/>
        <v>Tuesday</v>
      </c>
    </row>
    <row r="908" spans="1:8" x14ac:dyDescent="0.3">
      <c r="A908">
        <v>184345202</v>
      </c>
      <c r="B908" s="1">
        <v>44936</v>
      </c>
      <c r="C908" s="1">
        <v>44980</v>
      </c>
      <c r="D908" t="s">
        <v>7</v>
      </c>
      <c r="E908">
        <v>39</v>
      </c>
      <c r="F908" t="s">
        <v>6</v>
      </c>
      <c r="G908">
        <f t="shared" si="34"/>
        <v>44</v>
      </c>
      <c r="H908" s="1" t="str">
        <f t="shared" si="35"/>
        <v>Tuesday</v>
      </c>
    </row>
    <row r="909" spans="1:8" x14ac:dyDescent="0.3">
      <c r="A909">
        <v>182837162</v>
      </c>
      <c r="B909" s="1">
        <v>44936</v>
      </c>
      <c r="C909" s="1">
        <v>44962</v>
      </c>
      <c r="D909" t="s">
        <v>7</v>
      </c>
      <c r="E909">
        <v>39</v>
      </c>
      <c r="F909" t="s">
        <v>6</v>
      </c>
      <c r="G909">
        <f t="shared" si="34"/>
        <v>26</v>
      </c>
      <c r="H909" s="1" t="str">
        <f t="shared" si="35"/>
        <v>Tuesday</v>
      </c>
    </row>
    <row r="910" spans="1:8" x14ac:dyDescent="0.3">
      <c r="A910">
        <v>182927038</v>
      </c>
      <c r="B910" s="1">
        <v>44936</v>
      </c>
      <c r="C910" s="1">
        <v>44975</v>
      </c>
      <c r="D910" t="s">
        <v>7</v>
      </c>
      <c r="E910">
        <v>39</v>
      </c>
      <c r="F910" t="s">
        <v>6</v>
      </c>
      <c r="G910">
        <f t="shared" si="34"/>
        <v>39</v>
      </c>
      <c r="H910" s="1" t="str">
        <f t="shared" si="35"/>
        <v>Tuesday</v>
      </c>
    </row>
    <row r="911" spans="1:8" x14ac:dyDescent="0.3">
      <c r="A911">
        <v>181739784</v>
      </c>
      <c r="B911" s="1">
        <v>44936</v>
      </c>
      <c r="C911" s="1">
        <v>44965</v>
      </c>
      <c r="D911" t="s">
        <v>7</v>
      </c>
      <c r="E911">
        <v>39</v>
      </c>
      <c r="F911" t="s">
        <v>6</v>
      </c>
      <c r="G911">
        <f t="shared" si="34"/>
        <v>29</v>
      </c>
      <c r="H911" s="1" t="str">
        <f t="shared" si="35"/>
        <v>Tuesday</v>
      </c>
    </row>
    <row r="912" spans="1:8" x14ac:dyDescent="0.3">
      <c r="A912">
        <v>178605410</v>
      </c>
      <c r="B912" s="1">
        <v>44936</v>
      </c>
      <c r="C912" s="1">
        <v>44974</v>
      </c>
      <c r="D912" t="s">
        <v>7</v>
      </c>
      <c r="E912">
        <v>39</v>
      </c>
      <c r="F912" t="s">
        <v>6</v>
      </c>
      <c r="G912">
        <f t="shared" si="34"/>
        <v>38</v>
      </c>
      <c r="H912" s="1" t="str">
        <f t="shared" si="35"/>
        <v>Tuesday</v>
      </c>
    </row>
    <row r="913" spans="1:8" x14ac:dyDescent="0.3">
      <c r="A913">
        <v>184334484</v>
      </c>
      <c r="B913" s="1">
        <v>44937</v>
      </c>
      <c r="C913" t="s">
        <v>19</v>
      </c>
      <c r="D913" t="s">
        <v>7</v>
      </c>
      <c r="E913">
        <v>39</v>
      </c>
      <c r="F913" t="s">
        <v>6</v>
      </c>
      <c r="G913" t="str">
        <f t="shared" si="34"/>
        <v>Active</v>
      </c>
      <c r="H913" s="1" t="str">
        <f t="shared" si="35"/>
        <v>Wednesday</v>
      </c>
    </row>
    <row r="914" spans="1:8" x14ac:dyDescent="0.3">
      <c r="A914">
        <v>181576265</v>
      </c>
      <c r="B914" s="1">
        <v>44937</v>
      </c>
      <c r="C914" t="s">
        <v>19</v>
      </c>
      <c r="D914" t="s">
        <v>7</v>
      </c>
      <c r="E914">
        <v>39</v>
      </c>
      <c r="F914" t="s">
        <v>6</v>
      </c>
      <c r="G914" t="str">
        <f t="shared" si="34"/>
        <v>Active</v>
      </c>
      <c r="H914" s="1" t="str">
        <f t="shared" si="35"/>
        <v>Wednesday</v>
      </c>
    </row>
    <row r="915" spans="1:8" x14ac:dyDescent="0.3">
      <c r="A915">
        <v>183645116</v>
      </c>
      <c r="B915" s="1">
        <v>44937</v>
      </c>
      <c r="C915" t="s">
        <v>19</v>
      </c>
      <c r="D915" t="s">
        <v>7</v>
      </c>
      <c r="E915">
        <v>39</v>
      </c>
      <c r="F915" t="s">
        <v>6</v>
      </c>
      <c r="G915" t="str">
        <f t="shared" si="34"/>
        <v>Active</v>
      </c>
      <c r="H915" s="1" t="str">
        <f t="shared" si="35"/>
        <v>Wednesday</v>
      </c>
    </row>
    <row r="916" spans="1:8" x14ac:dyDescent="0.3">
      <c r="A916">
        <v>184812094</v>
      </c>
      <c r="B916" s="1">
        <v>44937</v>
      </c>
      <c r="C916" s="1">
        <v>45023</v>
      </c>
      <c r="D916" t="s">
        <v>7</v>
      </c>
      <c r="E916">
        <v>39</v>
      </c>
      <c r="F916" t="s">
        <v>6</v>
      </c>
      <c r="G916">
        <f t="shared" si="34"/>
        <v>86</v>
      </c>
      <c r="H916" s="1" t="str">
        <f t="shared" si="35"/>
        <v>Wednesday</v>
      </c>
    </row>
    <row r="917" spans="1:8" x14ac:dyDescent="0.3">
      <c r="A917">
        <v>152089648</v>
      </c>
      <c r="B917" s="1">
        <v>44937</v>
      </c>
      <c r="C917" s="1">
        <v>45003</v>
      </c>
      <c r="D917" t="s">
        <v>7</v>
      </c>
      <c r="E917">
        <v>39</v>
      </c>
      <c r="F917" t="s">
        <v>6</v>
      </c>
      <c r="G917">
        <f t="shared" si="34"/>
        <v>66</v>
      </c>
      <c r="H917" s="1" t="str">
        <f t="shared" si="35"/>
        <v>Wednesday</v>
      </c>
    </row>
    <row r="918" spans="1:8" x14ac:dyDescent="0.3">
      <c r="A918">
        <v>148710968</v>
      </c>
      <c r="B918" s="1">
        <v>44937</v>
      </c>
      <c r="C918" s="1">
        <v>44964</v>
      </c>
      <c r="D918" t="s">
        <v>7</v>
      </c>
      <c r="E918">
        <v>39</v>
      </c>
      <c r="F918" t="s">
        <v>6</v>
      </c>
      <c r="G918">
        <f t="shared" si="34"/>
        <v>27</v>
      </c>
      <c r="H918" s="1" t="str">
        <f t="shared" si="35"/>
        <v>Wednesday</v>
      </c>
    </row>
    <row r="919" spans="1:8" x14ac:dyDescent="0.3">
      <c r="A919">
        <v>183197132</v>
      </c>
      <c r="B919" s="1">
        <v>44938</v>
      </c>
      <c r="C919" t="s">
        <v>19</v>
      </c>
      <c r="D919" t="s">
        <v>7</v>
      </c>
      <c r="E919">
        <v>39</v>
      </c>
      <c r="F919" t="s">
        <v>6</v>
      </c>
      <c r="G919" t="str">
        <f t="shared" si="34"/>
        <v>Active</v>
      </c>
      <c r="H919" s="1" t="str">
        <f t="shared" si="35"/>
        <v>Thursday</v>
      </c>
    </row>
    <row r="920" spans="1:8" x14ac:dyDescent="0.3">
      <c r="A920">
        <v>156239744</v>
      </c>
      <c r="B920" s="1">
        <v>44938</v>
      </c>
      <c r="C920" t="s">
        <v>19</v>
      </c>
      <c r="D920" t="s">
        <v>7</v>
      </c>
      <c r="E920">
        <v>39</v>
      </c>
      <c r="F920" t="s">
        <v>6</v>
      </c>
      <c r="G920" t="str">
        <f t="shared" si="34"/>
        <v>Active</v>
      </c>
      <c r="H920" s="1" t="str">
        <f t="shared" si="35"/>
        <v>Thursday</v>
      </c>
    </row>
    <row r="921" spans="1:8" x14ac:dyDescent="0.3">
      <c r="A921">
        <v>184481262</v>
      </c>
      <c r="B921" s="1">
        <v>44938</v>
      </c>
      <c r="C921" t="s">
        <v>19</v>
      </c>
      <c r="D921" t="s">
        <v>7</v>
      </c>
      <c r="E921">
        <v>39</v>
      </c>
      <c r="F921" t="s">
        <v>6</v>
      </c>
      <c r="G921" t="str">
        <f t="shared" si="34"/>
        <v>Active</v>
      </c>
      <c r="H921" s="1" t="str">
        <f t="shared" si="35"/>
        <v>Thursday</v>
      </c>
    </row>
    <row r="922" spans="1:8" x14ac:dyDescent="0.3">
      <c r="A922">
        <v>153186137</v>
      </c>
      <c r="B922" s="1">
        <v>44938</v>
      </c>
      <c r="C922" s="1">
        <v>44939</v>
      </c>
      <c r="D922" t="s">
        <v>7</v>
      </c>
      <c r="E922">
        <v>39</v>
      </c>
      <c r="F922" t="s">
        <v>6</v>
      </c>
      <c r="G922">
        <f t="shared" si="34"/>
        <v>1</v>
      </c>
      <c r="H922" s="1" t="str">
        <f t="shared" si="35"/>
        <v>Thursday</v>
      </c>
    </row>
    <row r="923" spans="1:8" x14ac:dyDescent="0.3">
      <c r="A923">
        <v>185374268</v>
      </c>
      <c r="B923" s="1">
        <v>44938</v>
      </c>
      <c r="C923" s="1">
        <v>44939</v>
      </c>
      <c r="D923" t="s">
        <v>8</v>
      </c>
      <c r="E923">
        <v>39</v>
      </c>
      <c r="F923" t="s">
        <v>6</v>
      </c>
      <c r="G923">
        <f t="shared" si="34"/>
        <v>1</v>
      </c>
      <c r="H923" s="1" t="str">
        <f t="shared" si="35"/>
        <v>Thursday</v>
      </c>
    </row>
    <row r="924" spans="1:8" x14ac:dyDescent="0.3">
      <c r="A924">
        <v>185367349</v>
      </c>
      <c r="B924" s="1">
        <v>44938</v>
      </c>
      <c r="C924" s="1">
        <v>44939</v>
      </c>
      <c r="D924" t="s">
        <v>8</v>
      </c>
      <c r="E924">
        <v>39</v>
      </c>
      <c r="F924" t="s">
        <v>6</v>
      </c>
      <c r="G924">
        <f t="shared" si="34"/>
        <v>1</v>
      </c>
      <c r="H924" s="1" t="str">
        <f t="shared" si="35"/>
        <v>Thursday</v>
      </c>
    </row>
    <row r="925" spans="1:8" x14ac:dyDescent="0.3">
      <c r="A925">
        <v>150793080</v>
      </c>
      <c r="B925" s="1">
        <v>44938</v>
      </c>
      <c r="C925" s="1">
        <v>44986</v>
      </c>
      <c r="D925" t="s">
        <v>7</v>
      </c>
      <c r="E925">
        <v>39</v>
      </c>
      <c r="F925" t="s">
        <v>6</v>
      </c>
      <c r="G925">
        <f t="shared" si="34"/>
        <v>48</v>
      </c>
      <c r="H925" s="1" t="str">
        <f t="shared" si="35"/>
        <v>Thursday</v>
      </c>
    </row>
    <row r="926" spans="1:8" x14ac:dyDescent="0.3">
      <c r="A926">
        <v>183406772</v>
      </c>
      <c r="B926" s="1">
        <v>44938</v>
      </c>
      <c r="C926" s="1">
        <v>44990</v>
      </c>
      <c r="D926" t="s">
        <v>7</v>
      </c>
      <c r="E926">
        <v>39</v>
      </c>
      <c r="F926" t="s">
        <v>6</v>
      </c>
      <c r="G926">
        <f t="shared" si="34"/>
        <v>52</v>
      </c>
      <c r="H926" s="1" t="str">
        <f t="shared" si="35"/>
        <v>Thursday</v>
      </c>
    </row>
    <row r="927" spans="1:8" x14ac:dyDescent="0.3">
      <c r="A927">
        <v>175760281</v>
      </c>
      <c r="B927" s="1">
        <v>44938</v>
      </c>
      <c r="C927" s="1">
        <v>44969</v>
      </c>
      <c r="D927" t="s">
        <v>7</v>
      </c>
      <c r="E927">
        <v>39</v>
      </c>
      <c r="F927" t="s">
        <v>6</v>
      </c>
      <c r="G927">
        <f t="shared" si="34"/>
        <v>31</v>
      </c>
      <c r="H927" s="1" t="str">
        <f t="shared" si="35"/>
        <v>Thursday</v>
      </c>
    </row>
    <row r="928" spans="1:8" x14ac:dyDescent="0.3">
      <c r="A928">
        <v>162095012</v>
      </c>
      <c r="B928" s="1">
        <v>44938</v>
      </c>
      <c r="C928" s="1">
        <v>44951</v>
      </c>
      <c r="D928" t="s">
        <v>7</v>
      </c>
      <c r="E928">
        <v>39</v>
      </c>
      <c r="F928" t="s">
        <v>6</v>
      </c>
      <c r="G928">
        <f t="shared" si="34"/>
        <v>13</v>
      </c>
      <c r="H928" s="1" t="str">
        <f t="shared" si="35"/>
        <v>Thursday</v>
      </c>
    </row>
    <row r="929" spans="1:8" x14ac:dyDescent="0.3">
      <c r="A929">
        <v>179356036</v>
      </c>
      <c r="B929" s="1">
        <v>44938</v>
      </c>
      <c r="C929" s="1">
        <v>44938</v>
      </c>
      <c r="D929" t="s">
        <v>7</v>
      </c>
      <c r="E929">
        <v>39</v>
      </c>
      <c r="F929" t="s">
        <v>6</v>
      </c>
      <c r="G929">
        <f t="shared" si="34"/>
        <v>0</v>
      </c>
      <c r="H929" s="1" t="str">
        <f t="shared" si="35"/>
        <v>Thursday</v>
      </c>
    </row>
    <row r="930" spans="1:8" x14ac:dyDescent="0.3">
      <c r="A930">
        <v>184567432</v>
      </c>
      <c r="B930" s="1">
        <v>44938</v>
      </c>
      <c r="C930" s="1">
        <v>44949</v>
      </c>
      <c r="D930" t="s">
        <v>7</v>
      </c>
      <c r="E930">
        <v>39</v>
      </c>
      <c r="F930" t="s">
        <v>6</v>
      </c>
      <c r="G930">
        <f t="shared" si="34"/>
        <v>11</v>
      </c>
      <c r="H930" s="1" t="str">
        <f t="shared" si="35"/>
        <v>Thursday</v>
      </c>
    </row>
    <row r="931" spans="1:8" x14ac:dyDescent="0.3">
      <c r="A931">
        <v>185503171</v>
      </c>
      <c r="B931" s="1">
        <v>44938</v>
      </c>
      <c r="C931" s="1">
        <v>45112</v>
      </c>
      <c r="D931" t="s">
        <v>7</v>
      </c>
      <c r="E931">
        <v>39</v>
      </c>
      <c r="F931" t="s">
        <v>6</v>
      </c>
      <c r="G931">
        <f t="shared" si="34"/>
        <v>174</v>
      </c>
      <c r="H931" s="1" t="str">
        <f t="shared" si="35"/>
        <v>Thursday</v>
      </c>
    </row>
    <row r="932" spans="1:8" x14ac:dyDescent="0.3">
      <c r="A932">
        <v>171922477</v>
      </c>
      <c r="B932" s="1">
        <v>44938</v>
      </c>
      <c r="C932" s="1">
        <v>45105</v>
      </c>
      <c r="D932" t="s">
        <v>7</v>
      </c>
      <c r="E932">
        <v>39</v>
      </c>
      <c r="F932" t="s">
        <v>6</v>
      </c>
      <c r="G932">
        <f t="shared" si="34"/>
        <v>167</v>
      </c>
      <c r="H932" s="1" t="str">
        <f t="shared" si="35"/>
        <v>Thursday</v>
      </c>
    </row>
    <row r="933" spans="1:8" x14ac:dyDescent="0.3">
      <c r="A933">
        <v>144830936</v>
      </c>
      <c r="B933" s="1">
        <v>44938</v>
      </c>
      <c r="C933" s="1">
        <v>45134</v>
      </c>
      <c r="D933" t="s">
        <v>7</v>
      </c>
      <c r="E933">
        <v>39</v>
      </c>
      <c r="F933" t="s">
        <v>6</v>
      </c>
      <c r="G933">
        <f t="shared" si="34"/>
        <v>196</v>
      </c>
      <c r="H933" s="1" t="str">
        <f t="shared" si="35"/>
        <v>Thursday</v>
      </c>
    </row>
    <row r="934" spans="1:8" x14ac:dyDescent="0.3">
      <c r="A934">
        <v>157474087</v>
      </c>
      <c r="B934" s="1">
        <v>44939</v>
      </c>
      <c r="C934" t="s">
        <v>19</v>
      </c>
      <c r="D934" t="s">
        <v>7</v>
      </c>
      <c r="E934">
        <v>39</v>
      </c>
      <c r="F934" t="s">
        <v>6</v>
      </c>
      <c r="G934" t="str">
        <f t="shared" si="34"/>
        <v>Active</v>
      </c>
      <c r="H934" s="1" t="str">
        <f t="shared" si="35"/>
        <v>Friday</v>
      </c>
    </row>
    <row r="935" spans="1:8" x14ac:dyDescent="0.3">
      <c r="A935">
        <v>182350116</v>
      </c>
      <c r="B935" s="1">
        <v>44939</v>
      </c>
      <c r="C935" t="s">
        <v>19</v>
      </c>
      <c r="D935" t="s">
        <v>7</v>
      </c>
      <c r="E935">
        <v>39</v>
      </c>
      <c r="F935" t="s">
        <v>6</v>
      </c>
      <c r="G935" t="str">
        <f t="shared" si="34"/>
        <v>Active</v>
      </c>
      <c r="H935" s="1" t="str">
        <f t="shared" si="35"/>
        <v>Friday</v>
      </c>
    </row>
    <row r="936" spans="1:8" x14ac:dyDescent="0.3">
      <c r="A936">
        <v>132867770</v>
      </c>
      <c r="B936" s="1">
        <v>44939</v>
      </c>
      <c r="C936" s="1">
        <v>44940</v>
      </c>
      <c r="D936" t="s">
        <v>7</v>
      </c>
      <c r="E936">
        <v>39</v>
      </c>
      <c r="F936" t="s">
        <v>6</v>
      </c>
      <c r="G936">
        <f t="shared" si="34"/>
        <v>1</v>
      </c>
      <c r="H936" s="1" t="str">
        <f t="shared" si="35"/>
        <v>Friday</v>
      </c>
    </row>
    <row r="937" spans="1:8" x14ac:dyDescent="0.3">
      <c r="A937">
        <v>185561880</v>
      </c>
      <c r="B937" s="1">
        <v>44939</v>
      </c>
      <c r="C937" s="1">
        <v>44940</v>
      </c>
      <c r="D937" t="s">
        <v>8</v>
      </c>
      <c r="E937">
        <v>39</v>
      </c>
      <c r="F937" t="s">
        <v>6</v>
      </c>
      <c r="G937">
        <f t="shared" si="34"/>
        <v>1</v>
      </c>
      <c r="H937" s="1" t="str">
        <f t="shared" si="35"/>
        <v>Friday</v>
      </c>
    </row>
    <row r="938" spans="1:8" x14ac:dyDescent="0.3">
      <c r="A938">
        <v>168884196</v>
      </c>
      <c r="B938" s="1">
        <v>44939</v>
      </c>
      <c r="C938" s="1">
        <v>45022</v>
      </c>
      <c r="D938" t="s">
        <v>7</v>
      </c>
      <c r="E938">
        <v>39</v>
      </c>
      <c r="F938" t="s">
        <v>6</v>
      </c>
      <c r="G938">
        <f t="shared" si="34"/>
        <v>83</v>
      </c>
      <c r="H938" s="1" t="str">
        <f t="shared" si="35"/>
        <v>Friday</v>
      </c>
    </row>
    <row r="939" spans="1:8" x14ac:dyDescent="0.3">
      <c r="A939">
        <v>161269602</v>
      </c>
      <c r="B939" s="1">
        <v>44939</v>
      </c>
      <c r="C939" s="1">
        <v>44977</v>
      </c>
      <c r="D939" t="s">
        <v>7</v>
      </c>
      <c r="E939">
        <v>39</v>
      </c>
      <c r="F939" t="s">
        <v>6</v>
      </c>
      <c r="G939">
        <f t="shared" si="34"/>
        <v>38</v>
      </c>
      <c r="H939" s="1" t="str">
        <f t="shared" si="35"/>
        <v>Friday</v>
      </c>
    </row>
    <row r="940" spans="1:8" x14ac:dyDescent="0.3">
      <c r="A940">
        <v>185729058</v>
      </c>
      <c r="B940" s="1">
        <v>44940</v>
      </c>
      <c r="C940" s="1">
        <v>45052</v>
      </c>
      <c r="D940" t="s">
        <v>7</v>
      </c>
      <c r="E940">
        <v>39</v>
      </c>
      <c r="F940" t="s">
        <v>6</v>
      </c>
      <c r="G940">
        <f t="shared" si="34"/>
        <v>112</v>
      </c>
      <c r="H940" s="1" t="str">
        <f t="shared" si="35"/>
        <v>Saturday</v>
      </c>
    </row>
    <row r="941" spans="1:8" x14ac:dyDescent="0.3">
      <c r="A941">
        <v>182527446</v>
      </c>
      <c r="B941" s="1">
        <v>44940</v>
      </c>
      <c r="C941" s="1">
        <v>45050</v>
      </c>
      <c r="D941" t="s">
        <v>7</v>
      </c>
      <c r="E941">
        <v>39</v>
      </c>
      <c r="F941" t="s">
        <v>6</v>
      </c>
      <c r="G941">
        <f t="shared" si="34"/>
        <v>110</v>
      </c>
      <c r="H941" s="1" t="str">
        <f t="shared" si="35"/>
        <v>Saturday</v>
      </c>
    </row>
    <row r="942" spans="1:8" x14ac:dyDescent="0.3">
      <c r="A942">
        <v>151217806</v>
      </c>
      <c r="B942" s="1">
        <v>44940</v>
      </c>
      <c r="C942" s="1">
        <v>44990</v>
      </c>
      <c r="D942" t="s">
        <v>7</v>
      </c>
      <c r="E942">
        <v>39</v>
      </c>
      <c r="F942" t="s">
        <v>6</v>
      </c>
      <c r="G942">
        <f t="shared" si="34"/>
        <v>50</v>
      </c>
      <c r="H942" s="1" t="str">
        <f t="shared" si="35"/>
        <v>Saturday</v>
      </c>
    </row>
    <row r="943" spans="1:8" x14ac:dyDescent="0.3">
      <c r="A943">
        <v>181789030</v>
      </c>
      <c r="B943" s="1">
        <v>44940</v>
      </c>
      <c r="C943" s="1">
        <v>44962</v>
      </c>
      <c r="D943" t="s">
        <v>7</v>
      </c>
      <c r="E943">
        <v>39</v>
      </c>
      <c r="F943" t="s">
        <v>6</v>
      </c>
      <c r="G943">
        <f t="shared" si="34"/>
        <v>22</v>
      </c>
      <c r="H943" s="1" t="str">
        <f t="shared" si="35"/>
        <v>Saturday</v>
      </c>
    </row>
    <row r="944" spans="1:8" x14ac:dyDescent="0.3">
      <c r="A944">
        <v>167939138</v>
      </c>
      <c r="B944" s="1">
        <v>44940</v>
      </c>
      <c r="C944" s="1">
        <v>45118</v>
      </c>
      <c r="D944" t="s">
        <v>7</v>
      </c>
      <c r="E944">
        <v>39</v>
      </c>
      <c r="F944" t="s">
        <v>6</v>
      </c>
      <c r="G944">
        <f t="shared" si="34"/>
        <v>178</v>
      </c>
      <c r="H944" s="1" t="str">
        <f t="shared" si="35"/>
        <v>Saturday</v>
      </c>
    </row>
    <row r="945" spans="1:8" x14ac:dyDescent="0.3">
      <c r="A945">
        <v>168531226</v>
      </c>
      <c r="B945" s="1">
        <v>44940</v>
      </c>
      <c r="C945" s="1">
        <v>45151</v>
      </c>
      <c r="D945" t="s">
        <v>7</v>
      </c>
      <c r="E945">
        <v>39</v>
      </c>
      <c r="F945" t="s">
        <v>6</v>
      </c>
      <c r="G945">
        <f t="shared" si="34"/>
        <v>211</v>
      </c>
      <c r="H945" s="1" t="str">
        <f t="shared" si="35"/>
        <v>Saturday</v>
      </c>
    </row>
    <row r="946" spans="1:8" x14ac:dyDescent="0.3">
      <c r="A946">
        <v>183965840</v>
      </c>
      <c r="B946" s="1">
        <v>44941</v>
      </c>
      <c r="C946" t="s">
        <v>19</v>
      </c>
      <c r="D946" t="s">
        <v>7</v>
      </c>
      <c r="E946">
        <v>39</v>
      </c>
      <c r="F946" t="s">
        <v>6</v>
      </c>
      <c r="G946" t="str">
        <f t="shared" si="34"/>
        <v>Active</v>
      </c>
      <c r="H946" s="1" t="str">
        <f t="shared" si="35"/>
        <v>Sunday</v>
      </c>
    </row>
    <row r="947" spans="1:8" x14ac:dyDescent="0.3">
      <c r="A947">
        <v>185522938</v>
      </c>
      <c r="B947" s="1">
        <v>44941</v>
      </c>
      <c r="C947" s="1">
        <v>45049</v>
      </c>
      <c r="D947" t="s">
        <v>7</v>
      </c>
      <c r="E947">
        <v>39</v>
      </c>
      <c r="F947" t="s">
        <v>6</v>
      </c>
      <c r="G947">
        <f t="shared" si="34"/>
        <v>108</v>
      </c>
      <c r="H947" s="1" t="str">
        <f t="shared" si="35"/>
        <v>Sunday</v>
      </c>
    </row>
    <row r="948" spans="1:8" x14ac:dyDescent="0.3">
      <c r="A948">
        <v>186413122</v>
      </c>
      <c r="B948" s="1">
        <v>44941</v>
      </c>
      <c r="C948" s="1">
        <v>45048</v>
      </c>
      <c r="D948" t="s">
        <v>7</v>
      </c>
      <c r="E948">
        <v>39</v>
      </c>
      <c r="F948" t="s">
        <v>6</v>
      </c>
      <c r="G948">
        <f t="shared" si="34"/>
        <v>107</v>
      </c>
      <c r="H948" s="1" t="str">
        <f t="shared" si="35"/>
        <v>Sunday</v>
      </c>
    </row>
    <row r="949" spans="1:8" x14ac:dyDescent="0.3">
      <c r="A949">
        <v>186481916</v>
      </c>
      <c r="B949" s="1">
        <v>44941</v>
      </c>
      <c r="C949" s="1">
        <v>45032</v>
      </c>
      <c r="D949" t="s">
        <v>7</v>
      </c>
      <c r="E949">
        <v>39</v>
      </c>
      <c r="F949" t="s">
        <v>6</v>
      </c>
      <c r="G949">
        <f t="shared" si="34"/>
        <v>91</v>
      </c>
      <c r="H949" s="1" t="str">
        <f t="shared" si="35"/>
        <v>Sunday</v>
      </c>
    </row>
    <row r="950" spans="1:8" x14ac:dyDescent="0.3">
      <c r="A950">
        <v>186177212</v>
      </c>
      <c r="B950" s="1">
        <v>44941</v>
      </c>
      <c r="C950" s="1">
        <v>44992</v>
      </c>
      <c r="D950" t="s">
        <v>7</v>
      </c>
      <c r="E950">
        <v>39</v>
      </c>
      <c r="F950" t="s">
        <v>6</v>
      </c>
      <c r="G950">
        <f t="shared" si="34"/>
        <v>51</v>
      </c>
      <c r="H950" s="1" t="str">
        <f t="shared" si="35"/>
        <v>Sunday</v>
      </c>
    </row>
    <row r="951" spans="1:8" x14ac:dyDescent="0.3">
      <c r="A951">
        <v>184809175</v>
      </c>
      <c r="B951" s="1">
        <v>44941</v>
      </c>
      <c r="C951" s="1">
        <v>44992</v>
      </c>
      <c r="D951" t="s">
        <v>7</v>
      </c>
      <c r="E951">
        <v>39</v>
      </c>
      <c r="F951" t="s">
        <v>6</v>
      </c>
      <c r="G951">
        <f t="shared" si="34"/>
        <v>51</v>
      </c>
      <c r="H951" s="1" t="str">
        <f t="shared" si="35"/>
        <v>Sunday</v>
      </c>
    </row>
    <row r="952" spans="1:8" x14ac:dyDescent="0.3">
      <c r="A952">
        <v>186690790</v>
      </c>
      <c r="B952" s="1">
        <v>44941</v>
      </c>
      <c r="C952" s="1">
        <v>44997</v>
      </c>
      <c r="D952" t="s">
        <v>7</v>
      </c>
      <c r="E952">
        <v>39</v>
      </c>
      <c r="F952" t="s">
        <v>6</v>
      </c>
      <c r="G952">
        <f t="shared" si="34"/>
        <v>56</v>
      </c>
      <c r="H952" s="1" t="str">
        <f t="shared" si="35"/>
        <v>Sunday</v>
      </c>
    </row>
    <row r="953" spans="1:8" x14ac:dyDescent="0.3">
      <c r="A953">
        <v>185711685</v>
      </c>
      <c r="B953" s="1">
        <v>44941</v>
      </c>
      <c r="C953" s="1">
        <v>44963</v>
      </c>
      <c r="D953" t="s">
        <v>7</v>
      </c>
      <c r="E953">
        <v>39</v>
      </c>
      <c r="F953" t="s">
        <v>6</v>
      </c>
      <c r="G953">
        <f t="shared" si="34"/>
        <v>22</v>
      </c>
      <c r="H953" s="1" t="str">
        <f t="shared" si="35"/>
        <v>Sunday</v>
      </c>
    </row>
    <row r="954" spans="1:8" x14ac:dyDescent="0.3">
      <c r="A954">
        <v>179509273</v>
      </c>
      <c r="B954" s="1">
        <v>44941</v>
      </c>
      <c r="C954" s="1">
        <v>45107</v>
      </c>
      <c r="D954" t="s">
        <v>7</v>
      </c>
      <c r="E954">
        <v>39</v>
      </c>
      <c r="F954" t="s">
        <v>6</v>
      </c>
      <c r="G954">
        <f t="shared" si="34"/>
        <v>166</v>
      </c>
      <c r="H954" s="1" t="str">
        <f t="shared" si="35"/>
        <v>Sunday</v>
      </c>
    </row>
    <row r="955" spans="1:8" x14ac:dyDescent="0.3">
      <c r="A955">
        <v>186770408</v>
      </c>
      <c r="B955" s="1">
        <v>44942</v>
      </c>
      <c r="C955" t="s">
        <v>19</v>
      </c>
      <c r="D955" t="s">
        <v>7</v>
      </c>
      <c r="E955">
        <v>39</v>
      </c>
      <c r="F955" t="s">
        <v>6</v>
      </c>
      <c r="G955" t="str">
        <f t="shared" si="34"/>
        <v>Active</v>
      </c>
      <c r="H955" s="1" t="str">
        <f t="shared" si="35"/>
        <v>Monday</v>
      </c>
    </row>
    <row r="956" spans="1:8" x14ac:dyDescent="0.3">
      <c r="A956">
        <v>181025165</v>
      </c>
      <c r="B956" s="1">
        <v>44942</v>
      </c>
      <c r="C956" t="s">
        <v>19</v>
      </c>
      <c r="D956" t="s">
        <v>7</v>
      </c>
      <c r="E956">
        <v>39</v>
      </c>
      <c r="F956" t="s">
        <v>6</v>
      </c>
      <c r="G956" t="str">
        <f t="shared" si="34"/>
        <v>Active</v>
      </c>
      <c r="H956" s="1" t="str">
        <f t="shared" si="35"/>
        <v>Monday</v>
      </c>
    </row>
    <row r="957" spans="1:8" x14ac:dyDescent="0.3">
      <c r="A957">
        <v>157919304</v>
      </c>
      <c r="B957" s="1">
        <v>44942</v>
      </c>
      <c r="C957" s="1">
        <v>45062</v>
      </c>
      <c r="D957" t="s">
        <v>7</v>
      </c>
      <c r="E957">
        <v>39</v>
      </c>
      <c r="F957" t="s">
        <v>6</v>
      </c>
      <c r="G957">
        <f t="shared" si="34"/>
        <v>120</v>
      </c>
      <c r="H957" s="1" t="str">
        <f t="shared" si="35"/>
        <v>Monday</v>
      </c>
    </row>
    <row r="958" spans="1:8" x14ac:dyDescent="0.3">
      <c r="A958">
        <v>187051266</v>
      </c>
      <c r="B958" s="1">
        <v>44942</v>
      </c>
      <c r="C958" s="1">
        <v>45077</v>
      </c>
      <c r="D958" t="s">
        <v>7</v>
      </c>
      <c r="E958">
        <v>39</v>
      </c>
      <c r="F958" t="s">
        <v>6</v>
      </c>
      <c r="G958">
        <f t="shared" si="34"/>
        <v>135</v>
      </c>
      <c r="H958" s="1" t="str">
        <f t="shared" si="35"/>
        <v>Monday</v>
      </c>
    </row>
    <row r="959" spans="1:8" x14ac:dyDescent="0.3">
      <c r="A959">
        <v>179713052</v>
      </c>
      <c r="B959" s="1">
        <v>44942</v>
      </c>
      <c r="C959" s="1">
        <v>45031</v>
      </c>
      <c r="D959" t="s">
        <v>7</v>
      </c>
      <c r="E959">
        <v>39</v>
      </c>
      <c r="F959" t="s">
        <v>6</v>
      </c>
      <c r="G959">
        <f t="shared" si="34"/>
        <v>89</v>
      </c>
      <c r="H959" s="1" t="str">
        <f t="shared" si="35"/>
        <v>Monday</v>
      </c>
    </row>
    <row r="960" spans="1:8" x14ac:dyDescent="0.3">
      <c r="A960">
        <v>185431487</v>
      </c>
      <c r="B960" s="1">
        <v>44942</v>
      </c>
      <c r="C960" s="1">
        <v>45042</v>
      </c>
      <c r="D960" t="s">
        <v>7</v>
      </c>
      <c r="E960">
        <v>39</v>
      </c>
      <c r="F960" t="s">
        <v>6</v>
      </c>
      <c r="G960">
        <f t="shared" si="34"/>
        <v>100</v>
      </c>
      <c r="H960" s="1" t="str">
        <f t="shared" si="35"/>
        <v>Monday</v>
      </c>
    </row>
    <row r="961" spans="1:8" x14ac:dyDescent="0.3">
      <c r="A961">
        <v>157929345</v>
      </c>
      <c r="B961" s="1">
        <v>44942</v>
      </c>
      <c r="C961" s="1">
        <v>45023</v>
      </c>
      <c r="D961" t="s">
        <v>7</v>
      </c>
      <c r="E961">
        <v>39</v>
      </c>
      <c r="F961" t="s">
        <v>6</v>
      </c>
      <c r="G961">
        <f t="shared" si="34"/>
        <v>81</v>
      </c>
      <c r="H961" s="1" t="str">
        <f t="shared" si="35"/>
        <v>Monday</v>
      </c>
    </row>
    <row r="962" spans="1:8" x14ac:dyDescent="0.3">
      <c r="A962">
        <v>154087095</v>
      </c>
      <c r="B962" s="1">
        <v>44942</v>
      </c>
      <c r="C962" s="1">
        <v>44998</v>
      </c>
      <c r="D962" t="s">
        <v>7</v>
      </c>
      <c r="E962">
        <v>39</v>
      </c>
      <c r="F962" t="s">
        <v>6</v>
      </c>
      <c r="G962">
        <f t="shared" si="34"/>
        <v>56</v>
      </c>
      <c r="H962" s="1" t="str">
        <f t="shared" si="35"/>
        <v>Monday</v>
      </c>
    </row>
    <row r="963" spans="1:8" x14ac:dyDescent="0.3">
      <c r="A963">
        <v>186674235</v>
      </c>
      <c r="B963" s="1">
        <v>44942</v>
      </c>
      <c r="C963" s="1">
        <v>44999</v>
      </c>
      <c r="D963" t="s">
        <v>7</v>
      </c>
      <c r="E963">
        <v>39</v>
      </c>
      <c r="F963" t="s">
        <v>6</v>
      </c>
      <c r="G963">
        <f t="shared" ref="G963:G1026" si="36">IF(C963="Active","Active",C963-B963)</f>
        <v>57</v>
      </c>
      <c r="H963" s="1" t="str">
        <f t="shared" ref="H963:H1026" si="37">TEXT(B963,"dddd")</f>
        <v>Monday</v>
      </c>
    </row>
    <row r="964" spans="1:8" x14ac:dyDescent="0.3">
      <c r="A964">
        <v>182656156</v>
      </c>
      <c r="B964" s="1">
        <v>44942</v>
      </c>
      <c r="C964" s="1">
        <v>44972</v>
      </c>
      <c r="D964" t="s">
        <v>7</v>
      </c>
      <c r="E964">
        <v>39</v>
      </c>
      <c r="F964" t="s">
        <v>6</v>
      </c>
      <c r="G964">
        <f t="shared" si="36"/>
        <v>30</v>
      </c>
      <c r="H964" s="1" t="str">
        <f t="shared" si="37"/>
        <v>Monday</v>
      </c>
    </row>
    <row r="965" spans="1:8" x14ac:dyDescent="0.3">
      <c r="A965">
        <v>170319875</v>
      </c>
      <c r="B965" s="1">
        <v>44942</v>
      </c>
      <c r="C965" s="1">
        <v>44942</v>
      </c>
      <c r="D965" t="s">
        <v>7</v>
      </c>
      <c r="E965">
        <v>39</v>
      </c>
      <c r="F965" t="s">
        <v>6</v>
      </c>
      <c r="G965">
        <f t="shared" si="36"/>
        <v>0</v>
      </c>
      <c r="H965" s="1" t="str">
        <f t="shared" si="37"/>
        <v>Monday</v>
      </c>
    </row>
    <row r="966" spans="1:8" x14ac:dyDescent="0.3">
      <c r="A966">
        <v>188226033</v>
      </c>
      <c r="B966" s="1">
        <v>44943</v>
      </c>
      <c r="C966" t="s">
        <v>19</v>
      </c>
      <c r="D966" t="s">
        <v>8</v>
      </c>
      <c r="E966">
        <v>39</v>
      </c>
      <c r="F966" t="s">
        <v>6</v>
      </c>
      <c r="G966" t="str">
        <f t="shared" si="36"/>
        <v>Active</v>
      </c>
      <c r="H966" s="1" t="str">
        <f t="shared" si="37"/>
        <v>Tuesday</v>
      </c>
    </row>
    <row r="967" spans="1:8" x14ac:dyDescent="0.3">
      <c r="A967">
        <v>188137320</v>
      </c>
      <c r="B967" s="1">
        <v>44943</v>
      </c>
      <c r="C967" t="s">
        <v>19</v>
      </c>
      <c r="D967" t="s">
        <v>8</v>
      </c>
      <c r="E967">
        <v>39</v>
      </c>
      <c r="F967" t="s">
        <v>6</v>
      </c>
      <c r="G967" t="str">
        <f t="shared" si="36"/>
        <v>Active</v>
      </c>
      <c r="H967" s="1" t="str">
        <f t="shared" si="37"/>
        <v>Tuesday</v>
      </c>
    </row>
    <row r="968" spans="1:8" x14ac:dyDescent="0.3">
      <c r="A968">
        <v>163220556</v>
      </c>
      <c r="B968" s="1">
        <v>44943</v>
      </c>
      <c r="C968" s="1">
        <v>44944</v>
      </c>
      <c r="D968" t="s">
        <v>7</v>
      </c>
      <c r="E968">
        <v>39</v>
      </c>
      <c r="F968" t="s">
        <v>6</v>
      </c>
      <c r="G968">
        <f t="shared" si="36"/>
        <v>1</v>
      </c>
      <c r="H968" s="1" t="str">
        <f t="shared" si="37"/>
        <v>Tuesday</v>
      </c>
    </row>
    <row r="969" spans="1:8" x14ac:dyDescent="0.3">
      <c r="A969">
        <v>182960960</v>
      </c>
      <c r="B969" s="1">
        <v>44943</v>
      </c>
      <c r="C969" s="1">
        <v>45009</v>
      </c>
      <c r="D969" t="s">
        <v>7</v>
      </c>
      <c r="E969">
        <v>39</v>
      </c>
      <c r="F969" t="s">
        <v>6</v>
      </c>
      <c r="G969">
        <f t="shared" si="36"/>
        <v>66</v>
      </c>
      <c r="H969" s="1" t="str">
        <f t="shared" si="37"/>
        <v>Tuesday</v>
      </c>
    </row>
    <row r="970" spans="1:8" x14ac:dyDescent="0.3">
      <c r="A970">
        <v>188175982</v>
      </c>
      <c r="B970" s="1">
        <v>44943</v>
      </c>
      <c r="C970" s="1">
        <v>44974</v>
      </c>
      <c r="D970" t="s">
        <v>7</v>
      </c>
      <c r="E970">
        <v>39</v>
      </c>
      <c r="F970" t="s">
        <v>6</v>
      </c>
      <c r="G970">
        <f t="shared" si="36"/>
        <v>31</v>
      </c>
      <c r="H970" s="1" t="str">
        <f t="shared" si="37"/>
        <v>Tuesday</v>
      </c>
    </row>
    <row r="971" spans="1:8" x14ac:dyDescent="0.3">
      <c r="A971">
        <v>169729060</v>
      </c>
      <c r="B971" s="1">
        <v>44943</v>
      </c>
      <c r="C971" s="1">
        <v>44976</v>
      </c>
      <c r="D971" t="s">
        <v>7</v>
      </c>
      <c r="E971">
        <v>39</v>
      </c>
      <c r="F971" t="s">
        <v>6</v>
      </c>
      <c r="G971">
        <f t="shared" si="36"/>
        <v>33</v>
      </c>
      <c r="H971" s="1" t="str">
        <f t="shared" si="37"/>
        <v>Tuesday</v>
      </c>
    </row>
    <row r="972" spans="1:8" x14ac:dyDescent="0.3">
      <c r="A972">
        <v>186841270</v>
      </c>
      <c r="B972" s="1">
        <v>44943</v>
      </c>
      <c r="C972" s="1">
        <v>44981</v>
      </c>
      <c r="D972" t="s">
        <v>7</v>
      </c>
      <c r="E972">
        <v>39</v>
      </c>
      <c r="F972" t="s">
        <v>6</v>
      </c>
      <c r="G972">
        <f t="shared" si="36"/>
        <v>38</v>
      </c>
      <c r="H972" s="1" t="str">
        <f t="shared" si="37"/>
        <v>Tuesday</v>
      </c>
    </row>
    <row r="973" spans="1:8" x14ac:dyDescent="0.3">
      <c r="A973">
        <v>154563993</v>
      </c>
      <c r="B973" s="1">
        <v>44943</v>
      </c>
      <c r="C973" s="1">
        <v>44982</v>
      </c>
      <c r="D973" t="s">
        <v>7</v>
      </c>
      <c r="E973">
        <v>39</v>
      </c>
      <c r="F973" t="s">
        <v>6</v>
      </c>
      <c r="G973">
        <f t="shared" si="36"/>
        <v>39</v>
      </c>
      <c r="H973" s="1" t="str">
        <f t="shared" si="37"/>
        <v>Tuesday</v>
      </c>
    </row>
    <row r="974" spans="1:8" x14ac:dyDescent="0.3">
      <c r="A974">
        <v>159767828</v>
      </c>
      <c r="B974" s="1">
        <v>44943</v>
      </c>
      <c r="C974" s="1">
        <v>44981</v>
      </c>
      <c r="D974" t="s">
        <v>7</v>
      </c>
      <c r="E974">
        <v>39</v>
      </c>
      <c r="F974" t="s">
        <v>6</v>
      </c>
      <c r="G974">
        <f t="shared" si="36"/>
        <v>38</v>
      </c>
      <c r="H974" s="1" t="str">
        <f t="shared" si="37"/>
        <v>Tuesday</v>
      </c>
    </row>
    <row r="975" spans="1:8" x14ac:dyDescent="0.3">
      <c r="A975">
        <v>183186612</v>
      </c>
      <c r="B975" s="1">
        <v>44943</v>
      </c>
      <c r="C975" s="1">
        <v>45135</v>
      </c>
      <c r="D975" t="s">
        <v>7</v>
      </c>
      <c r="E975">
        <v>39</v>
      </c>
      <c r="F975" t="s">
        <v>6</v>
      </c>
      <c r="G975">
        <f t="shared" si="36"/>
        <v>192</v>
      </c>
      <c r="H975" s="1" t="str">
        <f t="shared" si="37"/>
        <v>Tuesday</v>
      </c>
    </row>
    <row r="976" spans="1:8" x14ac:dyDescent="0.3">
      <c r="A976">
        <v>128603349</v>
      </c>
      <c r="B976" s="1">
        <v>44944</v>
      </c>
      <c r="C976" t="s">
        <v>19</v>
      </c>
      <c r="D976" t="s">
        <v>7</v>
      </c>
      <c r="E976">
        <v>39</v>
      </c>
      <c r="F976" t="s">
        <v>6</v>
      </c>
      <c r="G976" t="str">
        <f t="shared" si="36"/>
        <v>Active</v>
      </c>
      <c r="H976" s="1" t="str">
        <f t="shared" si="37"/>
        <v>Wednesday</v>
      </c>
    </row>
    <row r="977" spans="1:8" x14ac:dyDescent="0.3">
      <c r="A977">
        <v>183736457</v>
      </c>
      <c r="B977" s="1">
        <v>44944</v>
      </c>
      <c r="C977" s="1">
        <v>44945</v>
      </c>
      <c r="D977" t="s">
        <v>8</v>
      </c>
      <c r="E977">
        <v>39</v>
      </c>
      <c r="F977" t="s">
        <v>6</v>
      </c>
      <c r="G977">
        <f t="shared" si="36"/>
        <v>1</v>
      </c>
      <c r="H977" s="1" t="str">
        <f t="shared" si="37"/>
        <v>Wednesday</v>
      </c>
    </row>
    <row r="978" spans="1:8" x14ac:dyDescent="0.3">
      <c r="A978">
        <v>188115641</v>
      </c>
      <c r="B978" s="1">
        <v>44944</v>
      </c>
      <c r="C978" s="1">
        <v>44944</v>
      </c>
      <c r="D978" t="s">
        <v>8</v>
      </c>
      <c r="E978">
        <v>39</v>
      </c>
      <c r="F978" t="s">
        <v>6</v>
      </c>
      <c r="G978">
        <f t="shared" si="36"/>
        <v>0</v>
      </c>
      <c r="H978" s="1" t="str">
        <f t="shared" si="37"/>
        <v>Wednesday</v>
      </c>
    </row>
    <row r="979" spans="1:8" x14ac:dyDescent="0.3">
      <c r="A979">
        <v>188460699</v>
      </c>
      <c r="B979" s="1">
        <v>44944</v>
      </c>
      <c r="C979" s="1">
        <v>44944</v>
      </c>
      <c r="D979" t="s">
        <v>8</v>
      </c>
      <c r="E979">
        <v>39</v>
      </c>
      <c r="F979" t="s">
        <v>6</v>
      </c>
      <c r="G979">
        <f t="shared" si="36"/>
        <v>0</v>
      </c>
      <c r="H979" s="1" t="str">
        <f t="shared" si="37"/>
        <v>Wednesday</v>
      </c>
    </row>
    <row r="980" spans="1:8" x14ac:dyDescent="0.3">
      <c r="A980">
        <v>138228332</v>
      </c>
      <c r="B980" s="1">
        <v>44944</v>
      </c>
      <c r="C980" s="1">
        <v>44982</v>
      </c>
      <c r="D980" t="s">
        <v>7</v>
      </c>
      <c r="E980">
        <v>39</v>
      </c>
      <c r="F980" t="s">
        <v>6</v>
      </c>
      <c r="G980">
        <f t="shared" si="36"/>
        <v>38</v>
      </c>
      <c r="H980" s="1" t="str">
        <f t="shared" si="37"/>
        <v>Wednesday</v>
      </c>
    </row>
    <row r="981" spans="1:8" x14ac:dyDescent="0.3">
      <c r="A981">
        <v>184143564</v>
      </c>
      <c r="B981" s="1">
        <v>44944</v>
      </c>
      <c r="C981" s="1">
        <v>45068</v>
      </c>
      <c r="D981" t="s">
        <v>7</v>
      </c>
      <c r="E981">
        <v>39</v>
      </c>
      <c r="F981" t="s">
        <v>6</v>
      </c>
      <c r="G981">
        <f t="shared" si="36"/>
        <v>124</v>
      </c>
      <c r="H981" s="1" t="str">
        <f t="shared" si="37"/>
        <v>Wednesday</v>
      </c>
    </row>
    <row r="982" spans="1:8" x14ac:dyDescent="0.3">
      <c r="A982">
        <v>179508142</v>
      </c>
      <c r="B982" s="1">
        <v>44944</v>
      </c>
      <c r="C982" s="1">
        <v>45090</v>
      </c>
      <c r="D982" t="s">
        <v>7</v>
      </c>
      <c r="E982">
        <v>39</v>
      </c>
      <c r="F982" t="s">
        <v>6</v>
      </c>
      <c r="G982">
        <f t="shared" si="36"/>
        <v>146</v>
      </c>
      <c r="H982" s="1" t="str">
        <f t="shared" si="37"/>
        <v>Wednesday</v>
      </c>
    </row>
    <row r="983" spans="1:8" x14ac:dyDescent="0.3">
      <c r="A983">
        <v>188269607</v>
      </c>
      <c r="B983" s="1">
        <v>44944</v>
      </c>
      <c r="C983" s="1">
        <v>45032</v>
      </c>
      <c r="D983" t="s">
        <v>7</v>
      </c>
      <c r="E983">
        <v>39</v>
      </c>
      <c r="F983" t="s">
        <v>6</v>
      </c>
      <c r="G983">
        <f t="shared" si="36"/>
        <v>88</v>
      </c>
      <c r="H983" s="1" t="str">
        <f t="shared" si="37"/>
        <v>Wednesday</v>
      </c>
    </row>
    <row r="984" spans="1:8" x14ac:dyDescent="0.3">
      <c r="A984">
        <v>181890100</v>
      </c>
      <c r="B984" s="1">
        <v>44944</v>
      </c>
      <c r="C984" s="1">
        <v>45011</v>
      </c>
      <c r="D984" t="s">
        <v>7</v>
      </c>
      <c r="E984">
        <v>39</v>
      </c>
      <c r="F984" t="s">
        <v>6</v>
      </c>
      <c r="G984">
        <f t="shared" si="36"/>
        <v>67</v>
      </c>
      <c r="H984" s="1" t="str">
        <f t="shared" si="37"/>
        <v>Wednesday</v>
      </c>
    </row>
    <row r="985" spans="1:8" x14ac:dyDescent="0.3">
      <c r="A985">
        <v>185642830</v>
      </c>
      <c r="B985" s="1">
        <v>44944</v>
      </c>
      <c r="C985" s="1">
        <v>44999</v>
      </c>
      <c r="D985" t="s">
        <v>7</v>
      </c>
      <c r="E985">
        <v>39</v>
      </c>
      <c r="F985" t="s">
        <v>6</v>
      </c>
      <c r="G985">
        <f t="shared" si="36"/>
        <v>55</v>
      </c>
      <c r="H985" s="1" t="str">
        <f t="shared" si="37"/>
        <v>Wednesday</v>
      </c>
    </row>
    <row r="986" spans="1:8" x14ac:dyDescent="0.3">
      <c r="A986">
        <v>152223051</v>
      </c>
      <c r="B986" s="1">
        <v>44944</v>
      </c>
      <c r="C986" s="1">
        <v>44982</v>
      </c>
      <c r="D986" t="s">
        <v>7</v>
      </c>
      <c r="E986">
        <v>39</v>
      </c>
      <c r="F986" t="s">
        <v>6</v>
      </c>
      <c r="G986">
        <f t="shared" si="36"/>
        <v>38</v>
      </c>
      <c r="H986" s="1" t="str">
        <f t="shared" si="37"/>
        <v>Wednesday</v>
      </c>
    </row>
    <row r="987" spans="1:8" x14ac:dyDescent="0.3">
      <c r="A987">
        <v>156067850</v>
      </c>
      <c r="B987" s="1">
        <v>44944</v>
      </c>
      <c r="C987" s="1">
        <v>44975</v>
      </c>
      <c r="D987" t="s">
        <v>7</v>
      </c>
      <c r="E987">
        <v>39</v>
      </c>
      <c r="F987" t="s">
        <v>6</v>
      </c>
      <c r="G987">
        <f t="shared" si="36"/>
        <v>31</v>
      </c>
      <c r="H987" s="1" t="str">
        <f t="shared" si="37"/>
        <v>Wednesday</v>
      </c>
    </row>
    <row r="988" spans="1:8" x14ac:dyDescent="0.3">
      <c r="A988">
        <v>188701816</v>
      </c>
      <c r="B988" s="1">
        <v>44944</v>
      </c>
      <c r="C988" s="1">
        <v>44974</v>
      </c>
      <c r="D988" t="s">
        <v>7</v>
      </c>
      <c r="E988">
        <v>39</v>
      </c>
      <c r="F988" t="s">
        <v>6</v>
      </c>
      <c r="G988">
        <f t="shared" si="36"/>
        <v>30</v>
      </c>
      <c r="H988" s="1" t="str">
        <f t="shared" si="37"/>
        <v>Wednesday</v>
      </c>
    </row>
    <row r="989" spans="1:8" x14ac:dyDescent="0.3">
      <c r="A989">
        <v>188133192</v>
      </c>
      <c r="B989" s="1">
        <v>44944</v>
      </c>
      <c r="C989" s="1">
        <v>44976</v>
      </c>
      <c r="D989" t="s">
        <v>7</v>
      </c>
      <c r="E989">
        <v>39</v>
      </c>
      <c r="F989" t="s">
        <v>6</v>
      </c>
      <c r="G989">
        <f t="shared" si="36"/>
        <v>32</v>
      </c>
      <c r="H989" s="1" t="str">
        <f t="shared" si="37"/>
        <v>Wednesday</v>
      </c>
    </row>
    <row r="990" spans="1:8" x14ac:dyDescent="0.3">
      <c r="A990">
        <v>183936068</v>
      </c>
      <c r="B990" s="1">
        <v>44944</v>
      </c>
      <c r="C990" s="1">
        <v>45110</v>
      </c>
      <c r="D990" t="s">
        <v>7</v>
      </c>
      <c r="E990">
        <v>39</v>
      </c>
      <c r="F990" t="s">
        <v>6</v>
      </c>
      <c r="G990">
        <f t="shared" si="36"/>
        <v>166</v>
      </c>
      <c r="H990" s="1" t="str">
        <f t="shared" si="37"/>
        <v>Wednesday</v>
      </c>
    </row>
    <row r="991" spans="1:8" x14ac:dyDescent="0.3">
      <c r="A991">
        <v>188119778</v>
      </c>
      <c r="B991" s="1">
        <v>44944</v>
      </c>
      <c r="C991" s="1">
        <v>45095</v>
      </c>
      <c r="D991" t="s">
        <v>7</v>
      </c>
      <c r="E991">
        <v>39</v>
      </c>
      <c r="F991" t="s">
        <v>6</v>
      </c>
      <c r="G991">
        <f t="shared" si="36"/>
        <v>151</v>
      </c>
      <c r="H991" s="1" t="str">
        <f t="shared" si="37"/>
        <v>Wednesday</v>
      </c>
    </row>
    <row r="992" spans="1:8" x14ac:dyDescent="0.3">
      <c r="A992">
        <v>189410056</v>
      </c>
      <c r="B992" s="1">
        <v>44945</v>
      </c>
      <c r="C992" t="s">
        <v>19</v>
      </c>
      <c r="D992" t="s">
        <v>7</v>
      </c>
      <c r="E992">
        <v>39</v>
      </c>
      <c r="F992" t="s">
        <v>6</v>
      </c>
      <c r="G992" t="str">
        <f t="shared" si="36"/>
        <v>Active</v>
      </c>
      <c r="H992" s="1" t="str">
        <f t="shared" si="37"/>
        <v>Thursday</v>
      </c>
    </row>
    <row r="993" spans="1:8" x14ac:dyDescent="0.3">
      <c r="A993">
        <v>184970659</v>
      </c>
      <c r="B993" s="1">
        <v>44945</v>
      </c>
      <c r="C993" t="s">
        <v>19</v>
      </c>
      <c r="D993" t="s">
        <v>7</v>
      </c>
      <c r="E993">
        <v>39</v>
      </c>
      <c r="F993" t="s">
        <v>6</v>
      </c>
      <c r="G993" t="str">
        <f t="shared" si="36"/>
        <v>Active</v>
      </c>
      <c r="H993" s="1" t="str">
        <f t="shared" si="37"/>
        <v>Thursday</v>
      </c>
    </row>
    <row r="994" spans="1:8" x14ac:dyDescent="0.3">
      <c r="A994">
        <v>148476648</v>
      </c>
      <c r="B994" s="1">
        <v>44945</v>
      </c>
      <c r="C994" s="1">
        <v>45058</v>
      </c>
      <c r="D994" t="s">
        <v>7</v>
      </c>
      <c r="E994">
        <v>39</v>
      </c>
      <c r="F994" t="s">
        <v>6</v>
      </c>
      <c r="G994">
        <f t="shared" si="36"/>
        <v>113</v>
      </c>
      <c r="H994" s="1" t="str">
        <f t="shared" si="37"/>
        <v>Thursday</v>
      </c>
    </row>
    <row r="995" spans="1:8" x14ac:dyDescent="0.3">
      <c r="A995">
        <v>189289885</v>
      </c>
      <c r="B995" s="1">
        <v>44945</v>
      </c>
      <c r="C995" s="1">
        <v>45036</v>
      </c>
      <c r="D995" t="s">
        <v>7</v>
      </c>
      <c r="E995">
        <v>39</v>
      </c>
      <c r="F995" t="s">
        <v>6</v>
      </c>
      <c r="G995">
        <f t="shared" si="36"/>
        <v>91</v>
      </c>
      <c r="H995" s="1" t="str">
        <f t="shared" si="37"/>
        <v>Thursday</v>
      </c>
    </row>
    <row r="996" spans="1:8" x14ac:dyDescent="0.3">
      <c r="A996">
        <v>150442182</v>
      </c>
      <c r="B996" s="1">
        <v>44945</v>
      </c>
      <c r="C996" s="1">
        <v>45004</v>
      </c>
      <c r="D996" t="s">
        <v>7</v>
      </c>
      <c r="E996">
        <v>39</v>
      </c>
      <c r="F996" t="s">
        <v>6</v>
      </c>
      <c r="G996">
        <f t="shared" si="36"/>
        <v>59</v>
      </c>
      <c r="H996" s="1" t="str">
        <f t="shared" si="37"/>
        <v>Thursday</v>
      </c>
    </row>
    <row r="997" spans="1:8" x14ac:dyDescent="0.3">
      <c r="A997">
        <v>184826230</v>
      </c>
      <c r="B997" s="1">
        <v>44945</v>
      </c>
      <c r="C997" s="1">
        <v>44972</v>
      </c>
      <c r="D997" t="s">
        <v>7</v>
      </c>
      <c r="E997">
        <v>39</v>
      </c>
      <c r="F997" t="s">
        <v>6</v>
      </c>
      <c r="G997">
        <f t="shared" si="36"/>
        <v>27</v>
      </c>
      <c r="H997" s="1" t="str">
        <f t="shared" si="37"/>
        <v>Thursday</v>
      </c>
    </row>
    <row r="998" spans="1:8" x14ac:dyDescent="0.3">
      <c r="A998">
        <v>184786342</v>
      </c>
      <c r="B998" s="1">
        <v>44945</v>
      </c>
      <c r="C998" s="1">
        <v>44945</v>
      </c>
      <c r="D998" t="s">
        <v>7</v>
      </c>
      <c r="E998">
        <v>39</v>
      </c>
      <c r="F998" t="s">
        <v>6</v>
      </c>
      <c r="G998">
        <f t="shared" si="36"/>
        <v>0</v>
      </c>
      <c r="H998" s="1" t="str">
        <f t="shared" si="37"/>
        <v>Thursday</v>
      </c>
    </row>
    <row r="999" spans="1:8" x14ac:dyDescent="0.3">
      <c r="A999">
        <v>181565760</v>
      </c>
      <c r="B999" s="1">
        <v>44945</v>
      </c>
      <c r="C999" s="1">
        <v>44952</v>
      </c>
      <c r="D999" t="s">
        <v>7</v>
      </c>
      <c r="E999">
        <v>39</v>
      </c>
      <c r="F999" t="s">
        <v>6</v>
      </c>
      <c r="G999">
        <f t="shared" si="36"/>
        <v>7</v>
      </c>
      <c r="H999" s="1" t="str">
        <f t="shared" si="37"/>
        <v>Thursday</v>
      </c>
    </row>
    <row r="1000" spans="1:8" x14ac:dyDescent="0.3">
      <c r="A1000">
        <v>189278478</v>
      </c>
      <c r="B1000" s="1">
        <v>44946</v>
      </c>
      <c r="C1000" t="s">
        <v>19</v>
      </c>
      <c r="D1000" t="s">
        <v>7</v>
      </c>
      <c r="E1000">
        <v>39</v>
      </c>
      <c r="F1000" t="s">
        <v>6</v>
      </c>
      <c r="G1000" t="str">
        <f t="shared" si="36"/>
        <v>Active</v>
      </c>
      <c r="H1000" s="1" t="str">
        <f t="shared" si="37"/>
        <v>Friday</v>
      </c>
    </row>
    <row r="1001" spans="1:8" x14ac:dyDescent="0.3">
      <c r="A1001">
        <v>184066428</v>
      </c>
      <c r="B1001" s="1">
        <v>44946</v>
      </c>
      <c r="C1001" t="s">
        <v>19</v>
      </c>
      <c r="D1001" t="s">
        <v>7</v>
      </c>
      <c r="E1001">
        <v>39</v>
      </c>
      <c r="F1001" t="s">
        <v>6</v>
      </c>
      <c r="G1001" t="str">
        <f t="shared" si="36"/>
        <v>Active</v>
      </c>
      <c r="H1001" s="1" t="str">
        <f t="shared" si="37"/>
        <v>Friday</v>
      </c>
    </row>
    <row r="1002" spans="1:8" x14ac:dyDescent="0.3">
      <c r="A1002">
        <v>135771077</v>
      </c>
      <c r="B1002" s="1">
        <v>44946</v>
      </c>
      <c r="C1002" t="s">
        <v>19</v>
      </c>
      <c r="D1002" t="s">
        <v>7</v>
      </c>
      <c r="E1002">
        <v>39</v>
      </c>
      <c r="F1002" t="s">
        <v>6</v>
      </c>
      <c r="G1002" t="str">
        <f t="shared" si="36"/>
        <v>Active</v>
      </c>
      <c r="H1002" s="1" t="str">
        <f t="shared" si="37"/>
        <v>Friday</v>
      </c>
    </row>
    <row r="1003" spans="1:8" x14ac:dyDescent="0.3">
      <c r="A1003">
        <v>184831280</v>
      </c>
      <c r="B1003" s="1">
        <v>44946</v>
      </c>
      <c r="C1003" s="1">
        <v>45055</v>
      </c>
      <c r="D1003" t="s">
        <v>7</v>
      </c>
      <c r="E1003">
        <v>39</v>
      </c>
      <c r="F1003" t="s">
        <v>6</v>
      </c>
      <c r="G1003">
        <f t="shared" si="36"/>
        <v>109</v>
      </c>
      <c r="H1003" s="1" t="str">
        <f t="shared" si="37"/>
        <v>Friday</v>
      </c>
    </row>
    <row r="1004" spans="1:8" x14ac:dyDescent="0.3">
      <c r="A1004">
        <v>188828652</v>
      </c>
      <c r="B1004" s="1">
        <v>44946</v>
      </c>
      <c r="C1004" s="1">
        <v>45047</v>
      </c>
      <c r="D1004" t="s">
        <v>7</v>
      </c>
      <c r="E1004">
        <v>39</v>
      </c>
      <c r="F1004" t="s">
        <v>6</v>
      </c>
      <c r="G1004">
        <f t="shared" si="36"/>
        <v>101</v>
      </c>
      <c r="H1004" s="1" t="str">
        <f t="shared" si="37"/>
        <v>Friday</v>
      </c>
    </row>
    <row r="1005" spans="1:8" x14ac:dyDescent="0.3">
      <c r="A1005">
        <v>188666673</v>
      </c>
      <c r="B1005" s="1">
        <v>44946</v>
      </c>
      <c r="C1005" s="1">
        <v>44993</v>
      </c>
      <c r="D1005" t="s">
        <v>7</v>
      </c>
      <c r="E1005">
        <v>39</v>
      </c>
      <c r="F1005" t="s">
        <v>6</v>
      </c>
      <c r="G1005">
        <f t="shared" si="36"/>
        <v>47</v>
      </c>
      <c r="H1005" s="1" t="str">
        <f t="shared" si="37"/>
        <v>Friday</v>
      </c>
    </row>
    <row r="1006" spans="1:8" x14ac:dyDescent="0.3">
      <c r="A1006">
        <v>189880452</v>
      </c>
      <c r="B1006" s="1">
        <v>44946</v>
      </c>
      <c r="C1006" s="1">
        <v>44976</v>
      </c>
      <c r="D1006" t="s">
        <v>7</v>
      </c>
      <c r="E1006">
        <v>39</v>
      </c>
      <c r="F1006" t="s">
        <v>6</v>
      </c>
      <c r="G1006">
        <f t="shared" si="36"/>
        <v>30</v>
      </c>
      <c r="H1006" s="1" t="str">
        <f t="shared" si="37"/>
        <v>Friday</v>
      </c>
    </row>
    <row r="1007" spans="1:8" x14ac:dyDescent="0.3">
      <c r="A1007">
        <v>160986271</v>
      </c>
      <c r="B1007" s="1">
        <v>44946</v>
      </c>
      <c r="C1007" s="1">
        <v>44984</v>
      </c>
      <c r="D1007" t="s">
        <v>7</v>
      </c>
      <c r="E1007">
        <v>39</v>
      </c>
      <c r="F1007" t="s">
        <v>6</v>
      </c>
      <c r="G1007">
        <f t="shared" si="36"/>
        <v>38</v>
      </c>
      <c r="H1007" s="1" t="str">
        <f t="shared" si="37"/>
        <v>Friday</v>
      </c>
    </row>
    <row r="1008" spans="1:8" x14ac:dyDescent="0.3">
      <c r="A1008">
        <v>187895888</v>
      </c>
      <c r="B1008" s="1">
        <v>44946</v>
      </c>
      <c r="C1008" s="1">
        <v>44970</v>
      </c>
      <c r="D1008" t="s">
        <v>7</v>
      </c>
      <c r="E1008">
        <v>39</v>
      </c>
      <c r="F1008" t="s">
        <v>6</v>
      </c>
      <c r="G1008">
        <f t="shared" si="36"/>
        <v>24</v>
      </c>
      <c r="H1008" s="1" t="str">
        <f t="shared" si="37"/>
        <v>Friday</v>
      </c>
    </row>
    <row r="1009" spans="1:8" x14ac:dyDescent="0.3">
      <c r="A1009">
        <v>190871376</v>
      </c>
      <c r="B1009" s="1">
        <v>44947</v>
      </c>
      <c r="C1009" t="s">
        <v>19</v>
      </c>
      <c r="D1009" t="s">
        <v>7</v>
      </c>
      <c r="E1009">
        <v>39</v>
      </c>
      <c r="F1009" t="s">
        <v>6</v>
      </c>
      <c r="G1009" t="str">
        <f t="shared" si="36"/>
        <v>Active</v>
      </c>
      <c r="H1009" s="1" t="str">
        <f t="shared" si="37"/>
        <v>Saturday</v>
      </c>
    </row>
    <row r="1010" spans="1:8" x14ac:dyDescent="0.3">
      <c r="A1010">
        <v>166750222</v>
      </c>
      <c r="B1010" s="1">
        <v>44947</v>
      </c>
      <c r="C1010" s="1">
        <v>45048</v>
      </c>
      <c r="D1010" t="s">
        <v>7</v>
      </c>
      <c r="E1010">
        <v>39</v>
      </c>
      <c r="F1010" t="s">
        <v>6</v>
      </c>
      <c r="G1010">
        <f t="shared" si="36"/>
        <v>101</v>
      </c>
      <c r="H1010" s="1" t="str">
        <f t="shared" si="37"/>
        <v>Saturday</v>
      </c>
    </row>
    <row r="1011" spans="1:8" x14ac:dyDescent="0.3">
      <c r="A1011">
        <v>189360536</v>
      </c>
      <c r="B1011" s="1">
        <v>44947</v>
      </c>
      <c r="C1011" s="1">
        <v>45041</v>
      </c>
      <c r="D1011" t="s">
        <v>7</v>
      </c>
      <c r="E1011">
        <v>39</v>
      </c>
      <c r="F1011" t="s">
        <v>6</v>
      </c>
      <c r="G1011">
        <f t="shared" si="36"/>
        <v>94</v>
      </c>
      <c r="H1011" s="1" t="str">
        <f t="shared" si="37"/>
        <v>Saturday</v>
      </c>
    </row>
    <row r="1012" spans="1:8" x14ac:dyDescent="0.3">
      <c r="A1012">
        <v>188197564</v>
      </c>
      <c r="B1012" s="1">
        <v>44947</v>
      </c>
      <c r="C1012" s="1">
        <v>45036</v>
      </c>
      <c r="D1012" t="s">
        <v>7</v>
      </c>
      <c r="E1012">
        <v>39</v>
      </c>
      <c r="F1012" t="s">
        <v>6</v>
      </c>
      <c r="G1012">
        <f t="shared" si="36"/>
        <v>89</v>
      </c>
      <c r="H1012" s="1" t="str">
        <f t="shared" si="37"/>
        <v>Saturday</v>
      </c>
    </row>
    <row r="1013" spans="1:8" x14ac:dyDescent="0.3">
      <c r="A1013">
        <v>191034251</v>
      </c>
      <c r="B1013" s="1">
        <v>44947</v>
      </c>
      <c r="C1013" s="1">
        <v>44972</v>
      </c>
      <c r="D1013" t="s">
        <v>7</v>
      </c>
      <c r="E1013">
        <v>39</v>
      </c>
      <c r="F1013" t="s">
        <v>6</v>
      </c>
      <c r="G1013">
        <f t="shared" si="36"/>
        <v>25</v>
      </c>
      <c r="H1013" s="1" t="str">
        <f t="shared" si="37"/>
        <v>Saturday</v>
      </c>
    </row>
    <row r="1014" spans="1:8" x14ac:dyDescent="0.3">
      <c r="A1014">
        <v>182972593</v>
      </c>
      <c r="B1014" s="1">
        <v>44947</v>
      </c>
      <c r="C1014" s="1">
        <v>44960</v>
      </c>
      <c r="D1014" t="s">
        <v>7</v>
      </c>
      <c r="E1014">
        <v>39</v>
      </c>
      <c r="F1014" t="s">
        <v>6</v>
      </c>
      <c r="G1014">
        <f t="shared" si="36"/>
        <v>13</v>
      </c>
      <c r="H1014" s="1" t="str">
        <f t="shared" si="37"/>
        <v>Saturday</v>
      </c>
    </row>
    <row r="1015" spans="1:8" x14ac:dyDescent="0.3">
      <c r="A1015">
        <v>182958960</v>
      </c>
      <c r="B1015" s="1">
        <v>44948</v>
      </c>
      <c r="C1015" s="1">
        <v>44949</v>
      </c>
      <c r="D1015" t="s">
        <v>7</v>
      </c>
      <c r="E1015">
        <v>39</v>
      </c>
      <c r="F1015" t="s">
        <v>6</v>
      </c>
      <c r="G1015">
        <f t="shared" si="36"/>
        <v>1</v>
      </c>
      <c r="H1015" s="1" t="str">
        <f t="shared" si="37"/>
        <v>Sunday</v>
      </c>
    </row>
    <row r="1016" spans="1:8" x14ac:dyDescent="0.3">
      <c r="A1016">
        <v>163220556</v>
      </c>
      <c r="B1016" s="1">
        <v>44948</v>
      </c>
      <c r="C1016" s="1">
        <v>44994</v>
      </c>
      <c r="D1016" t="s">
        <v>7</v>
      </c>
      <c r="E1016">
        <v>39</v>
      </c>
      <c r="F1016" t="s">
        <v>6</v>
      </c>
      <c r="G1016">
        <f t="shared" si="36"/>
        <v>46</v>
      </c>
      <c r="H1016" s="1" t="str">
        <f t="shared" si="37"/>
        <v>Sunday</v>
      </c>
    </row>
    <row r="1017" spans="1:8" x14ac:dyDescent="0.3">
      <c r="A1017">
        <v>191730833</v>
      </c>
      <c r="B1017" s="1">
        <v>44948</v>
      </c>
      <c r="C1017" s="1">
        <v>45006</v>
      </c>
      <c r="D1017" t="s">
        <v>7</v>
      </c>
      <c r="E1017">
        <v>39</v>
      </c>
      <c r="F1017" t="s">
        <v>6</v>
      </c>
      <c r="G1017">
        <f t="shared" si="36"/>
        <v>58</v>
      </c>
      <c r="H1017" s="1" t="str">
        <f t="shared" si="37"/>
        <v>Sunday</v>
      </c>
    </row>
    <row r="1018" spans="1:8" x14ac:dyDescent="0.3">
      <c r="A1018">
        <v>189680563</v>
      </c>
      <c r="B1018" s="1">
        <v>44948</v>
      </c>
      <c r="C1018" s="1">
        <v>45006</v>
      </c>
      <c r="D1018" t="s">
        <v>7</v>
      </c>
      <c r="E1018">
        <v>39</v>
      </c>
      <c r="F1018" t="s">
        <v>6</v>
      </c>
      <c r="G1018">
        <f t="shared" si="36"/>
        <v>58</v>
      </c>
      <c r="H1018" s="1" t="str">
        <f t="shared" si="37"/>
        <v>Sunday</v>
      </c>
    </row>
    <row r="1019" spans="1:8" x14ac:dyDescent="0.3">
      <c r="A1019">
        <v>190666110</v>
      </c>
      <c r="B1019" s="1">
        <v>44949</v>
      </c>
      <c r="C1019" t="s">
        <v>19</v>
      </c>
      <c r="D1019" t="s">
        <v>7</v>
      </c>
      <c r="E1019">
        <v>39</v>
      </c>
      <c r="F1019" t="s">
        <v>6</v>
      </c>
      <c r="G1019" t="str">
        <f t="shared" si="36"/>
        <v>Active</v>
      </c>
      <c r="H1019" s="1" t="str">
        <f t="shared" si="37"/>
        <v>Monday</v>
      </c>
    </row>
    <row r="1020" spans="1:8" x14ac:dyDescent="0.3">
      <c r="A1020">
        <v>180622613</v>
      </c>
      <c r="B1020" s="1">
        <v>44949</v>
      </c>
      <c r="C1020" t="s">
        <v>19</v>
      </c>
      <c r="D1020" t="s">
        <v>7</v>
      </c>
      <c r="E1020">
        <v>39</v>
      </c>
      <c r="F1020" t="s">
        <v>6</v>
      </c>
      <c r="G1020" t="str">
        <f t="shared" si="36"/>
        <v>Active</v>
      </c>
      <c r="H1020" s="1" t="str">
        <f t="shared" si="37"/>
        <v>Monday</v>
      </c>
    </row>
    <row r="1021" spans="1:8" x14ac:dyDescent="0.3">
      <c r="A1021">
        <v>188827172</v>
      </c>
      <c r="B1021" s="1">
        <v>44949</v>
      </c>
      <c r="C1021" t="s">
        <v>19</v>
      </c>
      <c r="D1021" t="s">
        <v>7</v>
      </c>
      <c r="E1021">
        <v>39</v>
      </c>
      <c r="F1021" t="s">
        <v>6</v>
      </c>
      <c r="G1021" t="str">
        <f t="shared" si="36"/>
        <v>Active</v>
      </c>
      <c r="H1021" s="1" t="str">
        <f t="shared" si="37"/>
        <v>Monday</v>
      </c>
    </row>
    <row r="1022" spans="1:8" x14ac:dyDescent="0.3">
      <c r="A1022">
        <v>188068965</v>
      </c>
      <c r="B1022" s="1">
        <v>44949</v>
      </c>
      <c r="C1022" s="1">
        <v>45076</v>
      </c>
      <c r="D1022" t="s">
        <v>7</v>
      </c>
      <c r="E1022">
        <v>39</v>
      </c>
      <c r="F1022" t="s">
        <v>6</v>
      </c>
      <c r="G1022">
        <f t="shared" si="36"/>
        <v>127</v>
      </c>
      <c r="H1022" s="1" t="str">
        <f t="shared" si="37"/>
        <v>Monday</v>
      </c>
    </row>
    <row r="1023" spans="1:8" x14ac:dyDescent="0.3">
      <c r="A1023">
        <v>182958960</v>
      </c>
      <c r="B1023" s="1">
        <v>44949</v>
      </c>
      <c r="C1023" s="1">
        <v>44987</v>
      </c>
      <c r="D1023" t="s">
        <v>7</v>
      </c>
      <c r="E1023">
        <v>39</v>
      </c>
      <c r="F1023" t="s">
        <v>6</v>
      </c>
      <c r="G1023">
        <f t="shared" si="36"/>
        <v>38</v>
      </c>
      <c r="H1023" s="1" t="str">
        <f t="shared" si="37"/>
        <v>Monday</v>
      </c>
    </row>
    <row r="1024" spans="1:8" x14ac:dyDescent="0.3">
      <c r="A1024">
        <v>191999674</v>
      </c>
      <c r="B1024" s="1">
        <v>44949</v>
      </c>
      <c r="C1024" s="1">
        <v>44970</v>
      </c>
      <c r="D1024" t="s">
        <v>7</v>
      </c>
      <c r="E1024">
        <v>39</v>
      </c>
      <c r="F1024" t="s">
        <v>6</v>
      </c>
      <c r="G1024">
        <f t="shared" si="36"/>
        <v>21</v>
      </c>
      <c r="H1024" s="1" t="str">
        <f t="shared" si="37"/>
        <v>Monday</v>
      </c>
    </row>
    <row r="1025" spans="1:8" x14ac:dyDescent="0.3">
      <c r="A1025">
        <v>183451114</v>
      </c>
      <c r="B1025" s="1">
        <v>44949</v>
      </c>
      <c r="C1025" s="1">
        <v>45168</v>
      </c>
      <c r="D1025" t="s">
        <v>7</v>
      </c>
      <c r="E1025">
        <v>39</v>
      </c>
      <c r="F1025" t="s">
        <v>6</v>
      </c>
      <c r="G1025">
        <f t="shared" si="36"/>
        <v>219</v>
      </c>
      <c r="H1025" s="1" t="str">
        <f t="shared" si="37"/>
        <v>Monday</v>
      </c>
    </row>
    <row r="1026" spans="1:8" x14ac:dyDescent="0.3">
      <c r="A1026">
        <v>191807491</v>
      </c>
      <c r="B1026" s="1">
        <v>44950</v>
      </c>
      <c r="C1026" t="s">
        <v>19</v>
      </c>
      <c r="D1026" t="s">
        <v>7</v>
      </c>
      <c r="E1026">
        <v>39</v>
      </c>
      <c r="F1026" t="s">
        <v>6</v>
      </c>
      <c r="G1026" t="str">
        <f t="shared" si="36"/>
        <v>Active</v>
      </c>
      <c r="H1026" s="1" t="str">
        <f t="shared" si="37"/>
        <v>Tuesday</v>
      </c>
    </row>
    <row r="1027" spans="1:8" x14ac:dyDescent="0.3">
      <c r="A1027">
        <v>157833252</v>
      </c>
      <c r="B1027" s="1">
        <v>44950</v>
      </c>
      <c r="C1027" s="1">
        <v>45176</v>
      </c>
      <c r="D1027" t="s">
        <v>7</v>
      </c>
      <c r="E1027">
        <v>39</v>
      </c>
      <c r="F1027" t="s">
        <v>6</v>
      </c>
      <c r="G1027">
        <f t="shared" ref="G1027:G1090" si="38">IF(C1027="Active","Active",C1027-B1027)</f>
        <v>226</v>
      </c>
      <c r="H1027" s="1" t="str">
        <f t="shared" ref="H1027:H1090" si="39">TEXT(B1027,"dddd")</f>
        <v>Tuesday</v>
      </c>
    </row>
    <row r="1028" spans="1:8" x14ac:dyDescent="0.3">
      <c r="A1028">
        <v>188162430</v>
      </c>
      <c r="B1028" s="1">
        <v>44950</v>
      </c>
      <c r="C1028" s="1">
        <v>45093</v>
      </c>
      <c r="D1028" t="s">
        <v>7</v>
      </c>
      <c r="E1028">
        <v>39</v>
      </c>
      <c r="F1028" t="s">
        <v>6</v>
      </c>
      <c r="G1028">
        <f t="shared" si="38"/>
        <v>143</v>
      </c>
      <c r="H1028" s="1" t="str">
        <f t="shared" si="39"/>
        <v>Tuesday</v>
      </c>
    </row>
    <row r="1029" spans="1:8" x14ac:dyDescent="0.3">
      <c r="A1029">
        <v>190733249</v>
      </c>
      <c r="B1029" s="1">
        <v>44950</v>
      </c>
      <c r="C1029" s="1">
        <v>45005</v>
      </c>
      <c r="D1029" t="s">
        <v>7</v>
      </c>
      <c r="E1029">
        <v>39</v>
      </c>
      <c r="F1029" t="s">
        <v>6</v>
      </c>
      <c r="G1029">
        <f t="shared" si="38"/>
        <v>55</v>
      </c>
      <c r="H1029" s="1" t="str">
        <f t="shared" si="39"/>
        <v>Tuesday</v>
      </c>
    </row>
    <row r="1030" spans="1:8" x14ac:dyDescent="0.3">
      <c r="A1030">
        <v>192539054</v>
      </c>
      <c r="B1030" s="1">
        <v>44950</v>
      </c>
      <c r="C1030" s="1">
        <v>44985</v>
      </c>
      <c r="D1030" t="s">
        <v>7</v>
      </c>
      <c r="E1030">
        <v>39</v>
      </c>
      <c r="F1030" t="s">
        <v>6</v>
      </c>
      <c r="G1030">
        <f t="shared" si="38"/>
        <v>35</v>
      </c>
      <c r="H1030" s="1" t="str">
        <f t="shared" si="39"/>
        <v>Tuesday</v>
      </c>
    </row>
    <row r="1031" spans="1:8" x14ac:dyDescent="0.3">
      <c r="A1031">
        <v>193572822</v>
      </c>
      <c r="B1031" s="1">
        <v>44950</v>
      </c>
      <c r="C1031" s="1">
        <v>44977</v>
      </c>
      <c r="D1031" t="s">
        <v>7</v>
      </c>
      <c r="E1031">
        <v>39</v>
      </c>
      <c r="F1031" t="s">
        <v>6</v>
      </c>
      <c r="G1031">
        <f t="shared" si="38"/>
        <v>27</v>
      </c>
      <c r="H1031" s="1" t="str">
        <f t="shared" si="39"/>
        <v>Tuesday</v>
      </c>
    </row>
    <row r="1032" spans="1:8" x14ac:dyDescent="0.3">
      <c r="A1032">
        <v>141399368</v>
      </c>
      <c r="B1032" s="1">
        <v>44951</v>
      </c>
      <c r="C1032" t="s">
        <v>19</v>
      </c>
      <c r="D1032" t="s">
        <v>7</v>
      </c>
      <c r="E1032">
        <v>39</v>
      </c>
      <c r="F1032" t="s">
        <v>6</v>
      </c>
      <c r="G1032" t="str">
        <f t="shared" si="38"/>
        <v>Active</v>
      </c>
      <c r="H1032" s="1" t="str">
        <f t="shared" si="39"/>
        <v>Wednesday</v>
      </c>
    </row>
    <row r="1033" spans="1:8" x14ac:dyDescent="0.3">
      <c r="A1033">
        <v>193285633</v>
      </c>
      <c r="B1033" s="1">
        <v>44951</v>
      </c>
      <c r="C1033" t="s">
        <v>19</v>
      </c>
      <c r="D1033" t="s">
        <v>7</v>
      </c>
      <c r="E1033">
        <v>39</v>
      </c>
      <c r="F1033" t="s">
        <v>6</v>
      </c>
      <c r="G1033" t="str">
        <f t="shared" si="38"/>
        <v>Active</v>
      </c>
      <c r="H1033" s="1" t="str">
        <f t="shared" si="39"/>
        <v>Wednesday</v>
      </c>
    </row>
    <row r="1034" spans="1:8" x14ac:dyDescent="0.3">
      <c r="A1034">
        <v>193891378</v>
      </c>
      <c r="B1034" s="1">
        <v>44951</v>
      </c>
      <c r="C1034" t="s">
        <v>19</v>
      </c>
      <c r="D1034" t="s">
        <v>7</v>
      </c>
      <c r="E1034">
        <v>39</v>
      </c>
      <c r="F1034" t="s">
        <v>6</v>
      </c>
      <c r="G1034" t="str">
        <f t="shared" si="38"/>
        <v>Active</v>
      </c>
      <c r="H1034" s="1" t="str">
        <f t="shared" si="39"/>
        <v>Wednesday</v>
      </c>
    </row>
    <row r="1035" spans="1:8" x14ac:dyDescent="0.3">
      <c r="A1035">
        <v>153628260</v>
      </c>
      <c r="B1035" s="1">
        <v>44951</v>
      </c>
      <c r="C1035" s="1">
        <v>44952</v>
      </c>
      <c r="D1035" t="s">
        <v>7</v>
      </c>
      <c r="E1035">
        <v>39</v>
      </c>
      <c r="F1035" t="s">
        <v>6</v>
      </c>
      <c r="G1035">
        <f t="shared" si="38"/>
        <v>1</v>
      </c>
      <c r="H1035" s="1" t="str">
        <f t="shared" si="39"/>
        <v>Wednesday</v>
      </c>
    </row>
    <row r="1036" spans="1:8" x14ac:dyDescent="0.3">
      <c r="A1036">
        <v>194719566</v>
      </c>
      <c r="B1036" s="1">
        <v>44951</v>
      </c>
      <c r="C1036" s="1">
        <v>44951</v>
      </c>
      <c r="D1036" t="s">
        <v>8</v>
      </c>
      <c r="E1036">
        <v>39</v>
      </c>
      <c r="F1036" t="s">
        <v>6</v>
      </c>
      <c r="G1036">
        <f t="shared" si="38"/>
        <v>0</v>
      </c>
      <c r="H1036" s="1" t="str">
        <f t="shared" si="39"/>
        <v>Wednesday</v>
      </c>
    </row>
    <row r="1037" spans="1:8" x14ac:dyDescent="0.3">
      <c r="A1037">
        <v>176559401</v>
      </c>
      <c r="B1037" s="1">
        <v>44951</v>
      </c>
      <c r="C1037" s="1">
        <v>44951</v>
      </c>
      <c r="D1037" t="s">
        <v>8</v>
      </c>
      <c r="E1037">
        <v>39</v>
      </c>
      <c r="F1037" t="s">
        <v>6</v>
      </c>
      <c r="G1037">
        <f t="shared" si="38"/>
        <v>0</v>
      </c>
      <c r="H1037" s="1" t="str">
        <f t="shared" si="39"/>
        <v>Wednesday</v>
      </c>
    </row>
    <row r="1038" spans="1:8" x14ac:dyDescent="0.3">
      <c r="A1038">
        <v>150178354</v>
      </c>
      <c r="B1038" s="1">
        <v>44951</v>
      </c>
      <c r="C1038" s="1">
        <v>45071</v>
      </c>
      <c r="D1038" t="s">
        <v>7</v>
      </c>
      <c r="E1038">
        <v>39</v>
      </c>
      <c r="F1038" t="s">
        <v>6</v>
      </c>
      <c r="G1038">
        <f t="shared" si="38"/>
        <v>120</v>
      </c>
      <c r="H1038" s="1" t="str">
        <f t="shared" si="39"/>
        <v>Wednesday</v>
      </c>
    </row>
    <row r="1039" spans="1:8" x14ac:dyDescent="0.3">
      <c r="A1039">
        <v>192395073</v>
      </c>
      <c r="B1039" s="1">
        <v>44951</v>
      </c>
      <c r="C1039" s="1">
        <v>45022</v>
      </c>
      <c r="D1039" t="s">
        <v>7</v>
      </c>
      <c r="E1039">
        <v>39</v>
      </c>
      <c r="F1039" t="s">
        <v>6</v>
      </c>
      <c r="G1039">
        <f t="shared" si="38"/>
        <v>71</v>
      </c>
      <c r="H1039" s="1" t="str">
        <f t="shared" si="39"/>
        <v>Wednesday</v>
      </c>
    </row>
    <row r="1040" spans="1:8" x14ac:dyDescent="0.3">
      <c r="A1040">
        <v>152690237</v>
      </c>
      <c r="B1040" s="1">
        <v>44951</v>
      </c>
      <c r="C1040" s="1">
        <v>45007</v>
      </c>
      <c r="D1040" t="s">
        <v>7</v>
      </c>
      <c r="E1040">
        <v>39</v>
      </c>
      <c r="F1040" t="s">
        <v>6</v>
      </c>
      <c r="G1040">
        <f t="shared" si="38"/>
        <v>56</v>
      </c>
      <c r="H1040" s="1" t="str">
        <f t="shared" si="39"/>
        <v>Wednesday</v>
      </c>
    </row>
    <row r="1041" spans="1:8" x14ac:dyDescent="0.3">
      <c r="A1041">
        <v>151572886</v>
      </c>
      <c r="B1041" s="1">
        <v>44951</v>
      </c>
      <c r="C1041" s="1">
        <v>44997</v>
      </c>
      <c r="D1041" t="s">
        <v>7</v>
      </c>
      <c r="E1041">
        <v>39</v>
      </c>
      <c r="F1041" t="s">
        <v>6</v>
      </c>
      <c r="G1041">
        <f t="shared" si="38"/>
        <v>46</v>
      </c>
      <c r="H1041" s="1" t="str">
        <f t="shared" si="39"/>
        <v>Wednesday</v>
      </c>
    </row>
    <row r="1042" spans="1:8" x14ac:dyDescent="0.3">
      <c r="A1042">
        <v>193869975</v>
      </c>
      <c r="B1042" s="1">
        <v>44951</v>
      </c>
      <c r="C1042" s="1">
        <v>45000</v>
      </c>
      <c r="D1042" t="s">
        <v>7</v>
      </c>
      <c r="E1042">
        <v>39</v>
      </c>
      <c r="F1042" t="s">
        <v>6</v>
      </c>
      <c r="G1042">
        <f t="shared" si="38"/>
        <v>49</v>
      </c>
      <c r="H1042" s="1" t="str">
        <f t="shared" si="39"/>
        <v>Wednesday</v>
      </c>
    </row>
    <row r="1043" spans="1:8" x14ac:dyDescent="0.3">
      <c r="A1043">
        <v>175077871</v>
      </c>
      <c r="B1043" s="1">
        <v>44951</v>
      </c>
      <c r="C1043" s="1">
        <v>45000</v>
      </c>
      <c r="D1043" t="s">
        <v>7</v>
      </c>
      <c r="E1043">
        <v>39</v>
      </c>
      <c r="F1043" t="s">
        <v>6</v>
      </c>
      <c r="G1043">
        <f t="shared" si="38"/>
        <v>49</v>
      </c>
      <c r="H1043" s="1" t="str">
        <f t="shared" si="39"/>
        <v>Wednesday</v>
      </c>
    </row>
    <row r="1044" spans="1:8" x14ac:dyDescent="0.3">
      <c r="A1044">
        <v>193229869</v>
      </c>
      <c r="B1044" s="1">
        <v>44951</v>
      </c>
      <c r="C1044" s="1">
        <v>44986</v>
      </c>
      <c r="D1044" t="s">
        <v>7</v>
      </c>
      <c r="E1044">
        <v>39</v>
      </c>
      <c r="F1044" t="s">
        <v>6</v>
      </c>
      <c r="G1044">
        <f t="shared" si="38"/>
        <v>35</v>
      </c>
      <c r="H1044" s="1" t="str">
        <f t="shared" si="39"/>
        <v>Wednesday</v>
      </c>
    </row>
    <row r="1045" spans="1:8" x14ac:dyDescent="0.3">
      <c r="A1045">
        <v>189257579</v>
      </c>
      <c r="B1045" s="1">
        <v>44952</v>
      </c>
      <c r="C1045" t="s">
        <v>19</v>
      </c>
      <c r="D1045" t="s">
        <v>7</v>
      </c>
      <c r="E1045">
        <v>39</v>
      </c>
      <c r="F1045" t="s">
        <v>6</v>
      </c>
      <c r="G1045" t="str">
        <f t="shared" si="38"/>
        <v>Active</v>
      </c>
      <c r="H1045" s="1" t="str">
        <f t="shared" si="39"/>
        <v>Thursday</v>
      </c>
    </row>
    <row r="1046" spans="1:8" x14ac:dyDescent="0.3">
      <c r="A1046">
        <v>184333409</v>
      </c>
      <c r="B1046" s="1">
        <v>44952</v>
      </c>
      <c r="C1046" t="s">
        <v>19</v>
      </c>
      <c r="D1046" t="s">
        <v>7</v>
      </c>
      <c r="E1046">
        <v>39</v>
      </c>
      <c r="F1046" t="s">
        <v>6</v>
      </c>
      <c r="G1046" t="str">
        <f t="shared" si="38"/>
        <v>Active</v>
      </c>
      <c r="H1046" s="1" t="str">
        <f t="shared" si="39"/>
        <v>Thursday</v>
      </c>
    </row>
    <row r="1047" spans="1:8" x14ac:dyDescent="0.3">
      <c r="A1047">
        <v>144719454</v>
      </c>
      <c r="B1047" s="1">
        <v>44952</v>
      </c>
      <c r="C1047" t="s">
        <v>19</v>
      </c>
      <c r="D1047" t="s">
        <v>7</v>
      </c>
      <c r="E1047">
        <v>39</v>
      </c>
      <c r="F1047" t="s">
        <v>6</v>
      </c>
      <c r="G1047" t="str">
        <f t="shared" si="38"/>
        <v>Active</v>
      </c>
      <c r="H1047" s="1" t="str">
        <f t="shared" si="39"/>
        <v>Thursday</v>
      </c>
    </row>
    <row r="1048" spans="1:8" x14ac:dyDescent="0.3">
      <c r="A1048">
        <v>195759475</v>
      </c>
      <c r="B1048" s="1">
        <v>44952</v>
      </c>
      <c r="C1048" t="s">
        <v>19</v>
      </c>
      <c r="D1048" t="s">
        <v>7</v>
      </c>
      <c r="E1048">
        <v>39</v>
      </c>
      <c r="F1048" t="s">
        <v>6</v>
      </c>
      <c r="G1048" t="str">
        <f t="shared" si="38"/>
        <v>Active</v>
      </c>
      <c r="H1048" s="1" t="str">
        <f t="shared" si="39"/>
        <v>Thursday</v>
      </c>
    </row>
    <row r="1049" spans="1:8" x14ac:dyDescent="0.3">
      <c r="A1049">
        <v>167602454</v>
      </c>
      <c r="B1049" s="1">
        <v>44952</v>
      </c>
      <c r="C1049" t="s">
        <v>19</v>
      </c>
      <c r="D1049" t="s">
        <v>7</v>
      </c>
      <c r="E1049">
        <v>39</v>
      </c>
      <c r="F1049" t="s">
        <v>6</v>
      </c>
      <c r="G1049" t="str">
        <f t="shared" si="38"/>
        <v>Active</v>
      </c>
      <c r="H1049" s="1" t="str">
        <f t="shared" si="39"/>
        <v>Thursday</v>
      </c>
    </row>
    <row r="1050" spans="1:8" x14ac:dyDescent="0.3">
      <c r="A1050">
        <v>148838269</v>
      </c>
      <c r="B1050" s="1">
        <v>44952</v>
      </c>
      <c r="C1050" t="s">
        <v>19</v>
      </c>
      <c r="D1050" t="s">
        <v>7</v>
      </c>
      <c r="E1050">
        <v>39</v>
      </c>
      <c r="F1050" t="s">
        <v>6</v>
      </c>
      <c r="G1050" t="str">
        <f t="shared" si="38"/>
        <v>Active</v>
      </c>
      <c r="H1050" s="1" t="str">
        <f t="shared" si="39"/>
        <v>Thursday</v>
      </c>
    </row>
    <row r="1051" spans="1:8" x14ac:dyDescent="0.3">
      <c r="A1051">
        <v>195938394</v>
      </c>
      <c r="B1051" s="1">
        <v>44952</v>
      </c>
      <c r="C1051" s="1">
        <v>45100</v>
      </c>
      <c r="D1051" t="s">
        <v>7</v>
      </c>
      <c r="E1051">
        <v>39</v>
      </c>
      <c r="F1051" t="s">
        <v>6</v>
      </c>
      <c r="G1051">
        <f t="shared" si="38"/>
        <v>148</v>
      </c>
      <c r="H1051" s="1" t="str">
        <f t="shared" si="39"/>
        <v>Thursday</v>
      </c>
    </row>
    <row r="1052" spans="1:8" x14ac:dyDescent="0.3">
      <c r="A1052">
        <v>194091086</v>
      </c>
      <c r="B1052" s="1">
        <v>44952</v>
      </c>
      <c r="C1052" s="1">
        <v>45020</v>
      </c>
      <c r="D1052" t="s">
        <v>7</v>
      </c>
      <c r="E1052">
        <v>39</v>
      </c>
      <c r="F1052" t="s">
        <v>6</v>
      </c>
      <c r="G1052">
        <f t="shared" si="38"/>
        <v>68</v>
      </c>
      <c r="H1052" s="1" t="str">
        <f t="shared" si="39"/>
        <v>Thursday</v>
      </c>
    </row>
    <row r="1053" spans="1:8" x14ac:dyDescent="0.3">
      <c r="A1053">
        <v>181456580</v>
      </c>
      <c r="B1053" s="1">
        <v>44952</v>
      </c>
      <c r="C1053" s="1">
        <v>45039</v>
      </c>
      <c r="D1053" t="s">
        <v>7</v>
      </c>
      <c r="E1053">
        <v>39</v>
      </c>
      <c r="F1053" t="s">
        <v>6</v>
      </c>
      <c r="G1053">
        <f t="shared" si="38"/>
        <v>87</v>
      </c>
      <c r="H1053" s="1" t="str">
        <f t="shared" si="39"/>
        <v>Thursday</v>
      </c>
    </row>
    <row r="1054" spans="1:8" x14ac:dyDescent="0.3">
      <c r="A1054">
        <v>169302100</v>
      </c>
      <c r="B1054" s="1">
        <v>44952</v>
      </c>
      <c r="C1054" s="1">
        <v>45015</v>
      </c>
      <c r="D1054" t="s">
        <v>7</v>
      </c>
      <c r="E1054">
        <v>39</v>
      </c>
      <c r="F1054" t="s">
        <v>6</v>
      </c>
      <c r="G1054">
        <f t="shared" si="38"/>
        <v>63</v>
      </c>
      <c r="H1054" s="1" t="str">
        <f t="shared" si="39"/>
        <v>Thursday</v>
      </c>
    </row>
    <row r="1055" spans="1:8" x14ac:dyDescent="0.3">
      <c r="A1055">
        <v>180997025</v>
      </c>
      <c r="B1055" s="1">
        <v>44952</v>
      </c>
      <c r="C1055" s="1">
        <v>44990</v>
      </c>
      <c r="D1055" t="s">
        <v>7</v>
      </c>
      <c r="E1055">
        <v>39</v>
      </c>
      <c r="F1055" t="s">
        <v>6</v>
      </c>
      <c r="G1055">
        <f t="shared" si="38"/>
        <v>38</v>
      </c>
      <c r="H1055" s="1" t="str">
        <f t="shared" si="39"/>
        <v>Thursday</v>
      </c>
    </row>
    <row r="1056" spans="1:8" x14ac:dyDescent="0.3">
      <c r="A1056">
        <v>196091620</v>
      </c>
      <c r="B1056" s="1">
        <v>44952</v>
      </c>
      <c r="C1056" s="1">
        <v>44959</v>
      </c>
      <c r="D1056" t="s">
        <v>7</v>
      </c>
      <c r="E1056">
        <v>39</v>
      </c>
      <c r="F1056" t="s">
        <v>6</v>
      </c>
      <c r="G1056">
        <f t="shared" si="38"/>
        <v>7</v>
      </c>
      <c r="H1056" s="1" t="str">
        <f t="shared" si="39"/>
        <v>Thursday</v>
      </c>
    </row>
    <row r="1057" spans="1:8" x14ac:dyDescent="0.3">
      <c r="A1057">
        <v>189277140</v>
      </c>
      <c r="B1057" s="1">
        <v>44952</v>
      </c>
      <c r="C1057" s="1">
        <v>44980</v>
      </c>
      <c r="D1057" t="s">
        <v>7</v>
      </c>
      <c r="E1057">
        <v>39</v>
      </c>
      <c r="F1057" t="s">
        <v>6</v>
      </c>
      <c r="G1057">
        <f t="shared" si="38"/>
        <v>28</v>
      </c>
      <c r="H1057" s="1" t="str">
        <f t="shared" si="39"/>
        <v>Thursday</v>
      </c>
    </row>
    <row r="1058" spans="1:8" x14ac:dyDescent="0.3">
      <c r="A1058">
        <v>195279352</v>
      </c>
      <c r="B1058" s="1">
        <v>44952</v>
      </c>
      <c r="C1058" s="1">
        <v>44980</v>
      </c>
      <c r="D1058" t="s">
        <v>7</v>
      </c>
      <c r="E1058">
        <v>39</v>
      </c>
      <c r="F1058" t="s">
        <v>6</v>
      </c>
      <c r="G1058">
        <f t="shared" si="38"/>
        <v>28</v>
      </c>
      <c r="H1058" s="1" t="str">
        <f t="shared" si="39"/>
        <v>Thursday</v>
      </c>
    </row>
    <row r="1059" spans="1:8" x14ac:dyDescent="0.3">
      <c r="A1059">
        <v>191113428</v>
      </c>
      <c r="B1059" s="1">
        <v>44952</v>
      </c>
      <c r="C1059" s="1">
        <v>44952</v>
      </c>
      <c r="D1059" t="s">
        <v>7</v>
      </c>
      <c r="E1059">
        <v>39</v>
      </c>
      <c r="F1059" t="s">
        <v>6</v>
      </c>
      <c r="G1059">
        <f t="shared" si="38"/>
        <v>0</v>
      </c>
      <c r="H1059" s="1" t="str">
        <f t="shared" si="39"/>
        <v>Thursday</v>
      </c>
    </row>
    <row r="1060" spans="1:8" x14ac:dyDescent="0.3">
      <c r="A1060">
        <v>193802414</v>
      </c>
      <c r="B1060" s="1">
        <v>44952</v>
      </c>
      <c r="C1060" s="1">
        <v>45104</v>
      </c>
      <c r="D1060" t="s">
        <v>7</v>
      </c>
      <c r="E1060">
        <v>39</v>
      </c>
      <c r="F1060" t="s">
        <v>6</v>
      </c>
      <c r="G1060">
        <f t="shared" si="38"/>
        <v>152</v>
      </c>
      <c r="H1060" s="1" t="str">
        <f t="shared" si="39"/>
        <v>Thursday</v>
      </c>
    </row>
    <row r="1061" spans="1:8" x14ac:dyDescent="0.3">
      <c r="A1061">
        <v>115735280</v>
      </c>
      <c r="B1061" s="1">
        <v>44953</v>
      </c>
      <c r="C1061" t="s">
        <v>19</v>
      </c>
      <c r="D1061" t="s">
        <v>7</v>
      </c>
      <c r="E1061">
        <v>39</v>
      </c>
      <c r="F1061" t="s">
        <v>6</v>
      </c>
      <c r="G1061" t="str">
        <f t="shared" si="38"/>
        <v>Active</v>
      </c>
      <c r="H1061" s="1" t="str">
        <f t="shared" si="39"/>
        <v>Friday</v>
      </c>
    </row>
    <row r="1062" spans="1:8" x14ac:dyDescent="0.3">
      <c r="A1062">
        <v>153026024</v>
      </c>
      <c r="B1062" s="1">
        <v>44953</v>
      </c>
      <c r="C1062" t="s">
        <v>19</v>
      </c>
      <c r="D1062" t="s">
        <v>7</v>
      </c>
      <c r="E1062">
        <v>39</v>
      </c>
      <c r="F1062" t="s">
        <v>6</v>
      </c>
      <c r="G1062" t="str">
        <f t="shared" si="38"/>
        <v>Active</v>
      </c>
      <c r="H1062" s="1" t="str">
        <f t="shared" si="39"/>
        <v>Friday</v>
      </c>
    </row>
    <row r="1063" spans="1:8" x14ac:dyDescent="0.3">
      <c r="A1063">
        <v>196069557</v>
      </c>
      <c r="B1063" s="1">
        <v>44953</v>
      </c>
      <c r="C1063" t="s">
        <v>19</v>
      </c>
      <c r="D1063" t="s">
        <v>7</v>
      </c>
      <c r="E1063">
        <v>39</v>
      </c>
      <c r="F1063" t="s">
        <v>6</v>
      </c>
      <c r="G1063" t="str">
        <f t="shared" si="38"/>
        <v>Active</v>
      </c>
      <c r="H1063" s="1" t="str">
        <f t="shared" si="39"/>
        <v>Friday</v>
      </c>
    </row>
    <row r="1064" spans="1:8" x14ac:dyDescent="0.3">
      <c r="A1064">
        <v>193666586</v>
      </c>
      <c r="B1064" s="1">
        <v>44953</v>
      </c>
      <c r="C1064" t="s">
        <v>19</v>
      </c>
      <c r="D1064" t="s">
        <v>7</v>
      </c>
      <c r="E1064">
        <v>39</v>
      </c>
      <c r="F1064" t="s">
        <v>6</v>
      </c>
      <c r="G1064" t="str">
        <f t="shared" si="38"/>
        <v>Active</v>
      </c>
      <c r="H1064" s="1" t="str">
        <f t="shared" si="39"/>
        <v>Friday</v>
      </c>
    </row>
    <row r="1065" spans="1:8" x14ac:dyDescent="0.3">
      <c r="A1065">
        <v>192550222</v>
      </c>
      <c r="B1065" s="1">
        <v>44953</v>
      </c>
      <c r="C1065" t="s">
        <v>19</v>
      </c>
      <c r="D1065" t="s">
        <v>7</v>
      </c>
      <c r="E1065">
        <v>39</v>
      </c>
      <c r="F1065" t="s">
        <v>6</v>
      </c>
      <c r="G1065" t="str">
        <f t="shared" si="38"/>
        <v>Active</v>
      </c>
      <c r="H1065" s="1" t="str">
        <f t="shared" si="39"/>
        <v>Friday</v>
      </c>
    </row>
    <row r="1066" spans="1:8" x14ac:dyDescent="0.3">
      <c r="A1066">
        <v>196022560</v>
      </c>
      <c r="B1066" s="1">
        <v>44953</v>
      </c>
      <c r="C1066" s="1">
        <v>45174</v>
      </c>
      <c r="D1066" t="s">
        <v>7</v>
      </c>
      <c r="E1066">
        <v>39</v>
      </c>
      <c r="F1066" t="s">
        <v>6</v>
      </c>
      <c r="G1066">
        <f t="shared" si="38"/>
        <v>221</v>
      </c>
      <c r="H1066" s="1" t="str">
        <f t="shared" si="39"/>
        <v>Friday</v>
      </c>
    </row>
    <row r="1067" spans="1:8" x14ac:dyDescent="0.3">
      <c r="A1067">
        <v>196715854</v>
      </c>
      <c r="B1067" s="1">
        <v>44953</v>
      </c>
      <c r="C1067" s="1">
        <v>44954</v>
      </c>
      <c r="D1067" t="s">
        <v>8</v>
      </c>
      <c r="E1067">
        <v>39</v>
      </c>
      <c r="F1067" t="s">
        <v>6</v>
      </c>
      <c r="G1067">
        <f t="shared" si="38"/>
        <v>1</v>
      </c>
      <c r="H1067" s="1" t="str">
        <f t="shared" si="39"/>
        <v>Friday</v>
      </c>
    </row>
    <row r="1068" spans="1:8" x14ac:dyDescent="0.3">
      <c r="A1068">
        <v>196969212</v>
      </c>
      <c r="B1068" s="1">
        <v>44953</v>
      </c>
      <c r="C1068" s="1">
        <v>45040</v>
      </c>
      <c r="D1068" t="s">
        <v>7</v>
      </c>
      <c r="E1068">
        <v>39</v>
      </c>
      <c r="F1068" t="s">
        <v>6</v>
      </c>
      <c r="G1068">
        <f t="shared" si="38"/>
        <v>87</v>
      </c>
      <c r="H1068" s="1" t="str">
        <f t="shared" si="39"/>
        <v>Friday</v>
      </c>
    </row>
    <row r="1069" spans="1:8" x14ac:dyDescent="0.3">
      <c r="A1069">
        <v>196308725</v>
      </c>
      <c r="B1069" s="1">
        <v>44953</v>
      </c>
      <c r="C1069" s="1">
        <v>45016</v>
      </c>
      <c r="D1069" t="s">
        <v>7</v>
      </c>
      <c r="E1069">
        <v>39</v>
      </c>
      <c r="F1069" t="s">
        <v>6</v>
      </c>
      <c r="G1069">
        <f t="shared" si="38"/>
        <v>63</v>
      </c>
      <c r="H1069" s="1" t="str">
        <f t="shared" si="39"/>
        <v>Friday</v>
      </c>
    </row>
    <row r="1070" spans="1:8" x14ac:dyDescent="0.3">
      <c r="A1070">
        <v>196245690</v>
      </c>
      <c r="B1070" s="1">
        <v>44953</v>
      </c>
      <c r="C1070" s="1">
        <v>45012</v>
      </c>
      <c r="D1070" t="s">
        <v>7</v>
      </c>
      <c r="E1070">
        <v>39</v>
      </c>
      <c r="F1070" t="s">
        <v>6</v>
      </c>
      <c r="G1070">
        <f t="shared" si="38"/>
        <v>59</v>
      </c>
      <c r="H1070" s="1" t="str">
        <f t="shared" si="39"/>
        <v>Friday</v>
      </c>
    </row>
    <row r="1071" spans="1:8" x14ac:dyDescent="0.3">
      <c r="A1071">
        <v>195988242</v>
      </c>
      <c r="B1071" s="1">
        <v>44953</v>
      </c>
      <c r="C1071" s="1">
        <v>44991</v>
      </c>
      <c r="D1071" t="s">
        <v>7</v>
      </c>
      <c r="E1071">
        <v>39</v>
      </c>
      <c r="F1071" t="s">
        <v>6</v>
      </c>
      <c r="G1071">
        <f t="shared" si="38"/>
        <v>38</v>
      </c>
      <c r="H1071" s="1" t="str">
        <f t="shared" si="39"/>
        <v>Friday</v>
      </c>
    </row>
    <row r="1072" spans="1:8" x14ac:dyDescent="0.3">
      <c r="A1072">
        <v>192068317</v>
      </c>
      <c r="B1072" s="1">
        <v>44953</v>
      </c>
      <c r="C1072" s="1">
        <v>45013</v>
      </c>
      <c r="D1072" t="s">
        <v>7</v>
      </c>
      <c r="E1072">
        <v>39</v>
      </c>
      <c r="F1072" t="s">
        <v>6</v>
      </c>
      <c r="G1072">
        <f t="shared" si="38"/>
        <v>60</v>
      </c>
      <c r="H1072" s="1" t="str">
        <f t="shared" si="39"/>
        <v>Friday</v>
      </c>
    </row>
    <row r="1073" spans="1:8" x14ac:dyDescent="0.3">
      <c r="A1073">
        <v>195039185</v>
      </c>
      <c r="B1073" s="1">
        <v>44953</v>
      </c>
      <c r="C1073" s="1">
        <v>44980</v>
      </c>
      <c r="D1073" t="s">
        <v>7</v>
      </c>
      <c r="E1073">
        <v>39</v>
      </c>
      <c r="F1073" t="s">
        <v>6</v>
      </c>
      <c r="G1073">
        <f t="shared" si="38"/>
        <v>27</v>
      </c>
      <c r="H1073" s="1" t="str">
        <f t="shared" si="39"/>
        <v>Friday</v>
      </c>
    </row>
    <row r="1074" spans="1:8" x14ac:dyDescent="0.3">
      <c r="A1074">
        <v>188563149</v>
      </c>
      <c r="B1074" s="1">
        <v>44953</v>
      </c>
      <c r="C1074" s="1">
        <v>45154</v>
      </c>
      <c r="D1074" t="s">
        <v>7</v>
      </c>
      <c r="E1074">
        <v>39</v>
      </c>
      <c r="F1074" t="s">
        <v>6</v>
      </c>
      <c r="G1074">
        <f t="shared" si="38"/>
        <v>201</v>
      </c>
      <c r="H1074" s="1" t="str">
        <f t="shared" si="39"/>
        <v>Friday</v>
      </c>
    </row>
    <row r="1075" spans="1:8" x14ac:dyDescent="0.3">
      <c r="A1075">
        <v>188748439</v>
      </c>
      <c r="B1075" s="1">
        <v>44953</v>
      </c>
      <c r="C1075" s="1">
        <v>45157</v>
      </c>
      <c r="D1075" t="s">
        <v>7</v>
      </c>
      <c r="E1075">
        <v>39</v>
      </c>
      <c r="F1075" t="s">
        <v>6</v>
      </c>
      <c r="G1075">
        <f t="shared" si="38"/>
        <v>204</v>
      </c>
      <c r="H1075" s="1" t="str">
        <f t="shared" si="39"/>
        <v>Friday</v>
      </c>
    </row>
    <row r="1076" spans="1:8" x14ac:dyDescent="0.3">
      <c r="A1076">
        <v>160873880</v>
      </c>
      <c r="B1076" s="1">
        <v>44954</v>
      </c>
      <c r="C1076" t="s">
        <v>19</v>
      </c>
      <c r="D1076" t="s">
        <v>7</v>
      </c>
      <c r="E1076">
        <v>39</v>
      </c>
      <c r="F1076" t="s">
        <v>6</v>
      </c>
      <c r="G1076" t="str">
        <f t="shared" si="38"/>
        <v>Active</v>
      </c>
      <c r="H1076" s="1" t="str">
        <f t="shared" si="39"/>
        <v>Saturday</v>
      </c>
    </row>
    <row r="1077" spans="1:8" x14ac:dyDescent="0.3">
      <c r="A1077">
        <v>160379194</v>
      </c>
      <c r="B1077" s="1">
        <v>44954</v>
      </c>
      <c r="C1077" s="1">
        <v>44954</v>
      </c>
      <c r="D1077" t="s">
        <v>7</v>
      </c>
      <c r="E1077">
        <v>39</v>
      </c>
      <c r="F1077" t="s">
        <v>6</v>
      </c>
      <c r="G1077">
        <f t="shared" si="38"/>
        <v>0</v>
      </c>
      <c r="H1077" s="1" t="str">
        <f t="shared" si="39"/>
        <v>Saturday</v>
      </c>
    </row>
    <row r="1078" spans="1:8" x14ac:dyDescent="0.3">
      <c r="A1078">
        <v>194169961</v>
      </c>
      <c r="B1078" s="1">
        <v>44954</v>
      </c>
      <c r="C1078" s="1">
        <v>45009</v>
      </c>
      <c r="D1078" t="s">
        <v>7</v>
      </c>
      <c r="E1078">
        <v>39</v>
      </c>
      <c r="F1078" t="s">
        <v>6</v>
      </c>
      <c r="G1078">
        <f t="shared" si="38"/>
        <v>55</v>
      </c>
      <c r="H1078" s="1" t="str">
        <f t="shared" si="39"/>
        <v>Saturday</v>
      </c>
    </row>
    <row r="1079" spans="1:8" x14ac:dyDescent="0.3">
      <c r="A1079">
        <v>184209232</v>
      </c>
      <c r="B1079" s="1">
        <v>44954</v>
      </c>
      <c r="C1079" s="1">
        <v>44992</v>
      </c>
      <c r="D1079" t="s">
        <v>7</v>
      </c>
      <c r="E1079">
        <v>39</v>
      </c>
      <c r="F1079" t="s">
        <v>6</v>
      </c>
      <c r="G1079">
        <f t="shared" si="38"/>
        <v>38</v>
      </c>
      <c r="H1079" s="1" t="str">
        <f t="shared" si="39"/>
        <v>Saturday</v>
      </c>
    </row>
    <row r="1080" spans="1:8" x14ac:dyDescent="0.3">
      <c r="A1080">
        <v>195198228</v>
      </c>
      <c r="B1080" s="1">
        <v>44954</v>
      </c>
      <c r="C1080" s="1">
        <v>44974</v>
      </c>
      <c r="D1080" t="s">
        <v>7</v>
      </c>
      <c r="E1080">
        <v>39</v>
      </c>
      <c r="F1080" t="s">
        <v>6</v>
      </c>
      <c r="G1080">
        <f t="shared" si="38"/>
        <v>20</v>
      </c>
      <c r="H1080" s="1" t="str">
        <f t="shared" si="39"/>
        <v>Saturday</v>
      </c>
    </row>
    <row r="1081" spans="1:8" x14ac:dyDescent="0.3">
      <c r="A1081">
        <v>153657568</v>
      </c>
      <c r="B1081" s="1">
        <v>44955</v>
      </c>
      <c r="C1081" t="s">
        <v>19</v>
      </c>
      <c r="D1081" t="s">
        <v>7</v>
      </c>
      <c r="E1081">
        <v>39</v>
      </c>
      <c r="F1081" t="s">
        <v>6</v>
      </c>
      <c r="G1081" t="str">
        <f t="shared" si="38"/>
        <v>Active</v>
      </c>
      <c r="H1081" s="1" t="str">
        <f t="shared" si="39"/>
        <v>Sunday</v>
      </c>
    </row>
    <row r="1082" spans="1:8" x14ac:dyDescent="0.3">
      <c r="A1082">
        <v>127697219</v>
      </c>
      <c r="B1082" s="1">
        <v>44955</v>
      </c>
      <c r="C1082" s="1">
        <v>45071</v>
      </c>
      <c r="D1082" t="s">
        <v>7</v>
      </c>
      <c r="E1082">
        <v>39</v>
      </c>
      <c r="F1082" t="s">
        <v>6</v>
      </c>
      <c r="G1082">
        <f t="shared" si="38"/>
        <v>116</v>
      </c>
      <c r="H1082" s="1" t="str">
        <f t="shared" si="39"/>
        <v>Sunday</v>
      </c>
    </row>
    <row r="1083" spans="1:8" x14ac:dyDescent="0.3">
      <c r="A1083">
        <v>198448283</v>
      </c>
      <c r="B1083" s="1">
        <v>44955</v>
      </c>
      <c r="C1083" s="1">
        <v>45113</v>
      </c>
      <c r="D1083" t="s">
        <v>7</v>
      </c>
      <c r="E1083">
        <v>39</v>
      </c>
      <c r="F1083" t="s">
        <v>6</v>
      </c>
      <c r="G1083">
        <f t="shared" si="38"/>
        <v>158</v>
      </c>
      <c r="H1083" s="1" t="str">
        <f t="shared" si="39"/>
        <v>Sunday</v>
      </c>
    </row>
    <row r="1084" spans="1:8" x14ac:dyDescent="0.3">
      <c r="A1084">
        <v>159483118</v>
      </c>
      <c r="B1084" s="1">
        <v>44955</v>
      </c>
      <c r="C1084" s="1">
        <v>44986</v>
      </c>
      <c r="D1084" t="s">
        <v>7</v>
      </c>
      <c r="E1084">
        <v>39</v>
      </c>
      <c r="F1084" t="s">
        <v>6</v>
      </c>
      <c r="G1084">
        <f t="shared" si="38"/>
        <v>31</v>
      </c>
      <c r="H1084" s="1" t="str">
        <f t="shared" si="39"/>
        <v>Sunday</v>
      </c>
    </row>
    <row r="1085" spans="1:8" x14ac:dyDescent="0.3">
      <c r="A1085">
        <v>152433647</v>
      </c>
      <c r="B1085" s="1">
        <v>44955</v>
      </c>
      <c r="C1085" s="1">
        <v>44998</v>
      </c>
      <c r="D1085" t="s">
        <v>7</v>
      </c>
      <c r="E1085">
        <v>39</v>
      </c>
      <c r="F1085" t="s">
        <v>6</v>
      </c>
      <c r="G1085">
        <f t="shared" si="38"/>
        <v>43</v>
      </c>
      <c r="H1085" s="1" t="str">
        <f t="shared" si="39"/>
        <v>Sunday</v>
      </c>
    </row>
    <row r="1086" spans="1:8" x14ac:dyDescent="0.3">
      <c r="A1086">
        <v>154790198</v>
      </c>
      <c r="B1086" s="1">
        <v>44955</v>
      </c>
      <c r="C1086" s="1">
        <v>44972</v>
      </c>
      <c r="D1086" t="s">
        <v>7</v>
      </c>
      <c r="E1086">
        <v>39</v>
      </c>
      <c r="F1086" t="s">
        <v>6</v>
      </c>
      <c r="G1086">
        <f t="shared" si="38"/>
        <v>17</v>
      </c>
      <c r="H1086" s="1" t="str">
        <f t="shared" si="39"/>
        <v>Sunday</v>
      </c>
    </row>
    <row r="1087" spans="1:8" x14ac:dyDescent="0.3">
      <c r="A1087">
        <v>191896242</v>
      </c>
      <c r="B1087" s="1">
        <v>44956</v>
      </c>
      <c r="C1087" t="s">
        <v>19</v>
      </c>
      <c r="D1087" t="s">
        <v>7</v>
      </c>
      <c r="E1087">
        <v>39</v>
      </c>
      <c r="F1087" t="s">
        <v>6</v>
      </c>
      <c r="G1087" t="str">
        <f t="shared" si="38"/>
        <v>Active</v>
      </c>
      <c r="H1087" s="1" t="str">
        <f t="shared" si="39"/>
        <v>Monday</v>
      </c>
    </row>
    <row r="1088" spans="1:8" x14ac:dyDescent="0.3">
      <c r="A1088">
        <v>136407072</v>
      </c>
      <c r="B1088" s="1">
        <v>44956</v>
      </c>
      <c r="C1088" s="1">
        <v>45138</v>
      </c>
      <c r="D1088" t="s">
        <v>7</v>
      </c>
      <c r="E1088">
        <v>39</v>
      </c>
      <c r="F1088" t="s">
        <v>6</v>
      </c>
      <c r="G1088">
        <f t="shared" si="38"/>
        <v>182</v>
      </c>
      <c r="H1088" s="1" t="str">
        <f t="shared" si="39"/>
        <v>Monday</v>
      </c>
    </row>
    <row r="1089" spans="1:8" x14ac:dyDescent="0.3">
      <c r="A1089">
        <v>199439964</v>
      </c>
      <c r="B1089" s="1">
        <v>44956</v>
      </c>
      <c r="C1089" s="1">
        <v>45083</v>
      </c>
      <c r="D1089" t="s">
        <v>7</v>
      </c>
      <c r="E1089">
        <v>39</v>
      </c>
      <c r="F1089" t="s">
        <v>6</v>
      </c>
      <c r="G1089">
        <f t="shared" si="38"/>
        <v>127</v>
      </c>
      <c r="H1089" s="1" t="str">
        <f t="shared" si="39"/>
        <v>Monday</v>
      </c>
    </row>
    <row r="1090" spans="1:8" x14ac:dyDescent="0.3">
      <c r="A1090">
        <v>199255574</v>
      </c>
      <c r="B1090" s="1">
        <v>44956</v>
      </c>
      <c r="C1090" s="1">
        <v>45098</v>
      </c>
      <c r="D1090" t="s">
        <v>7</v>
      </c>
      <c r="E1090">
        <v>39</v>
      </c>
      <c r="F1090" t="s">
        <v>6</v>
      </c>
      <c r="G1090">
        <f t="shared" si="38"/>
        <v>142</v>
      </c>
      <c r="H1090" s="1" t="str">
        <f t="shared" si="39"/>
        <v>Monday</v>
      </c>
    </row>
    <row r="1091" spans="1:8" x14ac:dyDescent="0.3">
      <c r="A1091">
        <v>167938302</v>
      </c>
      <c r="B1091" s="1">
        <v>44956</v>
      </c>
      <c r="C1091" s="1">
        <v>45022</v>
      </c>
      <c r="D1091" t="s">
        <v>7</v>
      </c>
      <c r="E1091">
        <v>39</v>
      </c>
      <c r="F1091" t="s">
        <v>6</v>
      </c>
      <c r="G1091">
        <f t="shared" ref="G1091:G1154" si="40">IF(C1091="Active","Active",C1091-B1091)</f>
        <v>66</v>
      </c>
      <c r="H1091" s="1" t="str">
        <f t="shared" ref="H1091:H1154" si="41">TEXT(B1091,"dddd")</f>
        <v>Monday</v>
      </c>
    </row>
    <row r="1092" spans="1:8" x14ac:dyDescent="0.3">
      <c r="A1092">
        <v>154173057</v>
      </c>
      <c r="B1092" s="1">
        <v>44956</v>
      </c>
      <c r="C1092" s="1">
        <v>44961</v>
      </c>
      <c r="D1092" t="s">
        <v>7</v>
      </c>
      <c r="E1092">
        <v>39</v>
      </c>
      <c r="F1092" t="s">
        <v>6</v>
      </c>
      <c r="G1092">
        <f t="shared" si="40"/>
        <v>5</v>
      </c>
      <c r="H1092" s="1" t="str">
        <f t="shared" si="41"/>
        <v>Monday</v>
      </c>
    </row>
    <row r="1093" spans="1:8" x14ac:dyDescent="0.3">
      <c r="A1093">
        <v>153199550</v>
      </c>
      <c r="B1093" s="1">
        <v>44956</v>
      </c>
      <c r="C1093" s="1">
        <v>44959</v>
      </c>
      <c r="D1093" t="s">
        <v>7</v>
      </c>
      <c r="E1093">
        <v>39</v>
      </c>
      <c r="F1093" t="s">
        <v>6</v>
      </c>
      <c r="G1093">
        <f t="shared" si="40"/>
        <v>3</v>
      </c>
      <c r="H1093" s="1" t="str">
        <f t="shared" si="41"/>
        <v>Monday</v>
      </c>
    </row>
    <row r="1094" spans="1:8" x14ac:dyDescent="0.3">
      <c r="A1094">
        <v>199302158</v>
      </c>
      <c r="B1094" s="1">
        <v>44956</v>
      </c>
      <c r="C1094" s="1">
        <v>44959</v>
      </c>
      <c r="D1094" t="s">
        <v>7</v>
      </c>
      <c r="E1094">
        <v>39</v>
      </c>
      <c r="F1094" t="s">
        <v>6</v>
      </c>
      <c r="G1094">
        <f t="shared" si="40"/>
        <v>3</v>
      </c>
      <c r="H1094" s="1" t="str">
        <f t="shared" si="41"/>
        <v>Monday</v>
      </c>
    </row>
    <row r="1095" spans="1:8" x14ac:dyDescent="0.3">
      <c r="A1095">
        <v>187482966</v>
      </c>
      <c r="B1095" s="1">
        <v>44956</v>
      </c>
      <c r="C1095" s="1">
        <v>45147</v>
      </c>
      <c r="D1095" t="s">
        <v>7</v>
      </c>
      <c r="E1095">
        <v>39</v>
      </c>
      <c r="F1095" t="s">
        <v>6</v>
      </c>
      <c r="G1095">
        <f t="shared" si="40"/>
        <v>191</v>
      </c>
      <c r="H1095" s="1" t="str">
        <f t="shared" si="41"/>
        <v>Monday</v>
      </c>
    </row>
    <row r="1096" spans="1:8" x14ac:dyDescent="0.3">
      <c r="A1096">
        <v>168436547</v>
      </c>
      <c r="B1096" s="1">
        <v>44956</v>
      </c>
      <c r="C1096" s="1">
        <v>45127</v>
      </c>
      <c r="D1096" t="s">
        <v>7</v>
      </c>
      <c r="E1096">
        <v>39</v>
      </c>
      <c r="F1096" t="s">
        <v>6</v>
      </c>
      <c r="G1096">
        <f t="shared" si="40"/>
        <v>171</v>
      </c>
      <c r="H1096" s="1" t="str">
        <f t="shared" si="41"/>
        <v>Monday</v>
      </c>
    </row>
    <row r="1097" spans="1:8" x14ac:dyDescent="0.3">
      <c r="A1097">
        <v>195007481</v>
      </c>
      <c r="B1097" s="1">
        <v>44957</v>
      </c>
      <c r="C1097" t="s">
        <v>19</v>
      </c>
      <c r="D1097" t="s">
        <v>7</v>
      </c>
      <c r="E1097">
        <v>39</v>
      </c>
      <c r="F1097" t="s">
        <v>6</v>
      </c>
      <c r="G1097" t="str">
        <f t="shared" si="40"/>
        <v>Active</v>
      </c>
      <c r="H1097" s="1" t="str">
        <f t="shared" si="41"/>
        <v>Tuesday</v>
      </c>
    </row>
    <row r="1098" spans="1:8" x14ac:dyDescent="0.3">
      <c r="A1098">
        <v>181830574</v>
      </c>
      <c r="B1098" s="1">
        <v>44957</v>
      </c>
      <c r="C1098" t="s">
        <v>19</v>
      </c>
      <c r="D1098" t="s">
        <v>7</v>
      </c>
      <c r="E1098">
        <v>39</v>
      </c>
      <c r="F1098" t="s">
        <v>6</v>
      </c>
      <c r="G1098" t="str">
        <f t="shared" si="40"/>
        <v>Active</v>
      </c>
      <c r="H1098" s="1" t="str">
        <f t="shared" si="41"/>
        <v>Tuesday</v>
      </c>
    </row>
    <row r="1099" spans="1:8" x14ac:dyDescent="0.3">
      <c r="A1099">
        <v>198691553</v>
      </c>
      <c r="B1099" s="1">
        <v>44957</v>
      </c>
      <c r="C1099" t="s">
        <v>19</v>
      </c>
      <c r="D1099" t="s">
        <v>7</v>
      </c>
      <c r="E1099">
        <v>39</v>
      </c>
      <c r="F1099" t="s">
        <v>6</v>
      </c>
      <c r="G1099" t="str">
        <f t="shared" si="40"/>
        <v>Active</v>
      </c>
      <c r="H1099" s="1" t="str">
        <f t="shared" si="41"/>
        <v>Tuesday</v>
      </c>
    </row>
    <row r="1100" spans="1:8" x14ac:dyDescent="0.3">
      <c r="A1100">
        <v>200001674</v>
      </c>
      <c r="B1100" s="1">
        <v>44957</v>
      </c>
      <c r="C1100" s="1">
        <v>45074</v>
      </c>
      <c r="D1100" t="s">
        <v>7</v>
      </c>
      <c r="E1100">
        <v>39</v>
      </c>
      <c r="F1100" t="s">
        <v>6</v>
      </c>
      <c r="G1100">
        <f t="shared" si="40"/>
        <v>117</v>
      </c>
      <c r="H1100" s="1" t="str">
        <f t="shared" si="41"/>
        <v>Tuesday</v>
      </c>
    </row>
    <row r="1101" spans="1:8" x14ac:dyDescent="0.3">
      <c r="A1101">
        <v>200252155</v>
      </c>
      <c r="B1101" s="1">
        <v>44957</v>
      </c>
      <c r="C1101" s="1">
        <v>45084</v>
      </c>
      <c r="D1101" t="s">
        <v>7</v>
      </c>
      <c r="E1101">
        <v>39</v>
      </c>
      <c r="F1101" t="s">
        <v>6</v>
      </c>
      <c r="G1101">
        <f t="shared" si="40"/>
        <v>127</v>
      </c>
      <c r="H1101" s="1" t="str">
        <f t="shared" si="41"/>
        <v>Tuesday</v>
      </c>
    </row>
    <row r="1102" spans="1:8" x14ac:dyDescent="0.3">
      <c r="A1102">
        <v>188206991</v>
      </c>
      <c r="B1102" s="1">
        <v>44957</v>
      </c>
      <c r="C1102" s="1">
        <v>45033</v>
      </c>
      <c r="D1102" t="s">
        <v>7</v>
      </c>
      <c r="E1102">
        <v>39</v>
      </c>
      <c r="F1102" t="s">
        <v>6</v>
      </c>
      <c r="G1102">
        <f t="shared" si="40"/>
        <v>76</v>
      </c>
      <c r="H1102" s="1" t="str">
        <f t="shared" si="41"/>
        <v>Tuesday</v>
      </c>
    </row>
    <row r="1103" spans="1:8" x14ac:dyDescent="0.3">
      <c r="A1103">
        <v>184330352</v>
      </c>
      <c r="B1103" s="1">
        <v>44957</v>
      </c>
      <c r="C1103" s="1">
        <v>45046</v>
      </c>
      <c r="D1103" t="s">
        <v>7</v>
      </c>
      <c r="E1103">
        <v>39</v>
      </c>
      <c r="F1103" t="s">
        <v>6</v>
      </c>
      <c r="G1103">
        <f t="shared" si="40"/>
        <v>89</v>
      </c>
      <c r="H1103" s="1" t="str">
        <f t="shared" si="41"/>
        <v>Tuesday</v>
      </c>
    </row>
    <row r="1104" spans="1:8" x14ac:dyDescent="0.3">
      <c r="A1104">
        <v>198701510</v>
      </c>
      <c r="B1104" s="1">
        <v>44957</v>
      </c>
      <c r="C1104" s="1">
        <v>45031</v>
      </c>
      <c r="D1104" t="s">
        <v>7</v>
      </c>
      <c r="E1104">
        <v>39</v>
      </c>
      <c r="F1104" t="s">
        <v>6</v>
      </c>
      <c r="G1104">
        <f t="shared" si="40"/>
        <v>74</v>
      </c>
      <c r="H1104" s="1" t="str">
        <f t="shared" si="41"/>
        <v>Tuesday</v>
      </c>
    </row>
    <row r="1105" spans="1:8" x14ac:dyDescent="0.3">
      <c r="A1105">
        <v>164909402</v>
      </c>
      <c r="B1105" s="1">
        <v>44957</v>
      </c>
      <c r="C1105" s="1">
        <v>44984</v>
      </c>
      <c r="D1105" t="s">
        <v>7</v>
      </c>
      <c r="E1105">
        <v>39</v>
      </c>
      <c r="F1105" t="s">
        <v>6</v>
      </c>
      <c r="G1105">
        <f t="shared" si="40"/>
        <v>27</v>
      </c>
      <c r="H1105" s="1" t="str">
        <f t="shared" si="41"/>
        <v>Tuesday</v>
      </c>
    </row>
    <row r="1106" spans="1:8" x14ac:dyDescent="0.3">
      <c r="A1106">
        <v>126737063</v>
      </c>
      <c r="B1106" s="1">
        <v>44957</v>
      </c>
      <c r="C1106" s="1">
        <v>45156</v>
      </c>
      <c r="D1106" t="s">
        <v>7</v>
      </c>
      <c r="E1106">
        <v>39</v>
      </c>
      <c r="F1106" t="s">
        <v>6</v>
      </c>
      <c r="G1106">
        <f t="shared" si="40"/>
        <v>199</v>
      </c>
      <c r="H1106" s="1" t="str">
        <f t="shared" si="41"/>
        <v>Tuesday</v>
      </c>
    </row>
    <row r="1107" spans="1:8" x14ac:dyDescent="0.3">
      <c r="A1107">
        <v>194472898</v>
      </c>
      <c r="B1107" s="1">
        <v>44958</v>
      </c>
      <c r="C1107" t="s">
        <v>19</v>
      </c>
      <c r="D1107" t="s">
        <v>7</v>
      </c>
      <c r="E1107">
        <v>39</v>
      </c>
      <c r="F1107" t="s">
        <v>6</v>
      </c>
      <c r="G1107" t="str">
        <f t="shared" si="40"/>
        <v>Active</v>
      </c>
      <c r="H1107" s="1" t="str">
        <f t="shared" si="41"/>
        <v>Wednesday</v>
      </c>
    </row>
    <row r="1108" spans="1:8" x14ac:dyDescent="0.3">
      <c r="A1108">
        <v>200962065</v>
      </c>
      <c r="B1108" s="1">
        <v>44958</v>
      </c>
      <c r="C1108" t="s">
        <v>19</v>
      </c>
      <c r="D1108" t="s">
        <v>7</v>
      </c>
      <c r="E1108">
        <v>39</v>
      </c>
      <c r="F1108" t="s">
        <v>6</v>
      </c>
      <c r="G1108" t="str">
        <f t="shared" si="40"/>
        <v>Active</v>
      </c>
      <c r="H1108" s="1" t="str">
        <f t="shared" si="41"/>
        <v>Wednesday</v>
      </c>
    </row>
    <row r="1109" spans="1:8" x14ac:dyDescent="0.3">
      <c r="A1109">
        <v>196821289</v>
      </c>
      <c r="B1109" s="1">
        <v>44958</v>
      </c>
      <c r="C1109" t="s">
        <v>19</v>
      </c>
      <c r="D1109" t="s">
        <v>7</v>
      </c>
      <c r="E1109">
        <v>39</v>
      </c>
      <c r="F1109" t="s">
        <v>6</v>
      </c>
      <c r="G1109" t="str">
        <f t="shared" si="40"/>
        <v>Active</v>
      </c>
      <c r="H1109" s="1" t="str">
        <f t="shared" si="41"/>
        <v>Wednesday</v>
      </c>
    </row>
    <row r="1110" spans="1:8" x14ac:dyDescent="0.3">
      <c r="A1110">
        <v>200867442</v>
      </c>
      <c r="B1110" s="1">
        <v>44958</v>
      </c>
      <c r="C1110" t="s">
        <v>19</v>
      </c>
      <c r="D1110" t="s">
        <v>7</v>
      </c>
      <c r="E1110">
        <v>39</v>
      </c>
      <c r="F1110" t="s">
        <v>6</v>
      </c>
      <c r="G1110" t="str">
        <f t="shared" si="40"/>
        <v>Active</v>
      </c>
      <c r="H1110" s="1" t="str">
        <f t="shared" si="41"/>
        <v>Wednesday</v>
      </c>
    </row>
    <row r="1111" spans="1:8" x14ac:dyDescent="0.3">
      <c r="A1111">
        <v>187855576</v>
      </c>
      <c r="B1111" s="1">
        <v>44958</v>
      </c>
      <c r="C1111" t="s">
        <v>19</v>
      </c>
      <c r="D1111" t="s">
        <v>7</v>
      </c>
      <c r="E1111">
        <v>39</v>
      </c>
      <c r="F1111" t="s">
        <v>6</v>
      </c>
      <c r="G1111" t="str">
        <f t="shared" si="40"/>
        <v>Active</v>
      </c>
      <c r="H1111" s="1" t="str">
        <f t="shared" si="41"/>
        <v>Wednesday</v>
      </c>
    </row>
    <row r="1112" spans="1:8" x14ac:dyDescent="0.3">
      <c r="A1112">
        <v>198475060</v>
      </c>
      <c r="B1112" s="1">
        <v>44958</v>
      </c>
      <c r="C1112" s="1">
        <v>44959</v>
      </c>
      <c r="D1112" t="s">
        <v>8</v>
      </c>
      <c r="E1112">
        <v>39</v>
      </c>
      <c r="F1112" t="s">
        <v>6</v>
      </c>
      <c r="G1112">
        <f t="shared" si="40"/>
        <v>1</v>
      </c>
      <c r="H1112" s="1" t="str">
        <f t="shared" si="41"/>
        <v>Wednesday</v>
      </c>
    </row>
    <row r="1113" spans="1:8" x14ac:dyDescent="0.3">
      <c r="A1113">
        <v>137201021</v>
      </c>
      <c r="B1113" s="1">
        <v>44958</v>
      </c>
      <c r="C1113" s="1">
        <v>45106</v>
      </c>
      <c r="D1113" t="s">
        <v>7</v>
      </c>
      <c r="E1113">
        <v>39</v>
      </c>
      <c r="F1113" t="s">
        <v>6</v>
      </c>
      <c r="G1113">
        <f t="shared" si="40"/>
        <v>148</v>
      </c>
      <c r="H1113" s="1" t="str">
        <f t="shared" si="41"/>
        <v>Wednesday</v>
      </c>
    </row>
    <row r="1114" spans="1:8" x14ac:dyDescent="0.3">
      <c r="A1114">
        <v>192942271</v>
      </c>
      <c r="B1114" s="1">
        <v>44958</v>
      </c>
      <c r="C1114" s="1">
        <v>45104</v>
      </c>
      <c r="D1114" t="s">
        <v>7</v>
      </c>
      <c r="E1114">
        <v>39</v>
      </c>
      <c r="F1114" t="s">
        <v>6</v>
      </c>
      <c r="G1114">
        <f t="shared" si="40"/>
        <v>146</v>
      </c>
      <c r="H1114" s="1" t="str">
        <f t="shared" si="41"/>
        <v>Wednesday</v>
      </c>
    </row>
    <row r="1115" spans="1:8" x14ac:dyDescent="0.3">
      <c r="A1115">
        <v>155088727</v>
      </c>
      <c r="B1115" s="1">
        <v>44958</v>
      </c>
      <c r="C1115" s="1">
        <v>45071</v>
      </c>
      <c r="D1115" t="s">
        <v>7</v>
      </c>
      <c r="E1115">
        <v>39</v>
      </c>
      <c r="F1115" t="s">
        <v>6</v>
      </c>
      <c r="G1115">
        <f t="shared" si="40"/>
        <v>113</v>
      </c>
      <c r="H1115" s="1" t="str">
        <f t="shared" si="41"/>
        <v>Wednesday</v>
      </c>
    </row>
    <row r="1116" spans="1:8" x14ac:dyDescent="0.3">
      <c r="A1116">
        <v>145416349</v>
      </c>
      <c r="B1116" s="1">
        <v>44958</v>
      </c>
      <c r="C1116" s="1">
        <v>45047</v>
      </c>
      <c r="D1116" t="s">
        <v>7</v>
      </c>
      <c r="E1116">
        <v>39</v>
      </c>
      <c r="F1116" t="s">
        <v>6</v>
      </c>
      <c r="G1116">
        <f t="shared" si="40"/>
        <v>89</v>
      </c>
      <c r="H1116" s="1" t="str">
        <f t="shared" si="41"/>
        <v>Wednesday</v>
      </c>
    </row>
    <row r="1117" spans="1:8" x14ac:dyDescent="0.3">
      <c r="A1117">
        <v>154064672</v>
      </c>
      <c r="B1117" s="1">
        <v>44958</v>
      </c>
      <c r="C1117" s="1">
        <v>45041</v>
      </c>
      <c r="D1117" t="s">
        <v>7</v>
      </c>
      <c r="E1117">
        <v>39</v>
      </c>
      <c r="F1117" t="s">
        <v>6</v>
      </c>
      <c r="G1117">
        <f t="shared" si="40"/>
        <v>83</v>
      </c>
      <c r="H1117" s="1" t="str">
        <f t="shared" si="41"/>
        <v>Wednesday</v>
      </c>
    </row>
    <row r="1118" spans="1:8" x14ac:dyDescent="0.3">
      <c r="A1118">
        <v>174670793</v>
      </c>
      <c r="B1118" s="1">
        <v>44958</v>
      </c>
      <c r="C1118" s="1">
        <v>45039</v>
      </c>
      <c r="D1118" t="s">
        <v>7</v>
      </c>
      <c r="E1118">
        <v>39</v>
      </c>
      <c r="F1118" t="s">
        <v>6</v>
      </c>
      <c r="G1118">
        <f t="shared" si="40"/>
        <v>81</v>
      </c>
      <c r="H1118" s="1" t="str">
        <f t="shared" si="41"/>
        <v>Wednesday</v>
      </c>
    </row>
    <row r="1119" spans="1:8" x14ac:dyDescent="0.3">
      <c r="A1119">
        <v>200600365</v>
      </c>
      <c r="B1119" s="1">
        <v>44958</v>
      </c>
      <c r="C1119" s="1">
        <v>45029</v>
      </c>
      <c r="D1119" t="s">
        <v>7</v>
      </c>
      <c r="E1119">
        <v>39</v>
      </c>
      <c r="F1119" t="s">
        <v>6</v>
      </c>
      <c r="G1119">
        <f t="shared" si="40"/>
        <v>71</v>
      </c>
      <c r="H1119" s="1" t="str">
        <f t="shared" si="41"/>
        <v>Wednesday</v>
      </c>
    </row>
    <row r="1120" spans="1:8" x14ac:dyDescent="0.3">
      <c r="A1120">
        <v>196253752</v>
      </c>
      <c r="B1120" s="1">
        <v>44958</v>
      </c>
      <c r="C1120" s="1">
        <v>44976</v>
      </c>
      <c r="D1120" t="s">
        <v>7</v>
      </c>
      <c r="E1120">
        <v>39</v>
      </c>
      <c r="F1120" t="s">
        <v>6</v>
      </c>
      <c r="G1120">
        <f t="shared" si="40"/>
        <v>18</v>
      </c>
      <c r="H1120" s="1" t="str">
        <f t="shared" si="41"/>
        <v>Wednesday</v>
      </c>
    </row>
    <row r="1121" spans="1:8" x14ac:dyDescent="0.3">
      <c r="A1121">
        <v>148710722</v>
      </c>
      <c r="B1121" s="1">
        <v>44958</v>
      </c>
      <c r="C1121" s="1">
        <v>44960</v>
      </c>
      <c r="D1121" t="s">
        <v>7</v>
      </c>
      <c r="E1121">
        <v>39</v>
      </c>
      <c r="F1121" t="s">
        <v>6</v>
      </c>
      <c r="G1121">
        <f t="shared" si="40"/>
        <v>2</v>
      </c>
      <c r="H1121" s="1" t="str">
        <f t="shared" si="41"/>
        <v>Wednesday</v>
      </c>
    </row>
    <row r="1122" spans="1:8" x14ac:dyDescent="0.3">
      <c r="A1122">
        <v>201015936</v>
      </c>
      <c r="B1122" s="1">
        <v>44958</v>
      </c>
      <c r="C1122" s="1">
        <v>44971</v>
      </c>
      <c r="D1122" t="s">
        <v>7</v>
      </c>
      <c r="E1122">
        <v>39</v>
      </c>
      <c r="F1122" t="s">
        <v>6</v>
      </c>
      <c r="G1122">
        <f t="shared" si="40"/>
        <v>13</v>
      </c>
      <c r="H1122" s="1" t="str">
        <f t="shared" si="41"/>
        <v>Wednesday</v>
      </c>
    </row>
    <row r="1123" spans="1:8" x14ac:dyDescent="0.3">
      <c r="A1123">
        <v>200766423</v>
      </c>
      <c r="B1123" s="1">
        <v>44958</v>
      </c>
      <c r="C1123" s="1">
        <v>44963</v>
      </c>
      <c r="D1123" t="s">
        <v>7</v>
      </c>
      <c r="E1123">
        <v>39</v>
      </c>
      <c r="F1123" t="s">
        <v>6</v>
      </c>
      <c r="G1123">
        <f t="shared" si="40"/>
        <v>5</v>
      </c>
      <c r="H1123" s="1" t="str">
        <f t="shared" si="41"/>
        <v>Wednesday</v>
      </c>
    </row>
    <row r="1124" spans="1:8" x14ac:dyDescent="0.3">
      <c r="A1124">
        <v>188152753</v>
      </c>
      <c r="B1124" s="1">
        <v>44958</v>
      </c>
      <c r="C1124" s="1">
        <v>44995</v>
      </c>
      <c r="D1124" t="s">
        <v>7</v>
      </c>
      <c r="E1124">
        <v>39</v>
      </c>
      <c r="F1124" t="s">
        <v>6</v>
      </c>
      <c r="G1124">
        <f t="shared" si="40"/>
        <v>37</v>
      </c>
      <c r="H1124" s="1" t="str">
        <f t="shared" si="41"/>
        <v>Wednesday</v>
      </c>
    </row>
    <row r="1125" spans="1:8" x14ac:dyDescent="0.3">
      <c r="A1125">
        <v>194406214</v>
      </c>
      <c r="B1125" s="1">
        <v>44958</v>
      </c>
      <c r="C1125" s="1">
        <v>45149</v>
      </c>
      <c r="D1125" t="s">
        <v>7</v>
      </c>
      <c r="E1125">
        <v>39</v>
      </c>
      <c r="F1125" t="s">
        <v>6</v>
      </c>
      <c r="G1125">
        <f t="shared" si="40"/>
        <v>191</v>
      </c>
      <c r="H1125" s="1" t="str">
        <f t="shared" si="41"/>
        <v>Wednesday</v>
      </c>
    </row>
    <row r="1126" spans="1:8" x14ac:dyDescent="0.3">
      <c r="A1126">
        <v>199388324</v>
      </c>
      <c r="B1126" s="1">
        <v>44959</v>
      </c>
      <c r="C1126" t="s">
        <v>19</v>
      </c>
      <c r="D1126" t="s">
        <v>7</v>
      </c>
      <c r="E1126">
        <v>39</v>
      </c>
      <c r="F1126" t="s">
        <v>6</v>
      </c>
      <c r="G1126" t="str">
        <f t="shared" si="40"/>
        <v>Active</v>
      </c>
      <c r="H1126" s="1" t="str">
        <f t="shared" si="41"/>
        <v>Thursday</v>
      </c>
    </row>
    <row r="1127" spans="1:8" x14ac:dyDescent="0.3">
      <c r="A1127">
        <v>202030516</v>
      </c>
      <c r="B1127" s="1">
        <v>44959</v>
      </c>
      <c r="C1127" t="s">
        <v>19</v>
      </c>
      <c r="D1127" t="s">
        <v>7</v>
      </c>
      <c r="E1127">
        <v>39</v>
      </c>
      <c r="F1127" t="s">
        <v>6</v>
      </c>
      <c r="G1127" t="str">
        <f t="shared" si="40"/>
        <v>Active</v>
      </c>
      <c r="H1127" s="1" t="str">
        <f t="shared" si="41"/>
        <v>Thursday</v>
      </c>
    </row>
    <row r="1128" spans="1:8" x14ac:dyDescent="0.3">
      <c r="A1128">
        <v>196926212</v>
      </c>
      <c r="B1128" s="1">
        <v>44959</v>
      </c>
      <c r="C1128" t="s">
        <v>19</v>
      </c>
      <c r="D1128" t="s">
        <v>7</v>
      </c>
      <c r="E1128">
        <v>39</v>
      </c>
      <c r="F1128" t="s">
        <v>6</v>
      </c>
      <c r="G1128" t="str">
        <f t="shared" si="40"/>
        <v>Active</v>
      </c>
      <c r="H1128" s="1" t="str">
        <f t="shared" si="41"/>
        <v>Thursday</v>
      </c>
    </row>
    <row r="1129" spans="1:8" x14ac:dyDescent="0.3">
      <c r="A1129">
        <v>199374328</v>
      </c>
      <c r="B1129" s="1">
        <v>44959</v>
      </c>
      <c r="C1129" s="1">
        <v>45113</v>
      </c>
      <c r="D1129" t="s">
        <v>7</v>
      </c>
      <c r="E1129">
        <v>39</v>
      </c>
      <c r="F1129" t="s">
        <v>6</v>
      </c>
      <c r="G1129">
        <f t="shared" si="40"/>
        <v>154</v>
      </c>
      <c r="H1129" s="1" t="str">
        <f t="shared" si="41"/>
        <v>Thursday</v>
      </c>
    </row>
    <row r="1130" spans="1:8" x14ac:dyDescent="0.3">
      <c r="A1130">
        <v>201313318</v>
      </c>
      <c r="B1130" s="1">
        <v>44959</v>
      </c>
      <c r="C1130" s="1">
        <v>45076</v>
      </c>
      <c r="D1130" t="s">
        <v>7</v>
      </c>
      <c r="E1130">
        <v>39</v>
      </c>
      <c r="F1130" t="s">
        <v>6</v>
      </c>
      <c r="G1130">
        <f t="shared" si="40"/>
        <v>117</v>
      </c>
      <c r="H1130" s="1" t="str">
        <f t="shared" si="41"/>
        <v>Thursday</v>
      </c>
    </row>
    <row r="1131" spans="1:8" x14ac:dyDescent="0.3">
      <c r="A1131">
        <v>200960179</v>
      </c>
      <c r="B1131" s="1">
        <v>44959</v>
      </c>
      <c r="C1131" s="1">
        <v>45077</v>
      </c>
      <c r="D1131" t="s">
        <v>7</v>
      </c>
      <c r="E1131">
        <v>39</v>
      </c>
      <c r="F1131" t="s">
        <v>6</v>
      </c>
      <c r="G1131">
        <f t="shared" si="40"/>
        <v>118</v>
      </c>
      <c r="H1131" s="1" t="str">
        <f t="shared" si="41"/>
        <v>Thursday</v>
      </c>
    </row>
    <row r="1132" spans="1:8" x14ac:dyDescent="0.3">
      <c r="A1132">
        <v>180890046</v>
      </c>
      <c r="B1132" s="1">
        <v>44959</v>
      </c>
      <c r="C1132" s="1">
        <v>45073</v>
      </c>
      <c r="D1132" t="s">
        <v>7</v>
      </c>
      <c r="E1132">
        <v>39</v>
      </c>
      <c r="F1132" t="s">
        <v>6</v>
      </c>
      <c r="G1132">
        <f t="shared" si="40"/>
        <v>114</v>
      </c>
      <c r="H1132" s="1" t="str">
        <f t="shared" si="41"/>
        <v>Thursday</v>
      </c>
    </row>
    <row r="1133" spans="1:8" x14ac:dyDescent="0.3">
      <c r="A1133">
        <v>159227956</v>
      </c>
      <c r="B1133" s="1">
        <v>44959</v>
      </c>
      <c r="C1133" s="1">
        <v>45055</v>
      </c>
      <c r="D1133" t="s">
        <v>7</v>
      </c>
      <c r="E1133">
        <v>39</v>
      </c>
      <c r="F1133" t="s">
        <v>6</v>
      </c>
      <c r="G1133">
        <f t="shared" si="40"/>
        <v>96</v>
      </c>
      <c r="H1133" s="1" t="str">
        <f t="shared" si="41"/>
        <v>Thursday</v>
      </c>
    </row>
    <row r="1134" spans="1:8" x14ac:dyDescent="0.3">
      <c r="A1134">
        <v>182325407</v>
      </c>
      <c r="B1134" s="1">
        <v>44959</v>
      </c>
      <c r="C1134" s="1">
        <v>45019</v>
      </c>
      <c r="D1134" t="s">
        <v>7</v>
      </c>
      <c r="E1134">
        <v>39</v>
      </c>
      <c r="F1134" t="s">
        <v>6</v>
      </c>
      <c r="G1134">
        <f t="shared" si="40"/>
        <v>60</v>
      </c>
      <c r="H1134" s="1" t="str">
        <f t="shared" si="41"/>
        <v>Thursday</v>
      </c>
    </row>
    <row r="1135" spans="1:8" x14ac:dyDescent="0.3">
      <c r="A1135">
        <v>194828965</v>
      </c>
      <c r="B1135" s="1">
        <v>44959</v>
      </c>
      <c r="C1135" s="1">
        <v>45018</v>
      </c>
      <c r="D1135" t="s">
        <v>7</v>
      </c>
      <c r="E1135">
        <v>39</v>
      </c>
      <c r="F1135" t="s">
        <v>6</v>
      </c>
      <c r="G1135">
        <f t="shared" si="40"/>
        <v>59</v>
      </c>
      <c r="H1135" s="1" t="str">
        <f t="shared" si="41"/>
        <v>Thursday</v>
      </c>
    </row>
    <row r="1136" spans="1:8" x14ac:dyDescent="0.3">
      <c r="A1136">
        <v>202139613</v>
      </c>
      <c r="B1136" s="1">
        <v>44959</v>
      </c>
      <c r="C1136" s="1">
        <v>44991</v>
      </c>
      <c r="D1136" t="s">
        <v>7</v>
      </c>
      <c r="E1136">
        <v>39</v>
      </c>
      <c r="F1136" t="s">
        <v>6</v>
      </c>
      <c r="G1136">
        <f t="shared" si="40"/>
        <v>32</v>
      </c>
      <c r="H1136" s="1" t="str">
        <f t="shared" si="41"/>
        <v>Thursday</v>
      </c>
    </row>
    <row r="1137" spans="1:8" x14ac:dyDescent="0.3">
      <c r="A1137">
        <v>202137510</v>
      </c>
      <c r="B1137" s="1">
        <v>44959</v>
      </c>
      <c r="C1137" s="1">
        <v>44995</v>
      </c>
      <c r="D1137" t="s">
        <v>7</v>
      </c>
      <c r="E1137">
        <v>39</v>
      </c>
      <c r="F1137" t="s">
        <v>6</v>
      </c>
      <c r="G1137">
        <f t="shared" si="40"/>
        <v>36</v>
      </c>
      <c r="H1137" s="1" t="str">
        <f t="shared" si="41"/>
        <v>Thursday</v>
      </c>
    </row>
    <row r="1138" spans="1:8" x14ac:dyDescent="0.3">
      <c r="A1138">
        <v>201182176</v>
      </c>
      <c r="B1138" s="1">
        <v>44959</v>
      </c>
      <c r="C1138" s="1">
        <v>44987</v>
      </c>
      <c r="D1138" t="s">
        <v>7</v>
      </c>
      <c r="E1138">
        <v>39</v>
      </c>
      <c r="F1138" t="s">
        <v>6</v>
      </c>
      <c r="G1138">
        <f t="shared" si="40"/>
        <v>28</v>
      </c>
      <c r="H1138" s="1" t="str">
        <f t="shared" si="41"/>
        <v>Thursday</v>
      </c>
    </row>
    <row r="1139" spans="1:8" x14ac:dyDescent="0.3">
      <c r="A1139">
        <v>202010803</v>
      </c>
      <c r="B1139" s="1">
        <v>44959</v>
      </c>
      <c r="C1139" s="1">
        <v>44986</v>
      </c>
      <c r="D1139" t="s">
        <v>7</v>
      </c>
      <c r="E1139">
        <v>39</v>
      </c>
      <c r="F1139" t="s">
        <v>6</v>
      </c>
      <c r="G1139">
        <f t="shared" si="40"/>
        <v>27</v>
      </c>
      <c r="H1139" s="1" t="str">
        <f t="shared" si="41"/>
        <v>Thursday</v>
      </c>
    </row>
    <row r="1140" spans="1:8" x14ac:dyDescent="0.3">
      <c r="A1140">
        <v>131734107</v>
      </c>
      <c r="B1140" s="1">
        <v>44960</v>
      </c>
      <c r="C1140" s="1">
        <v>45172</v>
      </c>
      <c r="D1140" t="s">
        <v>7</v>
      </c>
      <c r="E1140">
        <v>39</v>
      </c>
      <c r="F1140" t="s">
        <v>6</v>
      </c>
      <c r="G1140">
        <f t="shared" si="40"/>
        <v>212</v>
      </c>
      <c r="H1140" s="1" t="str">
        <f t="shared" si="41"/>
        <v>Friday</v>
      </c>
    </row>
    <row r="1141" spans="1:8" x14ac:dyDescent="0.3">
      <c r="A1141">
        <v>202277130</v>
      </c>
      <c r="B1141" s="1">
        <v>44960</v>
      </c>
      <c r="C1141" s="1">
        <v>45017</v>
      </c>
      <c r="D1141" t="s">
        <v>7</v>
      </c>
      <c r="E1141">
        <v>39</v>
      </c>
      <c r="F1141" t="s">
        <v>6</v>
      </c>
      <c r="G1141">
        <f t="shared" si="40"/>
        <v>57</v>
      </c>
      <c r="H1141" s="1" t="str">
        <f t="shared" si="41"/>
        <v>Friday</v>
      </c>
    </row>
    <row r="1142" spans="1:8" x14ac:dyDescent="0.3">
      <c r="A1142">
        <v>137196428</v>
      </c>
      <c r="B1142" s="1">
        <v>44960</v>
      </c>
      <c r="C1142" s="1">
        <v>44994</v>
      </c>
      <c r="D1142" t="s">
        <v>7</v>
      </c>
      <c r="E1142">
        <v>39</v>
      </c>
      <c r="F1142" t="s">
        <v>6</v>
      </c>
      <c r="G1142">
        <f t="shared" si="40"/>
        <v>34</v>
      </c>
      <c r="H1142" s="1" t="str">
        <f t="shared" si="41"/>
        <v>Friday</v>
      </c>
    </row>
    <row r="1143" spans="1:8" x14ac:dyDescent="0.3">
      <c r="A1143">
        <v>153568282</v>
      </c>
      <c r="B1143" s="1">
        <v>44960</v>
      </c>
      <c r="C1143" s="1">
        <v>44973</v>
      </c>
      <c r="D1143" t="s">
        <v>7</v>
      </c>
      <c r="E1143">
        <v>39</v>
      </c>
      <c r="F1143" t="s">
        <v>6</v>
      </c>
      <c r="G1143">
        <f t="shared" si="40"/>
        <v>13</v>
      </c>
      <c r="H1143" s="1" t="str">
        <f t="shared" si="41"/>
        <v>Friday</v>
      </c>
    </row>
    <row r="1144" spans="1:8" x14ac:dyDescent="0.3">
      <c r="A1144">
        <v>199895190</v>
      </c>
      <c r="B1144" s="1">
        <v>44960</v>
      </c>
      <c r="C1144" s="1">
        <v>44998</v>
      </c>
      <c r="D1144" t="s">
        <v>7</v>
      </c>
      <c r="E1144">
        <v>39</v>
      </c>
      <c r="F1144" t="s">
        <v>6</v>
      </c>
      <c r="G1144">
        <f t="shared" si="40"/>
        <v>38</v>
      </c>
      <c r="H1144" s="1" t="str">
        <f t="shared" si="41"/>
        <v>Friday</v>
      </c>
    </row>
    <row r="1145" spans="1:8" x14ac:dyDescent="0.3">
      <c r="A1145">
        <v>200894076</v>
      </c>
      <c r="B1145" s="1">
        <v>44960</v>
      </c>
      <c r="C1145" s="1">
        <v>45015</v>
      </c>
      <c r="D1145" t="s">
        <v>7</v>
      </c>
      <c r="E1145">
        <v>39</v>
      </c>
      <c r="F1145" t="s">
        <v>6</v>
      </c>
      <c r="G1145">
        <f t="shared" si="40"/>
        <v>55</v>
      </c>
      <c r="H1145" s="1" t="str">
        <f t="shared" si="41"/>
        <v>Friday</v>
      </c>
    </row>
    <row r="1146" spans="1:8" x14ac:dyDescent="0.3">
      <c r="A1146">
        <v>201162862</v>
      </c>
      <c r="B1146" s="1">
        <v>44960</v>
      </c>
      <c r="C1146" s="1">
        <v>44995</v>
      </c>
      <c r="D1146" t="s">
        <v>7</v>
      </c>
      <c r="E1146">
        <v>39</v>
      </c>
      <c r="F1146" t="s">
        <v>6</v>
      </c>
      <c r="G1146">
        <f t="shared" si="40"/>
        <v>35</v>
      </c>
      <c r="H1146" s="1" t="str">
        <f t="shared" si="41"/>
        <v>Friday</v>
      </c>
    </row>
    <row r="1147" spans="1:8" x14ac:dyDescent="0.3">
      <c r="A1147">
        <v>198748705</v>
      </c>
      <c r="B1147" s="1">
        <v>44960</v>
      </c>
      <c r="C1147" s="1">
        <v>45011</v>
      </c>
      <c r="D1147" t="s">
        <v>7</v>
      </c>
      <c r="E1147">
        <v>39</v>
      </c>
      <c r="F1147" t="s">
        <v>6</v>
      </c>
      <c r="G1147">
        <f t="shared" si="40"/>
        <v>51</v>
      </c>
      <c r="H1147" s="1" t="str">
        <f t="shared" si="41"/>
        <v>Friday</v>
      </c>
    </row>
    <row r="1148" spans="1:8" x14ac:dyDescent="0.3">
      <c r="A1148">
        <v>202308735</v>
      </c>
      <c r="B1148" s="1">
        <v>44960</v>
      </c>
      <c r="C1148" s="1">
        <v>45159</v>
      </c>
      <c r="D1148" t="s">
        <v>7</v>
      </c>
      <c r="E1148">
        <v>39</v>
      </c>
      <c r="F1148" t="s">
        <v>6</v>
      </c>
      <c r="G1148">
        <f t="shared" si="40"/>
        <v>199</v>
      </c>
      <c r="H1148" s="1" t="str">
        <f t="shared" si="41"/>
        <v>Friday</v>
      </c>
    </row>
    <row r="1149" spans="1:8" x14ac:dyDescent="0.3">
      <c r="A1149">
        <v>202276540</v>
      </c>
      <c r="B1149" s="1">
        <v>44960</v>
      </c>
      <c r="C1149" s="1">
        <v>45110</v>
      </c>
      <c r="D1149" t="s">
        <v>7</v>
      </c>
      <c r="E1149">
        <v>39</v>
      </c>
      <c r="F1149" t="s">
        <v>6</v>
      </c>
      <c r="G1149">
        <f t="shared" si="40"/>
        <v>150</v>
      </c>
      <c r="H1149" s="1" t="str">
        <f t="shared" si="41"/>
        <v>Friday</v>
      </c>
    </row>
    <row r="1150" spans="1:8" x14ac:dyDescent="0.3">
      <c r="A1150">
        <v>202401357</v>
      </c>
      <c r="B1150" s="1">
        <v>44961</v>
      </c>
      <c r="C1150" t="s">
        <v>19</v>
      </c>
      <c r="D1150" t="s">
        <v>7</v>
      </c>
      <c r="E1150">
        <v>39</v>
      </c>
      <c r="F1150" t="s">
        <v>6</v>
      </c>
      <c r="G1150" t="str">
        <f t="shared" si="40"/>
        <v>Active</v>
      </c>
      <c r="H1150" s="1" t="str">
        <f t="shared" si="41"/>
        <v>Saturday</v>
      </c>
    </row>
    <row r="1151" spans="1:8" x14ac:dyDescent="0.3">
      <c r="A1151">
        <v>184539258</v>
      </c>
      <c r="B1151" s="1">
        <v>44961</v>
      </c>
      <c r="C1151" s="1">
        <v>45048</v>
      </c>
      <c r="D1151" t="s">
        <v>7</v>
      </c>
      <c r="E1151">
        <v>39</v>
      </c>
      <c r="F1151" t="s">
        <v>6</v>
      </c>
      <c r="G1151">
        <f t="shared" si="40"/>
        <v>87</v>
      </c>
      <c r="H1151" s="1" t="str">
        <f t="shared" si="41"/>
        <v>Saturday</v>
      </c>
    </row>
    <row r="1152" spans="1:8" x14ac:dyDescent="0.3">
      <c r="A1152">
        <v>202349754</v>
      </c>
      <c r="B1152" s="1">
        <v>44961</v>
      </c>
      <c r="C1152" s="1">
        <v>45054</v>
      </c>
      <c r="D1152" t="s">
        <v>7</v>
      </c>
      <c r="E1152">
        <v>39</v>
      </c>
      <c r="F1152" t="s">
        <v>6</v>
      </c>
      <c r="G1152">
        <f t="shared" si="40"/>
        <v>93</v>
      </c>
      <c r="H1152" s="1" t="str">
        <f t="shared" si="41"/>
        <v>Saturday</v>
      </c>
    </row>
    <row r="1153" spans="1:8" x14ac:dyDescent="0.3">
      <c r="A1153">
        <v>202410436</v>
      </c>
      <c r="B1153" s="1">
        <v>44961</v>
      </c>
      <c r="C1153" s="1">
        <v>44982</v>
      </c>
      <c r="D1153" t="s">
        <v>7</v>
      </c>
      <c r="E1153">
        <v>39</v>
      </c>
      <c r="F1153" t="s">
        <v>6</v>
      </c>
      <c r="G1153">
        <f t="shared" si="40"/>
        <v>21</v>
      </c>
      <c r="H1153" s="1" t="str">
        <f t="shared" si="41"/>
        <v>Saturday</v>
      </c>
    </row>
    <row r="1154" spans="1:8" x14ac:dyDescent="0.3">
      <c r="A1154">
        <v>197151544</v>
      </c>
      <c r="B1154" s="1">
        <v>44961</v>
      </c>
      <c r="C1154" s="1">
        <v>45006</v>
      </c>
      <c r="D1154" t="s">
        <v>7</v>
      </c>
      <c r="E1154">
        <v>39</v>
      </c>
      <c r="F1154" t="s">
        <v>6</v>
      </c>
      <c r="G1154">
        <f t="shared" si="40"/>
        <v>45</v>
      </c>
      <c r="H1154" s="1" t="str">
        <f t="shared" si="41"/>
        <v>Saturday</v>
      </c>
    </row>
    <row r="1155" spans="1:8" x14ac:dyDescent="0.3">
      <c r="A1155">
        <v>202305934</v>
      </c>
      <c r="B1155" s="1">
        <v>44961</v>
      </c>
      <c r="C1155" s="1">
        <v>45004</v>
      </c>
      <c r="D1155" t="s">
        <v>7</v>
      </c>
      <c r="E1155">
        <v>39</v>
      </c>
      <c r="F1155" t="s">
        <v>6</v>
      </c>
      <c r="G1155">
        <f t="shared" ref="G1155:G1218" si="42">IF(C1155="Active","Active",C1155-B1155)</f>
        <v>43</v>
      </c>
      <c r="H1155" s="1" t="str">
        <f t="shared" ref="H1155:H1218" si="43">TEXT(B1155,"dddd")</f>
        <v>Saturday</v>
      </c>
    </row>
    <row r="1156" spans="1:8" x14ac:dyDescent="0.3">
      <c r="A1156">
        <v>202304812</v>
      </c>
      <c r="B1156" s="1">
        <v>44962</v>
      </c>
      <c r="C1156" t="s">
        <v>19</v>
      </c>
      <c r="D1156" t="s">
        <v>7</v>
      </c>
      <c r="E1156">
        <v>39</v>
      </c>
      <c r="F1156" t="s">
        <v>6</v>
      </c>
      <c r="G1156" t="str">
        <f t="shared" si="42"/>
        <v>Active</v>
      </c>
      <c r="H1156" s="1" t="str">
        <f t="shared" si="43"/>
        <v>Sunday</v>
      </c>
    </row>
    <row r="1157" spans="1:8" x14ac:dyDescent="0.3">
      <c r="A1157">
        <v>160030890</v>
      </c>
      <c r="B1157" s="1">
        <v>44962</v>
      </c>
      <c r="C1157" t="s">
        <v>19</v>
      </c>
      <c r="D1157" t="s">
        <v>7</v>
      </c>
      <c r="E1157">
        <v>39</v>
      </c>
      <c r="F1157" t="s">
        <v>6</v>
      </c>
      <c r="G1157" t="str">
        <f t="shared" si="42"/>
        <v>Active</v>
      </c>
      <c r="H1157" s="1" t="str">
        <f t="shared" si="43"/>
        <v>Sunday</v>
      </c>
    </row>
    <row r="1158" spans="1:8" x14ac:dyDescent="0.3">
      <c r="A1158">
        <v>202524608</v>
      </c>
      <c r="B1158" s="1">
        <v>44962</v>
      </c>
      <c r="C1158" t="s">
        <v>19</v>
      </c>
      <c r="D1158" t="s">
        <v>7</v>
      </c>
      <c r="E1158">
        <v>39</v>
      </c>
      <c r="F1158" t="s">
        <v>6</v>
      </c>
      <c r="G1158" t="str">
        <f t="shared" si="42"/>
        <v>Active</v>
      </c>
      <c r="H1158" s="1" t="str">
        <f t="shared" si="43"/>
        <v>Sunday</v>
      </c>
    </row>
    <row r="1159" spans="1:8" x14ac:dyDescent="0.3">
      <c r="A1159">
        <v>198447368</v>
      </c>
      <c r="B1159" s="1">
        <v>44962</v>
      </c>
      <c r="C1159" t="s">
        <v>19</v>
      </c>
      <c r="D1159" t="s">
        <v>7</v>
      </c>
      <c r="E1159">
        <v>39</v>
      </c>
      <c r="F1159" t="s">
        <v>6</v>
      </c>
      <c r="G1159" t="str">
        <f t="shared" si="42"/>
        <v>Active</v>
      </c>
      <c r="H1159" s="1" t="str">
        <f t="shared" si="43"/>
        <v>Sunday</v>
      </c>
    </row>
    <row r="1160" spans="1:8" x14ac:dyDescent="0.3">
      <c r="A1160">
        <v>202458624</v>
      </c>
      <c r="B1160" s="1">
        <v>44962</v>
      </c>
      <c r="C1160" t="s">
        <v>19</v>
      </c>
      <c r="D1160" t="s">
        <v>7</v>
      </c>
      <c r="E1160">
        <v>39</v>
      </c>
      <c r="F1160" t="s">
        <v>6</v>
      </c>
      <c r="G1160" t="str">
        <f t="shared" si="42"/>
        <v>Active</v>
      </c>
      <c r="H1160" s="1" t="str">
        <f t="shared" si="43"/>
        <v>Sunday</v>
      </c>
    </row>
    <row r="1161" spans="1:8" x14ac:dyDescent="0.3">
      <c r="A1161">
        <v>132256211</v>
      </c>
      <c r="B1161" s="1">
        <v>44962</v>
      </c>
      <c r="C1161" s="1">
        <v>44997</v>
      </c>
      <c r="D1161" t="s">
        <v>7</v>
      </c>
      <c r="E1161">
        <v>39</v>
      </c>
      <c r="F1161" t="s">
        <v>6</v>
      </c>
      <c r="G1161">
        <f t="shared" si="42"/>
        <v>35</v>
      </c>
      <c r="H1161" s="1" t="str">
        <f t="shared" si="43"/>
        <v>Sunday</v>
      </c>
    </row>
    <row r="1162" spans="1:8" x14ac:dyDescent="0.3">
      <c r="A1162">
        <v>202504135</v>
      </c>
      <c r="B1162" s="1">
        <v>44962</v>
      </c>
      <c r="C1162" s="1">
        <v>45089</v>
      </c>
      <c r="D1162" t="s">
        <v>7</v>
      </c>
      <c r="E1162">
        <v>39</v>
      </c>
      <c r="F1162" t="s">
        <v>6</v>
      </c>
      <c r="G1162">
        <f t="shared" si="42"/>
        <v>127</v>
      </c>
      <c r="H1162" s="1" t="str">
        <f t="shared" si="43"/>
        <v>Sunday</v>
      </c>
    </row>
    <row r="1163" spans="1:8" x14ac:dyDescent="0.3">
      <c r="A1163">
        <v>192182455</v>
      </c>
      <c r="B1163" s="1">
        <v>44962</v>
      </c>
      <c r="C1163" s="1">
        <v>45052</v>
      </c>
      <c r="D1163" t="s">
        <v>7</v>
      </c>
      <c r="E1163">
        <v>39</v>
      </c>
      <c r="F1163" t="s">
        <v>6</v>
      </c>
      <c r="G1163">
        <f t="shared" si="42"/>
        <v>90</v>
      </c>
      <c r="H1163" s="1" t="str">
        <f t="shared" si="43"/>
        <v>Sunday</v>
      </c>
    </row>
    <row r="1164" spans="1:8" x14ac:dyDescent="0.3">
      <c r="A1164">
        <v>202505276</v>
      </c>
      <c r="B1164" s="1">
        <v>44962</v>
      </c>
      <c r="C1164" s="1">
        <v>44999</v>
      </c>
      <c r="D1164" t="s">
        <v>7</v>
      </c>
      <c r="E1164">
        <v>39</v>
      </c>
      <c r="F1164" t="s">
        <v>6</v>
      </c>
      <c r="G1164">
        <f t="shared" si="42"/>
        <v>37</v>
      </c>
      <c r="H1164" s="1" t="str">
        <f t="shared" si="43"/>
        <v>Sunday</v>
      </c>
    </row>
    <row r="1165" spans="1:8" x14ac:dyDescent="0.3">
      <c r="A1165">
        <v>152050632</v>
      </c>
      <c r="B1165" s="1">
        <v>44963</v>
      </c>
      <c r="C1165" t="s">
        <v>19</v>
      </c>
      <c r="D1165" t="s">
        <v>7</v>
      </c>
      <c r="E1165">
        <v>39</v>
      </c>
      <c r="F1165" t="s">
        <v>6</v>
      </c>
      <c r="G1165" t="str">
        <f t="shared" si="42"/>
        <v>Active</v>
      </c>
      <c r="H1165" s="1" t="str">
        <f t="shared" si="43"/>
        <v>Monday</v>
      </c>
    </row>
    <row r="1166" spans="1:8" x14ac:dyDescent="0.3">
      <c r="A1166">
        <v>201313284</v>
      </c>
      <c r="B1166" s="1">
        <v>44963</v>
      </c>
      <c r="C1166" t="s">
        <v>19</v>
      </c>
      <c r="D1166" t="s">
        <v>7</v>
      </c>
      <c r="E1166">
        <v>39</v>
      </c>
      <c r="F1166" t="s">
        <v>6</v>
      </c>
      <c r="G1166" t="str">
        <f t="shared" si="42"/>
        <v>Active</v>
      </c>
      <c r="H1166" s="1" t="str">
        <f t="shared" si="43"/>
        <v>Monday</v>
      </c>
    </row>
    <row r="1167" spans="1:8" x14ac:dyDescent="0.3">
      <c r="A1167">
        <v>202118292</v>
      </c>
      <c r="B1167" s="1">
        <v>44963</v>
      </c>
      <c r="C1167" t="s">
        <v>19</v>
      </c>
      <c r="D1167" t="s">
        <v>7</v>
      </c>
      <c r="E1167">
        <v>39</v>
      </c>
      <c r="F1167" t="s">
        <v>6</v>
      </c>
      <c r="G1167" t="str">
        <f t="shared" si="42"/>
        <v>Active</v>
      </c>
      <c r="H1167" s="1" t="str">
        <f t="shared" si="43"/>
        <v>Monday</v>
      </c>
    </row>
    <row r="1168" spans="1:8" x14ac:dyDescent="0.3">
      <c r="A1168">
        <v>202298964</v>
      </c>
      <c r="B1168" s="1">
        <v>44963</v>
      </c>
      <c r="C1168" t="s">
        <v>19</v>
      </c>
      <c r="D1168" t="s">
        <v>7</v>
      </c>
      <c r="E1168">
        <v>39</v>
      </c>
      <c r="F1168" t="s">
        <v>6</v>
      </c>
      <c r="G1168" t="str">
        <f t="shared" si="42"/>
        <v>Active</v>
      </c>
      <c r="H1168" s="1" t="str">
        <f t="shared" si="43"/>
        <v>Monday</v>
      </c>
    </row>
    <row r="1169" spans="1:8" x14ac:dyDescent="0.3">
      <c r="A1169">
        <v>202496216</v>
      </c>
      <c r="B1169" s="1">
        <v>44963</v>
      </c>
      <c r="C1169" t="s">
        <v>19</v>
      </c>
      <c r="D1169" t="s">
        <v>7</v>
      </c>
      <c r="E1169">
        <v>39</v>
      </c>
      <c r="F1169" t="s">
        <v>6</v>
      </c>
      <c r="G1169" t="str">
        <f t="shared" si="42"/>
        <v>Active</v>
      </c>
      <c r="H1169" s="1" t="str">
        <f t="shared" si="43"/>
        <v>Monday</v>
      </c>
    </row>
    <row r="1170" spans="1:8" x14ac:dyDescent="0.3">
      <c r="A1170">
        <v>152354478</v>
      </c>
      <c r="B1170" s="1">
        <v>44963</v>
      </c>
      <c r="C1170" t="s">
        <v>19</v>
      </c>
      <c r="D1170" t="s">
        <v>7</v>
      </c>
      <c r="E1170">
        <v>39</v>
      </c>
      <c r="F1170" t="s">
        <v>6</v>
      </c>
      <c r="G1170" t="str">
        <f t="shared" si="42"/>
        <v>Active</v>
      </c>
      <c r="H1170" s="1" t="str">
        <f t="shared" si="43"/>
        <v>Monday</v>
      </c>
    </row>
    <row r="1171" spans="1:8" x14ac:dyDescent="0.3">
      <c r="A1171">
        <v>200490112</v>
      </c>
      <c r="B1171" s="1">
        <v>44963</v>
      </c>
      <c r="C1171" s="1">
        <v>44964</v>
      </c>
      <c r="D1171" t="s">
        <v>8</v>
      </c>
      <c r="E1171">
        <v>39</v>
      </c>
      <c r="F1171" t="s">
        <v>6</v>
      </c>
      <c r="G1171">
        <f t="shared" si="42"/>
        <v>1</v>
      </c>
      <c r="H1171" s="1" t="str">
        <f t="shared" si="43"/>
        <v>Monday</v>
      </c>
    </row>
    <row r="1172" spans="1:8" x14ac:dyDescent="0.3">
      <c r="A1172">
        <v>131310280</v>
      </c>
      <c r="B1172" s="1">
        <v>44963</v>
      </c>
      <c r="C1172" s="1">
        <v>44974</v>
      </c>
      <c r="D1172" t="s">
        <v>7</v>
      </c>
      <c r="E1172">
        <v>39</v>
      </c>
      <c r="F1172" t="s">
        <v>6</v>
      </c>
      <c r="G1172">
        <f t="shared" si="42"/>
        <v>11</v>
      </c>
      <c r="H1172" s="1" t="str">
        <f t="shared" si="43"/>
        <v>Monday</v>
      </c>
    </row>
    <row r="1173" spans="1:8" x14ac:dyDescent="0.3">
      <c r="A1173">
        <v>154161250</v>
      </c>
      <c r="B1173" s="1">
        <v>44963</v>
      </c>
      <c r="C1173" s="1">
        <v>45006</v>
      </c>
      <c r="D1173" t="s">
        <v>7</v>
      </c>
      <c r="E1173">
        <v>39</v>
      </c>
      <c r="F1173" t="s">
        <v>6</v>
      </c>
      <c r="G1173">
        <f t="shared" si="42"/>
        <v>43</v>
      </c>
      <c r="H1173" s="1" t="str">
        <f t="shared" si="43"/>
        <v>Monday</v>
      </c>
    </row>
    <row r="1174" spans="1:8" x14ac:dyDescent="0.3">
      <c r="A1174">
        <v>150521180</v>
      </c>
      <c r="B1174" s="1">
        <v>44963</v>
      </c>
      <c r="C1174" s="1">
        <v>45082</v>
      </c>
      <c r="D1174" t="s">
        <v>7</v>
      </c>
      <c r="E1174">
        <v>39</v>
      </c>
      <c r="F1174" t="s">
        <v>6</v>
      </c>
      <c r="G1174">
        <f t="shared" si="42"/>
        <v>119</v>
      </c>
      <c r="H1174" s="1" t="str">
        <f t="shared" si="43"/>
        <v>Monday</v>
      </c>
    </row>
    <row r="1175" spans="1:8" x14ac:dyDescent="0.3">
      <c r="A1175">
        <v>195280988</v>
      </c>
      <c r="B1175" s="1">
        <v>44963</v>
      </c>
      <c r="C1175" s="1">
        <v>45098</v>
      </c>
      <c r="D1175" t="s">
        <v>7</v>
      </c>
      <c r="E1175">
        <v>39</v>
      </c>
      <c r="F1175" t="s">
        <v>6</v>
      </c>
      <c r="G1175">
        <f t="shared" si="42"/>
        <v>135</v>
      </c>
      <c r="H1175" s="1" t="str">
        <f t="shared" si="43"/>
        <v>Monday</v>
      </c>
    </row>
    <row r="1176" spans="1:8" x14ac:dyDescent="0.3">
      <c r="A1176">
        <v>201231494</v>
      </c>
      <c r="B1176" s="1">
        <v>44963</v>
      </c>
      <c r="C1176" s="1">
        <v>45055</v>
      </c>
      <c r="D1176" t="s">
        <v>7</v>
      </c>
      <c r="E1176">
        <v>39</v>
      </c>
      <c r="F1176" t="s">
        <v>6</v>
      </c>
      <c r="G1176">
        <f t="shared" si="42"/>
        <v>92</v>
      </c>
      <c r="H1176" s="1" t="str">
        <f t="shared" si="43"/>
        <v>Monday</v>
      </c>
    </row>
    <row r="1177" spans="1:8" x14ac:dyDescent="0.3">
      <c r="A1177">
        <v>199554496</v>
      </c>
      <c r="B1177" s="1">
        <v>44963</v>
      </c>
      <c r="C1177" s="1">
        <v>44965</v>
      </c>
      <c r="D1177" t="s">
        <v>7</v>
      </c>
      <c r="E1177">
        <v>39</v>
      </c>
      <c r="F1177" t="s">
        <v>6</v>
      </c>
      <c r="G1177">
        <f t="shared" si="42"/>
        <v>2</v>
      </c>
      <c r="H1177" s="1" t="str">
        <f t="shared" si="43"/>
        <v>Monday</v>
      </c>
    </row>
    <row r="1178" spans="1:8" x14ac:dyDescent="0.3">
      <c r="A1178">
        <v>125747106</v>
      </c>
      <c r="B1178" s="1">
        <v>44963</v>
      </c>
      <c r="C1178" s="1">
        <v>44989</v>
      </c>
      <c r="D1178" t="s">
        <v>7</v>
      </c>
      <c r="E1178">
        <v>39</v>
      </c>
      <c r="F1178" t="s">
        <v>6</v>
      </c>
      <c r="G1178">
        <f t="shared" si="42"/>
        <v>26</v>
      </c>
      <c r="H1178" s="1" t="str">
        <f t="shared" si="43"/>
        <v>Monday</v>
      </c>
    </row>
    <row r="1179" spans="1:8" x14ac:dyDescent="0.3">
      <c r="A1179">
        <v>195345030</v>
      </c>
      <c r="B1179" s="1">
        <v>44963</v>
      </c>
      <c r="C1179" s="1">
        <v>44989</v>
      </c>
      <c r="D1179" t="s">
        <v>7</v>
      </c>
      <c r="E1179">
        <v>39</v>
      </c>
      <c r="F1179" t="s">
        <v>6</v>
      </c>
      <c r="G1179">
        <f t="shared" si="42"/>
        <v>26</v>
      </c>
      <c r="H1179" s="1" t="str">
        <f t="shared" si="43"/>
        <v>Monday</v>
      </c>
    </row>
    <row r="1180" spans="1:8" x14ac:dyDescent="0.3">
      <c r="A1180">
        <v>202269874</v>
      </c>
      <c r="B1180" s="1">
        <v>44963</v>
      </c>
      <c r="C1180" s="1">
        <v>45010</v>
      </c>
      <c r="D1180" t="s">
        <v>7</v>
      </c>
      <c r="E1180">
        <v>39</v>
      </c>
      <c r="F1180" t="s">
        <v>6</v>
      </c>
      <c r="G1180">
        <f t="shared" si="42"/>
        <v>47</v>
      </c>
      <c r="H1180" s="1" t="str">
        <f t="shared" si="43"/>
        <v>Monday</v>
      </c>
    </row>
    <row r="1181" spans="1:8" x14ac:dyDescent="0.3">
      <c r="A1181">
        <v>191036527</v>
      </c>
      <c r="B1181" s="1">
        <v>44963</v>
      </c>
      <c r="C1181" s="1">
        <v>44992</v>
      </c>
      <c r="D1181" t="s">
        <v>7</v>
      </c>
      <c r="E1181">
        <v>39</v>
      </c>
      <c r="F1181" t="s">
        <v>6</v>
      </c>
      <c r="G1181">
        <f t="shared" si="42"/>
        <v>29</v>
      </c>
      <c r="H1181" s="1" t="str">
        <f t="shared" si="43"/>
        <v>Monday</v>
      </c>
    </row>
    <row r="1182" spans="1:8" x14ac:dyDescent="0.3">
      <c r="A1182">
        <v>202633556</v>
      </c>
      <c r="B1182" s="1">
        <v>44963</v>
      </c>
      <c r="C1182" s="1">
        <v>44979</v>
      </c>
      <c r="D1182" t="s">
        <v>7</v>
      </c>
      <c r="E1182">
        <v>39</v>
      </c>
      <c r="F1182" t="s">
        <v>6</v>
      </c>
      <c r="G1182">
        <f t="shared" si="42"/>
        <v>16</v>
      </c>
      <c r="H1182" s="1" t="str">
        <f t="shared" si="43"/>
        <v>Monday</v>
      </c>
    </row>
    <row r="1183" spans="1:8" x14ac:dyDescent="0.3">
      <c r="A1183">
        <v>202750328</v>
      </c>
      <c r="B1183" s="1">
        <v>44963</v>
      </c>
      <c r="C1183" s="1">
        <v>45140</v>
      </c>
      <c r="D1183" t="s">
        <v>7</v>
      </c>
      <c r="E1183">
        <v>39</v>
      </c>
      <c r="F1183" t="s">
        <v>6</v>
      </c>
      <c r="G1183">
        <f t="shared" si="42"/>
        <v>177</v>
      </c>
      <c r="H1183" s="1" t="str">
        <f t="shared" si="43"/>
        <v>Monday</v>
      </c>
    </row>
    <row r="1184" spans="1:8" x14ac:dyDescent="0.3">
      <c r="A1184">
        <v>192781688</v>
      </c>
      <c r="B1184" s="1">
        <v>44964</v>
      </c>
      <c r="C1184" t="s">
        <v>19</v>
      </c>
      <c r="D1184" t="s">
        <v>7</v>
      </c>
      <c r="E1184">
        <v>39</v>
      </c>
      <c r="F1184" t="s">
        <v>6</v>
      </c>
      <c r="G1184" t="str">
        <f t="shared" si="42"/>
        <v>Active</v>
      </c>
      <c r="H1184" s="1" t="str">
        <f t="shared" si="43"/>
        <v>Tuesday</v>
      </c>
    </row>
    <row r="1185" spans="1:8" x14ac:dyDescent="0.3">
      <c r="A1185">
        <v>196859472</v>
      </c>
      <c r="B1185" s="1">
        <v>44964</v>
      </c>
      <c r="C1185" t="s">
        <v>19</v>
      </c>
      <c r="D1185" t="s">
        <v>7</v>
      </c>
      <c r="E1185">
        <v>39</v>
      </c>
      <c r="F1185" t="s">
        <v>6</v>
      </c>
      <c r="G1185" t="str">
        <f t="shared" si="42"/>
        <v>Active</v>
      </c>
      <c r="H1185" s="1" t="str">
        <f t="shared" si="43"/>
        <v>Tuesday</v>
      </c>
    </row>
    <row r="1186" spans="1:8" x14ac:dyDescent="0.3">
      <c r="A1186">
        <v>200333728</v>
      </c>
      <c r="B1186" s="1">
        <v>44964</v>
      </c>
      <c r="C1186" t="s">
        <v>19</v>
      </c>
      <c r="D1186" t="s">
        <v>7</v>
      </c>
      <c r="E1186">
        <v>39</v>
      </c>
      <c r="F1186" t="s">
        <v>6</v>
      </c>
      <c r="G1186" t="str">
        <f t="shared" si="42"/>
        <v>Active</v>
      </c>
      <c r="H1186" s="1" t="str">
        <f t="shared" si="43"/>
        <v>Tuesday</v>
      </c>
    </row>
    <row r="1187" spans="1:8" x14ac:dyDescent="0.3">
      <c r="A1187">
        <v>129896329</v>
      </c>
      <c r="B1187" s="1">
        <v>44964</v>
      </c>
      <c r="C1187" t="s">
        <v>19</v>
      </c>
      <c r="D1187" t="s">
        <v>7</v>
      </c>
      <c r="E1187">
        <v>39</v>
      </c>
      <c r="F1187" t="s">
        <v>6</v>
      </c>
      <c r="G1187" t="str">
        <f t="shared" si="42"/>
        <v>Active</v>
      </c>
      <c r="H1187" s="1" t="str">
        <f t="shared" si="43"/>
        <v>Tuesday</v>
      </c>
    </row>
    <row r="1188" spans="1:8" x14ac:dyDescent="0.3">
      <c r="A1188">
        <v>168202891</v>
      </c>
      <c r="B1188" s="1">
        <v>44964</v>
      </c>
      <c r="C1188" s="1">
        <v>44964</v>
      </c>
      <c r="D1188" t="s">
        <v>8</v>
      </c>
      <c r="E1188">
        <v>39</v>
      </c>
      <c r="F1188" t="s">
        <v>6</v>
      </c>
      <c r="G1188">
        <f t="shared" si="42"/>
        <v>0</v>
      </c>
      <c r="H1188" s="1" t="str">
        <f t="shared" si="43"/>
        <v>Tuesday</v>
      </c>
    </row>
    <row r="1189" spans="1:8" x14ac:dyDescent="0.3">
      <c r="A1189">
        <v>202924219</v>
      </c>
      <c r="B1189" s="1">
        <v>44964</v>
      </c>
      <c r="C1189" s="1">
        <v>45097</v>
      </c>
      <c r="D1189" t="s">
        <v>7</v>
      </c>
      <c r="E1189">
        <v>39</v>
      </c>
      <c r="F1189" t="s">
        <v>6</v>
      </c>
      <c r="G1189">
        <f t="shared" si="42"/>
        <v>133</v>
      </c>
      <c r="H1189" s="1" t="str">
        <f t="shared" si="43"/>
        <v>Tuesday</v>
      </c>
    </row>
    <row r="1190" spans="1:8" x14ac:dyDescent="0.3">
      <c r="A1190">
        <v>202863670</v>
      </c>
      <c r="B1190" s="1">
        <v>44964</v>
      </c>
      <c r="C1190" s="1">
        <v>45030</v>
      </c>
      <c r="D1190" t="s">
        <v>7</v>
      </c>
      <c r="E1190">
        <v>39</v>
      </c>
      <c r="F1190" t="s">
        <v>6</v>
      </c>
      <c r="G1190">
        <f t="shared" si="42"/>
        <v>66</v>
      </c>
      <c r="H1190" s="1" t="str">
        <f t="shared" si="43"/>
        <v>Tuesday</v>
      </c>
    </row>
    <row r="1191" spans="1:8" x14ac:dyDescent="0.3">
      <c r="A1191">
        <v>202398629</v>
      </c>
      <c r="B1191" s="1">
        <v>44964</v>
      </c>
      <c r="C1191" s="1">
        <v>44991</v>
      </c>
      <c r="D1191" t="s">
        <v>7</v>
      </c>
      <c r="E1191">
        <v>39</v>
      </c>
      <c r="F1191" t="s">
        <v>6</v>
      </c>
      <c r="G1191">
        <f t="shared" si="42"/>
        <v>27</v>
      </c>
      <c r="H1191" s="1" t="str">
        <f t="shared" si="43"/>
        <v>Tuesday</v>
      </c>
    </row>
    <row r="1192" spans="1:8" x14ac:dyDescent="0.3">
      <c r="A1192">
        <v>188448878</v>
      </c>
      <c r="B1192" s="1">
        <v>44964</v>
      </c>
      <c r="C1192" s="1">
        <v>44964</v>
      </c>
      <c r="D1192" t="s">
        <v>7</v>
      </c>
      <c r="E1192">
        <v>39</v>
      </c>
      <c r="F1192" t="s">
        <v>6</v>
      </c>
      <c r="G1192">
        <f t="shared" si="42"/>
        <v>0</v>
      </c>
      <c r="H1192" s="1" t="str">
        <f t="shared" si="43"/>
        <v>Tuesday</v>
      </c>
    </row>
    <row r="1193" spans="1:8" x14ac:dyDescent="0.3">
      <c r="A1193">
        <v>203254948</v>
      </c>
      <c r="B1193" s="1">
        <v>44965</v>
      </c>
      <c r="C1193" t="s">
        <v>19</v>
      </c>
      <c r="D1193" t="s">
        <v>7</v>
      </c>
      <c r="E1193">
        <v>39</v>
      </c>
      <c r="F1193" t="s">
        <v>6</v>
      </c>
      <c r="G1193" t="str">
        <f t="shared" si="42"/>
        <v>Active</v>
      </c>
      <c r="H1193" s="1" t="str">
        <f t="shared" si="43"/>
        <v>Wednesday</v>
      </c>
    </row>
    <row r="1194" spans="1:8" x14ac:dyDescent="0.3">
      <c r="A1194">
        <v>203120229</v>
      </c>
      <c r="B1194" s="1">
        <v>44965</v>
      </c>
      <c r="C1194" s="1">
        <v>45094</v>
      </c>
      <c r="D1194" t="s">
        <v>7</v>
      </c>
      <c r="E1194">
        <v>39</v>
      </c>
      <c r="F1194" t="s">
        <v>6</v>
      </c>
      <c r="G1194">
        <f t="shared" si="42"/>
        <v>129</v>
      </c>
      <c r="H1194" s="1" t="str">
        <f t="shared" si="43"/>
        <v>Wednesday</v>
      </c>
    </row>
    <row r="1195" spans="1:8" x14ac:dyDescent="0.3">
      <c r="A1195">
        <v>203225874</v>
      </c>
      <c r="B1195" s="1">
        <v>44965</v>
      </c>
      <c r="C1195" s="1">
        <v>45050</v>
      </c>
      <c r="D1195" t="s">
        <v>7</v>
      </c>
      <c r="E1195">
        <v>39</v>
      </c>
      <c r="F1195" t="s">
        <v>6</v>
      </c>
      <c r="G1195">
        <f t="shared" si="42"/>
        <v>85</v>
      </c>
      <c r="H1195" s="1" t="str">
        <f t="shared" si="43"/>
        <v>Wednesday</v>
      </c>
    </row>
    <row r="1196" spans="1:8" x14ac:dyDescent="0.3">
      <c r="A1196">
        <v>203107308</v>
      </c>
      <c r="B1196" s="1">
        <v>44965</v>
      </c>
      <c r="C1196" s="1">
        <v>45062</v>
      </c>
      <c r="D1196" t="s">
        <v>7</v>
      </c>
      <c r="E1196">
        <v>39</v>
      </c>
      <c r="F1196" t="s">
        <v>6</v>
      </c>
      <c r="G1196">
        <f t="shared" si="42"/>
        <v>97</v>
      </c>
      <c r="H1196" s="1" t="str">
        <f t="shared" si="43"/>
        <v>Wednesday</v>
      </c>
    </row>
    <row r="1197" spans="1:8" x14ac:dyDescent="0.3">
      <c r="A1197">
        <v>156558244</v>
      </c>
      <c r="B1197" s="1">
        <v>44965</v>
      </c>
      <c r="C1197" s="1">
        <v>45138</v>
      </c>
      <c r="D1197" t="s">
        <v>7</v>
      </c>
      <c r="E1197">
        <v>39</v>
      </c>
      <c r="F1197" t="s">
        <v>6</v>
      </c>
      <c r="G1197">
        <f t="shared" si="42"/>
        <v>173</v>
      </c>
      <c r="H1197" s="1" t="str">
        <f t="shared" si="43"/>
        <v>Wednesday</v>
      </c>
    </row>
    <row r="1198" spans="1:8" x14ac:dyDescent="0.3">
      <c r="A1198">
        <v>194306726</v>
      </c>
      <c r="B1198" s="1">
        <v>44965</v>
      </c>
      <c r="C1198" s="1">
        <v>44986</v>
      </c>
      <c r="D1198" t="s">
        <v>7</v>
      </c>
      <c r="E1198">
        <v>39</v>
      </c>
      <c r="F1198" t="s">
        <v>6</v>
      </c>
      <c r="G1198">
        <f t="shared" si="42"/>
        <v>21</v>
      </c>
      <c r="H1198" s="1" t="str">
        <f t="shared" si="43"/>
        <v>Wednesday</v>
      </c>
    </row>
    <row r="1199" spans="1:8" x14ac:dyDescent="0.3">
      <c r="A1199">
        <v>202410948</v>
      </c>
      <c r="B1199" s="1">
        <v>44965</v>
      </c>
      <c r="C1199" s="1">
        <v>45000</v>
      </c>
      <c r="D1199" t="s">
        <v>7</v>
      </c>
      <c r="E1199">
        <v>39</v>
      </c>
      <c r="F1199" t="s">
        <v>6</v>
      </c>
      <c r="G1199">
        <f t="shared" si="42"/>
        <v>35</v>
      </c>
      <c r="H1199" s="1" t="str">
        <f t="shared" si="43"/>
        <v>Wednesday</v>
      </c>
    </row>
    <row r="1200" spans="1:8" x14ac:dyDescent="0.3">
      <c r="A1200">
        <v>203166018</v>
      </c>
      <c r="B1200" s="1">
        <v>44965</v>
      </c>
      <c r="C1200" s="1">
        <v>44993</v>
      </c>
      <c r="D1200" t="s">
        <v>7</v>
      </c>
      <c r="E1200">
        <v>39</v>
      </c>
      <c r="F1200" t="s">
        <v>6</v>
      </c>
      <c r="G1200">
        <f t="shared" si="42"/>
        <v>28</v>
      </c>
      <c r="H1200" s="1" t="str">
        <f t="shared" si="43"/>
        <v>Wednesday</v>
      </c>
    </row>
    <row r="1201" spans="1:8" x14ac:dyDescent="0.3">
      <c r="A1201">
        <v>203116697</v>
      </c>
      <c r="B1201" s="1">
        <v>44965</v>
      </c>
      <c r="C1201" s="1">
        <v>45008</v>
      </c>
      <c r="D1201" t="s">
        <v>7</v>
      </c>
      <c r="E1201">
        <v>39</v>
      </c>
      <c r="F1201" t="s">
        <v>6</v>
      </c>
      <c r="G1201">
        <f t="shared" si="42"/>
        <v>43</v>
      </c>
      <c r="H1201" s="1" t="str">
        <f t="shared" si="43"/>
        <v>Wednesday</v>
      </c>
    </row>
    <row r="1202" spans="1:8" x14ac:dyDescent="0.3">
      <c r="A1202">
        <v>202982608</v>
      </c>
      <c r="B1202" s="1">
        <v>44965</v>
      </c>
      <c r="C1202" s="1">
        <v>44987</v>
      </c>
      <c r="D1202" t="s">
        <v>7</v>
      </c>
      <c r="E1202">
        <v>39</v>
      </c>
      <c r="F1202" t="s">
        <v>6</v>
      </c>
      <c r="G1202">
        <f t="shared" si="42"/>
        <v>22</v>
      </c>
      <c r="H1202" s="1" t="str">
        <f t="shared" si="43"/>
        <v>Wednesday</v>
      </c>
    </row>
    <row r="1203" spans="1:8" x14ac:dyDescent="0.3">
      <c r="A1203">
        <v>198167700</v>
      </c>
      <c r="B1203" s="1">
        <v>44965</v>
      </c>
      <c r="C1203" s="1">
        <v>44968</v>
      </c>
      <c r="D1203" t="s">
        <v>7</v>
      </c>
      <c r="E1203">
        <v>39</v>
      </c>
      <c r="F1203" t="s">
        <v>6</v>
      </c>
      <c r="G1203">
        <f t="shared" si="42"/>
        <v>3</v>
      </c>
      <c r="H1203" s="1" t="str">
        <f t="shared" si="43"/>
        <v>Wednesday</v>
      </c>
    </row>
    <row r="1204" spans="1:8" x14ac:dyDescent="0.3">
      <c r="A1204">
        <v>190567582</v>
      </c>
      <c r="B1204" s="1">
        <v>44965</v>
      </c>
      <c r="C1204" s="1">
        <v>44979</v>
      </c>
      <c r="D1204" t="s">
        <v>7</v>
      </c>
      <c r="E1204">
        <v>39</v>
      </c>
      <c r="F1204" t="s">
        <v>6</v>
      </c>
      <c r="G1204">
        <f t="shared" si="42"/>
        <v>14</v>
      </c>
      <c r="H1204" s="1" t="str">
        <f t="shared" si="43"/>
        <v>Wednesday</v>
      </c>
    </row>
    <row r="1205" spans="1:8" x14ac:dyDescent="0.3">
      <c r="A1205">
        <v>202699972</v>
      </c>
      <c r="B1205" s="1">
        <v>44965</v>
      </c>
      <c r="C1205" s="1">
        <v>45145</v>
      </c>
      <c r="D1205" t="s">
        <v>7</v>
      </c>
      <c r="E1205">
        <v>39</v>
      </c>
      <c r="F1205" t="s">
        <v>6</v>
      </c>
      <c r="G1205">
        <f t="shared" si="42"/>
        <v>180</v>
      </c>
      <c r="H1205" s="1" t="str">
        <f t="shared" si="43"/>
        <v>Wednesday</v>
      </c>
    </row>
    <row r="1206" spans="1:8" x14ac:dyDescent="0.3">
      <c r="A1206">
        <v>203242766</v>
      </c>
      <c r="B1206" s="1">
        <v>44966</v>
      </c>
      <c r="C1206" t="s">
        <v>19</v>
      </c>
      <c r="D1206" t="s">
        <v>7</v>
      </c>
      <c r="E1206">
        <v>39</v>
      </c>
      <c r="F1206" t="s">
        <v>6</v>
      </c>
      <c r="G1206" t="str">
        <f t="shared" si="42"/>
        <v>Active</v>
      </c>
      <c r="H1206" s="1" t="str">
        <f t="shared" si="43"/>
        <v>Thursday</v>
      </c>
    </row>
    <row r="1207" spans="1:8" x14ac:dyDescent="0.3">
      <c r="A1207">
        <v>203398103</v>
      </c>
      <c r="B1207" s="1">
        <v>44966</v>
      </c>
      <c r="C1207" t="s">
        <v>19</v>
      </c>
      <c r="D1207" t="s">
        <v>7</v>
      </c>
      <c r="E1207">
        <v>39</v>
      </c>
      <c r="F1207" t="s">
        <v>6</v>
      </c>
      <c r="G1207" t="str">
        <f t="shared" si="42"/>
        <v>Active</v>
      </c>
      <c r="H1207" s="1" t="str">
        <f t="shared" si="43"/>
        <v>Thursday</v>
      </c>
    </row>
    <row r="1208" spans="1:8" x14ac:dyDescent="0.3">
      <c r="A1208">
        <v>203243685</v>
      </c>
      <c r="B1208" s="1">
        <v>44966</v>
      </c>
      <c r="C1208" t="s">
        <v>19</v>
      </c>
      <c r="D1208" t="s">
        <v>7</v>
      </c>
      <c r="E1208">
        <v>39</v>
      </c>
      <c r="F1208" t="s">
        <v>6</v>
      </c>
      <c r="G1208" t="str">
        <f t="shared" si="42"/>
        <v>Active</v>
      </c>
      <c r="H1208" s="1" t="str">
        <f t="shared" si="43"/>
        <v>Thursday</v>
      </c>
    </row>
    <row r="1209" spans="1:8" x14ac:dyDescent="0.3">
      <c r="A1209">
        <v>203370322</v>
      </c>
      <c r="B1209" s="1">
        <v>44966</v>
      </c>
      <c r="C1209" t="s">
        <v>19</v>
      </c>
      <c r="D1209" t="s">
        <v>7</v>
      </c>
      <c r="E1209">
        <v>39</v>
      </c>
      <c r="F1209" t="s">
        <v>6</v>
      </c>
      <c r="G1209" t="str">
        <f t="shared" si="42"/>
        <v>Active</v>
      </c>
      <c r="H1209" s="1" t="str">
        <f t="shared" si="43"/>
        <v>Thursday</v>
      </c>
    </row>
    <row r="1210" spans="1:8" x14ac:dyDescent="0.3">
      <c r="A1210">
        <v>138689458</v>
      </c>
      <c r="B1210" s="1">
        <v>44966</v>
      </c>
      <c r="C1210" t="s">
        <v>19</v>
      </c>
      <c r="D1210" t="s">
        <v>7</v>
      </c>
      <c r="E1210">
        <v>39</v>
      </c>
      <c r="F1210" t="s">
        <v>6</v>
      </c>
      <c r="G1210" t="str">
        <f t="shared" si="42"/>
        <v>Active</v>
      </c>
      <c r="H1210" s="1" t="str">
        <f t="shared" si="43"/>
        <v>Thursday</v>
      </c>
    </row>
    <row r="1211" spans="1:8" x14ac:dyDescent="0.3">
      <c r="A1211">
        <v>203315186</v>
      </c>
      <c r="B1211" s="1">
        <v>44966</v>
      </c>
      <c r="C1211" t="s">
        <v>19</v>
      </c>
      <c r="D1211" t="s">
        <v>7</v>
      </c>
      <c r="E1211">
        <v>39</v>
      </c>
      <c r="F1211" t="s">
        <v>6</v>
      </c>
      <c r="G1211" t="str">
        <f t="shared" si="42"/>
        <v>Active</v>
      </c>
      <c r="H1211" s="1" t="str">
        <f t="shared" si="43"/>
        <v>Thursday</v>
      </c>
    </row>
    <row r="1212" spans="1:8" x14ac:dyDescent="0.3">
      <c r="A1212">
        <v>203292575</v>
      </c>
      <c r="B1212" s="1">
        <v>44966</v>
      </c>
      <c r="C1212" t="s">
        <v>19</v>
      </c>
      <c r="D1212" t="s">
        <v>7</v>
      </c>
      <c r="E1212">
        <v>39</v>
      </c>
      <c r="F1212" t="s">
        <v>6</v>
      </c>
      <c r="G1212" t="str">
        <f t="shared" si="42"/>
        <v>Active</v>
      </c>
      <c r="H1212" s="1" t="str">
        <f t="shared" si="43"/>
        <v>Thursday</v>
      </c>
    </row>
    <row r="1213" spans="1:8" x14ac:dyDescent="0.3">
      <c r="A1213">
        <v>144830936</v>
      </c>
      <c r="B1213" s="1">
        <v>44966</v>
      </c>
      <c r="C1213" s="1">
        <v>44967</v>
      </c>
      <c r="D1213" t="s">
        <v>7</v>
      </c>
      <c r="E1213">
        <v>39</v>
      </c>
      <c r="F1213" t="s">
        <v>6</v>
      </c>
      <c r="G1213">
        <f t="shared" si="42"/>
        <v>1</v>
      </c>
      <c r="H1213" s="1" t="str">
        <f t="shared" si="43"/>
        <v>Thursday</v>
      </c>
    </row>
    <row r="1214" spans="1:8" x14ac:dyDescent="0.3">
      <c r="A1214">
        <v>168980588</v>
      </c>
      <c r="B1214" s="1">
        <v>44966</v>
      </c>
      <c r="C1214" s="1">
        <v>44966</v>
      </c>
      <c r="D1214" t="s">
        <v>8</v>
      </c>
      <c r="E1214">
        <v>39</v>
      </c>
      <c r="F1214" t="s">
        <v>6</v>
      </c>
      <c r="G1214">
        <f t="shared" si="42"/>
        <v>0</v>
      </c>
      <c r="H1214" s="1" t="str">
        <f t="shared" si="43"/>
        <v>Thursday</v>
      </c>
    </row>
    <row r="1215" spans="1:8" x14ac:dyDescent="0.3">
      <c r="A1215">
        <v>136832520</v>
      </c>
      <c r="B1215" s="1">
        <v>44966</v>
      </c>
      <c r="C1215" s="1">
        <v>44995</v>
      </c>
      <c r="D1215" t="s">
        <v>7</v>
      </c>
      <c r="E1215">
        <v>39</v>
      </c>
      <c r="F1215" t="s">
        <v>6</v>
      </c>
      <c r="G1215">
        <f t="shared" si="42"/>
        <v>29</v>
      </c>
      <c r="H1215" s="1" t="str">
        <f t="shared" si="43"/>
        <v>Thursday</v>
      </c>
    </row>
    <row r="1216" spans="1:8" x14ac:dyDescent="0.3">
      <c r="A1216">
        <v>202103959</v>
      </c>
      <c r="B1216" s="1">
        <v>44966</v>
      </c>
      <c r="C1216" s="1">
        <v>45073</v>
      </c>
      <c r="D1216" t="s">
        <v>7</v>
      </c>
      <c r="E1216">
        <v>39</v>
      </c>
      <c r="F1216" t="s">
        <v>6</v>
      </c>
      <c r="G1216">
        <f t="shared" si="42"/>
        <v>107</v>
      </c>
      <c r="H1216" s="1" t="str">
        <f t="shared" si="43"/>
        <v>Thursday</v>
      </c>
    </row>
    <row r="1217" spans="1:8" x14ac:dyDescent="0.3">
      <c r="A1217">
        <v>148764147</v>
      </c>
      <c r="B1217" s="1">
        <v>44966</v>
      </c>
      <c r="C1217" s="1">
        <v>45024</v>
      </c>
      <c r="D1217" t="s">
        <v>7</v>
      </c>
      <c r="E1217">
        <v>39</v>
      </c>
      <c r="F1217" t="s">
        <v>6</v>
      </c>
      <c r="G1217">
        <f t="shared" si="42"/>
        <v>58</v>
      </c>
      <c r="H1217" s="1" t="str">
        <f t="shared" si="43"/>
        <v>Thursday</v>
      </c>
    </row>
    <row r="1218" spans="1:8" x14ac:dyDescent="0.3">
      <c r="A1218">
        <v>182748610</v>
      </c>
      <c r="B1218" s="1">
        <v>44966</v>
      </c>
      <c r="C1218" s="1">
        <v>45027</v>
      </c>
      <c r="D1218" t="s">
        <v>7</v>
      </c>
      <c r="E1218">
        <v>39</v>
      </c>
      <c r="F1218" t="s">
        <v>6</v>
      </c>
      <c r="G1218">
        <f t="shared" si="42"/>
        <v>61</v>
      </c>
      <c r="H1218" s="1" t="str">
        <f t="shared" si="43"/>
        <v>Thursday</v>
      </c>
    </row>
    <row r="1219" spans="1:8" x14ac:dyDescent="0.3">
      <c r="A1219">
        <v>197883626</v>
      </c>
      <c r="B1219" s="1">
        <v>44966</v>
      </c>
      <c r="C1219" s="1">
        <v>45001</v>
      </c>
      <c r="D1219" t="s">
        <v>7</v>
      </c>
      <c r="E1219">
        <v>39</v>
      </c>
      <c r="F1219" t="s">
        <v>6</v>
      </c>
      <c r="G1219">
        <f t="shared" ref="G1219:G1282" si="44">IF(C1219="Active","Active",C1219-B1219)</f>
        <v>35</v>
      </c>
      <c r="H1219" s="1" t="str">
        <f t="shared" ref="H1219:H1282" si="45">TEXT(B1219,"dddd")</f>
        <v>Thursday</v>
      </c>
    </row>
    <row r="1220" spans="1:8" x14ac:dyDescent="0.3">
      <c r="A1220">
        <v>195893842</v>
      </c>
      <c r="B1220" s="1">
        <v>44966</v>
      </c>
      <c r="C1220" s="1">
        <v>44985</v>
      </c>
      <c r="D1220" t="s">
        <v>7</v>
      </c>
      <c r="E1220">
        <v>39</v>
      </c>
      <c r="F1220" t="s">
        <v>6</v>
      </c>
      <c r="G1220">
        <f t="shared" si="44"/>
        <v>19</v>
      </c>
      <c r="H1220" s="1" t="str">
        <f t="shared" si="45"/>
        <v>Thursday</v>
      </c>
    </row>
    <row r="1221" spans="1:8" x14ac:dyDescent="0.3">
      <c r="A1221">
        <v>169081778</v>
      </c>
      <c r="B1221" s="1">
        <v>44966</v>
      </c>
      <c r="C1221" s="1">
        <v>45154</v>
      </c>
      <c r="D1221" t="s">
        <v>7</v>
      </c>
      <c r="E1221">
        <v>39</v>
      </c>
      <c r="F1221" t="s">
        <v>6</v>
      </c>
      <c r="G1221">
        <f t="shared" si="44"/>
        <v>188</v>
      </c>
      <c r="H1221" s="1" t="str">
        <f t="shared" si="45"/>
        <v>Thursday</v>
      </c>
    </row>
    <row r="1222" spans="1:8" x14ac:dyDescent="0.3">
      <c r="A1222">
        <v>150422738</v>
      </c>
      <c r="B1222" s="1">
        <v>44967</v>
      </c>
      <c r="C1222" s="1">
        <v>44968</v>
      </c>
      <c r="D1222" t="s">
        <v>7</v>
      </c>
      <c r="E1222">
        <v>39</v>
      </c>
      <c r="F1222" t="s">
        <v>6</v>
      </c>
      <c r="G1222">
        <f t="shared" si="44"/>
        <v>1</v>
      </c>
      <c r="H1222" s="1" t="str">
        <f t="shared" si="45"/>
        <v>Friday</v>
      </c>
    </row>
    <row r="1223" spans="1:8" x14ac:dyDescent="0.3">
      <c r="A1223">
        <v>190839721</v>
      </c>
      <c r="B1223" s="1">
        <v>44967</v>
      </c>
      <c r="C1223" s="1">
        <v>45002</v>
      </c>
      <c r="D1223" t="s">
        <v>7</v>
      </c>
      <c r="E1223">
        <v>39</v>
      </c>
      <c r="F1223" t="s">
        <v>6</v>
      </c>
      <c r="G1223">
        <f t="shared" si="44"/>
        <v>35</v>
      </c>
      <c r="H1223" s="1" t="str">
        <f t="shared" si="45"/>
        <v>Friday</v>
      </c>
    </row>
    <row r="1224" spans="1:8" x14ac:dyDescent="0.3">
      <c r="A1224">
        <v>152193617</v>
      </c>
      <c r="B1224" s="1">
        <v>44968</v>
      </c>
      <c r="C1224" t="s">
        <v>19</v>
      </c>
      <c r="D1224" t="s">
        <v>7</v>
      </c>
      <c r="E1224">
        <v>39</v>
      </c>
      <c r="F1224" t="s">
        <v>6</v>
      </c>
      <c r="G1224" t="str">
        <f t="shared" si="44"/>
        <v>Active</v>
      </c>
      <c r="H1224" s="1" t="str">
        <f t="shared" si="45"/>
        <v>Saturday</v>
      </c>
    </row>
    <row r="1225" spans="1:8" x14ac:dyDescent="0.3">
      <c r="A1225">
        <v>133869989</v>
      </c>
      <c r="B1225" s="1">
        <v>44968</v>
      </c>
      <c r="C1225" s="1">
        <v>44969</v>
      </c>
      <c r="D1225" t="s">
        <v>7</v>
      </c>
      <c r="E1225">
        <v>39</v>
      </c>
      <c r="F1225" t="s">
        <v>6</v>
      </c>
      <c r="G1225">
        <f t="shared" si="44"/>
        <v>1</v>
      </c>
      <c r="H1225" s="1" t="str">
        <f t="shared" si="45"/>
        <v>Saturday</v>
      </c>
    </row>
    <row r="1226" spans="1:8" x14ac:dyDescent="0.3">
      <c r="A1226">
        <v>186843516</v>
      </c>
      <c r="B1226" s="1">
        <v>44968</v>
      </c>
      <c r="C1226" s="1">
        <v>45035</v>
      </c>
      <c r="D1226" t="s">
        <v>7</v>
      </c>
      <c r="E1226">
        <v>39</v>
      </c>
      <c r="F1226" t="s">
        <v>6</v>
      </c>
      <c r="G1226">
        <f t="shared" si="44"/>
        <v>67</v>
      </c>
      <c r="H1226" s="1" t="str">
        <f t="shared" si="45"/>
        <v>Saturday</v>
      </c>
    </row>
    <row r="1227" spans="1:8" x14ac:dyDescent="0.3">
      <c r="A1227">
        <v>138913080</v>
      </c>
      <c r="B1227" s="1">
        <v>44968</v>
      </c>
      <c r="C1227" s="1">
        <v>45038</v>
      </c>
      <c r="D1227" t="s">
        <v>7</v>
      </c>
      <c r="E1227">
        <v>39</v>
      </c>
      <c r="F1227" t="s">
        <v>6</v>
      </c>
      <c r="G1227">
        <f t="shared" si="44"/>
        <v>70</v>
      </c>
      <c r="H1227" s="1" t="str">
        <f t="shared" si="45"/>
        <v>Saturday</v>
      </c>
    </row>
    <row r="1228" spans="1:8" x14ac:dyDescent="0.3">
      <c r="A1228">
        <v>134879280</v>
      </c>
      <c r="B1228" s="1">
        <v>44968</v>
      </c>
      <c r="C1228" s="1">
        <v>44992</v>
      </c>
      <c r="D1228" t="s">
        <v>7</v>
      </c>
      <c r="E1228">
        <v>39</v>
      </c>
      <c r="F1228" t="s">
        <v>6</v>
      </c>
      <c r="G1228">
        <f t="shared" si="44"/>
        <v>24</v>
      </c>
      <c r="H1228" s="1" t="str">
        <f t="shared" si="45"/>
        <v>Saturday</v>
      </c>
    </row>
    <row r="1229" spans="1:8" x14ac:dyDescent="0.3">
      <c r="A1229">
        <v>160878134</v>
      </c>
      <c r="B1229" s="1">
        <v>44970</v>
      </c>
      <c r="C1229" t="s">
        <v>19</v>
      </c>
      <c r="D1229" t="s">
        <v>7</v>
      </c>
      <c r="E1229">
        <v>39</v>
      </c>
      <c r="F1229" t="s">
        <v>6</v>
      </c>
      <c r="G1229" t="str">
        <f t="shared" si="44"/>
        <v>Active</v>
      </c>
      <c r="H1229" s="1" t="str">
        <f t="shared" si="45"/>
        <v>Monday</v>
      </c>
    </row>
    <row r="1230" spans="1:8" x14ac:dyDescent="0.3">
      <c r="A1230">
        <v>144423338</v>
      </c>
      <c r="B1230" s="1">
        <v>44970</v>
      </c>
      <c r="C1230" s="1">
        <v>45159</v>
      </c>
      <c r="D1230" t="s">
        <v>7</v>
      </c>
      <c r="E1230">
        <v>39</v>
      </c>
      <c r="F1230" t="s">
        <v>6</v>
      </c>
      <c r="G1230">
        <f t="shared" si="44"/>
        <v>189</v>
      </c>
      <c r="H1230" s="1" t="str">
        <f t="shared" si="45"/>
        <v>Monday</v>
      </c>
    </row>
    <row r="1231" spans="1:8" x14ac:dyDescent="0.3">
      <c r="A1231">
        <v>136218542</v>
      </c>
      <c r="B1231" s="1">
        <v>44970</v>
      </c>
      <c r="C1231" s="1">
        <v>45059</v>
      </c>
      <c r="D1231" t="s">
        <v>7</v>
      </c>
      <c r="E1231">
        <v>39</v>
      </c>
      <c r="F1231" t="s">
        <v>6</v>
      </c>
      <c r="G1231">
        <f t="shared" si="44"/>
        <v>89</v>
      </c>
      <c r="H1231" s="1" t="str">
        <f t="shared" si="45"/>
        <v>Monday</v>
      </c>
    </row>
    <row r="1232" spans="1:8" x14ac:dyDescent="0.3">
      <c r="A1232">
        <v>204121686</v>
      </c>
      <c r="B1232" s="1">
        <v>44970</v>
      </c>
      <c r="C1232" s="1">
        <v>45089</v>
      </c>
      <c r="D1232" t="s">
        <v>7</v>
      </c>
      <c r="E1232">
        <v>39</v>
      </c>
      <c r="F1232" t="s">
        <v>6</v>
      </c>
      <c r="G1232">
        <f t="shared" si="44"/>
        <v>119</v>
      </c>
      <c r="H1232" s="1" t="str">
        <f t="shared" si="45"/>
        <v>Monday</v>
      </c>
    </row>
    <row r="1233" spans="1:8" x14ac:dyDescent="0.3">
      <c r="A1233">
        <v>204114138</v>
      </c>
      <c r="B1233" s="1">
        <v>44970</v>
      </c>
      <c r="C1233" s="1">
        <v>45056</v>
      </c>
      <c r="D1233" t="s">
        <v>7</v>
      </c>
      <c r="E1233">
        <v>39</v>
      </c>
      <c r="F1233" t="s">
        <v>6</v>
      </c>
      <c r="G1233">
        <f t="shared" si="44"/>
        <v>86</v>
      </c>
      <c r="H1233" s="1" t="str">
        <f t="shared" si="45"/>
        <v>Monday</v>
      </c>
    </row>
    <row r="1234" spans="1:8" x14ac:dyDescent="0.3">
      <c r="A1234">
        <v>152197442</v>
      </c>
      <c r="B1234" s="1">
        <v>44970</v>
      </c>
      <c r="C1234" s="1">
        <v>44998</v>
      </c>
      <c r="D1234" t="s">
        <v>7</v>
      </c>
      <c r="E1234">
        <v>39</v>
      </c>
      <c r="F1234" t="s">
        <v>6</v>
      </c>
      <c r="G1234">
        <f t="shared" si="44"/>
        <v>28</v>
      </c>
      <c r="H1234" s="1" t="str">
        <f t="shared" si="45"/>
        <v>Monday</v>
      </c>
    </row>
    <row r="1235" spans="1:8" x14ac:dyDescent="0.3">
      <c r="A1235">
        <v>151695881</v>
      </c>
      <c r="B1235" s="1">
        <v>44970</v>
      </c>
      <c r="C1235" s="1">
        <v>45012</v>
      </c>
      <c r="D1235" t="s">
        <v>7</v>
      </c>
      <c r="E1235">
        <v>39</v>
      </c>
      <c r="F1235" t="s">
        <v>6</v>
      </c>
      <c r="G1235">
        <f t="shared" si="44"/>
        <v>42</v>
      </c>
      <c r="H1235" s="1" t="str">
        <f t="shared" si="45"/>
        <v>Monday</v>
      </c>
    </row>
    <row r="1236" spans="1:8" x14ac:dyDescent="0.3">
      <c r="A1236">
        <v>204378294</v>
      </c>
      <c r="B1236" s="1">
        <v>44971</v>
      </c>
      <c r="C1236" t="s">
        <v>19</v>
      </c>
      <c r="D1236" t="s">
        <v>7</v>
      </c>
      <c r="E1236">
        <v>39</v>
      </c>
      <c r="F1236" t="s">
        <v>6</v>
      </c>
      <c r="G1236" t="str">
        <f t="shared" si="44"/>
        <v>Active</v>
      </c>
      <c r="H1236" s="1" t="str">
        <f t="shared" si="45"/>
        <v>Tuesday</v>
      </c>
    </row>
    <row r="1237" spans="1:8" x14ac:dyDescent="0.3">
      <c r="A1237">
        <v>204376665</v>
      </c>
      <c r="B1237" s="1">
        <v>44971</v>
      </c>
      <c r="C1237" t="s">
        <v>19</v>
      </c>
      <c r="D1237" t="s">
        <v>7</v>
      </c>
      <c r="E1237">
        <v>39</v>
      </c>
      <c r="F1237" t="s">
        <v>6</v>
      </c>
      <c r="G1237" t="str">
        <f t="shared" si="44"/>
        <v>Active</v>
      </c>
      <c r="H1237" s="1" t="str">
        <f t="shared" si="45"/>
        <v>Tuesday</v>
      </c>
    </row>
    <row r="1238" spans="1:8" x14ac:dyDescent="0.3">
      <c r="A1238">
        <v>204270637</v>
      </c>
      <c r="B1238" s="1">
        <v>44971</v>
      </c>
      <c r="C1238" t="s">
        <v>19</v>
      </c>
      <c r="D1238" t="s">
        <v>7</v>
      </c>
      <c r="E1238">
        <v>39</v>
      </c>
      <c r="F1238" t="s">
        <v>6</v>
      </c>
      <c r="G1238" t="str">
        <f t="shared" si="44"/>
        <v>Active</v>
      </c>
      <c r="H1238" s="1" t="str">
        <f t="shared" si="45"/>
        <v>Tuesday</v>
      </c>
    </row>
    <row r="1239" spans="1:8" x14ac:dyDescent="0.3">
      <c r="A1239">
        <v>204380751</v>
      </c>
      <c r="B1239" s="1">
        <v>44971</v>
      </c>
      <c r="C1239" s="1">
        <v>44971</v>
      </c>
      <c r="D1239" t="s">
        <v>7</v>
      </c>
      <c r="E1239">
        <v>39</v>
      </c>
      <c r="F1239" t="s">
        <v>6</v>
      </c>
      <c r="G1239">
        <f t="shared" si="44"/>
        <v>0</v>
      </c>
      <c r="H1239" s="1" t="str">
        <f t="shared" si="45"/>
        <v>Tuesday</v>
      </c>
    </row>
    <row r="1240" spans="1:8" x14ac:dyDescent="0.3">
      <c r="A1240">
        <v>204402989</v>
      </c>
      <c r="B1240" s="1">
        <v>44971</v>
      </c>
      <c r="C1240" s="1">
        <v>45085</v>
      </c>
      <c r="D1240" t="s">
        <v>7</v>
      </c>
      <c r="E1240">
        <v>39</v>
      </c>
      <c r="F1240" t="s">
        <v>6</v>
      </c>
      <c r="G1240">
        <f t="shared" si="44"/>
        <v>114</v>
      </c>
      <c r="H1240" s="1" t="str">
        <f t="shared" si="45"/>
        <v>Tuesday</v>
      </c>
    </row>
    <row r="1241" spans="1:8" x14ac:dyDescent="0.3">
      <c r="A1241">
        <v>203403136</v>
      </c>
      <c r="B1241" s="1">
        <v>44971</v>
      </c>
      <c r="C1241" s="1">
        <v>45089</v>
      </c>
      <c r="D1241" t="s">
        <v>7</v>
      </c>
      <c r="E1241">
        <v>39</v>
      </c>
      <c r="F1241" t="s">
        <v>6</v>
      </c>
      <c r="G1241">
        <f t="shared" si="44"/>
        <v>118</v>
      </c>
      <c r="H1241" s="1" t="str">
        <f t="shared" si="45"/>
        <v>Tuesday</v>
      </c>
    </row>
    <row r="1242" spans="1:8" x14ac:dyDescent="0.3">
      <c r="A1242">
        <v>198453918</v>
      </c>
      <c r="B1242" s="1">
        <v>44971</v>
      </c>
      <c r="C1242" s="1">
        <v>45061</v>
      </c>
      <c r="D1242" t="s">
        <v>7</v>
      </c>
      <c r="E1242">
        <v>39</v>
      </c>
      <c r="F1242" t="s">
        <v>6</v>
      </c>
      <c r="G1242">
        <f t="shared" si="44"/>
        <v>90</v>
      </c>
      <c r="H1242" s="1" t="str">
        <f t="shared" si="45"/>
        <v>Tuesday</v>
      </c>
    </row>
    <row r="1243" spans="1:8" x14ac:dyDescent="0.3">
      <c r="A1243">
        <v>133514912</v>
      </c>
      <c r="B1243" s="1">
        <v>44971</v>
      </c>
      <c r="C1243" s="1">
        <v>44992</v>
      </c>
      <c r="D1243" t="s">
        <v>7</v>
      </c>
      <c r="E1243">
        <v>39</v>
      </c>
      <c r="F1243" t="s">
        <v>6</v>
      </c>
      <c r="G1243">
        <f t="shared" si="44"/>
        <v>21</v>
      </c>
      <c r="H1243" s="1" t="str">
        <f t="shared" si="45"/>
        <v>Tuesday</v>
      </c>
    </row>
    <row r="1244" spans="1:8" x14ac:dyDescent="0.3">
      <c r="A1244">
        <v>203414698</v>
      </c>
      <c r="B1244" s="1">
        <v>44971</v>
      </c>
      <c r="C1244" s="1">
        <v>45011</v>
      </c>
      <c r="D1244" t="s">
        <v>7</v>
      </c>
      <c r="E1244">
        <v>39</v>
      </c>
      <c r="F1244" t="s">
        <v>6</v>
      </c>
      <c r="G1244">
        <f t="shared" si="44"/>
        <v>40</v>
      </c>
      <c r="H1244" s="1" t="str">
        <f t="shared" si="45"/>
        <v>Tuesday</v>
      </c>
    </row>
    <row r="1245" spans="1:8" x14ac:dyDescent="0.3">
      <c r="A1245">
        <v>190400854</v>
      </c>
      <c r="B1245" s="1">
        <v>44971</v>
      </c>
      <c r="C1245" s="1">
        <v>45127</v>
      </c>
      <c r="D1245" t="s">
        <v>7</v>
      </c>
      <c r="E1245">
        <v>39</v>
      </c>
      <c r="F1245" t="s">
        <v>6</v>
      </c>
      <c r="G1245">
        <f t="shared" si="44"/>
        <v>156</v>
      </c>
      <c r="H1245" s="1" t="str">
        <f t="shared" si="45"/>
        <v>Tuesday</v>
      </c>
    </row>
    <row r="1246" spans="1:8" x14ac:dyDescent="0.3">
      <c r="A1246">
        <v>204114797</v>
      </c>
      <c r="B1246" s="1">
        <v>44971</v>
      </c>
      <c r="C1246" s="1">
        <v>45095</v>
      </c>
      <c r="D1246" t="s">
        <v>7</v>
      </c>
      <c r="E1246">
        <v>39</v>
      </c>
      <c r="F1246" t="s">
        <v>6</v>
      </c>
      <c r="G1246">
        <f t="shared" si="44"/>
        <v>124</v>
      </c>
      <c r="H1246" s="1" t="str">
        <f t="shared" si="45"/>
        <v>Tuesday</v>
      </c>
    </row>
    <row r="1247" spans="1:8" x14ac:dyDescent="0.3">
      <c r="A1247">
        <v>202377942</v>
      </c>
      <c r="B1247" s="1">
        <v>44972</v>
      </c>
      <c r="C1247" t="s">
        <v>19</v>
      </c>
      <c r="D1247" t="s">
        <v>7</v>
      </c>
      <c r="E1247">
        <v>39</v>
      </c>
      <c r="F1247" t="s">
        <v>6</v>
      </c>
      <c r="G1247" t="str">
        <f t="shared" si="44"/>
        <v>Active</v>
      </c>
      <c r="H1247" s="1" t="str">
        <f t="shared" si="45"/>
        <v>Wednesday</v>
      </c>
    </row>
    <row r="1248" spans="1:8" x14ac:dyDescent="0.3">
      <c r="A1248">
        <v>204555612</v>
      </c>
      <c r="B1248" s="1">
        <v>44972</v>
      </c>
      <c r="C1248" s="1">
        <v>44972</v>
      </c>
      <c r="D1248" t="s">
        <v>8</v>
      </c>
      <c r="E1248">
        <v>39</v>
      </c>
      <c r="F1248" t="s">
        <v>6</v>
      </c>
      <c r="G1248">
        <f t="shared" si="44"/>
        <v>0</v>
      </c>
      <c r="H1248" s="1" t="str">
        <f t="shared" si="45"/>
        <v>Wednesday</v>
      </c>
    </row>
    <row r="1249" spans="1:8" x14ac:dyDescent="0.3">
      <c r="A1249">
        <v>204556376</v>
      </c>
      <c r="B1249" s="1">
        <v>44972</v>
      </c>
      <c r="C1249" s="1">
        <v>44972</v>
      </c>
      <c r="D1249" t="s">
        <v>8</v>
      </c>
      <c r="E1249">
        <v>39</v>
      </c>
      <c r="F1249" t="s">
        <v>6</v>
      </c>
      <c r="G1249">
        <f t="shared" si="44"/>
        <v>0</v>
      </c>
      <c r="H1249" s="1" t="str">
        <f t="shared" si="45"/>
        <v>Wednesday</v>
      </c>
    </row>
    <row r="1250" spans="1:8" x14ac:dyDescent="0.3">
      <c r="A1250">
        <v>204515997</v>
      </c>
      <c r="B1250" s="1">
        <v>44972</v>
      </c>
      <c r="C1250" s="1">
        <v>45091</v>
      </c>
      <c r="D1250" t="s">
        <v>7</v>
      </c>
      <c r="E1250">
        <v>39</v>
      </c>
      <c r="F1250" t="s">
        <v>6</v>
      </c>
      <c r="G1250">
        <f t="shared" si="44"/>
        <v>119</v>
      </c>
      <c r="H1250" s="1" t="str">
        <f t="shared" si="45"/>
        <v>Wednesday</v>
      </c>
    </row>
    <row r="1251" spans="1:8" x14ac:dyDescent="0.3">
      <c r="A1251">
        <v>153342734</v>
      </c>
      <c r="B1251" s="1">
        <v>44972</v>
      </c>
      <c r="C1251" s="1">
        <v>45007</v>
      </c>
      <c r="D1251" t="s">
        <v>7</v>
      </c>
      <c r="E1251">
        <v>39</v>
      </c>
      <c r="F1251" t="s">
        <v>6</v>
      </c>
      <c r="G1251">
        <f t="shared" si="44"/>
        <v>35</v>
      </c>
      <c r="H1251" s="1" t="str">
        <f t="shared" si="45"/>
        <v>Wednesday</v>
      </c>
    </row>
    <row r="1252" spans="1:8" x14ac:dyDescent="0.3">
      <c r="A1252">
        <v>204650391</v>
      </c>
      <c r="B1252" s="1">
        <v>44973</v>
      </c>
      <c r="C1252" t="s">
        <v>19</v>
      </c>
      <c r="D1252" t="s">
        <v>7</v>
      </c>
      <c r="E1252">
        <v>39</v>
      </c>
      <c r="F1252" t="s">
        <v>6</v>
      </c>
      <c r="G1252" t="str">
        <f t="shared" si="44"/>
        <v>Active</v>
      </c>
      <c r="H1252" s="1" t="str">
        <f t="shared" si="45"/>
        <v>Thursday</v>
      </c>
    </row>
    <row r="1253" spans="1:8" x14ac:dyDescent="0.3">
      <c r="A1253">
        <v>150906486</v>
      </c>
      <c r="B1253" s="1">
        <v>44973</v>
      </c>
      <c r="C1253" s="1">
        <v>45002</v>
      </c>
      <c r="D1253" t="s">
        <v>7</v>
      </c>
      <c r="E1253">
        <v>39</v>
      </c>
      <c r="F1253" t="s">
        <v>6</v>
      </c>
      <c r="G1253">
        <f t="shared" si="44"/>
        <v>29</v>
      </c>
      <c r="H1253" s="1" t="str">
        <f t="shared" si="45"/>
        <v>Thursday</v>
      </c>
    </row>
    <row r="1254" spans="1:8" x14ac:dyDescent="0.3">
      <c r="A1254">
        <v>153961940</v>
      </c>
      <c r="B1254" s="1">
        <v>44973</v>
      </c>
      <c r="C1254" s="1">
        <v>44973</v>
      </c>
      <c r="D1254" t="s">
        <v>7</v>
      </c>
      <c r="E1254">
        <v>39</v>
      </c>
      <c r="F1254" t="s">
        <v>6</v>
      </c>
      <c r="G1254">
        <f t="shared" si="44"/>
        <v>0</v>
      </c>
      <c r="H1254" s="1" t="str">
        <f t="shared" si="45"/>
        <v>Thursday</v>
      </c>
    </row>
    <row r="1255" spans="1:8" x14ac:dyDescent="0.3">
      <c r="A1255">
        <v>154175766</v>
      </c>
      <c r="B1255" s="1">
        <v>44973</v>
      </c>
      <c r="C1255" s="1">
        <v>45000</v>
      </c>
      <c r="D1255" t="s">
        <v>7</v>
      </c>
      <c r="E1255">
        <v>39</v>
      </c>
      <c r="F1255" t="s">
        <v>6</v>
      </c>
      <c r="G1255">
        <f t="shared" si="44"/>
        <v>27</v>
      </c>
      <c r="H1255" s="1" t="str">
        <f t="shared" si="45"/>
        <v>Thursday</v>
      </c>
    </row>
    <row r="1256" spans="1:8" x14ac:dyDescent="0.3">
      <c r="A1256">
        <v>204631298</v>
      </c>
      <c r="B1256" s="1">
        <v>44973</v>
      </c>
      <c r="C1256" s="1">
        <v>45033</v>
      </c>
      <c r="D1256" t="s">
        <v>7</v>
      </c>
      <c r="E1256">
        <v>39</v>
      </c>
      <c r="F1256" t="s">
        <v>6</v>
      </c>
      <c r="G1256">
        <f t="shared" si="44"/>
        <v>60</v>
      </c>
      <c r="H1256" s="1" t="str">
        <f t="shared" si="45"/>
        <v>Thursday</v>
      </c>
    </row>
    <row r="1257" spans="1:8" x14ac:dyDescent="0.3">
      <c r="A1257">
        <v>195534585</v>
      </c>
      <c r="B1257" s="1">
        <v>44973</v>
      </c>
      <c r="C1257" s="1">
        <v>45030</v>
      </c>
      <c r="D1257" t="s">
        <v>7</v>
      </c>
      <c r="E1257">
        <v>39</v>
      </c>
      <c r="F1257" t="s">
        <v>6</v>
      </c>
      <c r="G1257">
        <f t="shared" si="44"/>
        <v>57</v>
      </c>
      <c r="H1257" s="1" t="str">
        <f t="shared" si="45"/>
        <v>Thursday</v>
      </c>
    </row>
    <row r="1258" spans="1:8" x14ac:dyDescent="0.3">
      <c r="A1258">
        <v>176421166</v>
      </c>
      <c r="B1258" s="1">
        <v>44973</v>
      </c>
      <c r="C1258" s="1">
        <v>45030</v>
      </c>
      <c r="D1258" t="s">
        <v>7</v>
      </c>
      <c r="E1258">
        <v>39</v>
      </c>
      <c r="F1258" t="s">
        <v>6</v>
      </c>
      <c r="G1258">
        <f t="shared" si="44"/>
        <v>57</v>
      </c>
      <c r="H1258" s="1" t="str">
        <f t="shared" si="45"/>
        <v>Thursday</v>
      </c>
    </row>
    <row r="1259" spans="1:8" x14ac:dyDescent="0.3">
      <c r="A1259">
        <v>204679416</v>
      </c>
      <c r="B1259" s="1">
        <v>44973</v>
      </c>
      <c r="C1259" s="1">
        <v>45002</v>
      </c>
      <c r="D1259" t="s">
        <v>7</v>
      </c>
      <c r="E1259">
        <v>39</v>
      </c>
      <c r="F1259" t="s">
        <v>6</v>
      </c>
      <c r="G1259">
        <f t="shared" si="44"/>
        <v>29</v>
      </c>
      <c r="H1259" s="1" t="str">
        <f t="shared" si="45"/>
        <v>Thursday</v>
      </c>
    </row>
    <row r="1260" spans="1:8" x14ac:dyDescent="0.3">
      <c r="A1260">
        <v>204448721</v>
      </c>
      <c r="B1260" s="1">
        <v>44973</v>
      </c>
      <c r="C1260" s="1">
        <v>44975</v>
      </c>
      <c r="D1260" t="s">
        <v>7</v>
      </c>
      <c r="E1260">
        <v>39</v>
      </c>
      <c r="F1260" t="s">
        <v>6</v>
      </c>
      <c r="G1260">
        <f t="shared" si="44"/>
        <v>2</v>
      </c>
      <c r="H1260" s="1" t="str">
        <f t="shared" si="45"/>
        <v>Thursday</v>
      </c>
    </row>
    <row r="1261" spans="1:8" x14ac:dyDescent="0.3">
      <c r="A1261">
        <v>151908347</v>
      </c>
      <c r="B1261" s="1">
        <v>44973</v>
      </c>
      <c r="C1261" s="1">
        <v>45095</v>
      </c>
      <c r="D1261" t="s">
        <v>7</v>
      </c>
      <c r="E1261">
        <v>39</v>
      </c>
      <c r="F1261" t="s">
        <v>6</v>
      </c>
      <c r="G1261">
        <f t="shared" si="44"/>
        <v>122</v>
      </c>
      <c r="H1261" s="1" t="str">
        <f t="shared" si="45"/>
        <v>Thursday</v>
      </c>
    </row>
    <row r="1262" spans="1:8" x14ac:dyDescent="0.3">
      <c r="A1262">
        <v>150652956</v>
      </c>
      <c r="B1262" s="1">
        <v>44974</v>
      </c>
      <c r="C1262" s="1">
        <v>44975</v>
      </c>
      <c r="D1262" t="s">
        <v>7</v>
      </c>
      <c r="E1262">
        <v>39</v>
      </c>
      <c r="F1262" t="s">
        <v>6</v>
      </c>
      <c r="G1262">
        <f t="shared" si="44"/>
        <v>1</v>
      </c>
      <c r="H1262" s="1" t="str">
        <f t="shared" si="45"/>
        <v>Friday</v>
      </c>
    </row>
    <row r="1263" spans="1:8" x14ac:dyDescent="0.3">
      <c r="A1263">
        <v>183321644</v>
      </c>
      <c r="B1263" s="1">
        <v>44974</v>
      </c>
      <c r="C1263" s="1">
        <v>44974</v>
      </c>
      <c r="D1263" t="s">
        <v>8</v>
      </c>
      <c r="E1263">
        <v>39</v>
      </c>
      <c r="F1263" t="s">
        <v>6</v>
      </c>
      <c r="G1263">
        <f t="shared" si="44"/>
        <v>0</v>
      </c>
      <c r="H1263" s="1" t="str">
        <f t="shared" si="45"/>
        <v>Friday</v>
      </c>
    </row>
    <row r="1264" spans="1:8" x14ac:dyDescent="0.3">
      <c r="A1264">
        <v>204740476</v>
      </c>
      <c r="B1264" s="1">
        <v>44974</v>
      </c>
      <c r="C1264" s="1">
        <v>44999</v>
      </c>
      <c r="D1264" t="s">
        <v>8</v>
      </c>
      <c r="E1264">
        <v>39</v>
      </c>
      <c r="F1264" t="s">
        <v>6</v>
      </c>
      <c r="G1264">
        <f t="shared" si="44"/>
        <v>25</v>
      </c>
      <c r="H1264" s="1" t="str">
        <f t="shared" si="45"/>
        <v>Friday</v>
      </c>
    </row>
    <row r="1265" spans="1:8" x14ac:dyDescent="0.3">
      <c r="A1265">
        <v>204439086</v>
      </c>
      <c r="B1265" s="1">
        <v>44974</v>
      </c>
      <c r="C1265" s="1">
        <v>45093</v>
      </c>
      <c r="D1265" t="s">
        <v>7</v>
      </c>
      <c r="E1265">
        <v>39</v>
      </c>
      <c r="F1265" t="s">
        <v>6</v>
      </c>
      <c r="G1265">
        <f t="shared" si="44"/>
        <v>119</v>
      </c>
      <c r="H1265" s="1" t="str">
        <f t="shared" si="45"/>
        <v>Friday</v>
      </c>
    </row>
    <row r="1266" spans="1:8" x14ac:dyDescent="0.3">
      <c r="A1266">
        <v>204685109</v>
      </c>
      <c r="B1266" s="1">
        <v>44974</v>
      </c>
      <c r="C1266" s="1">
        <v>45069</v>
      </c>
      <c r="D1266" t="s">
        <v>7</v>
      </c>
      <c r="E1266">
        <v>39</v>
      </c>
      <c r="F1266" t="s">
        <v>6</v>
      </c>
      <c r="G1266">
        <f t="shared" si="44"/>
        <v>95</v>
      </c>
      <c r="H1266" s="1" t="str">
        <f t="shared" si="45"/>
        <v>Friday</v>
      </c>
    </row>
    <row r="1267" spans="1:8" x14ac:dyDescent="0.3">
      <c r="A1267">
        <v>175211528</v>
      </c>
      <c r="B1267" s="1">
        <v>44974</v>
      </c>
      <c r="C1267" s="1">
        <v>44980</v>
      </c>
      <c r="D1267" t="s">
        <v>7</v>
      </c>
      <c r="E1267">
        <v>39</v>
      </c>
      <c r="F1267" t="s">
        <v>6</v>
      </c>
      <c r="G1267">
        <f t="shared" si="44"/>
        <v>6</v>
      </c>
      <c r="H1267" s="1" t="str">
        <f t="shared" si="45"/>
        <v>Friday</v>
      </c>
    </row>
    <row r="1268" spans="1:8" x14ac:dyDescent="0.3">
      <c r="A1268">
        <v>204646698</v>
      </c>
      <c r="B1268" s="1">
        <v>44974</v>
      </c>
      <c r="C1268" s="1">
        <v>44974</v>
      </c>
      <c r="D1268" t="s">
        <v>7</v>
      </c>
      <c r="E1268">
        <v>39</v>
      </c>
      <c r="F1268" t="s">
        <v>6</v>
      </c>
      <c r="G1268">
        <f t="shared" si="44"/>
        <v>0</v>
      </c>
      <c r="H1268" s="1" t="str">
        <f t="shared" si="45"/>
        <v>Friday</v>
      </c>
    </row>
    <row r="1269" spans="1:8" x14ac:dyDescent="0.3">
      <c r="A1269">
        <v>204728203</v>
      </c>
      <c r="B1269" s="1">
        <v>44974</v>
      </c>
      <c r="C1269" s="1">
        <v>45144</v>
      </c>
      <c r="D1269" t="s">
        <v>7</v>
      </c>
      <c r="E1269">
        <v>39</v>
      </c>
      <c r="F1269" t="s">
        <v>6</v>
      </c>
      <c r="G1269">
        <f t="shared" si="44"/>
        <v>170</v>
      </c>
      <c r="H1269" s="1" t="str">
        <f t="shared" si="45"/>
        <v>Friday</v>
      </c>
    </row>
    <row r="1270" spans="1:8" x14ac:dyDescent="0.3">
      <c r="A1270">
        <v>166674547</v>
      </c>
      <c r="B1270" s="1">
        <v>44974</v>
      </c>
      <c r="C1270" s="1">
        <v>45099</v>
      </c>
      <c r="D1270" t="s">
        <v>7</v>
      </c>
      <c r="E1270">
        <v>39</v>
      </c>
      <c r="F1270" t="s">
        <v>6</v>
      </c>
      <c r="G1270">
        <f t="shared" si="44"/>
        <v>125</v>
      </c>
      <c r="H1270" s="1" t="str">
        <f t="shared" si="45"/>
        <v>Friday</v>
      </c>
    </row>
    <row r="1271" spans="1:8" x14ac:dyDescent="0.3">
      <c r="A1271">
        <v>202459470</v>
      </c>
      <c r="B1271" s="1">
        <v>44975</v>
      </c>
      <c r="C1271" t="s">
        <v>19</v>
      </c>
      <c r="D1271" t="s">
        <v>7</v>
      </c>
      <c r="E1271">
        <v>39</v>
      </c>
      <c r="F1271" t="s">
        <v>6</v>
      </c>
      <c r="G1271" t="str">
        <f t="shared" si="44"/>
        <v>Active</v>
      </c>
      <c r="H1271" s="1" t="str">
        <f t="shared" si="45"/>
        <v>Saturday</v>
      </c>
    </row>
    <row r="1272" spans="1:8" x14ac:dyDescent="0.3">
      <c r="A1272">
        <v>155508761</v>
      </c>
      <c r="B1272" s="1">
        <v>44975</v>
      </c>
      <c r="C1272" t="s">
        <v>19</v>
      </c>
      <c r="D1272" t="s">
        <v>7</v>
      </c>
      <c r="E1272">
        <v>39</v>
      </c>
      <c r="F1272" t="s">
        <v>6</v>
      </c>
      <c r="G1272" t="str">
        <f t="shared" si="44"/>
        <v>Active</v>
      </c>
      <c r="H1272" s="1" t="str">
        <f t="shared" si="45"/>
        <v>Saturday</v>
      </c>
    </row>
    <row r="1273" spans="1:8" x14ac:dyDescent="0.3">
      <c r="A1273">
        <v>168484421</v>
      </c>
      <c r="B1273" s="1">
        <v>44975</v>
      </c>
      <c r="C1273" s="1">
        <v>44975</v>
      </c>
      <c r="D1273" t="s">
        <v>8</v>
      </c>
      <c r="E1273">
        <v>39</v>
      </c>
      <c r="F1273" t="s">
        <v>6</v>
      </c>
      <c r="G1273">
        <f t="shared" si="44"/>
        <v>0</v>
      </c>
      <c r="H1273" s="1" t="str">
        <f t="shared" si="45"/>
        <v>Saturday</v>
      </c>
    </row>
    <row r="1274" spans="1:8" x14ac:dyDescent="0.3">
      <c r="A1274">
        <v>130864124</v>
      </c>
      <c r="B1274" s="1">
        <v>44975</v>
      </c>
      <c r="C1274" s="1">
        <v>44976</v>
      </c>
      <c r="D1274" t="s">
        <v>7</v>
      </c>
      <c r="E1274">
        <v>39</v>
      </c>
      <c r="F1274" t="s">
        <v>6</v>
      </c>
      <c r="G1274">
        <f t="shared" si="44"/>
        <v>1</v>
      </c>
      <c r="H1274" s="1" t="str">
        <f t="shared" si="45"/>
        <v>Saturday</v>
      </c>
    </row>
    <row r="1275" spans="1:8" x14ac:dyDescent="0.3">
      <c r="A1275">
        <v>204752959</v>
      </c>
      <c r="B1275" s="1">
        <v>44975</v>
      </c>
      <c r="C1275" s="1">
        <v>45102</v>
      </c>
      <c r="D1275" t="s">
        <v>7</v>
      </c>
      <c r="E1275">
        <v>39</v>
      </c>
      <c r="F1275" t="s">
        <v>6</v>
      </c>
      <c r="G1275">
        <f t="shared" si="44"/>
        <v>127</v>
      </c>
      <c r="H1275" s="1" t="str">
        <f t="shared" si="45"/>
        <v>Saturday</v>
      </c>
    </row>
    <row r="1276" spans="1:8" x14ac:dyDescent="0.3">
      <c r="A1276">
        <v>204761235</v>
      </c>
      <c r="B1276" s="1">
        <v>44975</v>
      </c>
      <c r="C1276" s="1">
        <v>45063</v>
      </c>
      <c r="D1276" t="s">
        <v>7</v>
      </c>
      <c r="E1276">
        <v>39</v>
      </c>
      <c r="F1276" t="s">
        <v>6</v>
      </c>
      <c r="G1276">
        <f t="shared" si="44"/>
        <v>88</v>
      </c>
      <c r="H1276" s="1" t="str">
        <f t="shared" si="45"/>
        <v>Saturday</v>
      </c>
    </row>
    <row r="1277" spans="1:8" x14ac:dyDescent="0.3">
      <c r="A1277">
        <v>159142615</v>
      </c>
      <c r="B1277" s="1">
        <v>44975</v>
      </c>
      <c r="C1277" s="1">
        <v>45074</v>
      </c>
      <c r="D1277" t="s">
        <v>7</v>
      </c>
      <c r="E1277">
        <v>39</v>
      </c>
      <c r="F1277" t="s">
        <v>6</v>
      </c>
      <c r="G1277">
        <f t="shared" si="44"/>
        <v>99</v>
      </c>
      <c r="H1277" s="1" t="str">
        <f t="shared" si="45"/>
        <v>Saturday</v>
      </c>
    </row>
    <row r="1278" spans="1:8" x14ac:dyDescent="0.3">
      <c r="A1278">
        <v>204753316</v>
      </c>
      <c r="B1278" s="1">
        <v>44975</v>
      </c>
      <c r="C1278" s="1">
        <v>45010</v>
      </c>
      <c r="D1278" t="s">
        <v>7</v>
      </c>
      <c r="E1278">
        <v>39</v>
      </c>
      <c r="F1278" t="s">
        <v>6</v>
      </c>
      <c r="G1278">
        <f t="shared" si="44"/>
        <v>35</v>
      </c>
      <c r="H1278" s="1" t="str">
        <f t="shared" si="45"/>
        <v>Saturday</v>
      </c>
    </row>
    <row r="1279" spans="1:8" x14ac:dyDescent="0.3">
      <c r="A1279">
        <v>195188483</v>
      </c>
      <c r="B1279" s="1">
        <v>44976</v>
      </c>
      <c r="C1279" t="s">
        <v>19</v>
      </c>
      <c r="D1279" t="s">
        <v>7</v>
      </c>
      <c r="E1279">
        <v>39</v>
      </c>
      <c r="F1279" t="s">
        <v>6</v>
      </c>
      <c r="G1279" t="str">
        <f t="shared" si="44"/>
        <v>Active</v>
      </c>
      <c r="H1279" s="1" t="str">
        <f t="shared" si="45"/>
        <v>Sunday</v>
      </c>
    </row>
    <row r="1280" spans="1:8" x14ac:dyDescent="0.3">
      <c r="A1280">
        <v>204773056</v>
      </c>
      <c r="B1280" s="1">
        <v>44976</v>
      </c>
      <c r="C1280" t="s">
        <v>19</v>
      </c>
      <c r="D1280" t="s">
        <v>7</v>
      </c>
      <c r="E1280">
        <v>39</v>
      </c>
      <c r="F1280" t="s">
        <v>6</v>
      </c>
      <c r="G1280" t="str">
        <f t="shared" si="44"/>
        <v>Active</v>
      </c>
      <c r="H1280" s="1" t="str">
        <f t="shared" si="45"/>
        <v>Sunday</v>
      </c>
    </row>
    <row r="1281" spans="1:8" x14ac:dyDescent="0.3">
      <c r="A1281">
        <v>204814698</v>
      </c>
      <c r="B1281" s="1">
        <v>44976</v>
      </c>
      <c r="C1281" s="1">
        <v>45160</v>
      </c>
      <c r="D1281" t="s">
        <v>7</v>
      </c>
      <c r="E1281">
        <v>39</v>
      </c>
      <c r="F1281" t="s">
        <v>6</v>
      </c>
      <c r="G1281">
        <f t="shared" si="44"/>
        <v>184</v>
      </c>
      <c r="H1281" s="1" t="str">
        <f t="shared" si="45"/>
        <v>Sunday</v>
      </c>
    </row>
    <row r="1282" spans="1:8" x14ac:dyDescent="0.3">
      <c r="A1282">
        <v>204732463</v>
      </c>
      <c r="B1282" s="1">
        <v>44976</v>
      </c>
      <c r="C1282" s="1">
        <v>45089</v>
      </c>
      <c r="D1282" t="s">
        <v>7</v>
      </c>
      <c r="E1282">
        <v>39</v>
      </c>
      <c r="F1282" t="s">
        <v>6</v>
      </c>
      <c r="G1282">
        <f t="shared" si="44"/>
        <v>113</v>
      </c>
      <c r="H1282" s="1" t="str">
        <f t="shared" si="45"/>
        <v>Sunday</v>
      </c>
    </row>
    <row r="1283" spans="1:8" x14ac:dyDescent="0.3">
      <c r="A1283">
        <v>204772360</v>
      </c>
      <c r="B1283" s="1">
        <v>44976</v>
      </c>
      <c r="C1283" s="1">
        <v>45034</v>
      </c>
      <c r="D1283" t="s">
        <v>7</v>
      </c>
      <c r="E1283">
        <v>39</v>
      </c>
      <c r="F1283" t="s">
        <v>6</v>
      </c>
      <c r="G1283">
        <f t="shared" ref="G1283:G1346" si="46">IF(C1283="Active","Active",C1283-B1283)</f>
        <v>58</v>
      </c>
      <c r="H1283" s="1" t="str">
        <f t="shared" ref="H1283:H1346" si="47">TEXT(B1283,"dddd")</f>
        <v>Sunday</v>
      </c>
    </row>
    <row r="1284" spans="1:8" x14ac:dyDescent="0.3">
      <c r="A1284">
        <v>204812582</v>
      </c>
      <c r="B1284" s="1">
        <v>44976</v>
      </c>
      <c r="C1284" s="1">
        <v>45023</v>
      </c>
      <c r="D1284" t="s">
        <v>7</v>
      </c>
      <c r="E1284">
        <v>39</v>
      </c>
      <c r="F1284" t="s">
        <v>6</v>
      </c>
      <c r="G1284">
        <f t="shared" si="46"/>
        <v>47</v>
      </c>
      <c r="H1284" s="1" t="str">
        <f t="shared" si="47"/>
        <v>Sunday</v>
      </c>
    </row>
    <row r="1285" spans="1:8" x14ac:dyDescent="0.3">
      <c r="A1285">
        <v>204662556</v>
      </c>
      <c r="B1285" s="1">
        <v>44976</v>
      </c>
      <c r="C1285" s="1">
        <v>45018</v>
      </c>
      <c r="D1285" t="s">
        <v>7</v>
      </c>
      <c r="E1285">
        <v>39</v>
      </c>
      <c r="F1285" t="s">
        <v>6</v>
      </c>
      <c r="G1285">
        <f t="shared" si="46"/>
        <v>42</v>
      </c>
      <c r="H1285" s="1" t="str">
        <f t="shared" si="47"/>
        <v>Sunday</v>
      </c>
    </row>
    <row r="1286" spans="1:8" x14ac:dyDescent="0.3">
      <c r="A1286">
        <v>163781430</v>
      </c>
      <c r="B1286" s="1">
        <v>44976</v>
      </c>
      <c r="C1286" s="1">
        <v>45042</v>
      </c>
      <c r="D1286" t="s">
        <v>7</v>
      </c>
      <c r="E1286">
        <v>39</v>
      </c>
      <c r="F1286" t="s">
        <v>6</v>
      </c>
      <c r="G1286">
        <f t="shared" si="46"/>
        <v>66</v>
      </c>
      <c r="H1286" s="1" t="str">
        <f t="shared" si="47"/>
        <v>Sunday</v>
      </c>
    </row>
    <row r="1287" spans="1:8" x14ac:dyDescent="0.3">
      <c r="A1287">
        <v>143963064</v>
      </c>
      <c r="B1287" s="1">
        <v>44976</v>
      </c>
      <c r="C1287" s="1">
        <v>45125</v>
      </c>
      <c r="D1287" t="s">
        <v>7</v>
      </c>
      <c r="E1287">
        <v>39</v>
      </c>
      <c r="F1287" t="s">
        <v>6</v>
      </c>
      <c r="G1287">
        <f t="shared" si="46"/>
        <v>149</v>
      </c>
      <c r="H1287" s="1" t="str">
        <f t="shared" si="47"/>
        <v>Sunday</v>
      </c>
    </row>
    <row r="1288" spans="1:8" x14ac:dyDescent="0.3">
      <c r="A1288">
        <v>204797166</v>
      </c>
      <c r="B1288" s="1">
        <v>44976</v>
      </c>
      <c r="C1288" s="1">
        <v>44991</v>
      </c>
      <c r="D1288" t="s">
        <v>7</v>
      </c>
      <c r="E1288">
        <v>39</v>
      </c>
      <c r="F1288" t="s">
        <v>6</v>
      </c>
      <c r="G1288">
        <f t="shared" si="46"/>
        <v>15</v>
      </c>
      <c r="H1288" s="1" t="str">
        <f t="shared" si="47"/>
        <v>Sunday</v>
      </c>
    </row>
    <row r="1289" spans="1:8" x14ac:dyDescent="0.3">
      <c r="A1289">
        <v>204774421</v>
      </c>
      <c r="B1289" s="1">
        <v>44976</v>
      </c>
      <c r="C1289" s="1">
        <v>44999</v>
      </c>
      <c r="D1289" t="s">
        <v>7</v>
      </c>
      <c r="E1289">
        <v>39</v>
      </c>
      <c r="F1289" t="s">
        <v>6</v>
      </c>
      <c r="G1289">
        <f t="shared" si="46"/>
        <v>23</v>
      </c>
      <c r="H1289" s="1" t="str">
        <f t="shared" si="47"/>
        <v>Sunday</v>
      </c>
    </row>
    <row r="1290" spans="1:8" x14ac:dyDescent="0.3">
      <c r="A1290">
        <v>204801675</v>
      </c>
      <c r="B1290" s="1">
        <v>44976</v>
      </c>
      <c r="C1290" s="1">
        <v>45007</v>
      </c>
      <c r="D1290" t="s">
        <v>7</v>
      </c>
      <c r="E1290">
        <v>39</v>
      </c>
      <c r="F1290" t="s">
        <v>6</v>
      </c>
      <c r="G1290">
        <f t="shared" si="46"/>
        <v>31</v>
      </c>
      <c r="H1290" s="1" t="str">
        <f t="shared" si="47"/>
        <v>Sunday</v>
      </c>
    </row>
    <row r="1291" spans="1:8" x14ac:dyDescent="0.3">
      <c r="A1291">
        <v>204518099</v>
      </c>
      <c r="B1291" s="1">
        <v>44976</v>
      </c>
      <c r="C1291" s="1">
        <v>44981</v>
      </c>
      <c r="D1291" t="s">
        <v>7</v>
      </c>
      <c r="E1291">
        <v>39</v>
      </c>
      <c r="F1291" t="s">
        <v>6</v>
      </c>
      <c r="G1291">
        <f t="shared" si="46"/>
        <v>5</v>
      </c>
      <c r="H1291" s="1" t="str">
        <f t="shared" si="47"/>
        <v>Sunday</v>
      </c>
    </row>
    <row r="1292" spans="1:8" x14ac:dyDescent="0.3">
      <c r="A1292">
        <v>204814320</v>
      </c>
      <c r="B1292" s="1">
        <v>44977</v>
      </c>
      <c r="C1292" t="s">
        <v>19</v>
      </c>
      <c r="D1292" t="s">
        <v>7</v>
      </c>
      <c r="E1292">
        <v>39</v>
      </c>
      <c r="F1292" t="s">
        <v>6</v>
      </c>
      <c r="G1292" t="str">
        <f t="shared" si="46"/>
        <v>Active</v>
      </c>
      <c r="H1292" s="1" t="str">
        <f t="shared" si="47"/>
        <v>Monday</v>
      </c>
    </row>
    <row r="1293" spans="1:8" x14ac:dyDescent="0.3">
      <c r="A1293">
        <v>126851221</v>
      </c>
      <c r="B1293" s="1">
        <v>44977</v>
      </c>
      <c r="C1293" t="s">
        <v>19</v>
      </c>
      <c r="D1293" t="s">
        <v>7</v>
      </c>
      <c r="E1293">
        <v>39</v>
      </c>
      <c r="F1293" t="s">
        <v>6</v>
      </c>
      <c r="G1293" t="str">
        <f t="shared" si="46"/>
        <v>Active</v>
      </c>
      <c r="H1293" s="1" t="str">
        <f t="shared" si="47"/>
        <v>Monday</v>
      </c>
    </row>
    <row r="1294" spans="1:8" x14ac:dyDescent="0.3">
      <c r="A1294">
        <v>204845935</v>
      </c>
      <c r="B1294" s="1">
        <v>44977</v>
      </c>
      <c r="C1294" t="s">
        <v>19</v>
      </c>
      <c r="D1294" t="s">
        <v>7</v>
      </c>
      <c r="E1294">
        <v>39</v>
      </c>
      <c r="F1294" t="s">
        <v>6</v>
      </c>
      <c r="G1294" t="str">
        <f t="shared" si="46"/>
        <v>Active</v>
      </c>
      <c r="H1294" s="1" t="str">
        <f t="shared" si="47"/>
        <v>Monday</v>
      </c>
    </row>
    <row r="1295" spans="1:8" x14ac:dyDescent="0.3">
      <c r="A1295">
        <v>122215146</v>
      </c>
      <c r="B1295" s="1">
        <v>44977</v>
      </c>
      <c r="C1295" s="1">
        <v>44978</v>
      </c>
      <c r="D1295" t="s">
        <v>7</v>
      </c>
      <c r="E1295">
        <v>39</v>
      </c>
      <c r="F1295" t="s">
        <v>6</v>
      </c>
      <c r="G1295">
        <f t="shared" si="46"/>
        <v>1</v>
      </c>
      <c r="H1295" s="1" t="str">
        <f t="shared" si="47"/>
        <v>Monday</v>
      </c>
    </row>
    <row r="1296" spans="1:8" x14ac:dyDescent="0.3">
      <c r="A1296">
        <v>147300748</v>
      </c>
      <c r="B1296" s="1">
        <v>44977</v>
      </c>
      <c r="C1296" s="1">
        <v>45119</v>
      </c>
      <c r="D1296" t="s">
        <v>7</v>
      </c>
      <c r="E1296">
        <v>39</v>
      </c>
      <c r="F1296" t="s">
        <v>6</v>
      </c>
      <c r="G1296">
        <f t="shared" si="46"/>
        <v>142</v>
      </c>
      <c r="H1296" s="1" t="str">
        <f t="shared" si="47"/>
        <v>Monday</v>
      </c>
    </row>
    <row r="1297" spans="1:8" x14ac:dyDescent="0.3">
      <c r="A1297">
        <v>162596645</v>
      </c>
      <c r="B1297" s="1">
        <v>44977</v>
      </c>
      <c r="C1297" s="1">
        <v>45105</v>
      </c>
      <c r="D1297" t="s">
        <v>7</v>
      </c>
      <c r="E1297">
        <v>39</v>
      </c>
      <c r="F1297" t="s">
        <v>6</v>
      </c>
      <c r="G1297">
        <f t="shared" si="46"/>
        <v>128</v>
      </c>
      <c r="H1297" s="1" t="str">
        <f t="shared" si="47"/>
        <v>Monday</v>
      </c>
    </row>
    <row r="1298" spans="1:8" x14ac:dyDescent="0.3">
      <c r="A1298">
        <v>177666771</v>
      </c>
      <c r="B1298" s="1">
        <v>44977</v>
      </c>
      <c r="C1298" s="1">
        <v>45089</v>
      </c>
      <c r="D1298" t="s">
        <v>7</v>
      </c>
      <c r="E1298">
        <v>39</v>
      </c>
      <c r="F1298" t="s">
        <v>6</v>
      </c>
      <c r="G1298">
        <f t="shared" si="46"/>
        <v>112</v>
      </c>
      <c r="H1298" s="1" t="str">
        <f t="shared" si="47"/>
        <v>Monday</v>
      </c>
    </row>
    <row r="1299" spans="1:8" x14ac:dyDescent="0.3">
      <c r="A1299">
        <v>204884248</v>
      </c>
      <c r="B1299" s="1">
        <v>44977</v>
      </c>
      <c r="C1299" s="1">
        <v>45048</v>
      </c>
      <c r="D1299" t="s">
        <v>7</v>
      </c>
      <c r="E1299">
        <v>39</v>
      </c>
      <c r="F1299" t="s">
        <v>6</v>
      </c>
      <c r="G1299">
        <f t="shared" si="46"/>
        <v>71</v>
      </c>
      <c r="H1299" s="1" t="str">
        <f t="shared" si="47"/>
        <v>Monday</v>
      </c>
    </row>
    <row r="1300" spans="1:8" x14ac:dyDescent="0.3">
      <c r="A1300">
        <v>204826054</v>
      </c>
      <c r="B1300" s="1">
        <v>44977</v>
      </c>
      <c r="C1300" s="1">
        <v>45077</v>
      </c>
      <c r="D1300" t="s">
        <v>7</v>
      </c>
      <c r="E1300">
        <v>39</v>
      </c>
      <c r="F1300" t="s">
        <v>6</v>
      </c>
      <c r="G1300">
        <f t="shared" si="46"/>
        <v>100</v>
      </c>
      <c r="H1300" s="1" t="str">
        <f t="shared" si="47"/>
        <v>Monday</v>
      </c>
    </row>
    <row r="1301" spans="1:8" x14ac:dyDescent="0.3">
      <c r="A1301">
        <v>145096572</v>
      </c>
      <c r="B1301" s="1">
        <v>44977</v>
      </c>
      <c r="C1301" s="1">
        <v>44999</v>
      </c>
      <c r="D1301" t="s">
        <v>7</v>
      </c>
      <c r="E1301">
        <v>39</v>
      </c>
      <c r="F1301" t="s">
        <v>6</v>
      </c>
      <c r="G1301">
        <f t="shared" si="46"/>
        <v>22</v>
      </c>
      <c r="H1301" s="1" t="str">
        <f t="shared" si="47"/>
        <v>Monday</v>
      </c>
    </row>
    <row r="1302" spans="1:8" x14ac:dyDescent="0.3">
      <c r="A1302">
        <v>158472404</v>
      </c>
      <c r="B1302" s="1">
        <v>44977</v>
      </c>
      <c r="C1302" s="1">
        <v>44995</v>
      </c>
      <c r="D1302" t="s">
        <v>7</v>
      </c>
      <c r="E1302">
        <v>39</v>
      </c>
      <c r="F1302" t="s">
        <v>6</v>
      </c>
      <c r="G1302">
        <f t="shared" si="46"/>
        <v>18</v>
      </c>
      <c r="H1302" s="1" t="str">
        <f t="shared" si="47"/>
        <v>Monday</v>
      </c>
    </row>
    <row r="1303" spans="1:8" x14ac:dyDescent="0.3">
      <c r="A1303">
        <v>204907118</v>
      </c>
      <c r="B1303" s="1">
        <v>44977</v>
      </c>
      <c r="C1303" s="1">
        <v>45026</v>
      </c>
      <c r="D1303" t="s">
        <v>7</v>
      </c>
      <c r="E1303">
        <v>39</v>
      </c>
      <c r="F1303" t="s">
        <v>6</v>
      </c>
      <c r="G1303">
        <f t="shared" si="46"/>
        <v>49</v>
      </c>
      <c r="H1303" s="1" t="str">
        <f t="shared" si="47"/>
        <v>Monday</v>
      </c>
    </row>
    <row r="1304" spans="1:8" x14ac:dyDescent="0.3">
      <c r="A1304">
        <v>204602410</v>
      </c>
      <c r="B1304" s="1">
        <v>44977</v>
      </c>
      <c r="C1304" s="1">
        <v>45005</v>
      </c>
      <c r="D1304" t="s">
        <v>7</v>
      </c>
      <c r="E1304">
        <v>39</v>
      </c>
      <c r="F1304" t="s">
        <v>6</v>
      </c>
      <c r="G1304">
        <f t="shared" si="46"/>
        <v>28</v>
      </c>
      <c r="H1304" s="1" t="str">
        <f t="shared" si="47"/>
        <v>Monday</v>
      </c>
    </row>
    <row r="1305" spans="1:8" x14ac:dyDescent="0.3">
      <c r="A1305">
        <v>204853460</v>
      </c>
      <c r="B1305" s="1">
        <v>44977</v>
      </c>
      <c r="C1305" s="1">
        <v>45126</v>
      </c>
      <c r="D1305" t="s">
        <v>7</v>
      </c>
      <c r="E1305">
        <v>39</v>
      </c>
      <c r="F1305" t="s">
        <v>6</v>
      </c>
      <c r="G1305">
        <f t="shared" si="46"/>
        <v>149</v>
      </c>
      <c r="H1305" s="1" t="str">
        <f t="shared" si="47"/>
        <v>Monday</v>
      </c>
    </row>
    <row r="1306" spans="1:8" x14ac:dyDescent="0.3">
      <c r="A1306">
        <v>194310997</v>
      </c>
      <c r="B1306" s="1">
        <v>44977</v>
      </c>
      <c r="C1306" s="1">
        <v>45124</v>
      </c>
      <c r="D1306" t="s">
        <v>7</v>
      </c>
      <c r="E1306">
        <v>39</v>
      </c>
      <c r="F1306" t="s">
        <v>6</v>
      </c>
      <c r="G1306">
        <f t="shared" si="46"/>
        <v>147</v>
      </c>
      <c r="H1306" s="1" t="str">
        <f t="shared" si="47"/>
        <v>Monday</v>
      </c>
    </row>
    <row r="1307" spans="1:8" x14ac:dyDescent="0.3">
      <c r="A1307">
        <v>204902258</v>
      </c>
      <c r="B1307" s="1">
        <v>44978</v>
      </c>
      <c r="C1307" t="s">
        <v>19</v>
      </c>
      <c r="D1307" t="s">
        <v>7</v>
      </c>
      <c r="E1307">
        <v>39</v>
      </c>
      <c r="F1307" t="s">
        <v>6</v>
      </c>
      <c r="G1307" t="str">
        <f t="shared" si="46"/>
        <v>Active</v>
      </c>
      <c r="H1307" s="1" t="str">
        <f t="shared" si="47"/>
        <v>Tuesday</v>
      </c>
    </row>
    <row r="1308" spans="1:8" x14ac:dyDescent="0.3">
      <c r="A1308">
        <v>162865034</v>
      </c>
      <c r="B1308" s="1">
        <v>44978</v>
      </c>
      <c r="C1308" s="1">
        <v>45013</v>
      </c>
      <c r="D1308" t="s">
        <v>7</v>
      </c>
      <c r="E1308">
        <v>39</v>
      </c>
      <c r="F1308" t="s">
        <v>6</v>
      </c>
      <c r="G1308">
        <f t="shared" si="46"/>
        <v>35</v>
      </c>
      <c r="H1308" s="1" t="str">
        <f t="shared" si="47"/>
        <v>Tuesday</v>
      </c>
    </row>
    <row r="1309" spans="1:8" x14ac:dyDescent="0.3">
      <c r="A1309">
        <v>204467695</v>
      </c>
      <c r="B1309" s="1">
        <v>44978</v>
      </c>
      <c r="C1309" s="1">
        <v>45055</v>
      </c>
      <c r="D1309" t="s">
        <v>7</v>
      </c>
      <c r="E1309">
        <v>39</v>
      </c>
      <c r="F1309" t="s">
        <v>6</v>
      </c>
      <c r="G1309">
        <f t="shared" si="46"/>
        <v>77</v>
      </c>
      <c r="H1309" s="1" t="str">
        <f t="shared" si="47"/>
        <v>Tuesday</v>
      </c>
    </row>
    <row r="1310" spans="1:8" x14ac:dyDescent="0.3">
      <c r="A1310">
        <v>204774193</v>
      </c>
      <c r="B1310" s="1">
        <v>44978</v>
      </c>
      <c r="C1310" s="1">
        <v>45076</v>
      </c>
      <c r="D1310" t="s">
        <v>7</v>
      </c>
      <c r="E1310">
        <v>39</v>
      </c>
      <c r="F1310" t="s">
        <v>6</v>
      </c>
      <c r="G1310">
        <f t="shared" si="46"/>
        <v>98</v>
      </c>
      <c r="H1310" s="1" t="str">
        <f t="shared" si="47"/>
        <v>Tuesday</v>
      </c>
    </row>
    <row r="1311" spans="1:8" x14ac:dyDescent="0.3">
      <c r="A1311">
        <v>189046085</v>
      </c>
      <c r="B1311" s="1">
        <v>44978</v>
      </c>
      <c r="C1311" s="1">
        <v>45064</v>
      </c>
      <c r="D1311" t="s">
        <v>7</v>
      </c>
      <c r="E1311">
        <v>39</v>
      </c>
      <c r="F1311" t="s">
        <v>6</v>
      </c>
      <c r="G1311">
        <f t="shared" si="46"/>
        <v>86</v>
      </c>
      <c r="H1311" s="1" t="str">
        <f t="shared" si="47"/>
        <v>Tuesday</v>
      </c>
    </row>
    <row r="1312" spans="1:8" x14ac:dyDescent="0.3">
      <c r="A1312">
        <v>188082436</v>
      </c>
      <c r="B1312" s="1">
        <v>44978</v>
      </c>
      <c r="C1312" s="1">
        <v>45020</v>
      </c>
      <c r="D1312" t="s">
        <v>7</v>
      </c>
      <c r="E1312">
        <v>39</v>
      </c>
      <c r="F1312" t="s">
        <v>6</v>
      </c>
      <c r="G1312">
        <f t="shared" si="46"/>
        <v>42</v>
      </c>
      <c r="H1312" s="1" t="str">
        <f t="shared" si="47"/>
        <v>Tuesday</v>
      </c>
    </row>
    <row r="1313" spans="1:8" x14ac:dyDescent="0.3">
      <c r="A1313">
        <v>204947361</v>
      </c>
      <c r="B1313" s="1">
        <v>44978</v>
      </c>
      <c r="C1313" s="1">
        <v>45021</v>
      </c>
      <c r="D1313" t="s">
        <v>7</v>
      </c>
      <c r="E1313">
        <v>39</v>
      </c>
      <c r="F1313" t="s">
        <v>6</v>
      </c>
      <c r="G1313">
        <f t="shared" si="46"/>
        <v>43</v>
      </c>
      <c r="H1313" s="1" t="str">
        <f t="shared" si="47"/>
        <v>Tuesday</v>
      </c>
    </row>
    <row r="1314" spans="1:8" x14ac:dyDescent="0.3">
      <c r="A1314">
        <v>158852962</v>
      </c>
      <c r="B1314" s="1">
        <v>44978</v>
      </c>
      <c r="C1314" s="1">
        <v>45030</v>
      </c>
      <c r="D1314" t="s">
        <v>7</v>
      </c>
      <c r="E1314">
        <v>39</v>
      </c>
      <c r="F1314" t="s">
        <v>6</v>
      </c>
      <c r="G1314">
        <f t="shared" si="46"/>
        <v>52</v>
      </c>
      <c r="H1314" s="1" t="str">
        <f t="shared" si="47"/>
        <v>Tuesday</v>
      </c>
    </row>
    <row r="1315" spans="1:8" x14ac:dyDescent="0.3">
      <c r="A1315">
        <v>204742960</v>
      </c>
      <c r="B1315" s="1">
        <v>44978</v>
      </c>
      <c r="C1315" s="1">
        <v>44991</v>
      </c>
      <c r="D1315" t="s">
        <v>7</v>
      </c>
      <c r="E1315">
        <v>39</v>
      </c>
      <c r="F1315" t="s">
        <v>6</v>
      </c>
      <c r="G1315">
        <f t="shared" si="46"/>
        <v>13</v>
      </c>
      <c r="H1315" s="1" t="str">
        <f t="shared" si="47"/>
        <v>Tuesday</v>
      </c>
    </row>
    <row r="1316" spans="1:8" x14ac:dyDescent="0.3">
      <c r="A1316">
        <v>204726042</v>
      </c>
      <c r="B1316" s="1">
        <v>44978</v>
      </c>
      <c r="C1316" s="1">
        <v>45002</v>
      </c>
      <c r="D1316" t="s">
        <v>7</v>
      </c>
      <c r="E1316">
        <v>39</v>
      </c>
      <c r="F1316" t="s">
        <v>6</v>
      </c>
      <c r="G1316">
        <f t="shared" si="46"/>
        <v>24</v>
      </c>
      <c r="H1316" s="1" t="str">
        <f t="shared" si="47"/>
        <v>Tuesday</v>
      </c>
    </row>
    <row r="1317" spans="1:8" x14ac:dyDescent="0.3">
      <c r="A1317">
        <v>204997225</v>
      </c>
      <c r="B1317" s="1">
        <v>44979</v>
      </c>
      <c r="C1317" t="s">
        <v>19</v>
      </c>
      <c r="D1317" t="s">
        <v>7</v>
      </c>
      <c r="E1317">
        <v>39</v>
      </c>
      <c r="F1317" t="s">
        <v>6</v>
      </c>
      <c r="G1317" t="str">
        <f t="shared" si="46"/>
        <v>Active</v>
      </c>
      <c r="H1317" s="1" t="str">
        <f t="shared" si="47"/>
        <v>Wednesday</v>
      </c>
    </row>
    <row r="1318" spans="1:8" x14ac:dyDescent="0.3">
      <c r="A1318">
        <v>126103612</v>
      </c>
      <c r="B1318" s="1">
        <v>44979</v>
      </c>
      <c r="C1318" t="s">
        <v>19</v>
      </c>
      <c r="D1318" t="s">
        <v>7</v>
      </c>
      <c r="E1318">
        <v>39</v>
      </c>
      <c r="F1318" t="s">
        <v>6</v>
      </c>
      <c r="G1318" t="str">
        <f t="shared" si="46"/>
        <v>Active</v>
      </c>
      <c r="H1318" s="1" t="str">
        <f t="shared" si="47"/>
        <v>Wednesday</v>
      </c>
    </row>
    <row r="1319" spans="1:8" x14ac:dyDescent="0.3">
      <c r="A1319">
        <v>204934860</v>
      </c>
      <c r="B1319" s="1">
        <v>44979</v>
      </c>
      <c r="C1319" s="1">
        <v>44980</v>
      </c>
      <c r="D1319" t="s">
        <v>8</v>
      </c>
      <c r="E1319">
        <v>39</v>
      </c>
      <c r="F1319" t="s">
        <v>6</v>
      </c>
      <c r="G1319">
        <f t="shared" si="46"/>
        <v>1</v>
      </c>
      <c r="H1319" s="1" t="str">
        <f t="shared" si="47"/>
        <v>Wednesday</v>
      </c>
    </row>
    <row r="1320" spans="1:8" x14ac:dyDescent="0.3">
      <c r="A1320">
        <v>197086298</v>
      </c>
      <c r="B1320" s="1">
        <v>44979</v>
      </c>
      <c r="C1320" s="1">
        <v>45048</v>
      </c>
      <c r="D1320" t="s">
        <v>7</v>
      </c>
      <c r="E1320">
        <v>39</v>
      </c>
      <c r="F1320" t="s">
        <v>6</v>
      </c>
      <c r="G1320">
        <f t="shared" si="46"/>
        <v>69</v>
      </c>
      <c r="H1320" s="1" t="str">
        <f t="shared" si="47"/>
        <v>Wednesday</v>
      </c>
    </row>
    <row r="1321" spans="1:8" x14ac:dyDescent="0.3">
      <c r="A1321">
        <v>204732760</v>
      </c>
      <c r="B1321" s="1">
        <v>44979</v>
      </c>
      <c r="C1321" s="1">
        <v>45037</v>
      </c>
      <c r="D1321" t="s">
        <v>7</v>
      </c>
      <c r="E1321">
        <v>39</v>
      </c>
      <c r="F1321" t="s">
        <v>6</v>
      </c>
      <c r="G1321">
        <f t="shared" si="46"/>
        <v>58</v>
      </c>
      <c r="H1321" s="1" t="str">
        <f t="shared" si="47"/>
        <v>Wednesday</v>
      </c>
    </row>
    <row r="1322" spans="1:8" x14ac:dyDescent="0.3">
      <c r="A1322">
        <v>204985175</v>
      </c>
      <c r="B1322" s="1">
        <v>44979</v>
      </c>
      <c r="C1322" s="1">
        <v>45029</v>
      </c>
      <c r="D1322" t="s">
        <v>7</v>
      </c>
      <c r="E1322">
        <v>39</v>
      </c>
      <c r="F1322" t="s">
        <v>6</v>
      </c>
      <c r="G1322">
        <f t="shared" si="46"/>
        <v>50</v>
      </c>
      <c r="H1322" s="1" t="str">
        <f t="shared" si="47"/>
        <v>Wednesday</v>
      </c>
    </row>
    <row r="1323" spans="1:8" x14ac:dyDescent="0.3">
      <c r="A1323">
        <v>189387698</v>
      </c>
      <c r="B1323" s="1">
        <v>44979</v>
      </c>
      <c r="C1323" s="1">
        <v>45023</v>
      </c>
      <c r="D1323" t="s">
        <v>7</v>
      </c>
      <c r="E1323">
        <v>39</v>
      </c>
      <c r="F1323" t="s">
        <v>6</v>
      </c>
      <c r="G1323">
        <f t="shared" si="46"/>
        <v>44</v>
      </c>
      <c r="H1323" s="1" t="str">
        <f t="shared" si="47"/>
        <v>Wednesday</v>
      </c>
    </row>
    <row r="1324" spans="1:8" x14ac:dyDescent="0.3">
      <c r="A1324">
        <v>144160302</v>
      </c>
      <c r="B1324" s="1">
        <v>44979</v>
      </c>
      <c r="C1324" s="1">
        <v>45022</v>
      </c>
      <c r="D1324" t="s">
        <v>7</v>
      </c>
      <c r="E1324">
        <v>39</v>
      </c>
      <c r="F1324" t="s">
        <v>6</v>
      </c>
      <c r="G1324">
        <f t="shared" si="46"/>
        <v>43</v>
      </c>
      <c r="H1324" s="1" t="str">
        <f t="shared" si="47"/>
        <v>Wednesday</v>
      </c>
    </row>
    <row r="1325" spans="1:8" x14ac:dyDescent="0.3">
      <c r="A1325">
        <v>195774465</v>
      </c>
      <c r="B1325" s="1">
        <v>44979</v>
      </c>
      <c r="C1325" s="1">
        <v>45045</v>
      </c>
      <c r="D1325" t="s">
        <v>7</v>
      </c>
      <c r="E1325">
        <v>39</v>
      </c>
      <c r="F1325" t="s">
        <v>6</v>
      </c>
      <c r="G1325">
        <f t="shared" si="46"/>
        <v>66</v>
      </c>
      <c r="H1325" s="1" t="str">
        <f t="shared" si="47"/>
        <v>Wednesday</v>
      </c>
    </row>
    <row r="1326" spans="1:8" x14ac:dyDescent="0.3">
      <c r="A1326">
        <v>204890622</v>
      </c>
      <c r="B1326" s="1">
        <v>44979</v>
      </c>
      <c r="C1326" s="1">
        <v>45003</v>
      </c>
      <c r="D1326" t="s">
        <v>7</v>
      </c>
      <c r="E1326">
        <v>39</v>
      </c>
      <c r="F1326" t="s">
        <v>6</v>
      </c>
      <c r="G1326">
        <f t="shared" si="46"/>
        <v>24</v>
      </c>
      <c r="H1326" s="1" t="str">
        <f t="shared" si="47"/>
        <v>Wednesday</v>
      </c>
    </row>
    <row r="1327" spans="1:8" x14ac:dyDescent="0.3">
      <c r="A1327">
        <v>204206841</v>
      </c>
      <c r="B1327" s="1">
        <v>44979</v>
      </c>
      <c r="C1327" s="1">
        <v>44993</v>
      </c>
      <c r="D1327" t="s">
        <v>7</v>
      </c>
      <c r="E1327">
        <v>39</v>
      </c>
      <c r="F1327" t="s">
        <v>6</v>
      </c>
      <c r="G1327">
        <f t="shared" si="46"/>
        <v>14</v>
      </c>
      <c r="H1327" s="1" t="str">
        <f t="shared" si="47"/>
        <v>Wednesday</v>
      </c>
    </row>
    <row r="1328" spans="1:8" x14ac:dyDescent="0.3">
      <c r="A1328">
        <v>204955216</v>
      </c>
      <c r="B1328" s="1">
        <v>44979</v>
      </c>
      <c r="C1328" s="1">
        <v>45005</v>
      </c>
      <c r="D1328" t="s">
        <v>7</v>
      </c>
      <c r="E1328">
        <v>39</v>
      </c>
      <c r="F1328" t="s">
        <v>6</v>
      </c>
      <c r="G1328">
        <f t="shared" si="46"/>
        <v>26</v>
      </c>
      <c r="H1328" s="1" t="str">
        <f t="shared" si="47"/>
        <v>Wednesday</v>
      </c>
    </row>
    <row r="1329" spans="1:8" x14ac:dyDescent="0.3">
      <c r="A1329">
        <v>204992891</v>
      </c>
      <c r="B1329" s="1">
        <v>44979</v>
      </c>
      <c r="C1329" s="1">
        <v>45141</v>
      </c>
      <c r="D1329" t="s">
        <v>7</v>
      </c>
      <c r="E1329">
        <v>39</v>
      </c>
      <c r="F1329" t="s">
        <v>6</v>
      </c>
      <c r="G1329">
        <f t="shared" si="46"/>
        <v>162</v>
      </c>
      <c r="H1329" s="1" t="str">
        <f t="shared" si="47"/>
        <v>Wednesday</v>
      </c>
    </row>
    <row r="1330" spans="1:8" x14ac:dyDescent="0.3">
      <c r="A1330">
        <v>139152786</v>
      </c>
      <c r="B1330" s="1">
        <v>44980</v>
      </c>
      <c r="C1330" t="s">
        <v>19</v>
      </c>
      <c r="D1330" t="s">
        <v>7</v>
      </c>
      <c r="E1330">
        <v>39</v>
      </c>
      <c r="F1330" t="s">
        <v>6</v>
      </c>
      <c r="G1330" t="str">
        <f t="shared" si="46"/>
        <v>Active</v>
      </c>
      <c r="H1330" s="1" t="str">
        <f t="shared" si="47"/>
        <v>Thursday</v>
      </c>
    </row>
    <row r="1331" spans="1:8" x14ac:dyDescent="0.3">
      <c r="A1331">
        <v>204753108</v>
      </c>
      <c r="B1331" s="1">
        <v>44980</v>
      </c>
      <c r="C1331" t="s">
        <v>19</v>
      </c>
      <c r="D1331" t="s">
        <v>7</v>
      </c>
      <c r="E1331">
        <v>39</v>
      </c>
      <c r="F1331" t="s">
        <v>6</v>
      </c>
      <c r="G1331" t="str">
        <f t="shared" si="46"/>
        <v>Active</v>
      </c>
      <c r="H1331" s="1" t="str">
        <f t="shared" si="47"/>
        <v>Thursday</v>
      </c>
    </row>
    <row r="1332" spans="1:8" x14ac:dyDescent="0.3">
      <c r="A1332">
        <v>136703646</v>
      </c>
      <c r="B1332" s="1">
        <v>44980</v>
      </c>
      <c r="C1332" s="1">
        <v>45023</v>
      </c>
      <c r="D1332" t="s">
        <v>7</v>
      </c>
      <c r="E1332">
        <v>39</v>
      </c>
      <c r="F1332" t="s">
        <v>6</v>
      </c>
      <c r="G1332">
        <f t="shared" si="46"/>
        <v>43</v>
      </c>
      <c r="H1332" s="1" t="str">
        <f t="shared" si="47"/>
        <v>Thursday</v>
      </c>
    </row>
    <row r="1333" spans="1:8" x14ac:dyDescent="0.3">
      <c r="A1333">
        <v>204294672</v>
      </c>
      <c r="B1333" s="1">
        <v>44980</v>
      </c>
      <c r="C1333" s="1">
        <v>45077</v>
      </c>
      <c r="D1333" t="s">
        <v>7</v>
      </c>
      <c r="E1333">
        <v>39</v>
      </c>
      <c r="F1333" t="s">
        <v>6</v>
      </c>
      <c r="G1333">
        <f t="shared" si="46"/>
        <v>97</v>
      </c>
      <c r="H1333" s="1" t="str">
        <f t="shared" si="47"/>
        <v>Thursday</v>
      </c>
    </row>
    <row r="1334" spans="1:8" x14ac:dyDescent="0.3">
      <c r="A1334">
        <v>189505981</v>
      </c>
      <c r="B1334" s="1">
        <v>44980</v>
      </c>
      <c r="C1334" s="1">
        <v>45046</v>
      </c>
      <c r="D1334" t="s">
        <v>7</v>
      </c>
      <c r="E1334">
        <v>39</v>
      </c>
      <c r="F1334" t="s">
        <v>6</v>
      </c>
      <c r="G1334">
        <f t="shared" si="46"/>
        <v>66</v>
      </c>
      <c r="H1334" s="1" t="str">
        <f t="shared" si="47"/>
        <v>Thursday</v>
      </c>
    </row>
    <row r="1335" spans="1:8" x14ac:dyDescent="0.3">
      <c r="A1335">
        <v>115899168</v>
      </c>
      <c r="B1335" s="1">
        <v>44980</v>
      </c>
      <c r="C1335" s="1">
        <v>45019</v>
      </c>
      <c r="D1335" t="s">
        <v>7</v>
      </c>
      <c r="E1335">
        <v>39</v>
      </c>
      <c r="F1335" t="s">
        <v>6</v>
      </c>
      <c r="G1335">
        <f t="shared" si="46"/>
        <v>39</v>
      </c>
      <c r="H1335" s="1" t="str">
        <f t="shared" si="47"/>
        <v>Thursday</v>
      </c>
    </row>
    <row r="1336" spans="1:8" x14ac:dyDescent="0.3">
      <c r="A1336">
        <v>200117920</v>
      </c>
      <c r="B1336" s="1">
        <v>44980</v>
      </c>
      <c r="C1336" s="1">
        <v>45007</v>
      </c>
      <c r="D1336" t="s">
        <v>7</v>
      </c>
      <c r="E1336">
        <v>39</v>
      </c>
      <c r="F1336" t="s">
        <v>6</v>
      </c>
      <c r="G1336">
        <f t="shared" si="46"/>
        <v>27</v>
      </c>
      <c r="H1336" s="1" t="str">
        <f t="shared" si="47"/>
        <v>Thursday</v>
      </c>
    </row>
    <row r="1337" spans="1:8" x14ac:dyDescent="0.3">
      <c r="A1337">
        <v>205057455</v>
      </c>
      <c r="B1337" s="1">
        <v>44980</v>
      </c>
      <c r="C1337" s="1">
        <v>45011</v>
      </c>
      <c r="D1337" t="s">
        <v>7</v>
      </c>
      <c r="E1337">
        <v>39</v>
      </c>
      <c r="F1337" t="s">
        <v>6</v>
      </c>
      <c r="G1337">
        <f t="shared" si="46"/>
        <v>31</v>
      </c>
      <c r="H1337" s="1" t="str">
        <f t="shared" si="47"/>
        <v>Thursday</v>
      </c>
    </row>
    <row r="1338" spans="1:8" x14ac:dyDescent="0.3">
      <c r="A1338">
        <v>205028691</v>
      </c>
      <c r="B1338" s="1">
        <v>44980</v>
      </c>
      <c r="C1338" s="1">
        <v>44995</v>
      </c>
      <c r="D1338" t="s">
        <v>7</v>
      </c>
      <c r="E1338">
        <v>39</v>
      </c>
      <c r="F1338" t="s">
        <v>6</v>
      </c>
      <c r="G1338">
        <f t="shared" si="46"/>
        <v>15</v>
      </c>
      <c r="H1338" s="1" t="str">
        <f t="shared" si="47"/>
        <v>Thursday</v>
      </c>
    </row>
    <row r="1339" spans="1:8" x14ac:dyDescent="0.3">
      <c r="A1339">
        <v>204857146</v>
      </c>
      <c r="B1339" s="1">
        <v>44980</v>
      </c>
      <c r="C1339" s="1">
        <v>44995</v>
      </c>
      <c r="D1339" t="s">
        <v>7</v>
      </c>
      <c r="E1339">
        <v>39</v>
      </c>
      <c r="F1339" t="s">
        <v>6</v>
      </c>
      <c r="G1339">
        <f t="shared" si="46"/>
        <v>15</v>
      </c>
      <c r="H1339" s="1" t="str">
        <f t="shared" si="47"/>
        <v>Thursday</v>
      </c>
    </row>
    <row r="1340" spans="1:8" x14ac:dyDescent="0.3">
      <c r="A1340">
        <v>134131772</v>
      </c>
      <c r="B1340" s="1">
        <v>44981</v>
      </c>
      <c r="C1340" s="1">
        <v>45093</v>
      </c>
      <c r="D1340" t="s">
        <v>7</v>
      </c>
      <c r="E1340">
        <v>39</v>
      </c>
      <c r="F1340" t="s">
        <v>6</v>
      </c>
      <c r="G1340">
        <f t="shared" si="46"/>
        <v>112</v>
      </c>
      <c r="H1340" s="1" t="str">
        <f t="shared" si="47"/>
        <v>Friday</v>
      </c>
    </row>
    <row r="1341" spans="1:8" x14ac:dyDescent="0.3">
      <c r="A1341">
        <v>148942254</v>
      </c>
      <c r="B1341" s="1">
        <v>44981</v>
      </c>
      <c r="C1341" s="1">
        <v>45088</v>
      </c>
      <c r="D1341" t="s">
        <v>7</v>
      </c>
      <c r="E1341">
        <v>39</v>
      </c>
      <c r="F1341" t="s">
        <v>6</v>
      </c>
      <c r="G1341">
        <f t="shared" si="46"/>
        <v>107</v>
      </c>
      <c r="H1341" s="1" t="str">
        <f t="shared" si="47"/>
        <v>Friday</v>
      </c>
    </row>
    <row r="1342" spans="1:8" x14ac:dyDescent="0.3">
      <c r="A1342">
        <v>204512235</v>
      </c>
      <c r="B1342" s="1">
        <v>44981</v>
      </c>
      <c r="C1342" s="1">
        <v>45093</v>
      </c>
      <c r="D1342" t="s">
        <v>7</v>
      </c>
      <c r="E1342">
        <v>39</v>
      </c>
      <c r="F1342" t="s">
        <v>6</v>
      </c>
      <c r="G1342">
        <f t="shared" si="46"/>
        <v>112</v>
      </c>
      <c r="H1342" s="1" t="str">
        <f t="shared" si="47"/>
        <v>Friday</v>
      </c>
    </row>
    <row r="1343" spans="1:8" x14ac:dyDescent="0.3">
      <c r="A1343">
        <v>204977028</v>
      </c>
      <c r="B1343" s="1">
        <v>44981</v>
      </c>
      <c r="C1343" s="1">
        <v>45047</v>
      </c>
      <c r="D1343" t="s">
        <v>7</v>
      </c>
      <c r="E1343">
        <v>39</v>
      </c>
      <c r="F1343" t="s">
        <v>6</v>
      </c>
      <c r="G1343">
        <f t="shared" si="46"/>
        <v>66</v>
      </c>
      <c r="H1343" s="1" t="str">
        <f t="shared" si="47"/>
        <v>Friday</v>
      </c>
    </row>
    <row r="1344" spans="1:8" x14ac:dyDescent="0.3">
      <c r="A1344">
        <v>205122220</v>
      </c>
      <c r="B1344" s="1">
        <v>44981</v>
      </c>
      <c r="C1344" s="1">
        <v>45029</v>
      </c>
      <c r="D1344" t="s">
        <v>7</v>
      </c>
      <c r="E1344">
        <v>39</v>
      </c>
      <c r="F1344" t="s">
        <v>6</v>
      </c>
      <c r="G1344">
        <f t="shared" si="46"/>
        <v>48</v>
      </c>
      <c r="H1344" s="1" t="str">
        <f t="shared" si="47"/>
        <v>Friday</v>
      </c>
    </row>
    <row r="1345" spans="1:8" x14ac:dyDescent="0.3">
      <c r="A1345">
        <v>179578904</v>
      </c>
      <c r="B1345" s="1">
        <v>44981</v>
      </c>
      <c r="C1345" s="1">
        <v>45034</v>
      </c>
      <c r="D1345" t="s">
        <v>7</v>
      </c>
      <c r="E1345">
        <v>39</v>
      </c>
      <c r="F1345" t="s">
        <v>6</v>
      </c>
      <c r="G1345">
        <f t="shared" si="46"/>
        <v>53</v>
      </c>
      <c r="H1345" s="1" t="str">
        <f t="shared" si="47"/>
        <v>Friday</v>
      </c>
    </row>
    <row r="1346" spans="1:8" x14ac:dyDescent="0.3">
      <c r="A1346">
        <v>205120086</v>
      </c>
      <c r="B1346" s="1">
        <v>44981</v>
      </c>
      <c r="C1346" s="1">
        <v>45020</v>
      </c>
      <c r="D1346" t="s">
        <v>7</v>
      </c>
      <c r="E1346">
        <v>39</v>
      </c>
      <c r="F1346" t="s">
        <v>6</v>
      </c>
      <c r="G1346">
        <f t="shared" si="46"/>
        <v>39</v>
      </c>
      <c r="H1346" s="1" t="str">
        <f t="shared" si="47"/>
        <v>Friday</v>
      </c>
    </row>
    <row r="1347" spans="1:8" x14ac:dyDescent="0.3">
      <c r="A1347">
        <v>158097854</v>
      </c>
      <c r="B1347" s="1">
        <v>44981</v>
      </c>
      <c r="C1347" s="1">
        <v>45015</v>
      </c>
      <c r="D1347" t="s">
        <v>7</v>
      </c>
      <c r="E1347">
        <v>39</v>
      </c>
      <c r="F1347" t="s">
        <v>6</v>
      </c>
      <c r="G1347">
        <f t="shared" ref="G1347:G1410" si="48">IF(C1347="Active","Active",C1347-B1347)</f>
        <v>34</v>
      </c>
      <c r="H1347" s="1" t="str">
        <f t="shared" ref="H1347:H1410" si="49">TEXT(B1347,"dddd")</f>
        <v>Friday</v>
      </c>
    </row>
    <row r="1348" spans="1:8" x14ac:dyDescent="0.3">
      <c r="A1348">
        <v>204760569</v>
      </c>
      <c r="B1348" s="1">
        <v>44981</v>
      </c>
      <c r="C1348" s="1">
        <v>45000</v>
      </c>
      <c r="D1348" t="s">
        <v>7</v>
      </c>
      <c r="E1348">
        <v>39</v>
      </c>
      <c r="F1348" t="s">
        <v>6</v>
      </c>
      <c r="G1348">
        <f t="shared" si="48"/>
        <v>19</v>
      </c>
      <c r="H1348" s="1" t="str">
        <f t="shared" si="49"/>
        <v>Friday</v>
      </c>
    </row>
    <row r="1349" spans="1:8" x14ac:dyDescent="0.3">
      <c r="A1349">
        <v>204982432</v>
      </c>
      <c r="B1349" s="1">
        <v>44981</v>
      </c>
      <c r="C1349" s="1">
        <v>45016</v>
      </c>
      <c r="D1349" t="s">
        <v>7</v>
      </c>
      <c r="E1349">
        <v>39</v>
      </c>
      <c r="F1349" t="s">
        <v>6</v>
      </c>
      <c r="G1349">
        <f t="shared" si="48"/>
        <v>35</v>
      </c>
      <c r="H1349" s="1" t="str">
        <f t="shared" si="49"/>
        <v>Friday</v>
      </c>
    </row>
    <row r="1350" spans="1:8" x14ac:dyDescent="0.3">
      <c r="A1350">
        <v>158351648</v>
      </c>
      <c r="B1350" s="1">
        <v>44981</v>
      </c>
      <c r="C1350" s="1">
        <v>45170</v>
      </c>
      <c r="D1350" t="s">
        <v>7</v>
      </c>
      <c r="E1350">
        <v>39</v>
      </c>
      <c r="F1350" t="s">
        <v>6</v>
      </c>
      <c r="G1350">
        <f t="shared" si="48"/>
        <v>189</v>
      </c>
      <c r="H1350" s="1" t="str">
        <f t="shared" si="49"/>
        <v>Friday</v>
      </c>
    </row>
    <row r="1351" spans="1:8" x14ac:dyDescent="0.3">
      <c r="A1351">
        <v>195325206</v>
      </c>
      <c r="B1351" s="1">
        <v>44982</v>
      </c>
      <c r="C1351" t="s">
        <v>19</v>
      </c>
      <c r="D1351" t="s">
        <v>7</v>
      </c>
      <c r="E1351">
        <v>39</v>
      </c>
      <c r="F1351" t="s">
        <v>6</v>
      </c>
      <c r="G1351" t="str">
        <f t="shared" si="48"/>
        <v>Active</v>
      </c>
      <c r="H1351" s="1" t="str">
        <f t="shared" si="49"/>
        <v>Saturday</v>
      </c>
    </row>
    <row r="1352" spans="1:8" x14ac:dyDescent="0.3">
      <c r="A1352">
        <v>205102955</v>
      </c>
      <c r="B1352" s="1">
        <v>44982</v>
      </c>
      <c r="C1352" t="s">
        <v>19</v>
      </c>
      <c r="D1352" t="s">
        <v>7</v>
      </c>
      <c r="E1352">
        <v>39</v>
      </c>
      <c r="F1352" t="s">
        <v>6</v>
      </c>
      <c r="G1352" t="str">
        <f t="shared" si="48"/>
        <v>Active</v>
      </c>
      <c r="H1352" s="1" t="str">
        <f t="shared" si="49"/>
        <v>Saturday</v>
      </c>
    </row>
    <row r="1353" spans="1:8" x14ac:dyDescent="0.3">
      <c r="A1353">
        <v>188092110</v>
      </c>
      <c r="B1353" s="1">
        <v>44982</v>
      </c>
      <c r="C1353" s="1">
        <v>45025</v>
      </c>
      <c r="D1353" t="s">
        <v>7</v>
      </c>
      <c r="E1353">
        <v>39</v>
      </c>
      <c r="F1353" t="s">
        <v>6</v>
      </c>
      <c r="G1353">
        <f t="shared" si="48"/>
        <v>43</v>
      </c>
      <c r="H1353" s="1" t="str">
        <f t="shared" si="49"/>
        <v>Saturday</v>
      </c>
    </row>
    <row r="1354" spans="1:8" x14ac:dyDescent="0.3">
      <c r="A1354">
        <v>147615998</v>
      </c>
      <c r="B1354" s="1">
        <v>44982</v>
      </c>
      <c r="C1354" s="1">
        <v>45032</v>
      </c>
      <c r="D1354" t="s">
        <v>7</v>
      </c>
      <c r="E1354">
        <v>39</v>
      </c>
      <c r="F1354" t="s">
        <v>6</v>
      </c>
      <c r="G1354">
        <f t="shared" si="48"/>
        <v>50</v>
      </c>
      <c r="H1354" s="1" t="str">
        <f t="shared" si="49"/>
        <v>Saturday</v>
      </c>
    </row>
    <row r="1355" spans="1:8" x14ac:dyDescent="0.3">
      <c r="A1355">
        <v>164751472</v>
      </c>
      <c r="B1355" s="1">
        <v>44982</v>
      </c>
      <c r="C1355" s="1">
        <v>45032</v>
      </c>
      <c r="D1355" t="s">
        <v>7</v>
      </c>
      <c r="E1355">
        <v>39</v>
      </c>
      <c r="F1355" t="s">
        <v>6</v>
      </c>
      <c r="G1355">
        <f t="shared" si="48"/>
        <v>50</v>
      </c>
      <c r="H1355" s="1" t="str">
        <f t="shared" si="49"/>
        <v>Saturday</v>
      </c>
    </row>
    <row r="1356" spans="1:8" x14ac:dyDescent="0.3">
      <c r="A1356">
        <v>205215538</v>
      </c>
      <c r="B1356" s="1">
        <v>44982</v>
      </c>
      <c r="C1356" s="1">
        <v>44987</v>
      </c>
      <c r="D1356" t="s">
        <v>7</v>
      </c>
      <c r="E1356">
        <v>39</v>
      </c>
      <c r="F1356" t="s">
        <v>6</v>
      </c>
      <c r="G1356">
        <f t="shared" si="48"/>
        <v>5</v>
      </c>
      <c r="H1356" s="1" t="str">
        <f t="shared" si="49"/>
        <v>Saturday</v>
      </c>
    </row>
    <row r="1357" spans="1:8" x14ac:dyDescent="0.3">
      <c r="A1357">
        <v>162962849</v>
      </c>
      <c r="B1357" s="1">
        <v>44983</v>
      </c>
      <c r="C1357" s="1">
        <v>45051</v>
      </c>
      <c r="D1357" t="s">
        <v>7</v>
      </c>
      <c r="E1357">
        <v>39</v>
      </c>
      <c r="F1357" t="s">
        <v>6</v>
      </c>
      <c r="G1357">
        <f t="shared" si="48"/>
        <v>68</v>
      </c>
      <c r="H1357" s="1" t="str">
        <f t="shared" si="49"/>
        <v>Sunday</v>
      </c>
    </row>
    <row r="1358" spans="1:8" x14ac:dyDescent="0.3">
      <c r="A1358">
        <v>154229833</v>
      </c>
      <c r="B1358" s="1">
        <v>44983</v>
      </c>
      <c r="C1358" s="1">
        <v>44999</v>
      </c>
      <c r="D1358" t="s">
        <v>7</v>
      </c>
      <c r="E1358">
        <v>39</v>
      </c>
      <c r="F1358" t="s">
        <v>6</v>
      </c>
      <c r="G1358">
        <f t="shared" si="48"/>
        <v>16</v>
      </c>
      <c r="H1358" s="1" t="str">
        <f t="shared" si="49"/>
        <v>Sunday</v>
      </c>
    </row>
    <row r="1359" spans="1:8" x14ac:dyDescent="0.3">
      <c r="A1359">
        <v>205338718</v>
      </c>
      <c r="B1359" s="1">
        <v>44983</v>
      </c>
      <c r="C1359" s="1">
        <v>45012</v>
      </c>
      <c r="D1359" t="s">
        <v>7</v>
      </c>
      <c r="E1359">
        <v>39</v>
      </c>
      <c r="F1359" t="s">
        <v>6</v>
      </c>
      <c r="G1359">
        <f t="shared" si="48"/>
        <v>29</v>
      </c>
      <c r="H1359" s="1" t="str">
        <f t="shared" si="49"/>
        <v>Sunday</v>
      </c>
    </row>
    <row r="1360" spans="1:8" x14ac:dyDescent="0.3">
      <c r="A1360">
        <v>180798046</v>
      </c>
      <c r="B1360" s="1">
        <v>44984</v>
      </c>
      <c r="C1360" t="s">
        <v>19</v>
      </c>
      <c r="D1360" t="s">
        <v>7</v>
      </c>
      <c r="E1360">
        <v>39</v>
      </c>
      <c r="F1360" t="s">
        <v>6</v>
      </c>
      <c r="G1360" t="str">
        <f t="shared" si="48"/>
        <v>Active</v>
      </c>
      <c r="H1360" s="1" t="str">
        <f t="shared" si="49"/>
        <v>Monday</v>
      </c>
    </row>
    <row r="1361" spans="1:8" x14ac:dyDescent="0.3">
      <c r="A1361">
        <v>135298992</v>
      </c>
      <c r="B1361" s="1">
        <v>44984</v>
      </c>
      <c r="C1361" s="1">
        <v>45004</v>
      </c>
      <c r="D1361" t="s">
        <v>7</v>
      </c>
      <c r="E1361">
        <v>39</v>
      </c>
      <c r="F1361" t="s">
        <v>6</v>
      </c>
      <c r="G1361">
        <f t="shared" si="48"/>
        <v>20</v>
      </c>
      <c r="H1361" s="1" t="str">
        <f t="shared" si="49"/>
        <v>Monday</v>
      </c>
    </row>
    <row r="1362" spans="1:8" x14ac:dyDescent="0.3">
      <c r="A1362">
        <v>153141802</v>
      </c>
      <c r="B1362" s="1">
        <v>44984</v>
      </c>
      <c r="C1362" s="1">
        <v>45080</v>
      </c>
      <c r="D1362" t="s">
        <v>7</v>
      </c>
      <c r="E1362">
        <v>39</v>
      </c>
      <c r="F1362" t="s">
        <v>6</v>
      </c>
      <c r="G1362">
        <f t="shared" si="48"/>
        <v>96</v>
      </c>
      <c r="H1362" s="1" t="str">
        <f t="shared" si="49"/>
        <v>Monday</v>
      </c>
    </row>
    <row r="1363" spans="1:8" x14ac:dyDescent="0.3">
      <c r="A1363">
        <v>189149014</v>
      </c>
      <c r="B1363" s="1">
        <v>44984</v>
      </c>
      <c r="C1363" s="1">
        <v>45097</v>
      </c>
      <c r="D1363" t="s">
        <v>7</v>
      </c>
      <c r="E1363">
        <v>39</v>
      </c>
      <c r="F1363" t="s">
        <v>6</v>
      </c>
      <c r="G1363">
        <f t="shared" si="48"/>
        <v>113</v>
      </c>
      <c r="H1363" s="1" t="str">
        <f t="shared" si="49"/>
        <v>Monday</v>
      </c>
    </row>
    <row r="1364" spans="1:8" x14ac:dyDescent="0.3">
      <c r="A1364">
        <v>180438277</v>
      </c>
      <c r="B1364" s="1">
        <v>44984</v>
      </c>
      <c r="C1364" s="1">
        <v>45065</v>
      </c>
      <c r="D1364" t="s">
        <v>7</v>
      </c>
      <c r="E1364">
        <v>39</v>
      </c>
      <c r="F1364" t="s">
        <v>6</v>
      </c>
      <c r="G1364">
        <f t="shared" si="48"/>
        <v>81</v>
      </c>
      <c r="H1364" s="1" t="str">
        <f t="shared" si="49"/>
        <v>Monday</v>
      </c>
    </row>
    <row r="1365" spans="1:8" x14ac:dyDescent="0.3">
      <c r="A1365">
        <v>205471532</v>
      </c>
      <c r="B1365" s="1">
        <v>44984</v>
      </c>
      <c r="C1365" s="1">
        <v>45043</v>
      </c>
      <c r="D1365" t="s">
        <v>7</v>
      </c>
      <c r="E1365">
        <v>39</v>
      </c>
      <c r="F1365" t="s">
        <v>6</v>
      </c>
      <c r="G1365">
        <f t="shared" si="48"/>
        <v>59</v>
      </c>
      <c r="H1365" s="1" t="str">
        <f t="shared" si="49"/>
        <v>Monday</v>
      </c>
    </row>
    <row r="1366" spans="1:8" x14ac:dyDescent="0.3">
      <c r="A1366">
        <v>188065488</v>
      </c>
      <c r="B1366" s="1">
        <v>44984</v>
      </c>
      <c r="C1366" s="1">
        <v>45041</v>
      </c>
      <c r="D1366" t="s">
        <v>7</v>
      </c>
      <c r="E1366">
        <v>39</v>
      </c>
      <c r="F1366" t="s">
        <v>6</v>
      </c>
      <c r="G1366">
        <f t="shared" si="48"/>
        <v>57</v>
      </c>
      <c r="H1366" s="1" t="str">
        <f t="shared" si="49"/>
        <v>Monday</v>
      </c>
    </row>
    <row r="1367" spans="1:8" x14ac:dyDescent="0.3">
      <c r="A1367">
        <v>205387672</v>
      </c>
      <c r="B1367" s="1">
        <v>44984</v>
      </c>
      <c r="C1367" s="1">
        <v>45025</v>
      </c>
      <c r="D1367" t="s">
        <v>7</v>
      </c>
      <c r="E1367">
        <v>39</v>
      </c>
      <c r="F1367" t="s">
        <v>6</v>
      </c>
      <c r="G1367">
        <f t="shared" si="48"/>
        <v>41</v>
      </c>
      <c r="H1367" s="1" t="str">
        <f t="shared" si="49"/>
        <v>Monday</v>
      </c>
    </row>
    <row r="1368" spans="1:8" x14ac:dyDescent="0.3">
      <c r="A1368">
        <v>196251908</v>
      </c>
      <c r="B1368" s="1">
        <v>44984</v>
      </c>
      <c r="C1368" s="1">
        <v>44984</v>
      </c>
      <c r="D1368" t="s">
        <v>7</v>
      </c>
      <c r="E1368">
        <v>39</v>
      </c>
      <c r="F1368" t="s">
        <v>6</v>
      </c>
      <c r="G1368">
        <f t="shared" si="48"/>
        <v>0</v>
      </c>
      <c r="H1368" s="1" t="str">
        <f t="shared" si="49"/>
        <v>Monday</v>
      </c>
    </row>
    <row r="1369" spans="1:8" x14ac:dyDescent="0.3">
      <c r="A1369">
        <v>157884031</v>
      </c>
      <c r="B1369" s="1">
        <v>44984</v>
      </c>
      <c r="C1369" s="1">
        <v>45015</v>
      </c>
      <c r="D1369" t="s">
        <v>7</v>
      </c>
      <c r="E1369">
        <v>39</v>
      </c>
      <c r="F1369" t="s">
        <v>6</v>
      </c>
      <c r="G1369">
        <f t="shared" si="48"/>
        <v>31</v>
      </c>
      <c r="H1369" s="1" t="str">
        <f t="shared" si="49"/>
        <v>Monday</v>
      </c>
    </row>
    <row r="1370" spans="1:8" x14ac:dyDescent="0.3">
      <c r="A1370">
        <v>204571386</v>
      </c>
      <c r="B1370" s="1">
        <v>44984</v>
      </c>
      <c r="C1370" s="1">
        <v>45008</v>
      </c>
      <c r="D1370" t="s">
        <v>7</v>
      </c>
      <c r="E1370">
        <v>39</v>
      </c>
      <c r="F1370" t="s">
        <v>6</v>
      </c>
      <c r="G1370">
        <f t="shared" si="48"/>
        <v>24</v>
      </c>
      <c r="H1370" s="1" t="str">
        <f t="shared" si="49"/>
        <v>Monday</v>
      </c>
    </row>
    <row r="1371" spans="1:8" x14ac:dyDescent="0.3">
      <c r="A1371">
        <v>162909529</v>
      </c>
      <c r="B1371" s="1">
        <v>44984</v>
      </c>
      <c r="C1371" s="1">
        <v>45139</v>
      </c>
      <c r="D1371" t="s">
        <v>7</v>
      </c>
      <c r="E1371">
        <v>39</v>
      </c>
      <c r="F1371" t="s">
        <v>6</v>
      </c>
      <c r="G1371">
        <f t="shared" si="48"/>
        <v>155</v>
      </c>
      <c r="H1371" s="1" t="str">
        <f t="shared" si="49"/>
        <v>Monday</v>
      </c>
    </row>
    <row r="1372" spans="1:8" x14ac:dyDescent="0.3">
      <c r="A1372">
        <v>152043244</v>
      </c>
      <c r="B1372" s="1">
        <v>44985</v>
      </c>
      <c r="C1372" t="s">
        <v>19</v>
      </c>
      <c r="D1372" t="s">
        <v>7</v>
      </c>
      <c r="E1372">
        <v>39</v>
      </c>
      <c r="F1372" t="s">
        <v>6</v>
      </c>
      <c r="G1372" t="str">
        <f t="shared" si="48"/>
        <v>Active</v>
      </c>
      <c r="H1372" s="1" t="str">
        <f t="shared" si="49"/>
        <v>Tuesday</v>
      </c>
    </row>
    <row r="1373" spans="1:8" x14ac:dyDescent="0.3">
      <c r="A1373">
        <v>204567111</v>
      </c>
      <c r="B1373" s="1">
        <v>44985</v>
      </c>
      <c r="C1373" t="s">
        <v>19</v>
      </c>
      <c r="D1373" t="s">
        <v>7</v>
      </c>
      <c r="E1373">
        <v>39</v>
      </c>
      <c r="F1373" t="s">
        <v>6</v>
      </c>
      <c r="G1373" t="str">
        <f t="shared" si="48"/>
        <v>Active</v>
      </c>
      <c r="H1373" s="1" t="str">
        <f t="shared" si="49"/>
        <v>Tuesday</v>
      </c>
    </row>
    <row r="1374" spans="1:8" x14ac:dyDescent="0.3">
      <c r="A1374">
        <v>205487880</v>
      </c>
      <c r="B1374" s="1">
        <v>44985</v>
      </c>
      <c r="C1374" t="s">
        <v>19</v>
      </c>
      <c r="D1374" t="s">
        <v>7</v>
      </c>
      <c r="E1374">
        <v>39</v>
      </c>
      <c r="F1374" t="s">
        <v>6</v>
      </c>
      <c r="G1374" t="str">
        <f t="shared" si="48"/>
        <v>Active</v>
      </c>
      <c r="H1374" s="1" t="str">
        <f t="shared" si="49"/>
        <v>Tuesday</v>
      </c>
    </row>
    <row r="1375" spans="1:8" x14ac:dyDescent="0.3">
      <c r="A1375">
        <v>205489808</v>
      </c>
      <c r="B1375" s="1">
        <v>44985</v>
      </c>
      <c r="C1375" t="s">
        <v>19</v>
      </c>
      <c r="D1375" t="s">
        <v>7</v>
      </c>
      <c r="E1375">
        <v>39</v>
      </c>
      <c r="F1375" t="s">
        <v>6</v>
      </c>
      <c r="G1375" t="str">
        <f t="shared" si="48"/>
        <v>Active</v>
      </c>
      <c r="H1375" s="1" t="str">
        <f t="shared" si="49"/>
        <v>Tuesday</v>
      </c>
    </row>
    <row r="1376" spans="1:8" x14ac:dyDescent="0.3">
      <c r="A1376">
        <v>125828506</v>
      </c>
      <c r="B1376" s="1">
        <v>44985</v>
      </c>
      <c r="C1376" s="1">
        <v>44986</v>
      </c>
      <c r="D1376" t="s">
        <v>7</v>
      </c>
      <c r="E1376">
        <v>39</v>
      </c>
      <c r="F1376" t="s">
        <v>6</v>
      </c>
      <c r="G1376">
        <f t="shared" si="48"/>
        <v>1</v>
      </c>
      <c r="H1376" s="1" t="str">
        <f t="shared" si="49"/>
        <v>Tuesday</v>
      </c>
    </row>
    <row r="1377" spans="1:8" x14ac:dyDescent="0.3">
      <c r="A1377">
        <v>154701159</v>
      </c>
      <c r="B1377" s="1">
        <v>44985</v>
      </c>
      <c r="C1377" s="1">
        <v>45012</v>
      </c>
      <c r="D1377" t="s">
        <v>7</v>
      </c>
      <c r="E1377">
        <v>39</v>
      </c>
      <c r="F1377" t="s">
        <v>6</v>
      </c>
      <c r="G1377">
        <f t="shared" si="48"/>
        <v>27</v>
      </c>
      <c r="H1377" s="1" t="str">
        <f t="shared" si="49"/>
        <v>Tuesday</v>
      </c>
    </row>
    <row r="1378" spans="1:8" x14ac:dyDescent="0.3">
      <c r="A1378">
        <v>204865394</v>
      </c>
      <c r="B1378" s="1">
        <v>44985</v>
      </c>
      <c r="C1378" s="1">
        <v>45020</v>
      </c>
      <c r="D1378" t="s">
        <v>7</v>
      </c>
      <c r="E1378">
        <v>39</v>
      </c>
      <c r="F1378" t="s">
        <v>6</v>
      </c>
      <c r="G1378">
        <f t="shared" si="48"/>
        <v>35</v>
      </c>
      <c r="H1378" s="1" t="str">
        <f t="shared" si="49"/>
        <v>Tuesday</v>
      </c>
    </row>
    <row r="1379" spans="1:8" x14ac:dyDescent="0.3">
      <c r="A1379">
        <v>205044276</v>
      </c>
      <c r="B1379" s="1">
        <v>44985</v>
      </c>
      <c r="C1379" s="1">
        <v>45043</v>
      </c>
      <c r="D1379" t="s">
        <v>7</v>
      </c>
      <c r="E1379">
        <v>39</v>
      </c>
      <c r="F1379" t="s">
        <v>6</v>
      </c>
      <c r="G1379">
        <f t="shared" si="48"/>
        <v>58</v>
      </c>
      <c r="H1379" s="1" t="str">
        <f t="shared" si="49"/>
        <v>Tuesday</v>
      </c>
    </row>
    <row r="1380" spans="1:8" x14ac:dyDescent="0.3">
      <c r="A1380">
        <v>194873337</v>
      </c>
      <c r="B1380" s="1">
        <v>44985</v>
      </c>
      <c r="C1380" s="1">
        <v>45034</v>
      </c>
      <c r="D1380" t="s">
        <v>7</v>
      </c>
      <c r="E1380">
        <v>39</v>
      </c>
      <c r="F1380" t="s">
        <v>6</v>
      </c>
      <c r="G1380">
        <f t="shared" si="48"/>
        <v>49</v>
      </c>
      <c r="H1380" s="1" t="str">
        <f t="shared" si="49"/>
        <v>Tuesday</v>
      </c>
    </row>
    <row r="1381" spans="1:8" x14ac:dyDescent="0.3">
      <c r="A1381">
        <v>205492734</v>
      </c>
      <c r="B1381" s="1">
        <v>44985</v>
      </c>
      <c r="C1381" s="1">
        <v>45007</v>
      </c>
      <c r="D1381" t="s">
        <v>7</v>
      </c>
      <c r="E1381">
        <v>39</v>
      </c>
      <c r="F1381" t="s">
        <v>6</v>
      </c>
      <c r="G1381">
        <f t="shared" si="48"/>
        <v>22</v>
      </c>
      <c r="H1381" s="1" t="str">
        <f t="shared" si="49"/>
        <v>Tuesday</v>
      </c>
    </row>
    <row r="1382" spans="1:8" x14ac:dyDescent="0.3">
      <c r="A1382">
        <v>205548739</v>
      </c>
      <c r="B1382" s="1">
        <v>44986</v>
      </c>
      <c r="C1382" t="s">
        <v>19</v>
      </c>
      <c r="D1382" t="s">
        <v>7</v>
      </c>
      <c r="E1382">
        <v>39</v>
      </c>
      <c r="F1382" t="s">
        <v>6</v>
      </c>
      <c r="G1382" t="str">
        <f t="shared" si="48"/>
        <v>Active</v>
      </c>
      <c r="H1382" s="1" t="str">
        <f t="shared" si="49"/>
        <v>Wednesday</v>
      </c>
    </row>
    <row r="1383" spans="1:8" x14ac:dyDescent="0.3">
      <c r="A1383">
        <v>202228372</v>
      </c>
      <c r="B1383" s="1">
        <v>44986</v>
      </c>
      <c r="C1383" t="s">
        <v>19</v>
      </c>
      <c r="D1383" t="s">
        <v>7</v>
      </c>
      <c r="E1383">
        <v>39</v>
      </c>
      <c r="F1383" t="s">
        <v>6</v>
      </c>
      <c r="G1383" t="str">
        <f t="shared" si="48"/>
        <v>Active</v>
      </c>
      <c r="H1383" s="1" t="str">
        <f t="shared" si="49"/>
        <v>Wednesday</v>
      </c>
    </row>
    <row r="1384" spans="1:8" x14ac:dyDescent="0.3">
      <c r="A1384">
        <v>205034931</v>
      </c>
      <c r="B1384" s="1">
        <v>44986</v>
      </c>
      <c r="C1384" s="1">
        <v>44987</v>
      </c>
      <c r="D1384" t="s">
        <v>8</v>
      </c>
      <c r="E1384">
        <v>39</v>
      </c>
      <c r="F1384" t="s">
        <v>6</v>
      </c>
      <c r="G1384">
        <f t="shared" si="48"/>
        <v>1</v>
      </c>
      <c r="H1384" s="1" t="str">
        <f t="shared" si="49"/>
        <v>Wednesday</v>
      </c>
    </row>
    <row r="1385" spans="1:8" x14ac:dyDescent="0.3">
      <c r="A1385">
        <v>205129178</v>
      </c>
      <c r="B1385" s="1">
        <v>44986</v>
      </c>
      <c r="C1385" s="1">
        <v>45098</v>
      </c>
      <c r="D1385" t="s">
        <v>7</v>
      </c>
      <c r="E1385">
        <v>39</v>
      </c>
      <c r="F1385" t="s">
        <v>6</v>
      </c>
      <c r="G1385">
        <f t="shared" si="48"/>
        <v>112</v>
      </c>
      <c r="H1385" s="1" t="str">
        <f t="shared" si="49"/>
        <v>Wednesday</v>
      </c>
    </row>
    <row r="1386" spans="1:8" x14ac:dyDescent="0.3">
      <c r="A1386">
        <v>160114911</v>
      </c>
      <c r="B1386" s="1">
        <v>44986</v>
      </c>
      <c r="C1386" s="1">
        <v>45024</v>
      </c>
      <c r="D1386" t="s">
        <v>7</v>
      </c>
      <c r="E1386">
        <v>39</v>
      </c>
      <c r="F1386" t="s">
        <v>6</v>
      </c>
      <c r="G1386">
        <f t="shared" si="48"/>
        <v>38</v>
      </c>
      <c r="H1386" s="1" t="str">
        <f t="shared" si="49"/>
        <v>Wednesday</v>
      </c>
    </row>
    <row r="1387" spans="1:8" x14ac:dyDescent="0.3">
      <c r="A1387">
        <v>168200039</v>
      </c>
      <c r="B1387" s="1">
        <v>44986</v>
      </c>
      <c r="C1387" s="1">
        <v>45024</v>
      </c>
      <c r="D1387" t="s">
        <v>7</v>
      </c>
      <c r="E1387">
        <v>39</v>
      </c>
      <c r="F1387" t="s">
        <v>6</v>
      </c>
      <c r="G1387">
        <f t="shared" si="48"/>
        <v>38</v>
      </c>
      <c r="H1387" s="1" t="str">
        <f t="shared" si="49"/>
        <v>Wednesday</v>
      </c>
    </row>
    <row r="1388" spans="1:8" x14ac:dyDescent="0.3">
      <c r="A1388">
        <v>190622411</v>
      </c>
      <c r="B1388" s="1">
        <v>44986</v>
      </c>
      <c r="C1388" s="1">
        <v>45020</v>
      </c>
      <c r="D1388" t="s">
        <v>7</v>
      </c>
      <c r="E1388">
        <v>39</v>
      </c>
      <c r="F1388" t="s">
        <v>6</v>
      </c>
      <c r="G1388">
        <f t="shared" si="48"/>
        <v>34</v>
      </c>
      <c r="H1388" s="1" t="str">
        <f t="shared" si="49"/>
        <v>Wednesday</v>
      </c>
    </row>
    <row r="1389" spans="1:8" x14ac:dyDescent="0.3">
      <c r="A1389">
        <v>204528713</v>
      </c>
      <c r="B1389" s="1">
        <v>44986</v>
      </c>
      <c r="C1389" s="1">
        <v>45034</v>
      </c>
      <c r="D1389" t="s">
        <v>7</v>
      </c>
      <c r="E1389">
        <v>39</v>
      </c>
      <c r="F1389" t="s">
        <v>6</v>
      </c>
      <c r="G1389">
        <f t="shared" si="48"/>
        <v>48</v>
      </c>
      <c r="H1389" s="1" t="str">
        <f t="shared" si="49"/>
        <v>Wednesday</v>
      </c>
    </row>
    <row r="1390" spans="1:8" x14ac:dyDescent="0.3">
      <c r="A1390">
        <v>205573796</v>
      </c>
      <c r="B1390" s="1">
        <v>44986</v>
      </c>
      <c r="C1390" s="1">
        <v>45029</v>
      </c>
      <c r="D1390" t="s">
        <v>7</v>
      </c>
      <c r="E1390">
        <v>39</v>
      </c>
      <c r="F1390" t="s">
        <v>6</v>
      </c>
      <c r="G1390">
        <f t="shared" si="48"/>
        <v>43</v>
      </c>
      <c r="H1390" s="1" t="str">
        <f t="shared" si="49"/>
        <v>Wednesday</v>
      </c>
    </row>
    <row r="1391" spans="1:8" x14ac:dyDescent="0.3">
      <c r="A1391">
        <v>182009986</v>
      </c>
      <c r="B1391" s="1">
        <v>44986</v>
      </c>
      <c r="C1391" s="1">
        <v>45014</v>
      </c>
      <c r="D1391" t="s">
        <v>7</v>
      </c>
      <c r="E1391">
        <v>39</v>
      </c>
      <c r="F1391" t="s">
        <v>6</v>
      </c>
      <c r="G1391">
        <f t="shared" si="48"/>
        <v>28</v>
      </c>
      <c r="H1391" s="1" t="str">
        <f t="shared" si="49"/>
        <v>Wednesday</v>
      </c>
    </row>
    <row r="1392" spans="1:8" x14ac:dyDescent="0.3">
      <c r="A1392">
        <v>205606022</v>
      </c>
      <c r="B1392" s="1">
        <v>44986</v>
      </c>
      <c r="C1392" s="1">
        <v>45006</v>
      </c>
      <c r="D1392" t="s">
        <v>7</v>
      </c>
      <c r="E1392">
        <v>39</v>
      </c>
      <c r="F1392" t="s">
        <v>6</v>
      </c>
      <c r="G1392">
        <f t="shared" si="48"/>
        <v>20</v>
      </c>
      <c r="H1392" s="1" t="str">
        <f t="shared" si="49"/>
        <v>Wednesday</v>
      </c>
    </row>
    <row r="1393" spans="1:8" x14ac:dyDescent="0.3">
      <c r="A1393">
        <v>205580089</v>
      </c>
      <c r="B1393" s="1">
        <v>44986</v>
      </c>
      <c r="C1393" s="1">
        <v>45015</v>
      </c>
      <c r="D1393" t="s">
        <v>7</v>
      </c>
      <c r="E1393">
        <v>39</v>
      </c>
      <c r="F1393" t="s">
        <v>6</v>
      </c>
      <c r="G1393">
        <f t="shared" si="48"/>
        <v>29</v>
      </c>
      <c r="H1393" s="1" t="str">
        <f t="shared" si="49"/>
        <v>Wednesday</v>
      </c>
    </row>
    <row r="1394" spans="1:8" x14ac:dyDescent="0.3">
      <c r="A1394">
        <v>192949504</v>
      </c>
      <c r="B1394" s="1">
        <v>44986</v>
      </c>
      <c r="C1394" s="1">
        <v>45013</v>
      </c>
      <c r="D1394" t="s">
        <v>7</v>
      </c>
      <c r="E1394">
        <v>39</v>
      </c>
      <c r="F1394" t="s">
        <v>6</v>
      </c>
      <c r="G1394">
        <f t="shared" si="48"/>
        <v>27</v>
      </c>
      <c r="H1394" s="1" t="str">
        <f t="shared" si="49"/>
        <v>Wednesday</v>
      </c>
    </row>
    <row r="1395" spans="1:8" x14ac:dyDescent="0.3">
      <c r="A1395">
        <v>205658636</v>
      </c>
      <c r="B1395" s="1">
        <v>44987</v>
      </c>
      <c r="C1395" t="s">
        <v>19</v>
      </c>
      <c r="D1395" t="s">
        <v>7</v>
      </c>
      <c r="E1395">
        <v>39</v>
      </c>
      <c r="F1395" t="s">
        <v>6</v>
      </c>
      <c r="G1395" t="str">
        <f t="shared" si="48"/>
        <v>Active</v>
      </c>
      <c r="H1395" s="1" t="str">
        <f t="shared" si="49"/>
        <v>Thursday</v>
      </c>
    </row>
    <row r="1396" spans="1:8" x14ac:dyDescent="0.3">
      <c r="A1396">
        <v>205615727</v>
      </c>
      <c r="B1396" s="1">
        <v>44987</v>
      </c>
      <c r="C1396" s="1">
        <v>45103</v>
      </c>
      <c r="D1396" t="s">
        <v>7</v>
      </c>
      <c r="E1396">
        <v>39</v>
      </c>
      <c r="F1396" t="s">
        <v>6</v>
      </c>
      <c r="G1396">
        <f t="shared" si="48"/>
        <v>116</v>
      </c>
      <c r="H1396" s="1" t="str">
        <f t="shared" si="49"/>
        <v>Thursday</v>
      </c>
    </row>
    <row r="1397" spans="1:8" x14ac:dyDescent="0.3">
      <c r="A1397">
        <v>205448424</v>
      </c>
      <c r="B1397" s="1">
        <v>44987</v>
      </c>
      <c r="C1397" s="1">
        <v>45076</v>
      </c>
      <c r="D1397" t="s">
        <v>7</v>
      </c>
      <c r="E1397">
        <v>39</v>
      </c>
      <c r="F1397" t="s">
        <v>6</v>
      </c>
      <c r="G1397">
        <f t="shared" si="48"/>
        <v>89</v>
      </c>
      <c r="H1397" s="1" t="str">
        <f t="shared" si="49"/>
        <v>Thursday</v>
      </c>
    </row>
    <row r="1398" spans="1:8" x14ac:dyDescent="0.3">
      <c r="A1398">
        <v>196009696</v>
      </c>
      <c r="B1398" s="1">
        <v>44987</v>
      </c>
      <c r="C1398" s="1">
        <v>45048</v>
      </c>
      <c r="D1398" t="s">
        <v>7</v>
      </c>
      <c r="E1398">
        <v>39</v>
      </c>
      <c r="F1398" t="s">
        <v>6</v>
      </c>
      <c r="G1398">
        <f t="shared" si="48"/>
        <v>61</v>
      </c>
      <c r="H1398" s="1" t="str">
        <f t="shared" si="49"/>
        <v>Thursday</v>
      </c>
    </row>
    <row r="1399" spans="1:8" x14ac:dyDescent="0.3">
      <c r="A1399">
        <v>205026372</v>
      </c>
      <c r="B1399" s="1">
        <v>44987</v>
      </c>
      <c r="C1399" s="1">
        <v>45048</v>
      </c>
      <c r="D1399" t="s">
        <v>7</v>
      </c>
      <c r="E1399">
        <v>39</v>
      </c>
      <c r="F1399" t="s">
        <v>6</v>
      </c>
      <c r="G1399">
        <f t="shared" si="48"/>
        <v>61</v>
      </c>
      <c r="H1399" s="1" t="str">
        <f t="shared" si="49"/>
        <v>Thursday</v>
      </c>
    </row>
    <row r="1400" spans="1:8" x14ac:dyDescent="0.3">
      <c r="A1400">
        <v>167165752</v>
      </c>
      <c r="B1400" s="1">
        <v>44987</v>
      </c>
      <c r="C1400" s="1">
        <v>45076</v>
      </c>
      <c r="D1400" t="s">
        <v>7</v>
      </c>
      <c r="E1400">
        <v>39</v>
      </c>
      <c r="F1400" t="s">
        <v>6</v>
      </c>
      <c r="G1400">
        <f t="shared" si="48"/>
        <v>89</v>
      </c>
      <c r="H1400" s="1" t="str">
        <f t="shared" si="49"/>
        <v>Thursday</v>
      </c>
    </row>
    <row r="1401" spans="1:8" x14ac:dyDescent="0.3">
      <c r="A1401">
        <v>205664425</v>
      </c>
      <c r="B1401" s="1">
        <v>44987</v>
      </c>
      <c r="C1401" s="1">
        <v>45041</v>
      </c>
      <c r="D1401" t="s">
        <v>7</v>
      </c>
      <c r="E1401">
        <v>39</v>
      </c>
      <c r="F1401" t="s">
        <v>6</v>
      </c>
      <c r="G1401">
        <f t="shared" si="48"/>
        <v>54</v>
      </c>
      <c r="H1401" s="1" t="str">
        <f t="shared" si="49"/>
        <v>Thursday</v>
      </c>
    </row>
    <row r="1402" spans="1:8" x14ac:dyDescent="0.3">
      <c r="A1402">
        <v>199179611</v>
      </c>
      <c r="B1402" s="1">
        <v>44987</v>
      </c>
      <c r="C1402" s="1">
        <v>45039</v>
      </c>
      <c r="D1402" t="s">
        <v>7</v>
      </c>
      <c r="E1402">
        <v>39</v>
      </c>
      <c r="F1402" t="s">
        <v>6</v>
      </c>
      <c r="G1402">
        <f t="shared" si="48"/>
        <v>52</v>
      </c>
      <c r="H1402" s="1" t="str">
        <f t="shared" si="49"/>
        <v>Thursday</v>
      </c>
    </row>
    <row r="1403" spans="1:8" x14ac:dyDescent="0.3">
      <c r="A1403">
        <v>205660933</v>
      </c>
      <c r="B1403" s="1">
        <v>44987</v>
      </c>
      <c r="C1403" s="1">
        <v>45018</v>
      </c>
      <c r="D1403" t="s">
        <v>7</v>
      </c>
      <c r="E1403">
        <v>39</v>
      </c>
      <c r="F1403" t="s">
        <v>6</v>
      </c>
      <c r="G1403">
        <f t="shared" si="48"/>
        <v>31</v>
      </c>
      <c r="H1403" s="1" t="str">
        <f t="shared" si="49"/>
        <v>Thursday</v>
      </c>
    </row>
    <row r="1404" spans="1:8" x14ac:dyDescent="0.3">
      <c r="A1404">
        <v>205660195</v>
      </c>
      <c r="B1404" s="1">
        <v>44987</v>
      </c>
      <c r="C1404" s="1">
        <v>45019</v>
      </c>
      <c r="D1404" t="s">
        <v>7</v>
      </c>
      <c r="E1404">
        <v>39</v>
      </c>
      <c r="F1404" t="s">
        <v>6</v>
      </c>
      <c r="G1404">
        <f t="shared" si="48"/>
        <v>32</v>
      </c>
      <c r="H1404" s="1" t="str">
        <f t="shared" si="49"/>
        <v>Thursday</v>
      </c>
    </row>
    <row r="1405" spans="1:8" x14ac:dyDescent="0.3">
      <c r="A1405">
        <v>168598418</v>
      </c>
      <c r="B1405" s="1">
        <v>44987</v>
      </c>
      <c r="C1405" s="1">
        <v>45038</v>
      </c>
      <c r="D1405" t="s">
        <v>7</v>
      </c>
      <c r="E1405">
        <v>39</v>
      </c>
      <c r="F1405" t="s">
        <v>6</v>
      </c>
      <c r="G1405">
        <f t="shared" si="48"/>
        <v>51</v>
      </c>
      <c r="H1405" s="1" t="str">
        <f t="shared" si="49"/>
        <v>Thursday</v>
      </c>
    </row>
    <row r="1406" spans="1:8" x14ac:dyDescent="0.3">
      <c r="A1406">
        <v>161182367</v>
      </c>
      <c r="B1406" s="1">
        <v>44987</v>
      </c>
      <c r="C1406" s="1">
        <v>45025</v>
      </c>
      <c r="D1406" t="s">
        <v>7</v>
      </c>
      <c r="E1406">
        <v>39</v>
      </c>
      <c r="F1406" t="s">
        <v>6</v>
      </c>
      <c r="G1406">
        <f t="shared" si="48"/>
        <v>38</v>
      </c>
      <c r="H1406" s="1" t="str">
        <f t="shared" si="49"/>
        <v>Thursday</v>
      </c>
    </row>
    <row r="1407" spans="1:8" x14ac:dyDescent="0.3">
      <c r="A1407">
        <v>156943008</v>
      </c>
      <c r="B1407" s="1">
        <v>44987</v>
      </c>
      <c r="C1407" s="1">
        <v>44987</v>
      </c>
      <c r="D1407" t="s">
        <v>7</v>
      </c>
      <c r="E1407">
        <v>39</v>
      </c>
      <c r="F1407" t="s">
        <v>6</v>
      </c>
      <c r="G1407">
        <f t="shared" si="48"/>
        <v>0</v>
      </c>
      <c r="H1407" s="1" t="str">
        <f t="shared" si="49"/>
        <v>Thursday</v>
      </c>
    </row>
    <row r="1408" spans="1:8" x14ac:dyDescent="0.3">
      <c r="A1408">
        <v>190657026</v>
      </c>
      <c r="B1408" s="1">
        <v>44987</v>
      </c>
      <c r="C1408" s="1">
        <v>45014</v>
      </c>
      <c r="D1408" t="s">
        <v>7</v>
      </c>
      <c r="E1408">
        <v>39</v>
      </c>
      <c r="F1408" t="s">
        <v>6</v>
      </c>
      <c r="G1408">
        <f t="shared" si="48"/>
        <v>27</v>
      </c>
      <c r="H1408" s="1" t="str">
        <f t="shared" si="49"/>
        <v>Thursday</v>
      </c>
    </row>
    <row r="1409" spans="1:8" x14ac:dyDescent="0.3">
      <c r="A1409">
        <v>205700946</v>
      </c>
      <c r="B1409" s="1">
        <v>44988</v>
      </c>
      <c r="C1409" t="s">
        <v>19</v>
      </c>
      <c r="D1409" t="s">
        <v>7</v>
      </c>
      <c r="E1409">
        <v>39</v>
      </c>
      <c r="F1409" t="s">
        <v>6</v>
      </c>
      <c r="G1409" t="str">
        <f t="shared" si="48"/>
        <v>Active</v>
      </c>
      <c r="H1409" s="1" t="str">
        <f t="shared" si="49"/>
        <v>Friday</v>
      </c>
    </row>
    <row r="1410" spans="1:8" x14ac:dyDescent="0.3">
      <c r="A1410">
        <v>165807144</v>
      </c>
      <c r="B1410" s="1">
        <v>44988</v>
      </c>
      <c r="C1410" t="s">
        <v>19</v>
      </c>
      <c r="D1410" t="s">
        <v>7</v>
      </c>
      <c r="E1410">
        <v>39</v>
      </c>
      <c r="F1410" t="s">
        <v>6</v>
      </c>
      <c r="G1410" t="str">
        <f t="shared" si="48"/>
        <v>Active</v>
      </c>
      <c r="H1410" s="1" t="str">
        <f t="shared" si="49"/>
        <v>Friday</v>
      </c>
    </row>
    <row r="1411" spans="1:8" x14ac:dyDescent="0.3">
      <c r="A1411">
        <v>125635419</v>
      </c>
      <c r="B1411" s="1">
        <v>44988</v>
      </c>
      <c r="C1411" s="1">
        <v>44989</v>
      </c>
      <c r="D1411" t="s">
        <v>7</v>
      </c>
      <c r="E1411">
        <v>39</v>
      </c>
      <c r="F1411" t="s">
        <v>6</v>
      </c>
      <c r="G1411">
        <f t="shared" ref="G1411:G1474" si="50">IF(C1411="Active","Active",C1411-B1411)</f>
        <v>1</v>
      </c>
      <c r="H1411" s="1" t="str">
        <f t="shared" ref="H1411:H1474" si="51">TEXT(B1411,"dddd")</f>
        <v>Friday</v>
      </c>
    </row>
    <row r="1412" spans="1:8" x14ac:dyDescent="0.3">
      <c r="A1412">
        <v>205707486</v>
      </c>
      <c r="B1412" s="1">
        <v>44988</v>
      </c>
      <c r="C1412" s="1">
        <v>44989</v>
      </c>
      <c r="D1412" t="s">
        <v>8</v>
      </c>
      <c r="E1412">
        <v>39</v>
      </c>
      <c r="F1412" t="s">
        <v>6</v>
      </c>
      <c r="G1412">
        <f t="shared" si="50"/>
        <v>1</v>
      </c>
      <c r="H1412" s="1" t="str">
        <f t="shared" si="51"/>
        <v>Friday</v>
      </c>
    </row>
    <row r="1413" spans="1:8" x14ac:dyDescent="0.3">
      <c r="A1413">
        <v>150663700</v>
      </c>
      <c r="B1413" s="1">
        <v>44988</v>
      </c>
      <c r="C1413" s="1">
        <v>44989</v>
      </c>
      <c r="D1413" t="s">
        <v>8</v>
      </c>
      <c r="E1413">
        <v>39</v>
      </c>
      <c r="F1413" t="s">
        <v>6</v>
      </c>
      <c r="G1413">
        <f t="shared" si="50"/>
        <v>1</v>
      </c>
      <c r="H1413" s="1" t="str">
        <f t="shared" si="51"/>
        <v>Friday</v>
      </c>
    </row>
    <row r="1414" spans="1:8" x14ac:dyDescent="0.3">
      <c r="A1414">
        <v>149157588</v>
      </c>
      <c r="B1414" s="1">
        <v>44988</v>
      </c>
      <c r="C1414" s="1">
        <v>45056</v>
      </c>
      <c r="D1414" t="s">
        <v>7</v>
      </c>
      <c r="E1414">
        <v>39</v>
      </c>
      <c r="F1414" t="s">
        <v>6</v>
      </c>
      <c r="G1414">
        <f t="shared" si="50"/>
        <v>68</v>
      </c>
      <c r="H1414" s="1" t="str">
        <f t="shared" si="51"/>
        <v>Friday</v>
      </c>
    </row>
    <row r="1415" spans="1:8" x14ac:dyDescent="0.3">
      <c r="A1415">
        <v>205686881</v>
      </c>
      <c r="B1415" s="1">
        <v>44988</v>
      </c>
      <c r="C1415" s="1">
        <v>45087</v>
      </c>
      <c r="D1415" t="s">
        <v>7</v>
      </c>
      <c r="E1415">
        <v>39</v>
      </c>
      <c r="F1415" t="s">
        <v>6</v>
      </c>
      <c r="G1415">
        <f t="shared" si="50"/>
        <v>99</v>
      </c>
      <c r="H1415" s="1" t="str">
        <f t="shared" si="51"/>
        <v>Friday</v>
      </c>
    </row>
    <row r="1416" spans="1:8" x14ac:dyDescent="0.3">
      <c r="A1416">
        <v>138347540</v>
      </c>
      <c r="B1416" s="1">
        <v>44988</v>
      </c>
      <c r="C1416" s="1">
        <v>45054</v>
      </c>
      <c r="D1416" t="s">
        <v>7</v>
      </c>
      <c r="E1416">
        <v>39</v>
      </c>
      <c r="F1416" t="s">
        <v>6</v>
      </c>
      <c r="G1416">
        <f t="shared" si="50"/>
        <v>66</v>
      </c>
      <c r="H1416" s="1" t="str">
        <f t="shared" si="51"/>
        <v>Friday</v>
      </c>
    </row>
    <row r="1417" spans="1:8" x14ac:dyDescent="0.3">
      <c r="A1417">
        <v>154344817</v>
      </c>
      <c r="B1417" s="1">
        <v>44988</v>
      </c>
      <c r="C1417" s="1">
        <v>45036</v>
      </c>
      <c r="D1417" t="s">
        <v>7</v>
      </c>
      <c r="E1417">
        <v>39</v>
      </c>
      <c r="F1417" t="s">
        <v>6</v>
      </c>
      <c r="G1417">
        <f t="shared" si="50"/>
        <v>48</v>
      </c>
      <c r="H1417" s="1" t="str">
        <f t="shared" si="51"/>
        <v>Friday</v>
      </c>
    </row>
    <row r="1418" spans="1:8" x14ac:dyDescent="0.3">
      <c r="A1418">
        <v>205530810</v>
      </c>
      <c r="B1418" s="1">
        <v>44988</v>
      </c>
      <c r="C1418" s="1">
        <v>45026</v>
      </c>
      <c r="D1418" t="s">
        <v>7</v>
      </c>
      <c r="E1418">
        <v>39</v>
      </c>
      <c r="F1418" t="s">
        <v>6</v>
      </c>
      <c r="G1418">
        <f t="shared" si="50"/>
        <v>38</v>
      </c>
      <c r="H1418" s="1" t="str">
        <f t="shared" si="51"/>
        <v>Friday</v>
      </c>
    </row>
    <row r="1419" spans="1:8" x14ac:dyDescent="0.3">
      <c r="A1419">
        <v>205731473</v>
      </c>
      <c r="B1419" s="1">
        <v>44988</v>
      </c>
      <c r="C1419" s="1">
        <v>45004</v>
      </c>
      <c r="D1419" t="s">
        <v>7</v>
      </c>
      <c r="E1419">
        <v>39</v>
      </c>
      <c r="F1419" t="s">
        <v>6</v>
      </c>
      <c r="G1419">
        <f t="shared" si="50"/>
        <v>16</v>
      </c>
      <c r="H1419" s="1" t="str">
        <f t="shared" si="51"/>
        <v>Friday</v>
      </c>
    </row>
    <row r="1420" spans="1:8" x14ac:dyDescent="0.3">
      <c r="A1420">
        <v>205692510</v>
      </c>
      <c r="B1420" s="1">
        <v>44989</v>
      </c>
      <c r="C1420" t="s">
        <v>19</v>
      </c>
      <c r="D1420" t="s">
        <v>7</v>
      </c>
      <c r="E1420">
        <v>39</v>
      </c>
      <c r="F1420" t="s">
        <v>6</v>
      </c>
      <c r="G1420" t="str">
        <f t="shared" si="50"/>
        <v>Active</v>
      </c>
      <c r="H1420" s="1" t="str">
        <f t="shared" si="51"/>
        <v>Saturday</v>
      </c>
    </row>
    <row r="1421" spans="1:8" x14ac:dyDescent="0.3">
      <c r="A1421">
        <v>191670525</v>
      </c>
      <c r="B1421" s="1">
        <v>44989</v>
      </c>
      <c r="C1421" s="1">
        <v>45058</v>
      </c>
      <c r="D1421" t="s">
        <v>7</v>
      </c>
      <c r="E1421">
        <v>39</v>
      </c>
      <c r="F1421" t="s">
        <v>6</v>
      </c>
      <c r="G1421">
        <f t="shared" si="50"/>
        <v>69</v>
      </c>
      <c r="H1421" s="1" t="str">
        <f t="shared" si="51"/>
        <v>Saturday</v>
      </c>
    </row>
    <row r="1422" spans="1:8" x14ac:dyDescent="0.3">
      <c r="A1422">
        <v>205492489</v>
      </c>
      <c r="B1422" s="1">
        <v>44989</v>
      </c>
      <c r="C1422" s="1">
        <v>45057</v>
      </c>
      <c r="D1422" t="s">
        <v>7</v>
      </c>
      <c r="E1422">
        <v>39</v>
      </c>
      <c r="F1422" t="s">
        <v>6</v>
      </c>
      <c r="G1422">
        <f t="shared" si="50"/>
        <v>68</v>
      </c>
      <c r="H1422" s="1" t="str">
        <f t="shared" si="51"/>
        <v>Saturday</v>
      </c>
    </row>
    <row r="1423" spans="1:8" x14ac:dyDescent="0.3">
      <c r="A1423">
        <v>205026942</v>
      </c>
      <c r="B1423" s="1">
        <v>44989</v>
      </c>
      <c r="C1423" s="1">
        <v>45050</v>
      </c>
      <c r="D1423" t="s">
        <v>7</v>
      </c>
      <c r="E1423">
        <v>39</v>
      </c>
      <c r="F1423" t="s">
        <v>6</v>
      </c>
      <c r="G1423">
        <f t="shared" si="50"/>
        <v>61</v>
      </c>
      <c r="H1423" s="1" t="str">
        <f t="shared" si="51"/>
        <v>Saturday</v>
      </c>
    </row>
    <row r="1424" spans="1:8" x14ac:dyDescent="0.3">
      <c r="A1424">
        <v>205768824</v>
      </c>
      <c r="B1424" s="1">
        <v>44989</v>
      </c>
      <c r="C1424" s="1">
        <v>45017</v>
      </c>
      <c r="D1424" t="s">
        <v>7</v>
      </c>
      <c r="E1424">
        <v>39</v>
      </c>
      <c r="F1424" t="s">
        <v>6</v>
      </c>
      <c r="G1424">
        <f t="shared" si="50"/>
        <v>28</v>
      </c>
      <c r="H1424" s="1" t="str">
        <f t="shared" si="51"/>
        <v>Saturday</v>
      </c>
    </row>
    <row r="1425" spans="1:8" x14ac:dyDescent="0.3">
      <c r="A1425">
        <v>160824884</v>
      </c>
      <c r="B1425" s="1">
        <v>44989</v>
      </c>
      <c r="C1425" s="1">
        <v>45018</v>
      </c>
      <c r="D1425" t="s">
        <v>7</v>
      </c>
      <c r="E1425">
        <v>39</v>
      </c>
      <c r="F1425" t="s">
        <v>6</v>
      </c>
      <c r="G1425">
        <f t="shared" si="50"/>
        <v>29</v>
      </c>
      <c r="H1425" s="1" t="str">
        <f t="shared" si="51"/>
        <v>Saturday</v>
      </c>
    </row>
    <row r="1426" spans="1:8" x14ac:dyDescent="0.3">
      <c r="A1426">
        <v>205742224</v>
      </c>
      <c r="B1426" s="1">
        <v>44989</v>
      </c>
      <c r="C1426" s="1">
        <v>44989</v>
      </c>
      <c r="D1426" t="s">
        <v>7</v>
      </c>
      <c r="E1426">
        <v>39</v>
      </c>
      <c r="F1426" t="s">
        <v>6</v>
      </c>
      <c r="G1426">
        <f t="shared" si="50"/>
        <v>0</v>
      </c>
      <c r="H1426" s="1" t="str">
        <f t="shared" si="51"/>
        <v>Saturday</v>
      </c>
    </row>
    <row r="1427" spans="1:8" x14ac:dyDescent="0.3">
      <c r="A1427">
        <v>205804144</v>
      </c>
      <c r="B1427" s="1">
        <v>44990</v>
      </c>
      <c r="C1427" s="1">
        <v>45103</v>
      </c>
      <c r="D1427" t="s">
        <v>7</v>
      </c>
      <c r="E1427">
        <v>39</v>
      </c>
      <c r="F1427" t="s">
        <v>6</v>
      </c>
      <c r="G1427">
        <f t="shared" si="50"/>
        <v>113</v>
      </c>
      <c r="H1427" s="1" t="str">
        <f t="shared" si="51"/>
        <v>Sunday</v>
      </c>
    </row>
    <row r="1428" spans="1:8" x14ac:dyDescent="0.3">
      <c r="A1428">
        <v>205703512</v>
      </c>
      <c r="B1428" s="1">
        <v>44990</v>
      </c>
      <c r="C1428" s="1">
        <v>45075</v>
      </c>
      <c r="D1428" t="s">
        <v>7</v>
      </c>
      <c r="E1428">
        <v>39</v>
      </c>
      <c r="F1428" t="s">
        <v>6</v>
      </c>
      <c r="G1428">
        <f t="shared" si="50"/>
        <v>85</v>
      </c>
      <c r="H1428" s="1" t="str">
        <f t="shared" si="51"/>
        <v>Sunday</v>
      </c>
    </row>
    <row r="1429" spans="1:8" x14ac:dyDescent="0.3">
      <c r="A1429">
        <v>131181843</v>
      </c>
      <c r="B1429" s="1">
        <v>44990</v>
      </c>
      <c r="C1429" s="1">
        <v>44990</v>
      </c>
      <c r="D1429" t="s">
        <v>7</v>
      </c>
      <c r="E1429">
        <v>39</v>
      </c>
      <c r="F1429" t="s">
        <v>6</v>
      </c>
      <c r="G1429">
        <f t="shared" si="50"/>
        <v>0</v>
      </c>
      <c r="H1429" s="1" t="str">
        <f t="shared" si="51"/>
        <v>Sunday</v>
      </c>
    </row>
    <row r="1430" spans="1:8" x14ac:dyDescent="0.3">
      <c r="A1430">
        <v>205713052</v>
      </c>
      <c r="B1430" s="1">
        <v>44991</v>
      </c>
      <c r="C1430" t="s">
        <v>19</v>
      </c>
      <c r="D1430" t="s">
        <v>7</v>
      </c>
      <c r="E1430">
        <v>39</v>
      </c>
      <c r="F1430" t="s">
        <v>6</v>
      </c>
      <c r="G1430" t="str">
        <f t="shared" si="50"/>
        <v>Active</v>
      </c>
      <c r="H1430" s="1" t="str">
        <f t="shared" si="51"/>
        <v>Monday</v>
      </c>
    </row>
    <row r="1431" spans="1:8" x14ac:dyDescent="0.3">
      <c r="A1431">
        <v>138121122</v>
      </c>
      <c r="B1431" s="1">
        <v>44991</v>
      </c>
      <c r="C1431" t="s">
        <v>19</v>
      </c>
      <c r="D1431" t="s">
        <v>7</v>
      </c>
      <c r="E1431">
        <v>39</v>
      </c>
      <c r="F1431" t="s">
        <v>6</v>
      </c>
      <c r="G1431" t="str">
        <f t="shared" si="50"/>
        <v>Active</v>
      </c>
      <c r="H1431" s="1" t="str">
        <f t="shared" si="51"/>
        <v>Monday</v>
      </c>
    </row>
    <row r="1432" spans="1:8" x14ac:dyDescent="0.3">
      <c r="A1432">
        <v>191326286</v>
      </c>
      <c r="B1432" s="1">
        <v>44991</v>
      </c>
      <c r="C1432" t="s">
        <v>19</v>
      </c>
      <c r="D1432" t="s">
        <v>7</v>
      </c>
      <c r="E1432">
        <v>39</v>
      </c>
      <c r="F1432" t="s">
        <v>6</v>
      </c>
      <c r="G1432" t="str">
        <f t="shared" si="50"/>
        <v>Active</v>
      </c>
      <c r="H1432" s="1" t="str">
        <f t="shared" si="51"/>
        <v>Monday</v>
      </c>
    </row>
    <row r="1433" spans="1:8" x14ac:dyDescent="0.3">
      <c r="A1433">
        <v>178838732</v>
      </c>
      <c r="B1433" s="1">
        <v>44991</v>
      </c>
      <c r="C1433" t="s">
        <v>19</v>
      </c>
      <c r="D1433" t="s">
        <v>7</v>
      </c>
      <c r="E1433">
        <v>39</v>
      </c>
      <c r="F1433" t="s">
        <v>6</v>
      </c>
      <c r="G1433" t="str">
        <f t="shared" si="50"/>
        <v>Active</v>
      </c>
      <c r="H1433" s="1" t="str">
        <f t="shared" si="51"/>
        <v>Monday</v>
      </c>
    </row>
    <row r="1434" spans="1:8" x14ac:dyDescent="0.3">
      <c r="A1434">
        <v>205871342</v>
      </c>
      <c r="B1434" s="1">
        <v>44991</v>
      </c>
      <c r="C1434" t="s">
        <v>19</v>
      </c>
      <c r="D1434" t="s">
        <v>7</v>
      </c>
      <c r="E1434">
        <v>39</v>
      </c>
      <c r="F1434" t="s">
        <v>6</v>
      </c>
      <c r="G1434" t="str">
        <f t="shared" si="50"/>
        <v>Active</v>
      </c>
      <c r="H1434" s="1" t="str">
        <f t="shared" si="51"/>
        <v>Monday</v>
      </c>
    </row>
    <row r="1435" spans="1:8" x14ac:dyDescent="0.3">
      <c r="A1435">
        <v>202160641</v>
      </c>
      <c r="B1435" s="1">
        <v>44991</v>
      </c>
      <c r="C1435" s="1">
        <v>45082</v>
      </c>
      <c r="D1435" t="s">
        <v>7</v>
      </c>
      <c r="E1435">
        <v>39</v>
      </c>
      <c r="F1435" t="s">
        <v>6</v>
      </c>
      <c r="G1435">
        <f t="shared" si="50"/>
        <v>91</v>
      </c>
      <c r="H1435" s="1" t="str">
        <f t="shared" si="51"/>
        <v>Monday</v>
      </c>
    </row>
    <row r="1436" spans="1:8" x14ac:dyDescent="0.3">
      <c r="A1436">
        <v>205786362</v>
      </c>
      <c r="B1436" s="1">
        <v>44991</v>
      </c>
      <c r="C1436" s="1">
        <v>45072</v>
      </c>
      <c r="D1436" t="s">
        <v>7</v>
      </c>
      <c r="E1436">
        <v>39</v>
      </c>
      <c r="F1436" t="s">
        <v>6</v>
      </c>
      <c r="G1436">
        <f t="shared" si="50"/>
        <v>81</v>
      </c>
      <c r="H1436" s="1" t="str">
        <f t="shared" si="51"/>
        <v>Monday</v>
      </c>
    </row>
    <row r="1437" spans="1:8" x14ac:dyDescent="0.3">
      <c r="A1437">
        <v>159798906</v>
      </c>
      <c r="B1437" s="1">
        <v>44991</v>
      </c>
      <c r="C1437" s="1">
        <v>45023</v>
      </c>
      <c r="D1437" t="s">
        <v>7</v>
      </c>
      <c r="E1437">
        <v>39</v>
      </c>
      <c r="F1437" t="s">
        <v>6</v>
      </c>
      <c r="G1437">
        <f t="shared" si="50"/>
        <v>32</v>
      </c>
      <c r="H1437" s="1" t="str">
        <f t="shared" si="51"/>
        <v>Monday</v>
      </c>
    </row>
    <row r="1438" spans="1:8" x14ac:dyDescent="0.3">
      <c r="A1438">
        <v>166276152</v>
      </c>
      <c r="B1438" s="1">
        <v>44991</v>
      </c>
      <c r="C1438" s="1">
        <v>45019</v>
      </c>
      <c r="D1438" t="s">
        <v>7</v>
      </c>
      <c r="E1438">
        <v>39</v>
      </c>
      <c r="F1438" t="s">
        <v>6</v>
      </c>
      <c r="G1438">
        <f t="shared" si="50"/>
        <v>28</v>
      </c>
      <c r="H1438" s="1" t="str">
        <f t="shared" si="51"/>
        <v>Monday</v>
      </c>
    </row>
    <row r="1439" spans="1:8" x14ac:dyDescent="0.3">
      <c r="A1439">
        <v>156353738</v>
      </c>
      <c r="B1439" s="1">
        <v>44991</v>
      </c>
      <c r="C1439" s="1">
        <v>44998</v>
      </c>
      <c r="D1439" t="s">
        <v>7</v>
      </c>
      <c r="E1439">
        <v>39</v>
      </c>
      <c r="F1439" t="s">
        <v>6</v>
      </c>
      <c r="G1439">
        <f t="shared" si="50"/>
        <v>7</v>
      </c>
      <c r="H1439" s="1" t="str">
        <f t="shared" si="51"/>
        <v>Monday</v>
      </c>
    </row>
    <row r="1440" spans="1:8" x14ac:dyDescent="0.3">
      <c r="A1440">
        <v>205864612</v>
      </c>
      <c r="B1440" s="1">
        <v>44991</v>
      </c>
      <c r="C1440" s="1">
        <v>45003</v>
      </c>
      <c r="D1440" t="s">
        <v>7</v>
      </c>
      <c r="E1440">
        <v>39</v>
      </c>
      <c r="F1440" t="s">
        <v>6</v>
      </c>
      <c r="G1440">
        <f t="shared" si="50"/>
        <v>12</v>
      </c>
      <c r="H1440" s="1" t="str">
        <f t="shared" si="51"/>
        <v>Monday</v>
      </c>
    </row>
    <row r="1441" spans="1:8" x14ac:dyDescent="0.3">
      <c r="A1441">
        <v>142757196</v>
      </c>
      <c r="B1441" s="1">
        <v>44992</v>
      </c>
      <c r="C1441" s="1">
        <v>45116</v>
      </c>
      <c r="D1441" t="s">
        <v>7</v>
      </c>
      <c r="E1441">
        <v>39</v>
      </c>
      <c r="F1441" t="s">
        <v>6</v>
      </c>
      <c r="G1441">
        <f t="shared" si="50"/>
        <v>124</v>
      </c>
      <c r="H1441" s="1" t="str">
        <f t="shared" si="51"/>
        <v>Tuesday</v>
      </c>
    </row>
    <row r="1442" spans="1:8" x14ac:dyDescent="0.3">
      <c r="A1442">
        <v>205971108</v>
      </c>
      <c r="B1442" s="1">
        <v>44992</v>
      </c>
      <c r="C1442" s="1">
        <v>45099</v>
      </c>
      <c r="D1442" t="s">
        <v>7</v>
      </c>
      <c r="E1442">
        <v>39</v>
      </c>
      <c r="F1442" t="s">
        <v>6</v>
      </c>
      <c r="G1442">
        <f t="shared" si="50"/>
        <v>107</v>
      </c>
      <c r="H1442" s="1" t="str">
        <f t="shared" si="51"/>
        <v>Tuesday</v>
      </c>
    </row>
    <row r="1443" spans="1:8" x14ac:dyDescent="0.3">
      <c r="A1443">
        <v>206001231</v>
      </c>
      <c r="B1443" s="1">
        <v>44992</v>
      </c>
      <c r="C1443" s="1">
        <v>45077</v>
      </c>
      <c r="D1443" t="s">
        <v>7</v>
      </c>
      <c r="E1443">
        <v>39</v>
      </c>
      <c r="F1443" t="s">
        <v>6</v>
      </c>
      <c r="G1443">
        <f t="shared" si="50"/>
        <v>85</v>
      </c>
      <c r="H1443" s="1" t="str">
        <f t="shared" si="51"/>
        <v>Tuesday</v>
      </c>
    </row>
    <row r="1444" spans="1:8" x14ac:dyDescent="0.3">
      <c r="A1444">
        <v>205878686</v>
      </c>
      <c r="B1444" s="1">
        <v>44992</v>
      </c>
      <c r="C1444" s="1">
        <v>44992</v>
      </c>
      <c r="D1444" t="s">
        <v>7</v>
      </c>
      <c r="E1444">
        <v>39</v>
      </c>
      <c r="F1444" t="s">
        <v>6</v>
      </c>
      <c r="G1444">
        <f t="shared" si="50"/>
        <v>0</v>
      </c>
      <c r="H1444" s="1" t="str">
        <f t="shared" si="51"/>
        <v>Tuesday</v>
      </c>
    </row>
    <row r="1445" spans="1:8" x14ac:dyDescent="0.3">
      <c r="A1445">
        <v>206052140</v>
      </c>
      <c r="B1445" s="1">
        <v>44993</v>
      </c>
      <c r="C1445" t="s">
        <v>19</v>
      </c>
      <c r="D1445" t="s">
        <v>7</v>
      </c>
      <c r="E1445">
        <v>39</v>
      </c>
      <c r="F1445" t="s">
        <v>6</v>
      </c>
      <c r="G1445" t="str">
        <f t="shared" si="50"/>
        <v>Active</v>
      </c>
      <c r="H1445" s="1" t="str">
        <f t="shared" si="51"/>
        <v>Wednesday</v>
      </c>
    </row>
    <row r="1446" spans="1:8" x14ac:dyDescent="0.3">
      <c r="A1446">
        <v>154082747</v>
      </c>
      <c r="B1446" s="1">
        <v>44993</v>
      </c>
      <c r="C1446" s="1">
        <v>44994</v>
      </c>
      <c r="D1446" t="s">
        <v>7</v>
      </c>
      <c r="E1446">
        <v>39</v>
      </c>
      <c r="F1446" t="s">
        <v>6</v>
      </c>
      <c r="G1446">
        <f t="shared" si="50"/>
        <v>1</v>
      </c>
      <c r="H1446" s="1" t="str">
        <f t="shared" si="51"/>
        <v>Wednesday</v>
      </c>
    </row>
    <row r="1447" spans="1:8" x14ac:dyDescent="0.3">
      <c r="A1447">
        <v>206017161</v>
      </c>
      <c r="B1447" s="1">
        <v>44993</v>
      </c>
      <c r="C1447" s="1">
        <v>44994</v>
      </c>
      <c r="D1447" t="s">
        <v>8</v>
      </c>
      <c r="E1447">
        <v>39</v>
      </c>
      <c r="F1447" t="s">
        <v>6</v>
      </c>
      <c r="G1447">
        <f t="shared" si="50"/>
        <v>1</v>
      </c>
      <c r="H1447" s="1" t="str">
        <f t="shared" si="51"/>
        <v>Wednesday</v>
      </c>
    </row>
    <row r="1448" spans="1:8" x14ac:dyDescent="0.3">
      <c r="A1448">
        <v>203152686</v>
      </c>
      <c r="B1448" s="1">
        <v>44993</v>
      </c>
      <c r="C1448" s="1">
        <v>45067</v>
      </c>
      <c r="D1448" t="s">
        <v>7</v>
      </c>
      <c r="E1448">
        <v>39</v>
      </c>
      <c r="F1448" t="s">
        <v>6</v>
      </c>
      <c r="G1448">
        <f t="shared" si="50"/>
        <v>74</v>
      </c>
      <c r="H1448" s="1" t="str">
        <f t="shared" si="51"/>
        <v>Wednesday</v>
      </c>
    </row>
    <row r="1449" spans="1:8" x14ac:dyDescent="0.3">
      <c r="A1449">
        <v>203320717</v>
      </c>
      <c r="B1449" s="1">
        <v>44993</v>
      </c>
      <c r="C1449" s="1">
        <v>45023</v>
      </c>
      <c r="D1449" t="s">
        <v>7</v>
      </c>
      <c r="E1449">
        <v>39</v>
      </c>
      <c r="F1449" t="s">
        <v>6</v>
      </c>
      <c r="G1449">
        <f t="shared" si="50"/>
        <v>30</v>
      </c>
      <c r="H1449" s="1" t="str">
        <f t="shared" si="51"/>
        <v>Wednesday</v>
      </c>
    </row>
    <row r="1450" spans="1:8" x14ac:dyDescent="0.3">
      <c r="A1450">
        <v>206076518</v>
      </c>
      <c r="B1450" s="1">
        <v>44994</v>
      </c>
      <c r="C1450" t="s">
        <v>19</v>
      </c>
      <c r="D1450" t="s">
        <v>7</v>
      </c>
      <c r="E1450">
        <v>39</v>
      </c>
      <c r="F1450" t="s">
        <v>6</v>
      </c>
      <c r="G1450" t="str">
        <f t="shared" si="50"/>
        <v>Active</v>
      </c>
      <c r="H1450" s="1" t="str">
        <f t="shared" si="51"/>
        <v>Thursday</v>
      </c>
    </row>
    <row r="1451" spans="1:8" x14ac:dyDescent="0.3">
      <c r="A1451">
        <v>205881578</v>
      </c>
      <c r="B1451" s="1">
        <v>44994</v>
      </c>
      <c r="C1451" s="1">
        <v>45165</v>
      </c>
      <c r="D1451" t="s">
        <v>7</v>
      </c>
      <c r="E1451">
        <v>39</v>
      </c>
      <c r="F1451" t="s">
        <v>6</v>
      </c>
      <c r="G1451">
        <f t="shared" si="50"/>
        <v>171</v>
      </c>
      <c r="H1451" s="1" t="str">
        <f t="shared" si="51"/>
        <v>Thursday</v>
      </c>
    </row>
    <row r="1452" spans="1:8" x14ac:dyDescent="0.3">
      <c r="A1452">
        <v>152513944</v>
      </c>
      <c r="B1452" s="1">
        <v>44994</v>
      </c>
      <c r="C1452" s="1">
        <v>44995</v>
      </c>
      <c r="D1452" t="s">
        <v>7</v>
      </c>
      <c r="E1452">
        <v>39</v>
      </c>
      <c r="F1452" t="s">
        <v>6</v>
      </c>
      <c r="G1452">
        <f t="shared" si="50"/>
        <v>1</v>
      </c>
      <c r="H1452" s="1" t="str">
        <f t="shared" si="51"/>
        <v>Thursday</v>
      </c>
    </row>
    <row r="1453" spans="1:8" x14ac:dyDescent="0.3">
      <c r="A1453">
        <v>132371176</v>
      </c>
      <c r="B1453" s="1">
        <v>44994</v>
      </c>
      <c r="C1453" s="1">
        <v>44995</v>
      </c>
      <c r="D1453" t="s">
        <v>8</v>
      </c>
      <c r="E1453">
        <v>39</v>
      </c>
      <c r="F1453" t="s">
        <v>6</v>
      </c>
      <c r="G1453">
        <f t="shared" si="50"/>
        <v>1</v>
      </c>
      <c r="H1453" s="1" t="str">
        <f t="shared" si="51"/>
        <v>Thursday</v>
      </c>
    </row>
    <row r="1454" spans="1:8" x14ac:dyDescent="0.3">
      <c r="A1454">
        <v>135092264</v>
      </c>
      <c r="B1454" s="1">
        <v>44994</v>
      </c>
      <c r="C1454" s="1">
        <v>45118</v>
      </c>
      <c r="D1454" t="s">
        <v>7</v>
      </c>
      <c r="E1454">
        <v>39</v>
      </c>
      <c r="F1454" t="s">
        <v>6</v>
      </c>
      <c r="G1454">
        <f t="shared" si="50"/>
        <v>124</v>
      </c>
      <c r="H1454" s="1" t="str">
        <f t="shared" si="51"/>
        <v>Thursday</v>
      </c>
    </row>
    <row r="1455" spans="1:8" x14ac:dyDescent="0.3">
      <c r="A1455">
        <v>151297084</v>
      </c>
      <c r="B1455" s="1">
        <v>44994</v>
      </c>
      <c r="C1455" s="1">
        <v>45071</v>
      </c>
      <c r="D1455" t="s">
        <v>7</v>
      </c>
      <c r="E1455">
        <v>39</v>
      </c>
      <c r="F1455" t="s">
        <v>6</v>
      </c>
      <c r="G1455">
        <f t="shared" si="50"/>
        <v>77</v>
      </c>
      <c r="H1455" s="1" t="str">
        <f t="shared" si="51"/>
        <v>Thursday</v>
      </c>
    </row>
    <row r="1456" spans="1:8" x14ac:dyDescent="0.3">
      <c r="A1456">
        <v>167010855</v>
      </c>
      <c r="B1456" s="1">
        <v>44994</v>
      </c>
      <c r="C1456" s="1">
        <v>45085</v>
      </c>
      <c r="D1456" t="s">
        <v>7</v>
      </c>
      <c r="E1456">
        <v>39</v>
      </c>
      <c r="F1456" t="s">
        <v>6</v>
      </c>
      <c r="G1456">
        <f t="shared" si="50"/>
        <v>91</v>
      </c>
      <c r="H1456" s="1" t="str">
        <f t="shared" si="51"/>
        <v>Thursday</v>
      </c>
    </row>
    <row r="1457" spans="1:8" x14ac:dyDescent="0.3">
      <c r="A1457">
        <v>206122788</v>
      </c>
      <c r="B1457" s="1">
        <v>44994</v>
      </c>
      <c r="C1457" s="1">
        <v>45093</v>
      </c>
      <c r="D1457" t="s">
        <v>7</v>
      </c>
      <c r="E1457">
        <v>39</v>
      </c>
      <c r="F1457" t="s">
        <v>6</v>
      </c>
      <c r="G1457">
        <f t="shared" si="50"/>
        <v>99</v>
      </c>
      <c r="H1457" s="1" t="str">
        <f t="shared" si="51"/>
        <v>Thursday</v>
      </c>
    </row>
    <row r="1458" spans="1:8" x14ac:dyDescent="0.3">
      <c r="A1458">
        <v>158439764</v>
      </c>
      <c r="B1458" s="1">
        <v>44994</v>
      </c>
      <c r="C1458" s="1">
        <v>45047</v>
      </c>
      <c r="D1458" t="s">
        <v>7</v>
      </c>
      <c r="E1458">
        <v>39</v>
      </c>
      <c r="F1458" t="s">
        <v>6</v>
      </c>
      <c r="G1458">
        <f t="shared" si="50"/>
        <v>53</v>
      </c>
      <c r="H1458" s="1" t="str">
        <f t="shared" si="51"/>
        <v>Thursday</v>
      </c>
    </row>
    <row r="1459" spans="1:8" x14ac:dyDescent="0.3">
      <c r="A1459">
        <v>136723151</v>
      </c>
      <c r="B1459" s="1">
        <v>44994</v>
      </c>
      <c r="C1459" s="1">
        <v>45023</v>
      </c>
      <c r="D1459" t="s">
        <v>7</v>
      </c>
      <c r="E1459">
        <v>39</v>
      </c>
      <c r="F1459" t="s">
        <v>6</v>
      </c>
      <c r="G1459">
        <f t="shared" si="50"/>
        <v>29</v>
      </c>
      <c r="H1459" s="1" t="str">
        <f t="shared" si="51"/>
        <v>Thursday</v>
      </c>
    </row>
    <row r="1460" spans="1:8" x14ac:dyDescent="0.3">
      <c r="A1460">
        <v>205875358</v>
      </c>
      <c r="B1460" s="1">
        <v>44994</v>
      </c>
      <c r="C1460" s="1">
        <v>45038</v>
      </c>
      <c r="D1460" t="s">
        <v>7</v>
      </c>
      <c r="E1460">
        <v>39</v>
      </c>
      <c r="F1460" t="s">
        <v>6</v>
      </c>
      <c r="G1460">
        <f t="shared" si="50"/>
        <v>44</v>
      </c>
      <c r="H1460" s="1" t="str">
        <f t="shared" si="51"/>
        <v>Thursday</v>
      </c>
    </row>
    <row r="1461" spans="1:8" x14ac:dyDescent="0.3">
      <c r="A1461">
        <v>206082900</v>
      </c>
      <c r="B1461" s="1">
        <v>44994</v>
      </c>
      <c r="C1461" s="1">
        <v>45139</v>
      </c>
      <c r="D1461" t="s">
        <v>7</v>
      </c>
      <c r="E1461">
        <v>39</v>
      </c>
      <c r="F1461" t="s">
        <v>6</v>
      </c>
      <c r="G1461">
        <f t="shared" si="50"/>
        <v>145</v>
      </c>
      <c r="H1461" s="1" t="str">
        <f t="shared" si="51"/>
        <v>Thursday</v>
      </c>
    </row>
    <row r="1462" spans="1:8" x14ac:dyDescent="0.3">
      <c r="A1462">
        <v>206139451</v>
      </c>
      <c r="B1462" s="1">
        <v>44995</v>
      </c>
      <c r="C1462" t="s">
        <v>19</v>
      </c>
      <c r="D1462" t="s">
        <v>7</v>
      </c>
      <c r="E1462">
        <v>39</v>
      </c>
      <c r="F1462" t="s">
        <v>6</v>
      </c>
      <c r="G1462" t="str">
        <f t="shared" si="50"/>
        <v>Active</v>
      </c>
      <c r="H1462" s="1" t="str">
        <f t="shared" si="51"/>
        <v>Friday</v>
      </c>
    </row>
    <row r="1463" spans="1:8" x14ac:dyDescent="0.3">
      <c r="A1463">
        <v>206196328</v>
      </c>
      <c r="B1463" s="1">
        <v>44995</v>
      </c>
      <c r="C1463" t="s">
        <v>19</v>
      </c>
      <c r="D1463" t="s">
        <v>7</v>
      </c>
      <c r="E1463">
        <v>39</v>
      </c>
      <c r="F1463" t="s">
        <v>6</v>
      </c>
      <c r="G1463" t="str">
        <f t="shared" si="50"/>
        <v>Active</v>
      </c>
      <c r="H1463" s="1" t="str">
        <f t="shared" si="51"/>
        <v>Friday</v>
      </c>
    </row>
    <row r="1464" spans="1:8" x14ac:dyDescent="0.3">
      <c r="A1464">
        <v>201122030</v>
      </c>
      <c r="B1464" s="1">
        <v>44995</v>
      </c>
      <c r="C1464" s="1">
        <v>45082</v>
      </c>
      <c r="D1464" t="s">
        <v>7</v>
      </c>
      <c r="E1464">
        <v>39</v>
      </c>
      <c r="F1464" t="s">
        <v>6</v>
      </c>
      <c r="G1464">
        <f t="shared" si="50"/>
        <v>87</v>
      </c>
      <c r="H1464" s="1" t="str">
        <f t="shared" si="51"/>
        <v>Friday</v>
      </c>
    </row>
    <row r="1465" spans="1:8" x14ac:dyDescent="0.3">
      <c r="A1465">
        <v>156218152</v>
      </c>
      <c r="B1465" s="1">
        <v>44995</v>
      </c>
      <c r="C1465" s="1">
        <v>45086</v>
      </c>
      <c r="D1465" t="s">
        <v>7</v>
      </c>
      <c r="E1465">
        <v>39</v>
      </c>
      <c r="F1465" t="s">
        <v>6</v>
      </c>
      <c r="G1465">
        <f t="shared" si="50"/>
        <v>91</v>
      </c>
      <c r="H1465" s="1" t="str">
        <f t="shared" si="51"/>
        <v>Friday</v>
      </c>
    </row>
    <row r="1466" spans="1:8" x14ac:dyDescent="0.3">
      <c r="A1466">
        <v>162718092</v>
      </c>
      <c r="B1466" s="1">
        <v>44995</v>
      </c>
      <c r="C1466" s="1">
        <v>45056</v>
      </c>
      <c r="D1466" t="s">
        <v>7</v>
      </c>
      <c r="E1466">
        <v>39</v>
      </c>
      <c r="F1466" t="s">
        <v>6</v>
      </c>
      <c r="G1466">
        <f t="shared" si="50"/>
        <v>61</v>
      </c>
      <c r="H1466" s="1" t="str">
        <f t="shared" si="51"/>
        <v>Friday</v>
      </c>
    </row>
    <row r="1467" spans="1:8" x14ac:dyDescent="0.3">
      <c r="A1467">
        <v>174606946</v>
      </c>
      <c r="B1467" s="1">
        <v>44995</v>
      </c>
      <c r="C1467" s="1">
        <v>45055</v>
      </c>
      <c r="D1467" t="s">
        <v>7</v>
      </c>
      <c r="E1467">
        <v>39</v>
      </c>
      <c r="F1467" t="s">
        <v>6</v>
      </c>
      <c r="G1467">
        <f t="shared" si="50"/>
        <v>60</v>
      </c>
      <c r="H1467" s="1" t="str">
        <f t="shared" si="51"/>
        <v>Friday</v>
      </c>
    </row>
    <row r="1468" spans="1:8" x14ac:dyDescent="0.3">
      <c r="A1468">
        <v>206159331</v>
      </c>
      <c r="B1468" s="1">
        <v>44995</v>
      </c>
      <c r="C1468" s="1">
        <v>45010</v>
      </c>
      <c r="D1468" t="s">
        <v>7</v>
      </c>
      <c r="E1468">
        <v>39</v>
      </c>
      <c r="F1468" t="s">
        <v>6</v>
      </c>
      <c r="G1468">
        <f t="shared" si="50"/>
        <v>15</v>
      </c>
      <c r="H1468" s="1" t="str">
        <f t="shared" si="51"/>
        <v>Friday</v>
      </c>
    </row>
    <row r="1469" spans="1:8" x14ac:dyDescent="0.3">
      <c r="A1469">
        <v>206272716</v>
      </c>
      <c r="B1469" s="1">
        <v>44996</v>
      </c>
      <c r="C1469" t="s">
        <v>19</v>
      </c>
      <c r="D1469" t="s">
        <v>7</v>
      </c>
      <c r="E1469">
        <v>39</v>
      </c>
      <c r="F1469" t="s">
        <v>6</v>
      </c>
      <c r="G1469" t="str">
        <f t="shared" si="50"/>
        <v>Active</v>
      </c>
      <c r="H1469" s="1" t="str">
        <f t="shared" si="51"/>
        <v>Saturday</v>
      </c>
    </row>
    <row r="1470" spans="1:8" x14ac:dyDescent="0.3">
      <c r="A1470">
        <v>138104184</v>
      </c>
      <c r="B1470" s="1">
        <v>44996</v>
      </c>
      <c r="C1470" s="1">
        <v>45176</v>
      </c>
      <c r="D1470" t="s">
        <v>7</v>
      </c>
      <c r="E1470">
        <v>39</v>
      </c>
      <c r="F1470" t="s">
        <v>6</v>
      </c>
      <c r="G1470">
        <f t="shared" si="50"/>
        <v>180</v>
      </c>
      <c r="H1470" s="1" t="str">
        <f t="shared" si="51"/>
        <v>Saturday</v>
      </c>
    </row>
    <row r="1471" spans="1:8" x14ac:dyDescent="0.3">
      <c r="A1471">
        <v>168264884</v>
      </c>
      <c r="B1471" s="1">
        <v>44996</v>
      </c>
      <c r="C1471" s="1">
        <v>45056</v>
      </c>
      <c r="D1471" t="s">
        <v>7</v>
      </c>
      <c r="E1471">
        <v>39</v>
      </c>
      <c r="F1471" t="s">
        <v>6</v>
      </c>
      <c r="G1471">
        <f t="shared" si="50"/>
        <v>60</v>
      </c>
      <c r="H1471" s="1" t="str">
        <f t="shared" si="51"/>
        <v>Saturday</v>
      </c>
    </row>
    <row r="1472" spans="1:8" x14ac:dyDescent="0.3">
      <c r="A1472">
        <v>153200640</v>
      </c>
      <c r="B1472" s="1">
        <v>44996</v>
      </c>
      <c r="C1472" s="1">
        <v>45028</v>
      </c>
      <c r="D1472" t="s">
        <v>7</v>
      </c>
      <c r="E1472">
        <v>39</v>
      </c>
      <c r="F1472" t="s">
        <v>6</v>
      </c>
      <c r="G1472">
        <f t="shared" si="50"/>
        <v>32</v>
      </c>
      <c r="H1472" s="1" t="str">
        <f t="shared" si="51"/>
        <v>Saturday</v>
      </c>
    </row>
    <row r="1473" spans="1:8" x14ac:dyDescent="0.3">
      <c r="A1473">
        <v>206251362</v>
      </c>
      <c r="B1473" s="1">
        <v>44996</v>
      </c>
      <c r="C1473" s="1">
        <v>45034</v>
      </c>
      <c r="D1473" t="s">
        <v>7</v>
      </c>
      <c r="E1473">
        <v>39</v>
      </c>
      <c r="F1473" t="s">
        <v>6</v>
      </c>
      <c r="G1473">
        <f t="shared" si="50"/>
        <v>38</v>
      </c>
      <c r="H1473" s="1" t="str">
        <f t="shared" si="51"/>
        <v>Saturday</v>
      </c>
    </row>
    <row r="1474" spans="1:8" x14ac:dyDescent="0.3">
      <c r="A1474">
        <v>192386902</v>
      </c>
      <c r="B1474" s="1">
        <v>44996</v>
      </c>
      <c r="C1474" s="1">
        <v>45034</v>
      </c>
      <c r="D1474" t="s">
        <v>7</v>
      </c>
      <c r="E1474">
        <v>39</v>
      </c>
      <c r="F1474" t="s">
        <v>6</v>
      </c>
      <c r="G1474">
        <f t="shared" si="50"/>
        <v>38</v>
      </c>
      <c r="H1474" s="1" t="str">
        <f t="shared" si="51"/>
        <v>Saturday</v>
      </c>
    </row>
    <row r="1475" spans="1:8" x14ac:dyDescent="0.3">
      <c r="A1475">
        <v>205851263</v>
      </c>
      <c r="B1475" s="1">
        <v>44996</v>
      </c>
      <c r="C1475" s="1">
        <v>44999</v>
      </c>
      <c r="D1475" t="s">
        <v>7</v>
      </c>
      <c r="E1475">
        <v>39</v>
      </c>
      <c r="F1475" t="s">
        <v>6</v>
      </c>
      <c r="G1475">
        <f t="shared" ref="G1475:G1538" si="52">IF(C1475="Active","Active",C1475-B1475)</f>
        <v>3</v>
      </c>
      <c r="H1475" s="1" t="str">
        <f t="shared" ref="H1475:H1538" si="53">TEXT(B1475,"dddd")</f>
        <v>Saturday</v>
      </c>
    </row>
    <row r="1476" spans="1:8" x14ac:dyDescent="0.3">
      <c r="A1476">
        <v>197873706</v>
      </c>
      <c r="B1476" s="1">
        <v>44997</v>
      </c>
      <c r="C1476" s="1">
        <v>45150</v>
      </c>
      <c r="D1476" t="s">
        <v>7</v>
      </c>
      <c r="E1476">
        <v>39</v>
      </c>
      <c r="F1476" t="s">
        <v>6</v>
      </c>
      <c r="G1476">
        <f t="shared" si="52"/>
        <v>153</v>
      </c>
      <c r="H1476" s="1" t="str">
        <f t="shared" si="53"/>
        <v>Sunday</v>
      </c>
    </row>
    <row r="1477" spans="1:8" x14ac:dyDescent="0.3">
      <c r="A1477">
        <v>206284048</v>
      </c>
      <c r="B1477" s="1">
        <v>44997</v>
      </c>
      <c r="C1477" s="1">
        <v>45003</v>
      </c>
      <c r="D1477" t="s">
        <v>7</v>
      </c>
      <c r="E1477">
        <v>39</v>
      </c>
      <c r="F1477" t="s">
        <v>6</v>
      </c>
      <c r="G1477">
        <f t="shared" si="52"/>
        <v>6</v>
      </c>
      <c r="H1477" s="1" t="str">
        <f t="shared" si="53"/>
        <v>Sunday</v>
      </c>
    </row>
    <row r="1478" spans="1:8" x14ac:dyDescent="0.3">
      <c r="A1478">
        <v>149761545</v>
      </c>
      <c r="B1478" s="1">
        <v>44997</v>
      </c>
      <c r="C1478" s="1">
        <v>45131</v>
      </c>
      <c r="D1478" t="s">
        <v>7</v>
      </c>
      <c r="E1478">
        <v>39</v>
      </c>
      <c r="F1478" t="s">
        <v>6</v>
      </c>
      <c r="G1478">
        <f t="shared" si="52"/>
        <v>134</v>
      </c>
      <c r="H1478" s="1" t="str">
        <f t="shared" si="53"/>
        <v>Sunday</v>
      </c>
    </row>
    <row r="1479" spans="1:8" x14ac:dyDescent="0.3">
      <c r="A1479">
        <v>155010717</v>
      </c>
      <c r="B1479" s="1">
        <v>44998</v>
      </c>
      <c r="C1479" s="1">
        <v>45077</v>
      </c>
      <c r="D1479" t="s">
        <v>7</v>
      </c>
      <c r="E1479">
        <v>39</v>
      </c>
      <c r="F1479" t="s">
        <v>6</v>
      </c>
      <c r="G1479">
        <f t="shared" si="52"/>
        <v>79</v>
      </c>
      <c r="H1479" s="1" t="str">
        <f t="shared" si="53"/>
        <v>Monday</v>
      </c>
    </row>
    <row r="1480" spans="1:8" x14ac:dyDescent="0.3">
      <c r="A1480">
        <v>151407531</v>
      </c>
      <c r="B1480" s="1">
        <v>44998</v>
      </c>
      <c r="C1480" s="1">
        <v>45028</v>
      </c>
      <c r="D1480" t="s">
        <v>7</v>
      </c>
      <c r="E1480">
        <v>39</v>
      </c>
      <c r="F1480" t="s">
        <v>6</v>
      </c>
      <c r="G1480">
        <f t="shared" si="52"/>
        <v>30</v>
      </c>
      <c r="H1480" s="1" t="str">
        <f t="shared" si="53"/>
        <v>Monday</v>
      </c>
    </row>
    <row r="1481" spans="1:8" x14ac:dyDescent="0.3">
      <c r="A1481">
        <v>206407796</v>
      </c>
      <c r="B1481" s="1">
        <v>44998</v>
      </c>
      <c r="C1481" s="1">
        <v>45058</v>
      </c>
      <c r="D1481" t="s">
        <v>7</v>
      </c>
      <c r="E1481">
        <v>39</v>
      </c>
      <c r="F1481" t="s">
        <v>6</v>
      </c>
      <c r="G1481">
        <f t="shared" si="52"/>
        <v>60</v>
      </c>
      <c r="H1481" s="1" t="str">
        <f t="shared" si="53"/>
        <v>Monday</v>
      </c>
    </row>
    <row r="1482" spans="1:8" x14ac:dyDescent="0.3">
      <c r="A1482">
        <v>206247835</v>
      </c>
      <c r="B1482" s="1">
        <v>44998</v>
      </c>
      <c r="C1482" s="1">
        <v>45071</v>
      </c>
      <c r="D1482" t="s">
        <v>7</v>
      </c>
      <c r="E1482">
        <v>39</v>
      </c>
      <c r="F1482" t="s">
        <v>6</v>
      </c>
      <c r="G1482">
        <f t="shared" si="52"/>
        <v>73</v>
      </c>
      <c r="H1482" s="1" t="str">
        <f t="shared" si="53"/>
        <v>Monday</v>
      </c>
    </row>
    <row r="1483" spans="1:8" x14ac:dyDescent="0.3">
      <c r="A1483">
        <v>206382927</v>
      </c>
      <c r="B1483" s="1">
        <v>44998</v>
      </c>
      <c r="C1483" s="1">
        <v>45070</v>
      </c>
      <c r="D1483" t="s">
        <v>7</v>
      </c>
      <c r="E1483">
        <v>39</v>
      </c>
      <c r="F1483" t="s">
        <v>6</v>
      </c>
      <c r="G1483">
        <f t="shared" si="52"/>
        <v>72</v>
      </c>
      <c r="H1483" s="1" t="str">
        <f t="shared" si="53"/>
        <v>Monday</v>
      </c>
    </row>
    <row r="1484" spans="1:8" x14ac:dyDescent="0.3">
      <c r="A1484">
        <v>206147500</v>
      </c>
      <c r="B1484" s="1">
        <v>44998</v>
      </c>
      <c r="C1484" s="1">
        <v>45064</v>
      </c>
      <c r="D1484" t="s">
        <v>7</v>
      </c>
      <c r="E1484">
        <v>39</v>
      </c>
      <c r="F1484" t="s">
        <v>6</v>
      </c>
      <c r="G1484">
        <f t="shared" si="52"/>
        <v>66</v>
      </c>
      <c r="H1484" s="1" t="str">
        <f t="shared" si="53"/>
        <v>Monday</v>
      </c>
    </row>
    <row r="1485" spans="1:8" x14ac:dyDescent="0.3">
      <c r="A1485">
        <v>206330714</v>
      </c>
      <c r="B1485" s="1">
        <v>44998</v>
      </c>
      <c r="C1485" s="1">
        <v>45023</v>
      </c>
      <c r="D1485" t="s">
        <v>7</v>
      </c>
      <c r="E1485">
        <v>39</v>
      </c>
      <c r="F1485" t="s">
        <v>6</v>
      </c>
      <c r="G1485">
        <f t="shared" si="52"/>
        <v>25</v>
      </c>
      <c r="H1485" s="1" t="str">
        <f t="shared" si="53"/>
        <v>Monday</v>
      </c>
    </row>
    <row r="1486" spans="1:8" x14ac:dyDescent="0.3">
      <c r="A1486">
        <v>206121650</v>
      </c>
      <c r="B1486" s="1">
        <v>44998</v>
      </c>
      <c r="C1486" s="1">
        <v>45025</v>
      </c>
      <c r="D1486" t="s">
        <v>7</v>
      </c>
      <c r="E1486">
        <v>39</v>
      </c>
      <c r="F1486" t="s">
        <v>6</v>
      </c>
      <c r="G1486">
        <f t="shared" si="52"/>
        <v>27</v>
      </c>
      <c r="H1486" s="1" t="str">
        <f t="shared" si="53"/>
        <v>Monday</v>
      </c>
    </row>
    <row r="1487" spans="1:8" x14ac:dyDescent="0.3">
      <c r="A1487">
        <v>182504578</v>
      </c>
      <c r="B1487" s="1">
        <v>44998</v>
      </c>
      <c r="C1487" s="1">
        <v>45036</v>
      </c>
      <c r="D1487" t="s">
        <v>7</v>
      </c>
      <c r="E1487">
        <v>39</v>
      </c>
      <c r="F1487" t="s">
        <v>6</v>
      </c>
      <c r="G1487">
        <f t="shared" si="52"/>
        <v>38</v>
      </c>
      <c r="H1487" s="1" t="str">
        <f t="shared" si="53"/>
        <v>Monday</v>
      </c>
    </row>
    <row r="1488" spans="1:8" x14ac:dyDescent="0.3">
      <c r="A1488">
        <v>204362311</v>
      </c>
      <c r="B1488" s="1">
        <v>44998</v>
      </c>
      <c r="C1488" s="1">
        <v>45091</v>
      </c>
      <c r="D1488" t="s">
        <v>7</v>
      </c>
      <c r="E1488">
        <v>39</v>
      </c>
      <c r="F1488" t="s">
        <v>6</v>
      </c>
      <c r="G1488">
        <f t="shared" si="52"/>
        <v>93</v>
      </c>
      <c r="H1488" s="1" t="str">
        <f t="shared" si="53"/>
        <v>Monday</v>
      </c>
    </row>
    <row r="1489" spans="1:8" x14ac:dyDescent="0.3">
      <c r="A1489">
        <v>206504573</v>
      </c>
      <c r="B1489" s="1">
        <v>44999</v>
      </c>
      <c r="C1489" t="s">
        <v>19</v>
      </c>
      <c r="D1489" t="s">
        <v>7</v>
      </c>
      <c r="E1489">
        <v>39</v>
      </c>
      <c r="F1489" t="s">
        <v>6</v>
      </c>
      <c r="G1489" t="str">
        <f t="shared" si="52"/>
        <v>Active</v>
      </c>
      <c r="H1489" s="1" t="str">
        <f t="shared" si="53"/>
        <v>Tuesday</v>
      </c>
    </row>
    <row r="1490" spans="1:8" x14ac:dyDescent="0.3">
      <c r="A1490">
        <v>206490851</v>
      </c>
      <c r="B1490" s="1">
        <v>44999</v>
      </c>
      <c r="C1490" t="s">
        <v>19</v>
      </c>
      <c r="D1490" t="s">
        <v>7</v>
      </c>
      <c r="E1490">
        <v>39</v>
      </c>
      <c r="F1490" t="s">
        <v>6</v>
      </c>
      <c r="G1490" t="str">
        <f t="shared" si="52"/>
        <v>Active</v>
      </c>
      <c r="H1490" s="1" t="str">
        <f t="shared" si="53"/>
        <v>Tuesday</v>
      </c>
    </row>
    <row r="1491" spans="1:8" x14ac:dyDescent="0.3">
      <c r="A1491">
        <v>206468868</v>
      </c>
      <c r="B1491" s="1">
        <v>44999</v>
      </c>
      <c r="C1491" t="s">
        <v>19</v>
      </c>
      <c r="D1491" t="s">
        <v>7</v>
      </c>
      <c r="E1491">
        <v>39</v>
      </c>
      <c r="F1491" t="s">
        <v>6</v>
      </c>
      <c r="G1491" t="str">
        <f t="shared" si="52"/>
        <v>Active</v>
      </c>
      <c r="H1491" s="1" t="str">
        <f t="shared" si="53"/>
        <v>Tuesday</v>
      </c>
    </row>
    <row r="1492" spans="1:8" x14ac:dyDescent="0.3">
      <c r="A1492">
        <v>206316124</v>
      </c>
      <c r="B1492" s="1">
        <v>44999</v>
      </c>
      <c r="C1492" t="s">
        <v>19</v>
      </c>
      <c r="D1492" t="s">
        <v>7</v>
      </c>
      <c r="E1492">
        <v>39</v>
      </c>
      <c r="F1492" t="s">
        <v>6</v>
      </c>
      <c r="G1492" t="str">
        <f t="shared" si="52"/>
        <v>Active</v>
      </c>
      <c r="H1492" s="1" t="str">
        <f t="shared" si="53"/>
        <v>Tuesday</v>
      </c>
    </row>
    <row r="1493" spans="1:8" x14ac:dyDescent="0.3">
      <c r="A1493">
        <v>203404034</v>
      </c>
      <c r="B1493" s="1">
        <v>44999</v>
      </c>
      <c r="C1493" s="1">
        <v>45099</v>
      </c>
      <c r="D1493" t="s">
        <v>7</v>
      </c>
      <c r="E1493">
        <v>39</v>
      </c>
      <c r="F1493" t="s">
        <v>6</v>
      </c>
      <c r="G1493">
        <f t="shared" si="52"/>
        <v>100</v>
      </c>
      <c r="H1493" s="1" t="str">
        <f t="shared" si="53"/>
        <v>Tuesday</v>
      </c>
    </row>
    <row r="1494" spans="1:8" x14ac:dyDescent="0.3">
      <c r="A1494">
        <v>206284545</v>
      </c>
      <c r="B1494" s="1">
        <v>44999</v>
      </c>
      <c r="C1494" s="1">
        <v>45080</v>
      </c>
      <c r="D1494" t="s">
        <v>7</v>
      </c>
      <c r="E1494">
        <v>39</v>
      </c>
      <c r="F1494" t="s">
        <v>6</v>
      </c>
      <c r="G1494">
        <f t="shared" si="52"/>
        <v>81</v>
      </c>
      <c r="H1494" s="1" t="str">
        <f t="shared" si="53"/>
        <v>Tuesday</v>
      </c>
    </row>
    <row r="1495" spans="1:8" x14ac:dyDescent="0.3">
      <c r="A1495">
        <v>206470657</v>
      </c>
      <c r="B1495" s="1">
        <v>44999</v>
      </c>
      <c r="C1495" s="1">
        <v>45049</v>
      </c>
      <c r="D1495" t="s">
        <v>7</v>
      </c>
      <c r="E1495">
        <v>39</v>
      </c>
      <c r="F1495" t="s">
        <v>6</v>
      </c>
      <c r="G1495">
        <f t="shared" si="52"/>
        <v>50</v>
      </c>
      <c r="H1495" s="1" t="str">
        <f t="shared" si="53"/>
        <v>Tuesday</v>
      </c>
    </row>
    <row r="1496" spans="1:8" x14ac:dyDescent="0.3">
      <c r="A1496">
        <v>206458744</v>
      </c>
      <c r="B1496" s="1">
        <v>44999</v>
      </c>
      <c r="C1496" s="1">
        <v>45040</v>
      </c>
      <c r="D1496" t="s">
        <v>7</v>
      </c>
      <c r="E1496">
        <v>39</v>
      </c>
      <c r="F1496" t="s">
        <v>6</v>
      </c>
      <c r="G1496">
        <f t="shared" si="52"/>
        <v>41</v>
      </c>
      <c r="H1496" s="1" t="str">
        <f t="shared" si="53"/>
        <v>Tuesday</v>
      </c>
    </row>
    <row r="1497" spans="1:8" x14ac:dyDescent="0.3">
      <c r="A1497">
        <v>206122814</v>
      </c>
      <c r="B1497" s="1">
        <v>44999</v>
      </c>
      <c r="C1497" s="1">
        <v>45029</v>
      </c>
      <c r="D1497" t="s">
        <v>7</v>
      </c>
      <c r="E1497">
        <v>39</v>
      </c>
      <c r="F1497" t="s">
        <v>6</v>
      </c>
      <c r="G1497">
        <f t="shared" si="52"/>
        <v>30</v>
      </c>
      <c r="H1497" s="1" t="str">
        <f t="shared" si="53"/>
        <v>Tuesday</v>
      </c>
    </row>
    <row r="1498" spans="1:8" x14ac:dyDescent="0.3">
      <c r="A1498">
        <v>206549666</v>
      </c>
      <c r="B1498" s="1">
        <v>45000</v>
      </c>
      <c r="C1498" t="s">
        <v>19</v>
      </c>
      <c r="D1498" t="s">
        <v>7</v>
      </c>
      <c r="E1498">
        <v>39</v>
      </c>
      <c r="F1498" t="s">
        <v>6</v>
      </c>
      <c r="G1498" t="str">
        <f t="shared" si="52"/>
        <v>Active</v>
      </c>
      <c r="H1498" s="1" t="str">
        <f t="shared" si="53"/>
        <v>Wednesday</v>
      </c>
    </row>
    <row r="1499" spans="1:8" x14ac:dyDescent="0.3">
      <c r="A1499">
        <v>133623621</v>
      </c>
      <c r="B1499" s="1">
        <v>45000</v>
      </c>
      <c r="C1499" t="s">
        <v>19</v>
      </c>
      <c r="D1499" t="s">
        <v>7</v>
      </c>
      <c r="E1499">
        <v>39</v>
      </c>
      <c r="F1499" t="s">
        <v>6</v>
      </c>
      <c r="G1499" t="str">
        <f t="shared" si="52"/>
        <v>Active</v>
      </c>
      <c r="H1499" s="1" t="str">
        <f t="shared" si="53"/>
        <v>Wednesday</v>
      </c>
    </row>
    <row r="1500" spans="1:8" x14ac:dyDescent="0.3">
      <c r="A1500">
        <v>130982816</v>
      </c>
      <c r="B1500" s="1">
        <v>45000</v>
      </c>
      <c r="C1500" t="s">
        <v>19</v>
      </c>
      <c r="D1500" t="s">
        <v>7</v>
      </c>
      <c r="E1500">
        <v>39</v>
      </c>
      <c r="F1500" t="s">
        <v>6</v>
      </c>
      <c r="G1500" t="str">
        <f t="shared" si="52"/>
        <v>Active</v>
      </c>
      <c r="H1500" s="1" t="str">
        <f t="shared" si="53"/>
        <v>Wednesday</v>
      </c>
    </row>
    <row r="1501" spans="1:8" x14ac:dyDescent="0.3">
      <c r="A1501">
        <v>143776119</v>
      </c>
      <c r="B1501" s="1">
        <v>45000</v>
      </c>
      <c r="C1501" s="1">
        <v>45166</v>
      </c>
      <c r="D1501" t="s">
        <v>7</v>
      </c>
      <c r="E1501">
        <v>39</v>
      </c>
      <c r="F1501" t="s">
        <v>6</v>
      </c>
      <c r="G1501">
        <f t="shared" si="52"/>
        <v>166</v>
      </c>
      <c r="H1501" s="1" t="str">
        <f t="shared" si="53"/>
        <v>Wednesday</v>
      </c>
    </row>
    <row r="1502" spans="1:8" x14ac:dyDescent="0.3">
      <c r="A1502">
        <v>206542743</v>
      </c>
      <c r="B1502" s="1">
        <v>45000</v>
      </c>
      <c r="C1502" s="1">
        <v>45001</v>
      </c>
      <c r="D1502" t="s">
        <v>8</v>
      </c>
      <c r="E1502">
        <v>39</v>
      </c>
      <c r="F1502" t="s">
        <v>6</v>
      </c>
      <c r="G1502">
        <f t="shared" si="52"/>
        <v>1</v>
      </c>
      <c r="H1502" s="1" t="str">
        <f t="shared" si="53"/>
        <v>Wednesday</v>
      </c>
    </row>
    <row r="1503" spans="1:8" x14ac:dyDescent="0.3">
      <c r="A1503">
        <v>206158603</v>
      </c>
      <c r="B1503" s="1">
        <v>45000</v>
      </c>
      <c r="C1503" s="1">
        <v>45001</v>
      </c>
      <c r="D1503" t="s">
        <v>8</v>
      </c>
      <c r="E1503">
        <v>39</v>
      </c>
      <c r="F1503" t="s">
        <v>6</v>
      </c>
      <c r="G1503">
        <f t="shared" si="52"/>
        <v>1</v>
      </c>
      <c r="H1503" s="1" t="str">
        <f t="shared" si="53"/>
        <v>Wednesday</v>
      </c>
    </row>
    <row r="1504" spans="1:8" x14ac:dyDescent="0.3">
      <c r="A1504">
        <v>206548046</v>
      </c>
      <c r="B1504" s="1">
        <v>45000</v>
      </c>
      <c r="C1504" s="1">
        <v>45085</v>
      </c>
      <c r="D1504" t="s">
        <v>7</v>
      </c>
      <c r="E1504">
        <v>39</v>
      </c>
      <c r="F1504" t="s">
        <v>6</v>
      </c>
      <c r="G1504">
        <f t="shared" si="52"/>
        <v>85</v>
      </c>
      <c r="H1504" s="1" t="str">
        <f t="shared" si="53"/>
        <v>Wednesday</v>
      </c>
    </row>
    <row r="1505" spans="1:8" x14ac:dyDescent="0.3">
      <c r="A1505">
        <v>168464004</v>
      </c>
      <c r="B1505" s="1">
        <v>45000</v>
      </c>
      <c r="C1505" s="1">
        <v>45078</v>
      </c>
      <c r="D1505" t="s">
        <v>7</v>
      </c>
      <c r="E1505">
        <v>39</v>
      </c>
      <c r="F1505" t="s">
        <v>6</v>
      </c>
      <c r="G1505">
        <f t="shared" si="52"/>
        <v>78</v>
      </c>
      <c r="H1505" s="1" t="str">
        <f t="shared" si="53"/>
        <v>Wednesday</v>
      </c>
    </row>
    <row r="1506" spans="1:8" x14ac:dyDescent="0.3">
      <c r="A1506">
        <v>146330379</v>
      </c>
      <c r="B1506" s="1">
        <v>45000</v>
      </c>
      <c r="C1506" s="1">
        <v>45035</v>
      </c>
      <c r="D1506" t="s">
        <v>7</v>
      </c>
      <c r="E1506">
        <v>39</v>
      </c>
      <c r="F1506" t="s">
        <v>6</v>
      </c>
      <c r="G1506">
        <f t="shared" si="52"/>
        <v>35</v>
      </c>
      <c r="H1506" s="1" t="str">
        <f t="shared" si="53"/>
        <v>Wednesday</v>
      </c>
    </row>
    <row r="1507" spans="1:8" x14ac:dyDescent="0.3">
      <c r="A1507">
        <v>206006946</v>
      </c>
      <c r="B1507" s="1">
        <v>45000</v>
      </c>
      <c r="C1507" s="1">
        <v>45068</v>
      </c>
      <c r="D1507" t="s">
        <v>7</v>
      </c>
      <c r="E1507">
        <v>39</v>
      </c>
      <c r="F1507" t="s">
        <v>6</v>
      </c>
      <c r="G1507">
        <f t="shared" si="52"/>
        <v>68</v>
      </c>
      <c r="H1507" s="1" t="str">
        <f t="shared" si="53"/>
        <v>Wednesday</v>
      </c>
    </row>
    <row r="1508" spans="1:8" x14ac:dyDescent="0.3">
      <c r="A1508">
        <v>206531388</v>
      </c>
      <c r="B1508" s="1">
        <v>45000</v>
      </c>
      <c r="C1508" s="1">
        <v>45021</v>
      </c>
      <c r="D1508" t="s">
        <v>7</v>
      </c>
      <c r="E1508">
        <v>39</v>
      </c>
      <c r="F1508" t="s">
        <v>6</v>
      </c>
      <c r="G1508">
        <f t="shared" si="52"/>
        <v>21</v>
      </c>
      <c r="H1508" s="1" t="str">
        <f t="shared" si="53"/>
        <v>Wednesday</v>
      </c>
    </row>
    <row r="1509" spans="1:8" x14ac:dyDescent="0.3">
      <c r="A1509">
        <v>206512820</v>
      </c>
      <c r="B1509" s="1">
        <v>45000</v>
      </c>
      <c r="C1509" s="1">
        <v>45119</v>
      </c>
      <c r="D1509" t="s">
        <v>7</v>
      </c>
      <c r="E1509">
        <v>39</v>
      </c>
      <c r="F1509" t="s">
        <v>6</v>
      </c>
      <c r="G1509">
        <f t="shared" si="52"/>
        <v>119</v>
      </c>
      <c r="H1509" s="1" t="str">
        <f t="shared" si="53"/>
        <v>Wednesday</v>
      </c>
    </row>
    <row r="1510" spans="1:8" x14ac:dyDescent="0.3">
      <c r="A1510">
        <v>206501414</v>
      </c>
      <c r="B1510" s="1">
        <v>45001</v>
      </c>
      <c r="C1510" t="s">
        <v>19</v>
      </c>
      <c r="D1510" t="s">
        <v>7</v>
      </c>
      <c r="E1510">
        <v>39</v>
      </c>
      <c r="F1510" t="s">
        <v>6</v>
      </c>
      <c r="G1510" t="str">
        <f t="shared" si="52"/>
        <v>Active</v>
      </c>
      <c r="H1510" s="1" t="str">
        <f t="shared" si="53"/>
        <v>Thursday</v>
      </c>
    </row>
    <row r="1511" spans="1:8" x14ac:dyDescent="0.3">
      <c r="A1511">
        <v>181175226</v>
      </c>
      <c r="B1511" s="1">
        <v>45001</v>
      </c>
      <c r="C1511" s="1">
        <v>45016</v>
      </c>
      <c r="D1511" t="s">
        <v>7</v>
      </c>
      <c r="E1511">
        <v>39</v>
      </c>
      <c r="F1511" t="s">
        <v>6</v>
      </c>
      <c r="G1511">
        <f t="shared" si="52"/>
        <v>15</v>
      </c>
      <c r="H1511" s="1" t="str">
        <f t="shared" si="53"/>
        <v>Thursday</v>
      </c>
    </row>
    <row r="1512" spans="1:8" x14ac:dyDescent="0.3">
      <c r="A1512">
        <v>148758550</v>
      </c>
      <c r="B1512" s="1">
        <v>45002</v>
      </c>
      <c r="C1512" t="s">
        <v>19</v>
      </c>
      <c r="D1512" t="s">
        <v>7</v>
      </c>
      <c r="E1512">
        <v>39</v>
      </c>
      <c r="F1512" t="s">
        <v>6</v>
      </c>
      <c r="G1512" t="str">
        <f t="shared" si="52"/>
        <v>Active</v>
      </c>
      <c r="H1512" s="1" t="str">
        <f t="shared" si="53"/>
        <v>Friday</v>
      </c>
    </row>
    <row r="1513" spans="1:8" x14ac:dyDescent="0.3">
      <c r="A1513">
        <v>206682036</v>
      </c>
      <c r="B1513" s="1">
        <v>45002</v>
      </c>
      <c r="C1513" t="s">
        <v>19</v>
      </c>
      <c r="D1513" t="s">
        <v>7</v>
      </c>
      <c r="E1513">
        <v>39</v>
      </c>
      <c r="F1513" t="s">
        <v>6</v>
      </c>
      <c r="G1513" t="str">
        <f t="shared" si="52"/>
        <v>Active</v>
      </c>
      <c r="H1513" s="1" t="str">
        <f t="shared" si="53"/>
        <v>Friday</v>
      </c>
    </row>
    <row r="1514" spans="1:8" x14ac:dyDescent="0.3">
      <c r="A1514">
        <v>206149654</v>
      </c>
      <c r="B1514" s="1">
        <v>45002</v>
      </c>
      <c r="C1514" t="s">
        <v>19</v>
      </c>
      <c r="D1514" t="s">
        <v>7</v>
      </c>
      <c r="E1514">
        <v>39</v>
      </c>
      <c r="F1514" t="s">
        <v>6</v>
      </c>
      <c r="G1514" t="str">
        <f t="shared" si="52"/>
        <v>Active</v>
      </c>
      <c r="H1514" s="1" t="str">
        <f t="shared" si="53"/>
        <v>Friday</v>
      </c>
    </row>
    <row r="1515" spans="1:8" x14ac:dyDescent="0.3">
      <c r="A1515">
        <v>206653056</v>
      </c>
      <c r="B1515" s="1">
        <v>45002</v>
      </c>
      <c r="C1515" t="s">
        <v>19</v>
      </c>
      <c r="D1515" t="s">
        <v>7</v>
      </c>
      <c r="E1515">
        <v>39</v>
      </c>
      <c r="F1515" t="s">
        <v>6</v>
      </c>
      <c r="G1515" t="str">
        <f t="shared" si="52"/>
        <v>Active</v>
      </c>
      <c r="H1515" s="1" t="str">
        <f t="shared" si="53"/>
        <v>Friday</v>
      </c>
    </row>
    <row r="1516" spans="1:8" x14ac:dyDescent="0.3">
      <c r="A1516">
        <v>198466025</v>
      </c>
      <c r="B1516" s="1">
        <v>45002</v>
      </c>
      <c r="C1516" t="s">
        <v>19</v>
      </c>
      <c r="D1516" t="s">
        <v>7</v>
      </c>
      <c r="E1516">
        <v>39</v>
      </c>
      <c r="F1516" t="s">
        <v>6</v>
      </c>
      <c r="G1516" t="str">
        <f t="shared" si="52"/>
        <v>Active</v>
      </c>
      <c r="H1516" s="1" t="str">
        <f t="shared" si="53"/>
        <v>Friday</v>
      </c>
    </row>
    <row r="1517" spans="1:8" x14ac:dyDescent="0.3">
      <c r="A1517">
        <v>206685935</v>
      </c>
      <c r="B1517" s="1">
        <v>45002</v>
      </c>
      <c r="C1517" s="1">
        <v>45003</v>
      </c>
      <c r="D1517" t="s">
        <v>8</v>
      </c>
      <c r="E1517">
        <v>39</v>
      </c>
      <c r="F1517" t="s">
        <v>6</v>
      </c>
      <c r="G1517">
        <f t="shared" si="52"/>
        <v>1</v>
      </c>
      <c r="H1517" s="1" t="str">
        <f t="shared" si="53"/>
        <v>Friday</v>
      </c>
    </row>
    <row r="1518" spans="1:8" x14ac:dyDescent="0.3">
      <c r="A1518">
        <v>206659390</v>
      </c>
      <c r="B1518" s="1">
        <v>45002</v>
      </c>
      <c r="C1518" s="1">
        <v>45003</v>
      </c>
      <c r="D1518" t="s">
        <v>8</v>
      </c>
      <c r="E1518">
        <v>39</v>
      </c>
      <c r="F1518" t="s">
        <v>6</v>
      </c>
      <c r="G1518">
        <f t="shared" si="52"/>
        <v>1</v>
      </c>
      <c r="H1518" s="1" t="str">
        <f t="shared" si="53"/>
        <v>Friday</v>
      </c>
    </row>
    <row r="1519" spans="1:8" x14ac:dyDescent="0.3">
      <c r="A1519">
        <v>206550926</v>
      </c>
      <c r="B1519" s="1">
        <v>45002</v>
      </c>
      <c r="C1519" s="1">
        <v>45033</v>
      </c>
      <c r="D1519" t="s">
        <v>7</v>
      </c>
      <c r="E1519">
        <v>39</v>
      </c>
      <c r="F1519" t="s">
        <v>6</v>
      </c>
      <c r="G1519">
        <f t="shared" si="52"/>
        <v>31</v>
      </c>
      <c r="H1519" s="1" t="str">
        <f t="shared" si="53"/>
        <v>Friday</v>
      </c>
    </row>
    <row r="1520" spans="1:8" x14ac:dyDescent="0.3">
      <c r="A1520">
        <v>206673590</v>
      </c>
      <c r="B1520" s="1">
        <v>45002</v>
      </c>
      <c r="C1520" s="1">
        <v>45015</v>
      </c>
      <c r="D1520" t="s">
        <v>7</v>
      </c>
      <c r="E1520">
        <v>39</v>
      </c>
      <c r="F1520" t="s">
        <v>6</v>
      </c>
      <c r="G1520">
        <f t="shared" si="52"/>
        <v>13</v>
      </c>
      <c r="H1520" s="1" t="str">
        <f t="shared" si="53"/>
        <v>Friday</v>
      </c>
    </row>
    <row r="1521" spans="1:8" x14ac:dyDescent="0.3">
      <c r="A1521">
        <v>205593462</v>
      </c>
      <c r="B1521" s="1">
        <v>45002</v>
      </c>
      <c r="C1521" s="1">
        <v>45148</v>
      </c>
      <c r="D1521" t="s">
        <v>7</v>
      </c>
      <c r="E1521">
        <v>39</v>
      </c>
      <c r="F1521" t="s">
        <v>6</v>
      </c>
      <c r="G1521">
        <f t="shared" si="52"/>
        <v>146</v>
      </c>
      <c r="H1521" s="1" t="str">
        <f t="shared" si="53"/>
        <v>Friday</v>
      </c>
    </row>
    <row r="1522" spans="1:8" x14ac:dyDescent="0.3">
      <c r="A1522">
        <v>205889926</v>
      </c>
      <c r="B1522" s="1">
        <v>45003</v>
      </c>
      <c r="C1522" t="s">
        <v>19</v>
      </c>
      <c r="D1522" t="s">
        <v>7</v>
      </c>
      <c r="E1522">
        <v>39</v>
      </c>
      <c r="F1522" t="s">
        <v>6</v>
      </c>
      <c r="G1522" t="str">
        <f t="shared" si="52"/>
        <v>Active</v>
      </c>
      <c r="H1522" s="1" t="str">
        <f t="shared" si="53"/>
        <v>Saturday</v>
      </c>
    </row>
    <row r="1523" spans="1:8" x14ac:dyDescent="0.3">
      <c r="A1523">
        <v>151713121</v>
      </c>
      <c r="B1523" s="1">
        <v>45003</v>
      </c>
      <c r="C1523" t="s">
        <v>19</v>
      </c>
      <c r="D1523" t="s">
        <v>7</v>
      </c>
      <c r="E1523">
        <v>39</v>
      </c>
      <c r="F1523" t="s">
        <v>6</v>
      </c>
      <c r="G1523" t="str">
        <f t="shared" si="52"/>
        <v>Active</v>
      </c>
      <c r="H1523" s="1" t="str">
        <f t="shared" si="53"/>
        <v>Saturday</v>
      </c>
    </row>
    <row r="1524" spans="1:8" x14ac:dyDescent="0.3">
      <c r="A1524">
        <v>206759898</v>
      </c>
      <c r="B1524" s="1">
        <v>45003</v>
      </c>
      <c r="C1524" s="1">
        <v>45004</v>
      </c>
      <c r="D1524" t="s">
        <v>8</v>
      </c>
      <c r="E1524">
        <v>39</v>
      </c>
      <c r="F1524" t="s">
        <v>6</v>
      </c>
      <c r="G1524">
        <f t="shared" si="52"/>
        <v>1</v>
      </c>
      <c r="H1524" s="1" t="str">
        <f t="shared" si="53"/>
        <v>Saturday</v>
      </c>
    </row>
    <row r="1525" spans="1:8" x14ac:dyDescent="0.3">
      <c r="A1525">
        <v>206750792</v>
      </c>
      <c r="B1525" s="1">
        <v>45003</v>
      </c>
      <c r="C1525" s="1">
        <v>45004</v>
      </c>
      <c r="D1525" t="s">
        <v>8</v>
      </c>
      <c r="E1525">
        <v>39</v>
      </c>
      <c r="F1525" t="s">
        <v>6</v>
      </c>
      <c r="G1525">
        <f t="shared" si="52"/>
        <v>1</v>
      </c>
      <c r="H1525" s="1" t="str">
        <f t="shared" si="53"/>
        <v>Saturday</v>
      </c>
    </row>
    <row r="1526" spans="1:8" x14ac:dyDescent="0.3">
      <c r="A1526">
        <v>206742592</v>
      </c>
      <c r="B1526" s="1">
        <v>45003</v>
      </c>
      <c r="C1526" s="1">
        <v>45004</v>
      </c>
      <c r="D1526" t="s">
        <v>8</v>
      </c>
      <c r="E1526">
        <v>39</v>
      </c>
      <c r="F1526" t="s">
        <v>6</v>
      </c>
      <c r="G1526">
        <f t="shared" si="52"/>
        <v>1</v>
      </c>
      <c r="H1526" s="1" t="str">
        <f t="shared" si="53"/>
        <v>Saturday</v>
      </c>
    </row>
    <row r="1527" spans="1:8" x14ac:dyDescent="0.3">
      <c r="A1527">
        <v>206700008</v>
      </c>
      <c r="B1527" s="1">
        <v>45003</v>
      </c>
      <c r="C1527" s="1">
        <v>45004</v>
      </c>
      <c r="D1527" t="s">
        <v>8</v>
      </c>
      <c r="E1527">
        <v>39</v>
      </c>
      <c r="F1527" t="s">
        <v>6</v>
      </c>
      <c r="G1527">
        <f t="shared" si="52"/>
        <v>1</v>
      </c>
      <c r="H1527" s="1" t="str">
        <f t="shared" si="53"/>
        <v>Saturday</v>
      </c>
    </row>
    <row r="1528" spans="1:8" x14ac:dyDescent="0.3">
      <c r="A1528">
        <v>156170916</v>
      </c>
      <c r="B1528" s="1">
        <v>45003</v>
      </c>
      <c r="C1528" s="1">
        <v>45152</v>
      </c>
      <c r="D1528" t="s">
        <v>7</v>
      </c>
      <c r="E1528">
        <v>39</v>
      </c>
      <c r="F1528" t="s">
        <v>6</v>
      </c>
      <c r="G1528">
        <f t="shared" si="52"/>
        <v>149</v>
      </c>
      <c r="H1528" s="1" t="str">
        <f t="shared" si="53"/>
        <v>Saturday</v>
      </c>
    </row>
    <row r="1529" spans="1:8" x14ac:dyDescent="0.3">
      <c r="A1529">
        <v>206607664</v>
      </c>
      <c r="B1529" s="1">
        <v>45003</v>
      </c>
      <c r="C1529" s="1">
        <v>45041</v>
      </c>
      <c r="D1529" t="s">
        <v>7</v>
      </c>
      <c r="E1529">
        <v>39</v>
      </c>
      <c r="F1529" t="s">
        <v>6</v>
      </c>
      <c r="G1529">
        <f t="shared" si="52"/>
        <v>38</v>
      </c>
      <c r="H1529" s="1" t="str">
        <f t="shared" si="53"/>
        <v>Saturday</v>
      </c>
    </row>
    <row r="1530" spans="1:8" x14ac:dyDescent="0.3">
      <c r="A1530">
        <v>183332399</v>
      </c>
      <c r="B1530" s="1">
        <v>45004</v>
      </c>
      <c r="C1530" t="s">
        <v>19</v>
      </c>
      <c r="D1530" t="s">
        <v>7</v>
      </c>
      <c r="E1530">
        <v>39</v>
      </c>
      <c r="F1530" t="s">
        <v>6</v>
      </c>
      <c r="G1530" t="str">
        <f t="shared" si="52"/>
        <v>Active</v>
      </c>
      <c r="H1530" s="1" t="str">
        <f t="shared" si="53"/>
        <v>Sunday</v>
      </c>
    </row>
    <row r="1531" spans="1:8" x14ac:dyDescent="0.3">
      <c r="A1531">
        <v>176705210</v>
      </c>
      <c r="B1531" s="1">
        <v>45004</v>
      </c>
      <c r="C1531" s="1">
        <v>45005</v>
      </c>
      <c r="D1531" t="s">
        <v>7</v>
      </c>
      <c r="E1531">
        <v>39</v>
      </c>
      <c r="F1531" t="s">
        <v>6</v>
      </c>
      <c r="G1531">
        <f t="shared" si="52"/>
        <v>1</v>
      </c>
      <c r="H1531" s="1" t="str">
        <f t="shared" si="53"/>
        <v>Sunday</v>
      </c>
    </row>
    <row r="1532" spans="1:8" x14ac:dyDescent="0.3">
      <c r="A1532">
        <v>154901722</v>
      </c>
      <c r="B1532" s="1">
        <v>45004</v>
      </c>
      <c r="C1532" s="1">
        <v>45004</v>
      </c>
      <c r="D1532" t="s">
        <v>7</v>
      </c>
      <c r="E1532">
        <v>39</v>
      </c>
      <c r="F1532" t="s">
        <v>6</v>
      </c>
      <c r="G1532">
        <f t="shared" si="52"/>
        <v>0</v>
      </c>
      <c r="H1532" s="1" t="str">
        <f t="shared" si="53"/>
        <v>Sunday</v>
      </c>
    </row>
    <row r="1533" spans="1:8" x14ac:dyDescent="0.3">
      <c r="A1533">
        <v>153438676</v>
      </c>
      <c r="B1533" s="1">
        <v>45004</v>
      </c>
      <c r="C1533" s="1">
        <v>45072</v>
      </c>
      <c r="D1533" t="s">
        <v>7</v>
      </c>
      <c r="E1533">
        <v>39</v>
      </c>
      <c r="F1533" t="s">
        <v>6</v>
      </c>
      <c r="G1533">
        <f t="shared" si="52"/>
        <v>68</v>
      </c>
      <c r="H1533" s="1" t="str">
        <f t="shared" si="53"/>
        <v>Sunday</v>
      </c>
    </row>
    <row r="1534" spans="1:8" x14ac:dyDescent="0.3">
      <c r="A1534">
        <v>154901722</v>
      </c>
      <c r="B1534" s="1">
        <v>45004</v>
      </c>
      <c r="C1534" s="1">
        <v>45050</v>
      </c>
      <c r="D1534" t="s">
        <v>7</v>
      </c>
      <c r="E1534">
        <v>39</v>
      </c>
      <c r="F1534" t="s">
        <v>6</v>
      </c>
      <c r="G1534">
        <f t="shared" si="52"/>
        <v>46</v>
      </c>
      <c r="H1534" s="1" t="str">
        <f t="shared" si="53"/>
        <v>Sunday</v>
      </c>
    </row>
    <row r="1535" spans="1:8" x14ac:dyDescent="0.3">
      <c r="A1535">
        <v>123768696</v>
      </c>
      <c r="B1535" s="1">
        <v>45004</v>
      </c>
      <c r="C1535" s="1">
        <v>45027</v>
      </c>
      <c r="D1535" t="s">
        <v>7</v>
      </c>
      <c r="E1535">
        <v>39</v>
      </c>
      <c r="F1535" t="s">
        <v>6</v>
      </c>
      <c r="G1535">
        <f t="shared" si="52"/>
        <v>23</v>
      </c>
      <c r="H1535" s="1" t="str">
        <f t="shared" si="53"/>
        <v>Sunday</v>
      </c>
    </row>
    <row r="1536" spans="1:8" x14ac:dyDescent="0.3">
      <c r="A1536">
        <v>142976081</v>
      </c>
      <c r="B1536" s="1">
        <v>45004</v>
      </c>
      <c r="C1536" s="1">
        <v>45035</v>
      </c>
      <c r="D1536" t="s">
        <v>7</v>
      </c>
      <c r="E1536">
        <v>39</v>
      </c>
      <c r="F1536" t="s">
        <v>6</v>
      </c>
      <c r="G1536">
        <f t="shared" si="52"/>
        <v>31</v>
      </c>
      <c r="H1536" s="1" t="str">
        <f t="shared" si="53"/>
        <v>Sunday</v>
      </c>
    </row>
    <row r="1537" spans="1:8" x14ac:dyDescent="0.3">
      <c r="A1537">
        <v>152223051</v>
      </c>
      <c r="B1537" s="1">
        <v>45005</v>
      </c>
      <c r="C1537" t="s">
        <v>19</v>
      </c>
      <c r="D1537" t="s">
        <v>7</v>
      </c>
      <c r="E1537">
        <v>39</v>
      </c>
      <c r="F1537" t="s">
        <v>6</v>
      </c>
      <c r="G1537" t="str">
        <f t="shared" si="52"/>
        <v>Active</v>
      </c>
      <c r="H1537" s="1" t="str">
        <f t="shared" si="53"/>
        <v>Monday</v>
      </c>
    </row>
    <row r="1538" spans="1:8" x14ac:dyDescent="0.3">
      <c r="A1538">
        <v>206865174</v>
      </c>
      <c r="B1538" s="1">
        <v>45005</v>
      </c>
      <c r="C1538" t="s">
        <v>19</v>
      </c>
      <c r="D1538" t="s">
        <v>7</v>
      </c>
      <c r="E1538">
        <v>39</v>
      </c>
      <c r="F1538" t="s">
        <v>6</v>
      </c>
      <c r="G1538" t="str">
        <f t="shared" si="52"/>
        <v>Active</v>
      </c>
      <c r="H1538" s="1" t="str">
        <f t="shared" si="53"/>
        <v>Monday</v>
      </c>
    </row>
    <row r="1539" spans="1:8" x14ac:dyDescent="0.3">
      <c r="A1539">
        <v>143327052</v>
      </c>
      <c r="B1539" s="1">
        <v>45005</v>
      </c>
      <c r="C1539" t="s">
        <v>19</v>
      </c>
      <c r="D1539" t="s">
        <v>7</v>
      </c>
      <c r="E1539">
        <v>39</v>
      </c>
      <c r="F1539" t="s">
        <v>6</v>
      </c>
      <c r="G1539" t="str">
        <f t="shared" ref="G1539:G1602" si="54">IF(C1539="Active","Active",C1539-B1539)</f>
        <v>Active</v>
      </c>
      <c r="H1539" s="1" t="str">
        <f t="shared" ref="H1539:H1602" si="55">TEXT(B1539,"dddd")</f>
        <v>Monday</v>
      </c>
    </row>
    <row r="1540" spans="1:8" x14ac:dyDescent="0.3">
      <c r="A1540">
        <v>202270426</v>
      </c>
      <c r="B1540" s="1">
        <v>45005</v>
      </c>
      <c r="C1540" s="1">
        <v>45006</v>
      </c>
      <c r="D1540" t="s">
        <v>7</v>
      </c>
      <c r="E1540">
        <v>39</v>
      </c>
      <c r="F1540" t="s">
        <v>6</v>
      </c>
      <c r="G1540">
        <f t="shared" si="54"/>
        <v>1</v>
      </c>
      <c r="H1540" s="1" t="str">
        <f t="shared" si="55"/>
        <v>Monday</v>
      </c>
    </row>
    <row r="1541" spans="1:8" x14ac:dyDescent="0.3">
      <c r="A1541">
        <v>185602413</v>
      </c>
      <c r="B1541" s="1">
        <v>45005</v>
      </c>
      <c r="C1541" s="1">
        <v>45104</v>
      </c>
      <c r="D1541" t="s">
        <v>7</v>
      </c>
      <c r="E1541">
        <v>39</v>
      </c>
      <c r="F1541" t="s">
        <v>6</v>
      </c>
      <c r="G1541">
        <f t="shared" si="54"/>
        <v>99</v>
      </c>
      <c r="H1541" s="1" t="str">
        <f t="shared" si="55"/>
        <v>Monday</v>
      </c>
    </row>
    <row r="1542" spans="1:8" x14ac:dyDescent="0.3">
      <c r="A1542">
        <v>206679618</v>
      </c>
      <c r="B1542" s="1">
        <v>45005</v>
      </c>
      <c r="C1542" s="1">
        <v>45047</v>
      </c>
      <c r="D1542" t="s">
        <v>7</v>
      </c>
      <c r="E1542">
        <v>39</v>
      </c>
      <c r="F1542" t="s">
        <v>6</v>
      </c>
      <c r="G1542">
        <f t="shared" si="54"/>
        <v>42</v>
      </c>
      <c r="H1542" s="1" t="str">
        <f t="shared" si="55"/>
        <v>Monday</v>
      </c>
    </row>
    <row r="1543" spans="1:8" x14ac:dyDescent="0.3">
      <c r="A1543">
        <v>127561439</v>
      </c>
      <c r="B1543" s="1">
        <v>45005</v>
      </c>
      <c r="C1543" s="1">
        <v>45035</v>
      </c>
      <c r="D1543" t="s">
        <v>7</v>
      </c>
      <c r="E1543">
        <v>39</v>
      </c>
      <c r="F1543" t="s">
        <v>6</v>
      </c>
      <c r="G1543">
        <f t="shared" si="54"/>
        <v>30</v>
      </c>
      <c r="H1543" s="1" t="str">
        <f t="shared" si="55"/>
        <v>Monday</v>
      </c>
    </row>
    <row r="1544" spans="1:8" x14ac:dyDescent="0.3">
      <c r="A1544">
        <v>176705210</v>
      </c>
      <c r="B1544" s="1">
        <v>45005</v>
      </c>
      <c r="C1544" s="1">
        <v>45005</v>
      </c>
      <c r="D1544" t="s">
        <v>7</v>
      </c>
      <c r="E1544">
        <v>39</v>
      </c>
      <c r="F1544" t="s">
        <v>6</v>
      </c>
      <c r="G1544">
        <f t="shared" si="54"/>
        <v>0</v>
      </c>
      <c r="H1544" s="1" t="str">
        <f t="shared" si="55"/>
        <v>Monday</v>
      </c>
    </row>
    <row r="1545" spans="1:8" x14ac:dyDescent="0.3">
      <c r="A1545">
        <v>206693452</v>
      </c>
      <c r="B1545" s="1">
        <v>45006</v>
      </c>
      <c r="C1545" t="s">
        <v>19</v>
      </c>
      <c r="D1545" t="s">
        <v>7</v>
      </c>
      <c r="E1545">
        <v>39</v>
      </c>
      <c r="F1545" t="s">
        <v>6</v>
      </c>
      <c r="G1545" t="str">
        <f t="shared" si="54"/>
        <v>Active</v>
      </c>
      <c r="H1545" s="1" t="str">
        <f t="shared" si="55"/>
        <v>Tuesday</v>
      </c>
    </row>
    <row r="1546" spans="1:8" x14ac:dyDescent="0.3">
      <c r="A1546">
        <v>193499084</v>
      </c>
      <c r="B1546" s="1">
        <v>45006</v>
      </c>
      <c r="C1546" t="s">
        <v>19</v>
      </c>
      <c r="D1546" t="s">
        <v>7</v>
      </c>
      <c r="E1546">
        <v>39</v>
      </c>
      <c r="F1546" t="s">
        <v>6</v>
      </c>
      <c r="G1546" t="str">
        <f t="shared" si="54"/>
        <v>Active</v>
      </c>
      <c r="H1546" s="1" t="str">
        <f t="shared" si="55"/>
        <v>Tuesday</v>
      </c>
    </row>
    <row r="1547" spans="1:8" x14ac:dyDescent="0.3">
      <c r="A1547">
        <v>206995576</v>
      </c>
      <c r="B1547" s="1">
        <v>45006</v>
      </c>
      <c r="C1547" s="1">
        <v>45163</v>
      </c>
      <c r="D1547" t="s">
        <v>7</v>
      </c>
      <c r="E1547">
        <v>39</v>
      </c>
      <c r="F1547" t="s">
        <v>6</v>
      </c>
      <c r="G1547">
        <f t="shared" si="54"/>
        <v>157</v>
      </c>
      <c r="H1547" s="1" t="str">
        <f t="shared" si="55"/>
        <v>Tuesday</v>
      </c>
    </row>
    <row r="1548" spans="1:8" x14ac:dyDescent="0.3">
      <c r="A1548">
        <v>154783053</v>
      </c>
      <c r="B1548" s="1">
        <v>45006</v>
      </c>
      <c r="C1548" s="1">
        <v>45050</v>
      </c>
      <c r="D1548" t="s">
        <v>7</v>
      </c>
      <c r="E1548">
        <v>39</v>
      </c>
      <c r="F1548" t="s">
        <v>6</v>
      </c>
      <c r="G1548">
        <f t="shared" si="54"/>
        <v>44</v>
      </c>
      <c r="H1548" s="1" t="str">
        <f t="shared" si="55"/>
        <v>Tuesday</v>
      </c>
    </row>
    <row r="1549" spans="1:8" x14ac:dyDescent="0.3">
      <c r="A1549">
        <v>158349405</v>
      </c>
      <c r="B1549" s="1">
        <v>45006</v>
      </c>
      <c r="C1549" s="1">
        <v>45154</v>
      </c>
      <c r="D1549" t="s">
        <v>7</v>
      </c>
      <c r="E1549">
        <v>39</v>
      </c>
      <c r="F1549" t="s">
        <v>6</v>
      </c>
      <c r="G1549">
        <f t="shared" si="54"/>
        <v>148</v>
      </c>
      <c r="H1549" s="1" t="str">
        <f t="shared" si="55"/>
        <v>Tuesday</v>
      </c>
    </row>
    <row r="1550" spans="1:8" x14ac:dyDescent="0.3">
      <c r="A1550">
        <v>205554002</v>
      </c>
      <c r="B1550" s="1">
        <v>45006</v>
      </c>
      <c r="C1550" s="1">
        <v>45153</v>
      </c>
      <c r="D1550" t="s">
        <v>7</v>
      </c>
      <c r="E1550">
        <v>39</v>
      </c>
      <c r="F1550" t="s">
        <v>6</v>
      </c>
      <c r="G1550">
        <f t="shared" si="54"/>
        <v>147</v>
      </c>
      <c r="H1550" s="1" t="str">
        <f t="shared" si="55"/>
        <v>Tuesday</v>
      </c>
    </row>
    <row r="1551" spans="1:8" x14ac:dyDescent="0.3">
      <c r="A1551">
        <v>207045565</v>
      </c>
      <c r="B1551" s="1">
        <v>45007</v>
      </c>
      <c r="C1551" t="s">
        <v>19</v>
      </c>
      <c r="D1551" t="s">
        <v>7</v>
      </c>
      <c r="E1551">
        <v>39</v>
      </c>
      <c r="F1551" t="s">
        <v>6</v>
      </c>
      <c r="G1551" t="str">
        <f t="shared" si="54"/>
        <v>Active</v>
      </c>
      <c r="H1551" s="1" t="str">
        <f t="shared" si="55"/>
        <v>Wednesday</v>
      </c>
    </row>
    <row r="1552" spans="1:8" x14ac:dyDescent="0.3">
      <c r="A1552">
        <v>205483607</v>
      </c>
      <c r="B1552" s="1">
        <v>45007</v>
      </c>
      <c r="C1552" t="s">
        <v>19</v>
      </c>
      <c r="D1552" t="s">
        <v>7</v>
      </c>
      <c r="E1552">
        <v>39</v>
      </c>
      <c r="F1552" t="s">
        <v>6</v>
      </c>
      <c r="G1552" t="str">
        <f t="shared" si="54"/>
        <v>Active</v>
      </c>
      <c r="H1552" s="1" t="str">
        <f t="shared" si="55"/>
        <v>Wednesday</v>
      </c>
    </row>
    <row r="1553" spans="1:8" x14ac:dyDescent="0.3">
      <c r="A1553">
        <v>147662374</v>
      </c>
      <c r="B1553" s="1">
        <v>45007</v>
      </c>
      <c r="C1553" t="s">
        <v>19</v>
      </c>
      <c r="D1553" t="s">
        <v>7</v>
      </c>
      <c r="E1553">
        <v>39</v>
      </c>
      <c r="F1553" t="s">
        <v>6</v>
      </c>
      <c r="G1553" t="str">
        <f t="shared" si="54"/>
        <v>Active</v>
      </c>
      <c r="H1553" s="1" t="str">
        <f t="shared" si="55"/>
        <v>Wednesday</v>
      </c>
    </row>
    <row r="1554" spans="1:8" x14ac:dyDescent="0.3">
      <c r="A1554">
        <v>150652956</v>
      </c>
      <c r="B1554" s="1">
        <v>45007</v>
      </c>
      <c r="C1554" s="1">
        <v>45027</v>
      </c>
      <c r="D1554" t="s">
        <v>7</v>
      </c>
      <c r="E1554">
        <v>39</v>
      </c>
      <c r="F1554" t="s">
        <v>6</v>
      </c>
      <c r="G1554">
        <f t="shared" si="54"/>
        <v>20</v>
      </c>
      <c r="H1554" s="1" t="str">
        <f t="shared" si="55"/>
        <v>Wednesday</v>
      </c>
    </row>
    <row r="1555" spans="1:8" x14ac:dyDescent="0.3">
      <c r="A1555">
        <v>206527656</v>
      </c>
      <c r="B1555" s="1">
        <v>45007</v>
      </c>
      <c r="C1555" s="1">
        <v>45085</v>
      </c>
      <c r="D1555" t="s">
        <v>7</v>
      </c>
      <c r="E1555">
        <v>39</v>
      </c>
      <c r="F1555" t="s">
        <v>6</v>
      </c>
      <c r="G1555">
        <f t="shared" si="54"/>
        <v>78</v>
      </c>
      <c r="H1555" s="1" t="str">
        <f t="shared" si="55"/>
        <v>Wednesday</v>
      </c>
    </row>
    <row r="1556" spans="1:8" x14ac:dyDescent="0.3">
      <c r="A1556">
        <v>207041353</v>
      </c>
      <c r="B1556" s="1">
        <v>45007</v>
      </c>
      <c r="C1556" s="1">
        <v>45065</v>
      </c>
      <c r="D1556" t="s">
        <v>7</v>
      </c>
      <c r="E1556">
        <v>39</v>
      </c>
      <c r="F1556" t="s">
        <v>6</v>
      </c>
      <c r="G1556">
        <f t="shared" si="54"/>
        <v>58</v>
      </c>
      <c r="H1556" s="1" t="str">
        <f t="shared" si="55"/>
        <v>Wednesday</v>
      </c>
    </row>
    <row r="1557" spans="1:8" x14ac:dyDescent="0.3">
      <c r="A1557">
        <v>204448911</v>
      </c>
      <c r="B1557" s="1">
        <v>45007</v>
      </c>
      <c r="C1557" s="1">
        <v>45037</v>
      </c>
      <c r="D1557" t="s">
        <v>7</v>
      </c>
      <c r="E1557">
        <v>39</v>
      </c>
      <c r="F1557" t="s">
        <v>6</v>
      </c>
      <c r="G1557">
        <f t="shared" si="54"/>
        <v>30</v>
      </c>
      <c r="H1557" s="1" t="str">
        <f t="shared" si="55"/>
        <v>Wednesday</v>
      </c>
    </row>
    <row r="1558" spans="1:8" x14ac:dyDescent="0.3">
      <c r="A1558">
        <v>206951785</v>
      </c>
      <c r="B1558" s="1">
        <v>45007</v>
      </c>
      <c r="C1558" s="1">
        <v>45036</v>
      </c>
      <c r="D1558" t="s">
        <v>7</v>
      </c>
      <c r="E1558">
        <v>39</v>
      </c>
      <c r="F1558" t="s">
        <v>6</v>
      </c>
      <c r="G1558">
        <f t="shared" si="54"/>
        <v>29</v>
      </c>
      <c r="H1558" s="1" t="str">
        <f t="shared" si="55"/>
        <v>Wednesday</v>
      </c>
    </row>
    <row r="1559" spans="1:8" x14ac:dyDescent="0.3">
      <c r="A1559">
        <v>206892555</v>
      </c>
      <c r="B1559" s="1">
        <v>45007</v>
      </c>
      <c r="C1559" s="1">
        <v>45009</v>
      </c>
      <c r="D1559" t="s">
        <v>7</v>
      </c>
      <c r="E1559">
        <v>39</v>
      </c>
      <c r="F1559" t="s">
        <v>6</v>
      </c>
      <c r="G1559">
        <f t="shared" si="54"/>
        <v>2</v>
      </c>
      <c r="H1559" s="1" t="str">
        <f t="shared" si="55"/>
        <v>Wednesday</v>
      </c>
    </row>
    <row r="1560" spans="1:8" x14ac:dyDescent="0.3">
      <c r="A1560">
        <v>207051401</v>
      </c>
      <c r="B1560" s="1">
        <v>45008</v>
      </c>
      <c r="C1560" t="s">
        <v>19</v>
      </c>
      <c r="D1560" t="s">
        <v>7</v>
      </c>
      <c r="E1560">
        <v>39</v>
      </c>
      <c r="F1560" t="s">
        <v>6</v>
      </c>
      <c r="G1560" t="str">
        <f t="shared" si="54"/>
        <v>Active</v>
      </c>
      <c r="H1560" s="1" t="str">
        <f t="shared" si="55"/>
        <v>Thursday</v>
      </c>
    </row>
    <row r="1561" spans="1:8" x14ac:dyDescent="0.3">
      <c r="A1561">
        <v>206904848</v>
      </c>
      <c r="B1561" s="1">
        <v>45008</v>
      </c>
      <c r="C1561" t="s">
        <v>19</v>
      </c>
      <c r="D1561" t="s">
        <v>7</v>
      </c>
      <c r="E1561">
        <v>39</v>
      </c>
      <c r="F1561" t="s">
        <v>6</v>
      </c>
      <c r="G1561" t="str">
        <f t="shared" si="54"/>
        <v>Active</v>
      </c>
      <c r="H1561" s="1" t="str">
        <f t="shared" si="55"/>
        <v>Thursday</v>
      </c>
    </row>
    <row r="1562" spans="1:8" x14ac:dyDescent="0.3">
      <c r="A1562">
        <v>204598188</v>
      </c>
      <c r="B1562" s="1">
        <v>45008</v>
      </c>
      <c r="C1562" s="1">
        <v>45169</v>
      </c>
      <c r="D1562" t="s">
        <v>7</v>
      </c>
      <c r="E1562">
        <v>39</v>
      </c>
      <c r="F1562" t="s">
        <v>6</v>
      </c>
      <c r="G1562">
        <f t="shared" si="54"/>
        <v>161</v>
      </c>
      <c r="H1562" s="1" t="str">
        <f t="shared" si="55"/>
        <v>Thursday</v>
      </c>
    </row>
    <row r="1563" spans="1:8" x14ac:dyDescent="0.3">
      <c r="A1563">
        <v>206447228</v>
      </c>
      <c r="B1563" s="1">
        <v>45008</v>
      </c>
      <c r="C1563" s="1">
        <v>45072</v>
      </c>
      <c r="D1563" t="s">
        <v>7</v>
      </c>
      <c r="E1563">
        <v>39</v>
      </c>
      <c r="F1563" t="s">
        <v>6</v>
      </c>
      <c r="G1563">
        <f t="shared" si="54"/>
        <v>64</v>
      </c>
      <c r="H1563" s="1" t="str">
        <f t="shared" si="55"/>
        <v>Thursday</v>
      </c>
    </row>
    <row r="1564" spans="1:8" x14ac:dyDescent="0.3">
      <c r="A1564">
        <v>206190599</v>
      </c>
      <c r="B1564" s="1">
        <v>45008</v>
      </c>
      <c r="C1564" s="1">
        <v>45057</v>
      </c>
      <c r="D1564" t="s">
        <v>7</v>
      </c>
      <c r="E1564">
        <v>39</v>
      </c>
      <c r="F1564" t="s">
        <v>6</v>
      </c>
      <c r="G1564">
        <f t="shared" si="54"/>
        <v>49</v>
      </c>
      <c r="H1564" s="1" t="str">
        <f t="shared" si="55"/>
        <v>Thursday</v>
      </c>
    </row>
    <row r="1565" spans="1:8" x14ac:dyDescent="0.3">
      <c r="A1565">
        <v>207014740</v>
      </c>
      <c r="B1565" s="1">
        <v>45008</v>
      </c>
      <c r="C1565" s="1">
        <v>45023</v>
      </c>
      <c r="D1565" t="s">
        <v>7</v>
      </c>
      <c r="E1565">
        <v>39</v>
      </c>
      <c r="F1565" t="s">
        <v>6</v>
      </c>
      <c r="G1565">
        <f t="shared" si="54"/>
        <v>15</v>
      </c>
      <c r="H1565" s="1" t="str">
        <f t="shared" si="55"/>
        <v>Thursday</v>
      </c>
    </row>
    <row r="1566" spans="1:8" x14ac:dyDescent="0.3">
      <c r="A1566">
        <v>156762690</v>
      </c>
      <c r="B1566" s="1">
        <v>45008</v>
      </c>
      <c r="C1566" s="1">
        <v>45037</v>
      </c>
      <c r="D1566" t="s">
        <v>7</v>
      </c>
      <c r="E1566">
        <v>39</v>
      </c>
      <c r="F1566" t="s">
        <v>6</v>
      </c>
      <c r="G1566">
        <f t="shared" si="54"/>
        <v>29</v>
      </c>
      <c r="H1566" s="1" t="str">
        <f t="shared" si="55"/>
        <v>Thursday</v>
      </c>
    </row>
    <row r="1567" spans="1:8" x14ac:dyDescent="0.3">
      <c r="A1567">
        <v>207116463</v>
      </c>
      <c r="B1567" s="1">
        <v>45008</v>
      </c>
      <c r="C1567" s="1">
        <v>45037</v>
      </c>
      <c r="D1567" t="s">
        <v>7</v>
      </c>
      <c r="E1567">
        <v>39</v>
      </c>
      <c r="F1567" t="s">
        <v>6</v>
      </c>
      <c r="G1567">
        <f t="shared" si="54"/>
        <v>29</v>
      </c>
      <c r="H1567" s="1" t="str">
        <f t="shared" si="55"/>
        <v>Thursday</v>
      </c>
    </row>
    <row r="1568" spans="1:8" x14ac:dyDescent="0.3">
      <c r="A1568">
        <v>206555111</v>
      </c>
      <c r="B1568" s="1">
        <v>45008</v>
      </c>
      <c r="C1568" s="1">
        <v>45033</v>
      </c>
      <c r="D1568" t="s">
        <v>7</v>
      </c>
      <c r="E1568">
        <v>39</v>
      </c>
      <c r="F1568" t="s">
        <v>6</v>
      </c>
      <c r="G1568">
        <f t="shared" si="54"/>
        <v>25</v>
      </c>
      <c r="H1568" s="1" t="str">
        <f t="shared" si="55"/>
        <v>Thursday</v>
      </c>
    </row>
    <row r="1569" spans="1:8" x14ac:dyDescent="0.3">
      <c r="A1569">
        <v>169543155</v>
      </c>
      <c r="B1569" s="1">
        <v>45008</v>
      </c>
      <c r="C1569" s="1">
        <v>45046</v>
      </c>
      <c r="D1569" t="s">
        <v>7</v>
      </c>
      <c r="E1569">
        <v>39</v>
      </c>
      <c r="F1569" t="s">
        <v>6</v>
      </c>
      <c r="G1569">
        <f t="shared" si="54"/>
        <v>38</v>
      </c>
      <c r="H1569" s="1" t="str">
        <f t="shared" si="55"/>
        <v>Thursday</v>
      </c>
    </row>
    <row r="1570" spans="1:8" x14ac:dyDescent="0.3">
      <c r="A1570">
        <v>202270426</v>
      </c>
      <c r="B1570" s="1">
        <v>45008</v>
      </c>
      <c r="C1570" s="1">
        <v>45046</v>
      </c>
      <c r="D1570" t="s">
        <v>7</v>
      </c>
      <c r="E1570">
        <v>39</v>
      </c>
      <c r="F1570" t="s">
        <v>6</v>
      </c>
      <c r="G1570">
        <f t="shared" si="54"/>
        <v>38</v>
      </c>
      <c r="H1570" s="1" t="str">
        <f t="shared" si="55"/>
        <v>Thursday</v>
      </c>
    </row>
    <row r="1571" spans="1:8" x14ac:dyDescent="0.3">
      <c r="A1571">
        <v>207005361</v>
      </c>
      <c r="B1571" s="1">
        <v>45008</v>
      </c>
      <c r="C1571" s="1">
        <v>45118</v>
      </c>
      <c r="D1571" t="s">
        <v>7</v>
      </c>
      <c r="E1571">
        <v>39</v>
      </c>
      <c r="F1571" t="s">
        <v>6</v>
      </c>
      <c r="G1571">
        <f t="shared" si="54"/>
        <v>110</v>
      </c>
      <c r="H1571" s="1" t="str">
        <f t="shared" si="55"/>
        <v>Thursday</v>
      </c>
    </row>
    <row r="1572" spans="1:8" x14ac:dyDescent="0.3">
      <c r="A1572">
        <v>206105763</v>
      </c>
      <c r="B1572" s="1">
        <v>45009</v>
      </c>
      <c r="C1572" t="s">
        <v>19</v>
      </c>
      <c r="D1572" t="s">
        <v>7</v>
      </c>
      <c r="E1572">
        <v>39</v>
      </c>
      <c r="F1572" t="s">
        <v>6</v>
      </c>
      <c r="G1572" t="str">
        <f t="shared" si="54"/>
        <v>Active</v>
      </c>
      <c r="H1572" s="1" t="str">
        <f t="shared" si="55"/>
        <v>Friday</v>
      </c>
    </row>
    <row r="1573" spans="1:8" x14ac:dyDescent="0.3">
      <c r="A1573">
        <v>198968224</v>
      </c>
      <c r="B1573" s="1">
        <v>45009</v>
      </c>
      <c r="C1573" t="s">
        <v>19</v>
      </c>
      <c r="D1573" t="s">
        <v>7</v>
      </c>
      <c r="E1573">
        <v>39</v>
      </c>
      <c r="F1573" t="s">
        <v>6</v>
      </c>
      <c r="G1573" t="str">
        <f t="shared" si="54"/>
        <v>Active</v>
      </c>
      <c r="H1573" s="1" t="str">
        <f t="shared" si="55"/>
        <v>Friday</v>
      </c>
    </row>
    <row r="1574" spans="1:8" x14ac:dyDescent="0.3">
      <c r="A1574">
        <v>205342230</v>
      </c>
      <c r="B1574" s="1">
        <v>45009</v>
      </c>
      <c r="C1574" t="s">
        <v>19</v>
      </c>
      <c r="D1574" t="s">
        <v>7</v>
      </c>
      <c r="E1574">
        <v>39</v>
      </c>
      <c r="F1574" t="s">
        <v>6</v>
      </c>
      <c r="G1574" t="str">
        <f t="shared" si="54"/>
        <v>Active</v>
      </c>
      <c r="H1574" s="1" t="str">
        <f t="shared" si="55"/>
        <v>Friday</v>
      </c>
    </row>
    <row r="1575" spans="1:8" x14ac:dyDescent="0.3">
      <c r="A1575">
        <v>207224044</v>
      </c>
      <c r="B1575" s="1">
        <v>45009</v>
      </c>
      <c r="C1575" t="s">
        <v>19</v>
      </c>
      <c r="D1575" t="s">
        <v>7</v>
      </c>
      <c r="E1575">
        <v>39</v>
      </c>
      <c r="F1575" t="s">
        <v>6</v>
      </c>
      <c r="G1575" t="str">
        <f t="shared" si="54"/>
        <v>Active</v>
      </c>
      <c r="H1575" s="1" t="str">
        <f t="shared" si="55"/>
        <v>Friday</v>
      </c>
    </row>
    <row r="1576" spans="1:8" x14ac:dyDescent="0.3">
      <c r="A1576">
        <v>174232231</v>
      </c>
      <c r="B1576" s="1">
        <v>45009</v>
      </c>
      <c r="C1576" t="s">
        <v>19</v>
      </c>
      <c r="D1576" t="s">
        <v>7</v>
      </c>
      <c r="E1576">
        <v>39</v>
      </c>
      <c r="F1576" t="s">
        <v>6</v>
      </c>
      <c r="G1576" t="str">
        <f t="shared" si="54"/>
        <v>Active</v>
      </c>
      <c r="H1576" s="1" t="str">
        <f t="shared" si="55"/>
        <v>Friday</v>
      </c>
    </row>
    <row r="1577" spans="1:8" x14ac:dyDescent="0.3">
      <c r="A1577">
        <v>207017124</v>
      </c>
      <c r="B1577" s="1">
        <v>45009</v>
      </c>
      <c r="C1577" s="1">
        <v>45009</v>
      </c>
      <c r="D1577" t="s">
        <v>8</v>
      </c>
      <c r="E1577">
        <v>39</v>
      </c>
      <c r="F1577" t="s">
        <v>6</v>
      </c>
      <c r="G1577">
        <f t="shared" si="54"/>
        <v>0</v>
      </c>
      <c r="H1577" s="1" t="str">
        <f t="shared" si="55"/>
        <v>Friday</v>
      </c>
    </row>
    <row r="1578" spans="1:8" x14ac:dyDescent="0.3">
      <c r="A1578">
        <v>194006146</v>
      </c>
      <c r="B1578" s="1">
        <v>45009</v>
      </c>
      <c r="C1578" s="1">
        <v>45093</v>
      </c>
      <c r="D1578" t="s">
        <v>7</v>
      </c>
      <c r="E1578">
        <v>39</v>
      </c>
      <c r="F1578" t="s">
        <v>6</v>
      </c>
      <c r="G1578">
        <f t="shared" si="54"/>
        <v>84</v>
      </c>
      <c r="H1578" s="1" t="str">
        <f t="shared" si="55"/>
        <v>Friday</v>
      </c>
    </row>
    <row r="1579" spans="1:8" x14ac:dyDescent="0.3">
      <c r="A1579">
        <v>150509580</v>
      </c>
      <c r="B1579" s="1">
        <v>45009</v>
      </c>
      <c r="C1579" s="1">
        <v>45086</v>
      </c>
      <c r="D1579" t="s">
        <v>7</v>
      </c>
      <c r="E1579">
        <v>39</v>
      </c>
      <c r="F1579" t="s">
        <v>6</v>
      </c>
      <c r="G1579">
        <f t="shared" si="54"/>
        <v>77</v>
      </c>
      <c r="H1579" s="1" t="str">
        <f t="shared" si="55"/>
        <v>Friday</v>
      </c>
    </row>
    <row r="1580" spans="1:8" x14ac:dyDescent="0.3">
      <c r="A1580">
        <v>207120479</v>
      </c>
      <c r="B1580" s="1">
        <v>45009</v>
      </c>
      <c r="C1580" s="1">
        <v>45076</v>
      </c>
      <c r="D1580" t="s">
        <v>7</v>
      </c>
      <c r="E1580">
        <v>39</v>
      </c>
      <c r="F1580" t="s">
        <v>6</v>
      </c>
      <c r="G1580">
        <f t="shared" si="54"/>
        <v>67</v>
      </c>
      <c r="H1580" s="1" t="str">
        <f t="shared" si="55"/>
        <v>Friday</v>
      </c>
    </row>
    <row r="1581" spans="1:8" x14ac:dyDescent="0.3">
      <c r="A1581">
        <v>162069198</v>
      </c>
      <c r="B1581" s="1">
        <v>45009</v>
      </c>
      <c r="C1581" s="1">
        <v>45039</v>
      </c>
      <c r="D1581" t="s">
        <v>7</v>
      </c>
      <c r="E1581">
        <v>39</v>
      </c>
      <c r="F1581" t="s">
        <v>6</v>
      </c>
      <c r="G1581">
        <f t="shared" si="54"/>
        <v>30</v>
      </c>
      <c r="H1581" s="1" t="str">
        <f t="shared" si="55"/>
        <v>Friday</v>
      </c>
    </row>
    <row r="1582" spans="1:8" x14ac:dyDescent="0.3">
      <c r="A1582">
        <v>206742272</v>
      </c>
      <c r="B1582" s="1">
        <v>45009</v>
      </c>
      <c r="C1582" s="1">
        <v>45044</v>
      </c>
      <c r="D1582" t="s">
        <v>7</v>
      </c>
      <c r="E1582">
        <v>39</v>
      </c>
      <c r="F1582" t="s">
        <v>6</v>
      </c>
      <c r="G1582">
        <f t="shared" si="54"/>
        <v>35</v>
      </c>
      <c r="H1582" s="1" t="str">
        <f t="shared" si="55"/>
        <v>Friday</v>
      </c>
    </row>
    <row r="1583" spans="1:8" x14ac:dyDescent="0.3">
      <c r="A1583">
        <v>207433836</v>
      </c>
      <c r="B1583" s="1">
        <v>45010</v>
      </c>
      <c r="C1583" t="s">
        <v>19</v>
      </c>
      <c r="D1583" t="s">
        <v>7</v>
      </c>
      <c r="E1583">
        <v>39</v>
      </c>
      <c r="F1583" t="s">
        <v>6</v>
      </c>
      <c r="G1583" t="str">
        <f t="shared" si="54"/>
        <v>Active</v>
      </c>
      <c r="H1583" s="1" t="str">
        <f t="shared" si="55"/>
        <v>Saturday</v>
      </c>
    </row>
    <row r="1584" spans="1:8" x14ac:dyDescent="0.3">
      <c r="A1584">
        <v>207382183</v>
      </c>
      <c r="B1584" s="1">
        <v>45010</v>
      </c>
      <c r="C1584" t="s">
        <v>19</v>
      </c>
      <c r="D1584" t="s">
        <v>7</v>
      </c>
      <c r="E1584">
        <v>39</v>
      </c>
      <c r="F1584" t="s">
        <v>6</v>
      </c>
      <c r="G1584" t="str">
        <f t="shared" si="54"/>
        <v>Active</v>
      </c>
      <c r="H1584" s="1" t="str">
        <f t="shared" si="55"/>
        <v>Saturday</v>
      </c>
    </row>
    <row r="1585" spans="1:8" x14ac:dyDescent="0.3">
      <c r="A1585">
        <v>205051942</v>
      </c>
      <c r="B1585" s="1">
        <v>45010</v>
      </c>
      <c r="C1585" t="s">
        <v>19</v>
      </c>
      <c r="D1585" t="s">
        <v>7</v>
      </c>
      <c r="E1585">
        <v>39</v>
      </c>
      <c r="F1585" t="s">
        <v>6</v>
      </c>
      <c r="G1585" t="str">
        <f t="shared" si="54"/>
        <v>Active</v>
      </c>
      <c r="H1585" s="1" t="str">
        <f t="shared" si="55"/>
        <v>Saturday</v>
      </c>
    </row>
    <row r="1586" spans="1:8" x14ac:dyDescent="0.3">
      <c r="A1586">
        <v>132631414</v>
      </c>
      <c r="B1586" s="1">
        <v>45010</v>
      </c>
      <c r="C1586" s="1">
        <v>45109</v>
      </c>
      <c r="D1586" t="s">
        <v>7</v>
      </c>
      <c r="E1586">
        <v>39</v>
      </c>
      <c r="F1586" t="s">
        <v>6</v>
      </c>
      <c r="G1586">
        <f t="shared" si="54"/>
        <v>99</v>
      </c>
      <c r="H1586" s="1" t="str">
        <f t="shared" si="55"/>
        <v>Saturday</v>
      </c>
    </row>
    <row r="1587" spans="1:8" x14ac:dyDescent="0.3">
      <c r="A1587">
        <v>207529664</v>
      </c>
      <c r="B1587" s="1">
        <v>45010</v>
      </c>
      <c r="C1587" s="1">
        <v>45016</v>
      </c>
      <c r="D1587" t="s">
        <v>7</v>
      </c>
      <c r="E1587">
        <v>39</v>
      </c>
      <c r="F1587" t="s">
        <v>6</v>
      </c>
      <c r="G1587">
        <f t="shared" si="54"/>
        <v>6</v>
      </c>
      <c r="H1587" s="1" t="str">
        <f t="shared" si="55"/>
        <v>Saturday</v>
      </c>
    </row>
    <row r="1588" spans="1:8" x14ac:dyDescent="0.3">
      <c r="A1588">
        <v>207022940</v>
      </c>
      <c r="B1588" s="1">
        <v>45010</v>
      </c>
      <c r="C1588" s="1">
        <v>45117</v>
      </c>
      <c r="D1588" t="s">
        <v>7</v>
      </c>
      <c r="E1588">
        <v>39</v>
      </c>
      <c r="F1588" t="s">
        <v>6</v>
      </c>
      <c r="G1588">
        <f t="shared" si="54"/>
        <v>107</v>
      </c>
      <c r="H1588" s="1" t="str">
        <f t="shared" si="55"/>
        <v>Saturday</v>
      </c>
    </row>
    <row r="1589" spans="1:8" x14ac:dyDescent="0.3">
      <c r="A1589">
        <v>207388337</v>
      </c>
      <c r="B1589" s="1">
        <v>45010</v>
      </c>
      <c r="C1589" s="1">
        <v>45141</v>
      </c>
      <c r="D1589" t="s">
        <v>7</v>
      </c>
      <c r="E1589">
        <v>39</v>
      </c>
      <c r="F1589" t="s">
        <v>6</v>
      </c>
      <c r="G1589">
        <f t="shared" si="54"/>
        <v>131</v>
      </c>
      <c r="H1589" s="1" t="str">
        <f t="shared" si="55"/>
        <v>Saturday</v>
      </c>
    </row>
    <row r="1590" spans="1:8" x14ac:dyDescent="0.3">
      <c r="A1590">
        <v>205883858</v>
      </c>
      <c r="B1590" s="1">
        <v>45011</v>
      </c>
      <c r="C1590" t="s">
        <v>19</v>
      </c>
      <c r="D1590" t="s">
        <v>7</v>
      </c>
      <c r="E1590">
        <v>39</v>
      </c>
      <c r="F1590" t="s">
        <v>6</v>
      </c>
      <c r="G1590" t="str">
        <f t="shared" si="54"/>
        <v>Active</v>
      </c>
      <c r="H1590" s="1" t="str">
        <f t="shared" si="55"/>
        <v>Sunday</v>
      </c>
    </row>
    <row r="1591" spans="1:8" x14ac:dyDescent="0.3">
      <c r="A1591">
        <v>173711359</v>
      </c>
      <c r="B1591" s="1">
        <v>45011</v>
      </c>
      <c r="C1591" s="1">
        <v>45087</v>
      </c>
      <c r="D1591" t="s">
        <v>7</v>
      </c>
      <c r="E1591">
        <v>39</v>
      </c>
      <c r="F1591" t="s">
        <v>6</v>
      </c>
      <c r="G1591">
        <f t="shared" si="54"/>
        <v>76</v>
      </c>
      <c r="H1591" s="1" t="str">
        <f t="shared" si="55"/>
        <v>Sunday</v>
      </c>
    </row>
    <row r="1592" spans="1:8" x14ac:dyDescent="0.3">
      <c r="A1592">
        <v>207078726</v>
      </c>
      <c r="B1592" s="1">
        <v>45011</v>
      </c>
      <c r="C1592" s="1">
        <v>45090</v>
      </c>
      <c r="D1592" t="s">
        <v>7</v>
      </c>
      <c r="E1592">
        <v>39</v>
      </c>
      <c r="F1592" t="s">
        <v>6</v>
      </c>
      <c r="G1592">
        <f t="shared" si="54"/>
        <v>79</v>
      </c>
      <c r="H1592" s="1" t="str">
        <f t="shared" si="55"/>
        <v>Sunday</v>
      </c>
    </row>
    <row r="1593" spans="1:8" x14ac:dyDescent="0.3">
      <c r="A1593">
        <v>207415911</v>
      </c>
      <c r="B1593" s="1">
        <v>45011</v>
      </c>
      <c r="C1593" s="1">
        <v>45077</v>
      </c>
      <c r="D1593" t="s">
        <v>7</v>
      </c>
      <c r="E1593">
        <v>39</v>
      </c>
      <c r="F1593" t="s">
        <v>6</v>
      </c>
      <c r="G1593">
        <f t="shared" si="54"/>
        <v>66</v>
      </c>
      <c r="H1593" s="1" t="str">
        <f t="shared" si="55"/>
        <v>Sunday</v>
      </c>
    </row>
    <row r="1594" spans="1:8" x14ac:dyDescent="0.3">
      <c r="A1594">
        <v>207391012</v>
      </c>
      <c r="B1594" s="1">
        <v>45011</v>
      </c>
      <c r="C1594" s="1">
        <v>45022</v>
      </c>
      <c r="D1594" t="s">
        <v>7</v>
      </c>
      <c r="E1594">
        <v>39</v>
      </c>
      <c r="F1594" t="s">
        <v>6</v>
      </c>
      <c r="G1594">
        <f t="shared" si="54"/>
        <v>11</v>
      </c>
      <c r="H1594" s="1" t="str">
        <f t="shared" si="55"/>
        <v>Sunday</v>
      </c>
    </row>
    <row r="1595" spans="1:8" x14ac:dyDescent="0.3">
      <c r="A1595">
        <v>207699946</v>
      </c>
      <c r="B1595" s="1">
        <v>45011</v>
      </c>
      <c r="C1595" s="1">
        <v>45040</v>
      </c>
      <c r="D1595" t="s">
        <v>7</v>
      </c>
      <c r="E1595">
        <v>39</v>
      </c>
      <c r="F1595" t="s">
        <v>6</v>
      </c>
      <c r="G1595">
        <f t="shared" si="54"/>
        <v>29</v>
      </c>
      <c r="H1595" s="1" t="str">
        <f t="shared" si="55"/>
        <v>Sunday</v>
      </c>
    </row>
    <row r="1596" spans="1:8" x14ac:dyDescent="0.3">
      <c r="A1596">
        <v>207665488</v>
      </c>
      <c r="B1596" s="1">
        <v>45011</v>
      </c>
      <c r="C1596" s="1">
        <v>45011</v>
      </c>
      <c r="D1596" t="s">
        <v>7</v>
      </c>
      <c r="E1596">
        <v>39</v>
      </c>
      <c r="F1596" t="s">
        <v>6</v>
      </c>
      <c r="G1596">
        <f t="shared" si="54"/>
        <v>0</v>
      </c>
      <c r="H1596" s="1" t="str">
        <f t="shared" si="55"/>
        <v>Sunday</v>
      </c>
    </row>
    <row r="1597" spans="1:8" x14ac:dyDescent="0.3">
      <c r="A1597">
        <v>207742153</v>
      </c>
      <c r="B1597" s="1">
        <v>45011</v>
      </c>
      <c r="C1597" s="1">
        <v>45114</v>
      </c>
      <c r="D1597" t="s">
        <v>7</v>
      </c>
      <c r="E1597">
        <v>39</v>
      </c>
      <c r="F1597" t="s">
        <v>6</v>
      </c>
      <c r="G1597">
        <f t="shared" si="54"/>
        <v>103</v>
      </c>
      <c r="H1597" s="1" t="str">
        <f t="shared" si="55"/>
        <v>Sunday</v>
      </c>
    </row>
    <row r="1598" spans="1:8" x14ac:dyDescent="0.3">
      <c r="A1598">
        <v>207288677</v>
      </c>
      <c r="B1598" s="1">
        <v>45012</v>
      </c>
      <c r="C1598" t="s">
        <v>19</v>
      </c>
      <c r="D1598" t="s">
        <v>7</v>
      </c>
      <c r="E1598">
        <v>39</v>
      </c>
      <c r="F1598" t="s">
        <v>6</v>
      </c>
      <c r="G1598" t="str">
        <f t="shared" si="54"/>
        <v>Active</v>
      </c>
      <c r="H1598" s="1" t="str">
        <f t="shared" si="55"/>
        <v>Monday</v>
      </c>
    </row>
    <row r="1599" spans="1:8" x14ac:dyDescent="0.3">
      <c r="A1599">
        <v>208151007</v>
      </c>
      <c r="B1599" s="1">
        <v>45012</v>
      </c>
      <c r="C1599" t="s">
        <v>19</v>
      </c>
      <c r="D1599" t="s">
        <v>7</v>
      </c>
      <c r="E1599">
        <v>39</v>
      </c>
      <c r="F1599" t="s">
        <v>6</v>
      </c>
      <c r="G1599" t="str">
        <f t="shared" si="54"/>
        <v>Active</v>
      </c>
      <c r="H1599" s="1" t="str">
        <f t="shared" si="55"/>
        <v>Monday</v>
      </c>
    </row>
    <row r="1600" spans="1:8" x14ac:dyDescent="0.3">
      <c r="A1600">
        <v>207218336</v>
      </c>
      <c r="B1600" s="1">
        <v>45012</v>
      </c>
      <c r="C1600" t="s">
        <v>19</v>
      </c>
      <c r="D1600" t="s">
        <v>7</v>
      </c>
      <c r="E1600">
        <v>39</v>
      </c>
      <c r="F1600" t="s">
        <v>6</v>
      </c>
      <c r="G1600" t="str">
        <f t="shared" si="54"/>
        <v>Active</v>
      </c>
      <c r="H1600" s="1" t="str">
        <f t="shared" si="55"/>
        <v>Monday</v>
      </c>
    </row>
    <row r="1601" spans="1:8" x14ac:dyDescent="0.3">
      <c r="A1601">
        <v>208105889</v>
      </c>
      <c r="B1601" s="1">
        <v>45012</v>
      </c>
      <c r="C1601" t="s">
        <v>19</v>
      </c>
      <c r="D1601" t="s">
        <v>7</v>
      </c>
      <c r="E1601">
        <v>39</v>
      </c>
      <c r="F1601" t="s">
        <v>6</v>
      </c>
      <c r="G1601" t="str">
        <f t="shared" si="54"/>
        <v>Active</v>
      </c>
      <c r="H1601" s="1" t="str">
        <f t="shared" si="55"/>
        <v>Monday</v>
      </c>
    </row>
    <row r="1602" spans="1:8" x14ac:dyDescent="0.3">
      <c r="A1602">
        <v>152221925</v>
      </c>
      <c r="B1602" s="1">
        <v>45012</v>
      </c>
      <c r="C1602" s="1">
        <v>45096</v>
      </c>
      <c r="D1602" t="s">
        <v>7</v>
      </c>
      <c r="E1602">
        <v>39</v>
      </c>
      <c r="F1602" t="s">
        <v>6</v>
      </c>
      <c r="G1602">
        <f t="shared" si="54"/>
        <v>84</v>
      </c>
      <c r="H1602" s="1" t="str">
        <f t="shared" si="55"/>
        <v>Monday</v>
      </c>
    </row>
    <row r="1603" spans="1:8" x14ac:dyDescent="0.3">
      <c r="A1603">
        <v>207090754</v>
      </c>
      <c r="B1603" s="1">
        <v>45012</v>
      </c>
      <c r="C1603" s="1">
        <v>45078</v>
      </c>
      <c r="D1603" t="s">
        <v>7</v>
      </c>
      <c r="E1603">
        <v>39</v>
      </c>
      <c r="F1603" t="s">
        <v>6</v>
      </c>
      <c r="G1603">
        <f t="shared" ref="G1603:G1666" si="56">IF(C1603="Active","Active",C1603-B1603)</f>
        <v>66</v>
      </c>
      <c r="H1603" s="1" t="str">
        <f t="shared" ref="H1603:H1666" si="57">TEXT(B1603,"dddd")</f>
        <v>Monday</v>
      </c>
    </row>
    <row r="1604" spans="1:8" x14ac:dyDescent="0.3">
      <c r="A1604">
        <v>128283235</v>
      </c>
      <c r="B1604" s="1">
        <v>45012</v>
      </c>
      <c r="C1604" s="1">
        <v>45134</v>
      </c>
      <c r="D1604" t="s">
        <v>7</v>
      </c>
      <c r="E1604">
        <v>39</v>
      </c>
      <c r="F1604" t="s">
        <v>6</v>
      </c>
      <c r="G1604">
        <f t="shared" si="56"/>
        <v>122</v>
      </c>
      <c r="H1604" s="1" t="str">
        <f t="shared" si="57"/>
        <v>Monday</v>
      </c>
    </row>
    <row r="1605" spans="1:8" x14ac:dyDescent="0.3">
      <c r="A1605">
        <v>206686106</v>
      </c>
      <c r="B1605" s="1">
        <v>45012</v>
      </c>
      <c r="C1605" s="1">
        <v>45050</v>
      </c>
      <c r="D1605" t="s">
        <v>7</v>
      </c>
      <c r="E1605">
        <v>39</v>
      </c>
      <c r="F1605" t="s">
        <v>6</v>
      </c>
      <c r="G1605">
        <f t="shared" si="56"/>
        <v>38</v>
      </c>
      <c r="H1605" s="1" t="str">
        <f t="shared" si="57"/>
        <v>Monday</v>
      </c>
    </row>
    <row r="1606" spans="1:8" x14ac:dyDescent="0.3">
      <c r="A1606">
        <v>208090380</v>
      </c>
      <c r="B1606" s="1">
        <v>45012</v>
      </c>
      <c r="C1606" s="1">
        <v>45026</v>
      </c>
      <c r="D1606" t="s">
        <v>7</v>
      </c>
      <c r="E1606">
        <v>39</v>
      </c>
      <c r="F1606" t="s">
        <v>6</v>
      </c>
      <c r="G1606">
        <f t="shared" si="56"/>
        <v>14</v>
      </c>
      <c r="H1606" s="1" t="str">
        <f t="shared" si="57"/>
        <v>Monday</v>
      </c>
    </row>
    <row r="1607" spans="1:8" x14ac:dyDescent="0.3">
      <c r="A1607">
        <v>153281230</v>
      </c>
      <c r="B1607" s="1">
        <v>45012</v>
      </c>
      <c r="C1607" s="1">
        <v>45033</v>
      </c>
      <c r="D1607" t="s">
        <v>7</v>
      </c>
      <c r="E1607">
        <v>39</v>
      </c>
      <c r="F1607" t="s">
        <v>6</v>
      </c>
      <c r="G1607">
        <f t="shared" si="56"/>
        <v>21</v>
      </c>
      <c r="H1607" s="1" t="str">
        <f t="shared" si="57"/>
        <v>Monday</v>
      </c>
    </row>
    <row r="1608" spans="1:8" x14ac:dyDescent="0.3">
      <c r="A1608">
        <v>205049710</v>
      </c>
      <c r="B1608" s="1">
        <v>45012</v>
      </c>
      <c r="C1608" s="1">
        <v>45013</v>
      </c>
      <c r="D1608" t="s">
        <v>7</v>
      </c>
      <c r="E1608">
        <v>39</v>
      </c>
      <c r="F1608" t="s">
        <v>6</v>
      </c>
      <c r="G1608">
        <f t="shared" si="56"/>
        <v>1</v>
      </c>
      <c r="H1608" s="1" t="str">
        <f t="shared" si="57"/>
        <v>Monday</v>
      </c>
    </row>
    <row r="1609" spans="1:8" x14ac:dyDescent="0.3">
      <c r="A1609">
        <v>208618235</v>
      </c>
      <c r="B1609" s="1">
        <v>45013</v>
      </c>
      <c r="C1609" t="s">
        <v>19</v>
      </c>
      <c r="D1609" t="s">
        <v>7</v>
      </c>
      <c r="E1609">
        <v>39</v>
      </c>
      <c r="F1609" t="s">
        <v>6</v>
      </c>
      <c r="G1609" t="str">
        <f t="shared" si="56"/>
        <v>Active</v>
      </c>
      <c r="H1609" s="1" t="str">
        <f t="shared" si="57"/>
        <v>Tuesday</v>
      </c>
    </row>
    <row r="1610" spans="1:8" x14ac:dyDescent="0.3">
      <c r="A1610">
        <v>167713351</v>
      </c>
      <c r="B1610" s="1">
        <v>45013</v>
      </c>
      <c r="C1610" t="s">
        <v>19</v>
      </c>
      <c r="D1610" t="s">
        <v>7</v>
      </c>
      <c r="E1610">
        <v>39</v>
      </c>
      <c r="F1610" t="s">
        <v>6</v>
      </c>
      <c r="G1610" t="str">
        <f t="shared" si="56"/>
        <v>Active</v>
      </c>
      <c r="H1610" s="1" t="str">
        <f t="shared" si="57"/>
        <v>Tuesday</v>
      </c>
    </row>
    <row r="1611" spans="1:8" x14ac:dyDescent="0.3">
      <c r="A1611">
        <v>149975492</v>
      </c>
      <c r="B1611" s="1">
        <v>45013</v>
      </c>
      <c r="C1611" t="s">
        <v>19</v>
      </c>
      <c r="D1611" t="s">
        <v>7</v>
      </c>
      <c r="E1611">
        <v>39</v>
      </c>
      <c r="F1611" t="s">
        <v>6</v>
      </c>
      <c r="G1611" t="str">
        <f t="shared" si="56"/>
        <v>Active</v>
      </c>
      <c r="H1611" s="1" t="str">
        <f t="shared" si="57"/>
        <v>Tuesday</v>
      </c>
    </row>
    <row r="1612" spans="1:8" x14ac:dyDescent="0.3">
      <c r="A1612">
        <v>208286745</v>
      </c>
      <c r="B1612" s="1">
        <v>45013</v>
      </c>
      <c r="C1612" t="s">
        <v>19</v>
      </c>
      <c r="D1612" t="s">
        <v>7</v>
      </c>
      <c r="E1612">
        <v>39</v>
      </c>
      <c r="F1612" t="s">
        <v>6</v>
      </c>
      <c r="G1612" t="str">
        <f t="shared" si="56"/>
        <v>Active</v>
      </c>
      <c r="H1612" s="1" t="str">
        <f t="shared" si="57"/>
        <v>Tuesday</v>
      </c>
    </row>
    <row r="1613" spans="1:8" x14ac:dyDescent="0.3">
      <c r="A1613">
        <v>208473540</v>
      </c>
      <c r="B1613" s="1">
        <v>45013</v>
      </c>
      <c r="C1613" s="1">
        <v>45013</v>
      </c>
      <c r="D1613" t="s">
        <v>7</v>
      </c>
      <c r="E1613">
        <v>39</v>
      </c>
      <c r="F1613" t="s">
        <v>6</v>
      </c>
      <c r="G1613">
        <f t="shared" si="56"/>
        <v>0</v>
      </c>
      <c r="H1613" s="1" t="str">
        <f t="shared" si="57"/>
        <v>Tuesday</v>
      </c>
    </row>
    <row r="1614" spans="1:8" x14ac:dyDescent="0.3">
      <c r="A1614">
        <v>137721176</v>
      </c>
      <c r="B1614" s="1">
        <v>45013</v>
      </c>
      <c r="C1614" s="1">
        <v>45138</v>
      </c>
      <c r="D1614" t="s">
        <v>7</v>
      </c>
      <c r="E1614">
        <v>39</v>
      </c>
      <c r="F1614" t="s">
        <v>6</v>
      </c>
      <c r="G1614">
        <f t="shared" si="56"/>
        <v>125</v>
      </c>
      <c r="H1614" s="1" t="str">
        <f t="shared" si="57"/>
        <v>Tuesday</v>
      </c>
    </row>
    <row r="1615" spans="1:8" x14ac:dyDescent="0.3">
      <c r="A1615">
        <v>140062581</v>
      </c>
      <c r="B1615" s="1">
        <v>45013</v>
      </c>
      <c r="C1615" s="1">
        <v>45059</v>
      </c>
      <c r="D1615" t="s">
        <v>7</v>
      </c>
      <c r="E1615">
        <v>39</v>
      </c>
      <c r="F1615" t="s">
        <v>6</v>
      </c>
      <c r="G1615">
        <f t="shared" si="56"/>
        <v>46</v>
      </c>
      <c r="H1615" s="1" t="str">
        <f t="shared" si="57"/>
        <v>Tuesday</v>
      </c>
    </row>
    <row r="1616" spans="1:8" x14ac:dyDescent="0.3">
      <c r="A1616">
        <v>208488674</v>
      </c>
      <c r="B1616" s="1">
        <v>45013</v>
      </c>
      <c r="C1616" s="1">
        <v>45078</v>
      </c>
      <c r="D1616" t="s">
        <v>7</v>
      </c>
      <c r="E1616">
        <v>39</v>
      </c>
      <c r="F1616" t="s">
        <v>6</v>
      </c>
      <c r="G1616">
        <f t="shared" si="56"/>
        <v>65</v>
      </c>
      <c r="H1616" s="1" t="str">
        <f t="shared" si="57"/>
        <v>Tuesday</v>
      </c>
    </row>
    <row r="1617" spans="1:8" x14ac:dyDescent="0.3">
      <c r="A1617">
        <v>162752410</v>
      </c>
      <c r="B1617" s="1">
        <v>45013</v>
      </c>
      <c r="C1617" s="1">
        <v>45158</v>
      </c>
      <c r="D1617" t="s">
        <v>7</v>
      </c>
      <c r="E1617">
        <v>39</v>
      </c>
      <c r="F1617" t="s">
        <v>6</v>
      </c>
      <c r="G1617">
        <f t="shared" si="56"/>
        <v>145</v>
      </c>
      <c r="H1617" s="1" t="str">
        <f t="shared" si="57"/>
        <v>Tuesday</v>
      </c>
    </row>
    <row r="1618" spans="1:8" x14ac:dyDescent="0.3">
      <c r="A1618">
        <v>208598415</v>
      </c>
      <c r="B1618" s="1">
        <v>45013</v>
      </c>
      <c r="C1618" s="1">
        <v>45049</v>
      </c>
      <c r="D1618" t="s">
        <v>7</v>
      </c>
      <c r="E1618">
        <v>39</v>
      </c>
      <c r="F1618" t="s">
        <v>6</v>
      </c>
      <c r="G1618">
        <f t="shared" si="56"/>
        <v>36</v>
      </c>
      <c r="H1618" s="1" t="str">
        <f t="shared" si="57"/>
        <v>Tuesday</v>
      </c>
    </row>
    <row r="1619" spans="1:8" x14ac:dyDescent="0.3">
      <c r="A1619">
        <v>143427096</v>
      </c>
      <c r="B1619" s="1">
        <v>45013</v>
      </c>
      <c r="C1619" s="1">
        <v>45047</v>
      </c>
      <c r="D1619" t="s">
        <v>7</v>
      </c>
      <c r="E1619">
        <v>39</v>
      </c>
      <c r="F1619" t="s">
        <v>6</v>
      </c>
      <c r="G1619">
        <f t="shared" si="56"/>
        <v>34</v>
      </c>
      <c r="H1619" s="1" t="str">
        <f t="shared" si="57"/>
        <v>Tuesday</v>
      </c>
    </row>
    <row r="1620" spans="1:8" x14ac:dyDescent="0.3">
      <c r="A1620">
        <v>208480650</v>
      </c>
      <c r="B1620" s="1">
        <v>45013</v>
      </c>
      <c r="C1620" s="1">
        <v>45030</v>
      </c>
      <c r="D1620" t="s">
        <v>7</v>
      </c>
      <c r="E1620">
        <v>39</v>
      </c>
      <c r="F1620" t="s">
        <v>6</v>
      </c>
      <c r="G1620">
        <f t="shared" si="56"/>
        <v>17</v>
      </c>
      <c r="H1620" s="1" t="str">
        <f t="shared" si="57"/>
        <v>Tuesday</v>
      </c>
    </row>
    <row r="1621" spans="1:8" x14ac:dyDescent="0.3">
      <c r="A1621">
        <v>147000442</v>
      </c>
      <c r="B1621" s="1">
        <v>45014</v>
      </c>
      <c r="C1621" t="s">
        <v>19</v>
      </c>
      <c r="D1621" t="s">
        <v>7</v>
      </c>
      <c r="E1621">
        <v>39</v>
      </c>
      <c r="F1621" t="s">
        <v>6</v>
      </c>
      <c r="G1621" t="str">
        <f t="shared" si="56"/>
        <v>Active</v>
      </c>
      <c r="H1621" s="1" t="str">
        <f t="shared" si="57"/>
        <v>Wednesday</v>
      </c>
    </row>
    <row r="1622" spans="1:8" x14ac:dyDescent="0.3">
      <c r="A1622">
        <v>207062508</v>
      </c>
      <c r="B1622" s="1">
        <v>45014</v>
      </c>
      <c r="C1622" t="s">
        <v>19</v>
      </c>
      <c r="D1622" t="s">
        <v>7</v>
      </c>
      <c r="E1622">
        <v>39</v>
      </c>
      <c r="F1622" t="s">
        <v>6</v>
      </c>
      <c r="G1622" t="str">
        <f t="shared" si="56"/>
        <v>Active</v>
      </c>
      <c r="H1622" s="1" t="str">
        <f t="shared" si="57"/>
        <v>Wednesday</v>
      </c>
    </row>
    <row r="1623" spans="1:8" x14ac:dyDescent="0.3">
      <c r="A1623">
        <v>206862916</v>
      </c>
      <c r="B1623" s="1">
        <v>45014</v>
      </c>
      <c r="C1623" t="s">
        <v>19</v>
      </c>
      <c r="D1623" t="s">
        <v>7</v>
      </c>
      <c r="E1623">
        <v>39</v>
      </c>
      <c r="F1623" t="s">
        <v>6</v>
      </c>
      <c r="G1623" t="str">
        <f t="shared" si="56"/>
        <v>Active</v>
      </c>
      <c r="H1623" s="1" t="str">
        <f t="shared" si="57"/>
        <v>Wednesday</v>
      </c>
    </row>
    <row r="1624" spans="1:8" x14ac:dyDescent="0.3">
      <c r="A1624">
        <v>208706866</v>
      </c>
      <c r="B1624" s="1">
        <v>45014</v>
      </c>
      <c r="C1624" t="s">
        <v>19</v>
      </c>
      <c r="D1624" t="s">
        <v>7</v>
      </c>
      <c r="E1624">
        <v>39</v>
      </c>
      <c r="F1624" t="s">
        <v>6</v>
      </c>
      <c r="G1624" t="str">
        <f t="shared" si="56"/>
        <v>Active</v>
      </c>
      <c r="H1624" s="1" t="str">
        <f t="shared" si="57"/>
        <v>Wednesday</v>
      </c>
    </row>
    <row r="1625" spans="1:8" x14ac:dyDescent="0.3">
      <c r="A1625">
        <v>134719816</v>
      </c>
      <c r="B1625" s="1">
        <v>45014</v>
      </c>
      <c r="C1625" s="1">
        <v>45095</v>
      </c>
      <c r="D1625" t="s">
        <v>7</v>
      </c>
      <c r="E1625">
        <v>39</v>
      </c>
      <c r="F1625" t="s">
        <v>6</v>
      </c>
      <c r="G1625">
        <f t="shared" si="56"/>
        <v>81</v>
      </c>
      <c r="H1625" s="1" t="str">
        <f t="shared" si="57"/>
        <v>Wednesday</v>
      </c>
    </row>
    <row r="1626" spans="1:8" x14ac:dyDescent="0.3">
      <c r="A1626">
        <v>138548670</v>
      </c>
      <c r="B1626" s="1">
        <v>45014</v>
      </c>
      <c r="C1626" s="1">
        <v>45076</v>
      </c>
      <c r="D1626" t="s">
        <v>7</v>
      </c>
      <c r="E1626">
        <v>39</v>
      </c>
      <c r="F1626" t="s">
        <v>6</v>
      </c>
      <c r="G1626">
        <f t="shared" si="56"/>
        <v>62</v>
      </c>
      <c r="H1626" s="1" t="str">
        <f t="shared" si="57"/>
        <v>Wednesday</v>
      </c>
    </row>
    <row r="1627" spans="1:8" x14ac:dyDescent="0.3">
      <c r="A1627">
        <v>208745476</v>
      </c>
      <c r="B1627" s="1">
        <v>45014</v>
      </c>
      <c r="C1627" s="1">
        <v>45098</v>
      </c>
      <c r="D1627" t="s">
        <v>7</v>
      </c>
      <c r="E1627">
        <v>39</v>
      </c>
      <c r="F1627" t="s">
        <v>6</v>
      </c>
      <c r="G1627">
        <f t="shared" si="56"/>
        <v>84</v>
      </c>
      <c r="H1627" s="1" t="str">
        <f t="shared" si="57"/>
        <v>Wednesday</v>
      </c>
    </row>
    <row r="1628" spans="1:8" x14ac:dyDescent="0.3">
      <c r="A1628">
        <v>182584521</v>
      </c>
      <c r="B1628" s="1">
        <v>45014</v>
      </c>
      <c r="C1628" s="1">
        <v>45052</v>
      </c>
      <c r="D1628" t="s">
        <v>7</v>
      </c>
      <c r="E1628">
        <v>39</v>
      </c>
      <c r="F1628" t="s">
        <v>6</v>
      </c>
      <c r="G1628">
        <f t="shared" si="56"/>
        <v>38</v>
      </c>
      <c r="H1628" s="1" t="str">
        <f t="shared" si="57"/>
        <v>Wednesday</v>
      </c>
    </row>
    <row r="1629" spans="1:8" x14ac:dyDescent="0.3">
      <c r="A1629">
        <v>206463427</v>
      </c>
      <c r="B1629" s="1">
        <v>45014</v>
      </c>
      <c r="C1629" s="1">
        <v>45050</v>
      </c>
      <c r="D1629" t="s">
        <v>7</v>
      </c>
      <c r="E1629">
        <v>39</v>
      </c>
      <c r="F1629" t="s">
        <v>6</v>
      </c>
      <c r="G1629">
        <f t="shared" si="56"/>
        <v>36</v>
      </c>
      <c r="H1629" s="1" t="str">
        <f t="shared" si="57"/>
        <v>Wednesday</v>
      </c>
    </row>
    <row r="1630" spans="1:8" x14ac:dyDescent="0.3">
      <c r="A1630">
        <v>158947936</v>
      </c>
      <c r="B1630" s="1">
        <v>45014</v>
      </c>
      <c r="C1630" s="1">
        <v>45044</v>
      </c>
      <c r="D1630" t="s">
        <v>7</v>
      </c>
      <c r="E1630">
        <v>39</v>
      </c>
      <c r="F1630" t="s">
        <v>6</v>
      </c>
      <c r="G1630">
        <f t="shared" si="56"/>
        <v>30</v>
      </c>
      <c r="H1630" s="1" t="str">
        <f t="shared" si="57"/>
        <v>Wednesday</v>
      </c>
    </row>
    <row r="1631" spans="1:8" x14ac:dyDescent="0.3">
      <c r="A1631">
        <v>182737296</v>
      </c>
      <c r="B1631" s="1">
        <v>45014</v>
      </c>
      <c r="C1631" s="1">
        <v>45045</v>
      </c>
      <c r="D1631" t="s">
        <v>7</v>
      </c>
      <c r="E1631">
        <v>39</v>
      </c>
      <c r="F1631" t="s">
        <v>6</v>
      </c>
      <c r="G1631">
        <f t="shared" si="56"/>
        <v>31</v>
      </c>
      <c r="H1631" s="1" t="str">
        <f t="shared" si="57"/>
        <v>Wednesday</v>
      </c>
    </row>
    <row r="1632" spans="1:8" x14ac:dyDescent="0.3">
      <c r="A1632">
        <v>156550538</v>
      </c>
      <c r="B1632" s="1">
        <v>45015</v>
      </c>
      <c r="C1632" t="s">
        <v>19</v>
      </c>
      <c r="D1632" t="s">
        <v>7</v>
      </c>
      <c r="E1632">
        <v>39</v>
      </c>
      <c r="F1632" t="s">
        <v>6</v>
      </c>
      <c r="G1632" t="str">
        <f t="shared" si="56"/>
        <v>Active</v>
      </c>
      <c r="H1632" s="1" t="str">
        <f t="shared" si="57"/>
        <v>Thursday</v>
      </c>
    </row>
    <row r="1633" spans="1:8" x14ac:dyDescent="0.3">
      <c r="A1633">
        <v>208897557</v>
      </c>
      <c r="B1633" s="1">
        <v>45015</v>
      </c>
      <c r="C1633" t="s">
        <v>19</v>
      </c>
      <c r="D1633" t="s">
        <v>7</v>
      </c>
      <c r="E1633">
        <v>39</v>
      </c>
      <c r="F1633" t="s">
        <v>6</v>
      </c>
      <c r="G1633" t="str">
        <f t="shared" si="56"/>
        <v>Active</v>
      </c>
      <c r="H1633" s="1" t="str">
        <f t="shared" si="57"/>
        <v>Thursday</v>
      </c>
    </row>
    <row r="1634" spans="1:8" x14ac:dyDescent="0.3">
      <c r="A1634">
        <v>157484010</v>
      </c>
      <c r="B1634" s="1">
        <v>45015</v>
      </c>
      <c r="C1634" t="s">
        <v>19</v>
      </c>
      <c r="D1634" t="s">
        <v>7</v>
      </c>
      <c r="E1634">
        <v>39</v>
      </c>
      <c r="F1634" t="s">
        <v>6</v>
      </c>
      <c r="G1634" t="str">
        <f t="shared" si="56"/>
        <v>Active</v>
      </c>
      <c r="H1634" s="1" t="str">
        <f t="shared" si="57"/>
        <v>Thursday</v>
      </c>
    </row>
    <row r="1635" spans="1:8" x14ac:dyDescent="0.3">
      <c r="A1635">
        <v>146450388</v>
      </c>
      <c r="B1635" s="1">
        <v>45015</v>
      </c>
      <c r="C1635" s="1">
        <v>45083</v>
      </c>
      <c r="D1635" t="s">
        <v>7</v>
      </c>
      <c r="E1635">
        <v>39</v>
      </c>
      <c r="F1635" t="s">
        <v>6</v>
      </c>
      <c r="G1635">
        <f t="shared" si="56"/>
        <v>68</v>
      </c>
      <c r="H1635" s="1" t="str">
        <f t="shared" si="57"/>
        <v>Thursday</v>
      </c>
    </row>
    <row r="1636" spans="1:8" x14ac:dyDescent="0.3">
      <c r="A1636">
        <v>208610366</v>
      </c>
      <c r="B1636" s="1">
        <v>45015</v>
      </c>
      <c r="C1636" s="1">
        <v>45114</v>
      </c>
      <c r="D1636" t="s">
        <v>7</v>
      </c>
      <c r="E1636">
        <v>39</v>
      </c>
      <c r="F1636" t="s">
        <v>6</v>
      </c>
      <c r="G1636">
        <f t="shared" si="56"/>
        <v>99</v>
      </c>
      <c r="H1636" s="1" t="str">
        <f t="shared" si="57"/>
        <v>Thursday</v>
      </c>
    </row>
    <row r="1637" spans="1:8" x14ac:dyDescent="0.3">
      <c r="A1637">
        <v>208913022</v>
      </c>
      <c r="B1637" s="1">
        <v>45015</v>
      </c>
      <c r="C1637" s="1">
        <v>45065</v>
      </c>
      <c r="D1637" t="s">
        <v>7</v>
      </c>
      <c r="E1637">
        <v>39</v>
      </c>
      <c r="F1637" t="s">
        <v>6</v>
      </c>
      <c r="G1637">
        <f t="shared" si="56"/>
        <v>50</v>
      </c>
      <c r="H1637" s="1" t="str">
        <f t="shared" si="57"/>
        <v>Thursday</v>
      </c>
    </row>
    <row r="1638" spans="1:8" x14ac:dyDescent="0.3">
      <c r="A1638">
        <v>205813846</v>
      </c>
      <c r="B1638" s="1">
        <v>45015</v>
      </c>
      <c r="C1638" s="1">
        <v>45065</v>
      </c>
      <c r="D1638" t="s">
        <v>7</v>
      </c>
      <c r="E1638">
        <v>39</v>
      </c>
      <c r="F1638" t="s">
        <v>6</v>
      </c>
      <c r="G1638">
        <f t="shared" si="56"/>
        <v>50</v>
      </c>
      <c r="H1638" s="1" t="str">
        <f t="shared" si="57"/>
        <v>Thursday</v>
      </c>
    </row>
    <row r="1639" spans="1:8" x14ac:dyDescent="0.3">
      <c r="A1639">
        <v>208762353</v>
      </c>
      <c r="B1639" s="1">
        <v>45015</v>
      </c>
      <c r="C1639" s="1">
        <v>45037</v>
      </c>
      <c r="D1639" t="s">
        <v>7</v>
      </c>
      <c r="E1639">
        <v>39</v>
      </c>
      <c r="F1639" t="s">
        <v>6</v>
      </c>
      <c r="G1639">
        <f t="shared" si="56"/>
        <v>22</v>
      </c>
      <c r="H1639" s="1" t="str">
        <f t="shared" si="57"/>
        <v>Thursday</v>
      </c>
    </row>
    <row r="1640" spans="1:8" x14ac:dyDescent="0.3">
      <c r="A1640">
        <v>153099249</v>
      </c>
      <c r="B1640" s="1">
        <v>45015</v>
      </c>
      <c r="C1640" s="1">
        <v>45029</v>
      </c>
      <c r="D1640" t="s">
        <v>7</v>
      </c>
      <c r="E1640">
        <v>39</v>
      </c>
      <c r="F1640" t="s">
        <v>6</v>
      </c>
      <c r="G1640">
        <f t="shared" si="56"/>
        <v>14</v>
      </c>
      <c r="H1640" s="1" t="str">
        <f t="shared" si="57"/>
        <v>Thursday</v>
      </c>
    </row>
    <row r="1641" spans="1:8" x14ac:dyDescent="0.3">
      <c r="A1641">
        <v>208734252</v>
      </c>
      <c r="B1641" s="1">
        <v>45015</v>
      </c>
      <c r="C1641" s="1">
        <v>45046</v>
      </c>
      <c r="D1641" t="s">
        <v>7</v>
      </c>
      <c r="E1641">
        <v>39</v>
      </c>
      <c r="F1641" t="s">
        <v>6</v>
      </c>
      <c r="G1641">
        <f t="shared" si="56"/>
        <v>31</v>
      </c>
      <c r="H1641" s="1" t="str">
        <f t="shared" si="57"/>
        <v>Thursday</v>
      </c>
    </row>
    <row r="1642" spans="1:8" x14ac:dyDescent="0.3">
      <c r="A1642">
        <v>208320510</v>
      </c>
      <c r="B1642" s="1">
        <v>45016</v>
      </c>
      <c r="C1642" t="s">
        <v>19</v>
      </c>
      <c r="D1642" t="s">
        <v>7</v>
      </c>
      <c r="E1642">
        <v>39</v>
      </c>
      <c r="F1642" t="s">
        <v>6</v>
      </c>
      <c r="G1642" t="str">
        <f t="shared" si="56"/>
        <v>Active</v>
      </c>
      <c r="H1642" s="1" t="str">
        <f t="shared" si="57"/>
        <v>Friday</v>
      </c>
    </row>
    <row r="1643" spans="1:8" x14ac:dyDescent="0.3">
      <c r="A1643">
        <v>207229509</v>
      </c>
      <c r="B1643" s="1">
        <v>45016</v>
      </c>
      <c r="C1643" s="1">
        <v>45016</v>
      </c>
      <c r="D1643" t="s">
        <v>8</v>
      </c>
      <c r="E1643">
        <v>39</v>
      </c>
      <c r="F1643" t="s">
        <v>6</v>
      </c>
      <c r="G1643">
        <f t="shared" si="56"/>
        <v>0</v>
      </c>
      <c r="H1643" s="1" t="str">
        <f t="shared" si="57"/>
        <v>Friday</v>
      </c>
    </row>
    <row r="1644" spans="1:8" x14ac:dyDescent="0.3">
      <c r="A1644">
        <v>208492287</v>
      </c>
      <c r="B1644" s="1">
        <v>45016</v>
      </c>
      <c r="C1644" s="1">
        <v>45084</v>
      </c>
      <c r="D1644" t="s">
        <v>7</v>
      </c>
      <c r="E1644">
        <v>39</v>
      </c>
      <c r="F1644" t="s">
        <v>6</v>
      </c>
      <c r="G1644">
        <f t="shared" si="56"/>
        <v>68</v>
      </c>
      <c r="H1644" s="1" t="str">
        <f t="shared" si="57"/>
        <v>Friday</v>
      </c>
    </row>
    <row r="1645" spans="1:8" x14ac:dyDescent="0.3">
      <c r="A1645">
        <v>195047202</v>
      </c>
      <c r="B1645" s="1">
        <v>45016</v>
      </c>
      <c r="C1645" s="1">
        <v>45069</v>
      </c>
      <c r="D1645" t="s">
        <v>7</v>
      </c>
      <c r="E1645">
        <v>39</v>
      </c>
      <c r="F1645" t="s">
        <v>6</v>
      </c>
      <c r="G1645">
        <f t="shared" si="56"/>
        <v>53</v>
      </c>
      <c r="H1645" s="1" t="str">
        <f t="shared" si="57"/>
        <v>Friday</v>
      </c>
    </row>
    <row r="1646" spans="1:8" x14ac:dyDescent="0.3">
      <c r="A1646">
        <v>208890352</v>
      </c>
      <c r="B1646" s="1">
        <v>45016</v>
      </c>
      <c r="C1646" s="1">
        <v>45072</v>
      </c>
      <c r="D1646" t="s">
        <v>7</v>
      </c>
      <c r="E1646">
        <v>39</v>
      </c>
      <c r="F1646" t="s">
        <v>6</v>
      </c>
      <c r="G1646">
        <f t="shared" si="56"/>
        <v>56</v>
      </c>
      <c r="H1646" s="1" t="str">
        <f t="shared" si="57"/>
        <v>Friday</v>
      </c>
    </row>
    <row r="1647" spans="1:8" x14ac:dyDescent="0.3">
      <c r="A1647">
        <v>151282537</v>
      </c>
      <c r="B1647" s="1">
        <v>45016</v>
      </c>
      <c r="C1647" s="1">
        <v>45108</v>
      </c>
      <c r="D1647" t="s">
        <v>7</v>
      </c>
      <c r="E1647">
        <v>39</v>
      </c>
      <c r="F1647" t="s">
        <v>6</v>
      </c>
      <c r="G1647">
        <f t="shared" si="56"/>
        <v>92</v>
      </c>
      <c r="H1647" s="1" t="str">
        <f t="shared" si="57"/>
        <v>Friday</v>
      </c>
    </row>
    <row r="1648" spans="1:8" x14ac:dyDescent="0.3">
      <c r="A1648">
        <v>206625246</v>
      </c>
      <c r="B1648" s="1">
        <v>45017</v>
      </c>
      <c r="C1648" t="s">
        <v>19</v>
      </c>
      <c r="D1648" t="s">
        <v>7</v>
      </c>
      <c r="E1648">
        <v>39</v>
      </c>
      <c r="F1648" t="s">
        <v>6</v>
      </c>
      <c r="G1648" t="str">
        <f t="shared" si="56"/>
        <v>Active</v>
      </c>
      <c r="H1648" s="1" t="str">
        <f t="shared" si="57"/>
        <v>Saturday</v>
      </c>
    </row>
    <row r="1649" spans="1:8" x14ac:dyDescent="0.3">
      <c r="A1649">
        <v>208748964</v>
      </c>
      <c r="B1649" s="1">
        <v>45017</v>
      </c>
      <c r="C1649" t="s">
        <v>19</v>
      </c>
      <c r="D1649" t="s">
        <v>7</v>
      </c>
      <c r="E1649">
        <v>39</v>
      </c>
      <c r="F1649" t="s">
        <v>6</v>
      </c>
      <c r="G1649" t="str">
        <f t="shared" si="56"/>
        <v>Active</v>
      </c>
      <c r="H1649" s="1" t="str">
        <f t="shared" si="57"/>
        <v>Saturday</v>
      </c>
    </row>
    <row r="1650" spans="1:8" x14ac:dyDescent="0.3">
      <c r="A1650">
        <v>151904783</v>
      </c>
      <c r="B1650" s="1">
        <v>45017</v>
      </c>
      <c r="C1650" t="s">
        <v>19</v>
      </c>
      <c r="D1650" t="s">
        <v>7</v>
      </c>
      <c r="E1650">
        <v>39</v>
      </c>
      <c r="F1650" t="s">
        <v>6</v>
      </c>
      <c r="G1650" t="str">
        <f t="shared" si="56"/>
        <v>Active</v>
      </c>
      <c r="H1650" s="1" t="str">
        <f t="shared" si="57"/>
        <v>Saturday</v>
      </c>
    </row>
    <row r="1651" spans="1:8" x14ac:dyDescent="0.3">
      <c r="A1651">
        <v>160351988</v>
      </c>
      <c r="B1651" s="1">
        <v>45017</v>
      </c>
      <c r="C1651" s="1">
        <v>45115</v>
      </c>
      <c r="D1651" t="s">
        <v>7</v>
      </c>
      <c r="E1651">
        <v>39</v>
      </c>
      <c r="F1651" t="s">
        <v>6</v>
      </c>
      <c r="G1651">
        <f t="shared" si="56"/>
        <v>98</v>
      </c>
      <c r="H1651" s="1" t="str">
        <f t="shared" si="57"/>
        <v>Saturday</v>
      </c>
    </row>
    <row r="1652" spans="1:8" x14ac:dyDescent="0.3">
      <c r="A1652">
        <v>145622106</v>
      </c>
      <c r="B1652" s="1">
        <v>45017</v>
      </c>
      <c r="C1652" s="1">
        <v>45017</v>
      </c>
      <c r="D1652" t="s">
        <v>7</v>
      </c>
      <c r="E1652">
        <v>39</v>
      </c>
      <c r="F1652" t="s">
        <v>6</v>
      </c>
      <c r="G1652">
        <f t="shared" si="56"/>
        <v>0</v>
      </c>
      <c r="H1652" s="1" t="str">
        <f t="shared" si="57"/>
        <v>Saturday</v>
      </c>
    </row>
    <row r="1653" spans="1:8" x14ac:dyDescent="0.3">
      <c r="A1653">
        <v>192475408</v>
      </c>
      <c r="B1653" s="1">
        <v>45017</v>
      </c>
      <c r="C1653" s="1">
        <v>45042</v>
      </c>
      <c r="D1653" t="s">
        <v>7</v>
      </c>
      <c r="E1653">
        <v>39</v>
      </c>
      <c r="F1653" t="s">
        <v>6</v>
      </c>
      <c r="G1653">
        <f t="shared" si="56"/>
        <v>25</v>
      </c>
      <c r="H1653" s="1" t="str">
        <f t="shared" si="57"/>
        <v>Saturday</v>
      </c>
    </row>
    <row r="1654" spans="1:8" x14ac:dyDescent="0.3">
      <c r="A1654">
        <v>208597905</v>
      </c>
      <c r="B1654" s="1">
        <v>45018</v>
      </c>
      <c r="C1654" t="s">
        <v>19</v>
      </c>
      <c r="D1654" t="s">
        <v>7</v>
      </c>
      <c r="E1654">
        <v>39</v>
      </c>
      <c r="F1654" t="s">
        <v>6</v>
      </c>
      <c r="G1654" t="str">
        <f t="shared" si="56"/>
        <v>Active</v>
      </c>
      <c r="H1654" s="1" t="str">
        <f t="shared" si="57"/>
        <v>Sunday</v>
      </c>
    </row>
    <row r="1655" spans="1:8" x14ac:dyDescent="0.3">
      <c r="A1655">
        <v>209469556</v>
      </c>
      <c r="B1655" s="1">
        <v>45018</v>
      </c>
      <c r="C1655" s="1">
        <v>45019</v>
      </c>
      <c r="D1655" t="s">
        <v>8</v>
      </c>
      <c r="E1655">
        <v>39</v>
      </c>
      <c r="F1655" t="s">
        <v>6</v>
      </c>
      <c r="G1655">
        <f t="shared" si="56"/>
        <v>1</v>
      </c>
      <c r="H1655" s="1" t="str">
        <f t="shared" si="57"/>
        <v>Sunday</v>
      </c>
    </row>
    <row r="1656" spans="1:8" x14ac:dyDescent="0.3">
      <c r="A1656">
        <v>207183892</v>
      </c>
      <c r="B1656" s="1">
        <v>45018</v>
      </c>
      <c r="C1656" s="1">
        <v>45019</v>
      </c>
      <c r="D1656" t="s">
        <v>8</v>
      </c>
      <c r="E1656">
        <v>39</v>
      </c>
      <c r="F1656" t="s">
        <v>6</v>
      </c>
      <c r="G1656">
        <f t="shared" si="56"/>
        <v>1</v>
      </c>
      <c r="H1656" s="1" t="str">
        <f t="shared" si="57"/>
        <v>Sunday</v>
      </c>
    </row>
    <row r="1657" spans="1:8" x14ac:dyDescent="0.3">
      <c r="A1657">
        <v>125980506</v>
      </c>
      <c r="B1657" s="1">
        <v>45018</v>
      </c>
      <c r="C1657" s="1">
        <v>45109</v>
      </c>
      <c r="D1657" t="s">
        <v>7</v>
      </c>
      <c r="E1657">
        <v>39</v>
      </c>
      <c r="F1657" t="s">
        <v>6</v>
      </c>
      <c r="G1657">
        <f t="shared" si="56"/>
        <v>91</v>
      </c>
      <c r="H1657" s="1" t="str">
        <f t="shared" si="57"/>
        <v>Sunday</v>
      </c>
    </row>
    <row r="1658" spans="1:8" x14ac:dyDescent="0.3">
      <c r="A1658">
        <v>162635107</v>
      </c>
      <c r="B1658" s="1">
        <v>45018</v>
      </c>
      <c r="C1658" s="1">
        <v>45112</v>
      </c>
      <c r="D1658" t="s">
        <v>7</v>
      </c>
      <c r="E1658">
        <v>39</v>
      </c>
      <c r="F1658" t="s">
        <v>6</v>
      </c>
      <c r="G1658">
        <f t="shared" si="56"/>
        <v>94</v>
      </c>
      <c r="H1658" s="1" t="str">
        <f t="shared" si="57"/>
        <v>Sunday</v>
      </c>
    </row>
    <row r="1659" spans="1:8" x14ac:dyDescent="0.3">
      <c r="A1659">
        <v>154655775</v>
      </c>
      <c r="B1659" s="1">
        <v>45018</v>
      </c>
      <c r="C1659" s="1">
        <v>45131</v>
      </c>
      <c r="D1659" t="s">
        <v>7</v>
      </c>
      <c r="E1659">
        <v>39</v>
      </c>
      <c r="F1659" t="s">
        <v>6</v>
      </c>
      <c r="G1659">
        <f t="shared" si="56"/>
        <v>113</v>
      </c>
      <c r="H1659" s="1" t="str">
        <f t="shared" si="57"/>
        <v>Sunday</v>
      </c>
    </row>
    <row r="1660" spans="1:8" x14ac:dyDescent="0.3">
      <c r="A1660">
        <v>154911229</v>
      </c>
      <c r="B1660" s="1">
        <v>45019</v>
      </c>
      <c r="C1660" t="s">
        <v>19</v>
      </c>
      <c r="D1660" t="s">
        <v>7</v>
      </c>
      <c r="E1660">
        <v>39</v>
      </c>
      <c r="F1660" t="s">
        <v>6</v>
      </c>
      <c r="G1660" t="str">
        <f t="shared" si="56"/>
        <v>Active</v>
      </c>
      <c r="H1660" s="1" t="str">
        <f t="shared" si="57"/>
        <v>Monday</v>
      </c>
    </row>
    <row r="1661" spans="1:8" x14ac:dyDescent="0.3">
      <c r="A1661">
        <v>206812076</v>
      </c>
      <c r="B1661" s="1">
        <v>45019</v>
      </c>
      <c r="C1661" t="s">
        <v>19</v>
      </c>
      <c r="D1661" t="s">
        <v>7</v>
      </c>
      <c r="E1661">
        <v>39</v>
      </c>
      <c r="F1661" t="s">
        <v>6</v>
      </c>
      <c r="G1661" t="str">
        <f t="shared" si="56"/>
        <v>Active</v>
      </c>
      <c r="H1661" s="1" t="str">
        <f t="shared" si="57"/>
        <v>Monday</v>
      </c>
    </row>
    <row r="1662" spans="1:8" x14ac:dyDescent="0.3">
      <c r="A1662">
        <v>208490747</v>
      </c>
      <c r="B1662" s="1">
        <v>45019</v>
      </c>
      <c r="C1662" t="s">
        <v>19</v>
      </c>
      <c r="D1662" t="s">
        <v>7</v>
      </c>
      <c r="E1662">
        <v>39</v>
      </c>
      <c r="F1662" t="s">
        <v>6</v>
      </c>
      <c r="G1662" t="str">
        <f t="shared" si="56"/>
        <v>Active</v>
      </c>
      <c r="H1662" s="1" t="str">
        <f t="shared" si="57"/>
        <v>Monday</v>
      </c>
    </row>
    <row r="1663" spans="1:8" x14ac:dyDescent="0.3">
      <c r="A1663">
        <v>131761056</v>
      </c>
      <c r="B1663" s="1">
        <v>45019</v>
      </c>
      <c r="C1663" t="s">
        <v>19</v>
      </c>
      <c r="D1663" t="s">
        <v>7</v>
      </c>
      <c r="E1663">
        <v>39</v>
      </c>
      <c r="F1663" t="s">
        <v>6</v>
      </c>
      <c r="G1663" t="str">
        <f t="shared" si="56"/>
        <v>Active</v>
      </c>
      <c r="H1663" s="1" t="str">
        <f t="shared" si="57"/>
        <v>Monday</v>
      </c>
    </row>
    <row r="1664" spans="1:8" x14ac:dyDescent="0.3">
      <c r="A1664">
        <v>208115534</v>
      </c>
      <c r="B1664" s="1">
        <v>45019</v>
      </c>
      <c r="C1664" s="1">
        <v>45056</v>
      </c>
      <c r="D1664" t="s">
        <v>8</v>
      </c>
      <c r="E1664">
        <v>39</v>
      </c>
      <c r="F1664" t="s">
        <v>6</v>
      </c>
      <c r="G1664">
        <f t="shared" si="56"/>
        <v>37</v>
      </c>
      <c r="H1664" s="1" t="str">
        <f t="shared" si="57"/>
        <v>Monday</v>
      </c>
    </row>
    <row r="1665" spans="1:8" x14ac:dyDescent="0.3">
      <c r="A1665">
        <v>202126471</v>
      </c>
      <c r="B1665" s="1">
        <v>45019</v>
      </c>
      <c r="C1665" s="1">
        <v>45104</v>
      </c>
      <c r="D1665" t="s">
        <v>7</v>
      </c>
      <c r="E1665">
        <v>39</v>
      </c>
      <c r="F1665" t="s">
        <v>6</v>
      </c>
      <c r="G1665">
        <f t="shared" si="56"/>
        <v>85</v>
      </c>
      <c r="H1665" s="1" t="str">
        <f t="shared" si="57"/>
        <v>Monday</v>
      </c>
    </row>
    <row r="1666" spans="1:8" x14ac:dyDescent="0.3">
      <c r="A1666">
        <v>209738836</v>
      </c>
      <c r="B1666" s="1">
        <v>45019</v>
      </c>
      <c r="C1666" s="1">
        <v>45060</v>
      </c>
      <c r="D1666" t="s">
        <v>7</v>
      </c>
      <c r="E1666">
        <v>39</v>
      </c>
      <c r="F1666" t="s">
        <v>6</v>
      </c>
      <c r="G1666">
        <f t="shared" si="56"/>
        <v>41</v>
      </c>
      <c r="H1666" s="1" t="str">
        <f t="shared" si="57"/>
        <v>Monday</v>
      </c>
    </row>
    <row r="1667" spans="1:8" x14ac:dyDescent="0.3">
      <c r="A1667">
        <v>209470128</v>
      </c>
      <c r="B1667" s="1">
        <v>45019</v>
      </c>
      <c r="C1667" s="1">
        <v>45076</v>
      </c>
      <c r="D1667" t="s">
        <v>7</v>
      </c>
      <c r="E1667">
        <v>39</v>
      </c>
      <c r="F1667" t="s">
        <v>6</v>
      </c>
      <c r="G1667">
        <f t="shared" ref="G1667:G1730" si="58">IF(C1667="Active","Active",C1667-B1667)</f>
        <v>57</v>
      </c>
      <c r="H1667" s="1" t="str">
        <f t="shared" ref="H1667:H1730" si="59">TEXT(B1667,"dddd")</f>
        <v>Monday</v>
      </c>
    </row>
    <row r="1668" spans="1:8" x14ac:dyDescent="0.3">
      <c r="A1668">
        <v>209745334</v>
      </c>
      <c r="B1668" s="1">
        <v>45019</v>
      </c>
      <c r="C1668" s="1">
        <v>45170</v>
      </c>
      <c r="D1668" t="s">
        <v>7</v>
      </c>
      <c r="E1668">
        <v>39</v>
      </c>
      <c r="F1668" t="s">
        <v>6</v>
      </c>
      <c r="G1668">
        <f t="shared" si="58"/>
        <v>151</v>
      </c>
      <c r="H1668" s="1" t="str">
        <f t="shared" si="59"/>
        <v>Monday</v>
      </c>
    </row>
    <row r="1669" spans="1:8" x14ac:dyDescent="0.3">
      <c r="A1669">
        <v>209751690</v>
      </c>
      <c r="B1669" s="1">
        <v>45020</v>
      </c>
      <c r="C1669" t="s">
        <v>19</v>
      </c>
      <c r="D1669" t="s">
        <v>7</v>
      </c>
      <c r="E1669">
        <v>39</v>
      </c>
      <c r="F1669" t="s">
        <v>6</v>
      </c>
      <c r="G1669" t="str">
        <f t="shared" si="58"/>
        <v>Active</v>
      </c>
      <c r="H1669" s="1" t="str">
        <f t="shared" si="59"/>
        <v>Tuesday</v>
      </c>
    </row>
    <row r="1670" spans="1:8" x14ac:dyDescent="0.3">
      <c r="A1670">
        <v>209730490</v>
      </c>
      <c r="B1670" s="1">
        <v>45020</v>
      </c>
      <c r="C1670" s="1">
        <v>45021</v>
      </c>
      <c r="D1670" t="s">
        <v>8</v>
      </c>
      <c r="E1670">
        <v>39</v>
      </c>
      <c r="F1670" t="s">
        <v>6</v>
      </c>
      <c r="G1670">
        <f t="shared" si="58"/>
        <v>1</v>
      </c>
      <c r="H1670" s="1" t="str">
        <f t="shared" si="59"/>
        <v>Tuesday</v>
      </c>
    </row>
    <row r="1671" spans="1:8" x14ac:dyDescent="0.3">
      <c r="A1671">
        <v>208115648</v>
      </c>
      <c r="B1671" s="1">
        <v>45020</v>
      </c>
      <c r="C1671" s="1">
        <v>45082</v>
      </c>
      <c r="D1671" t="s">
        <v>7</v>
      </c>
      <c r="E1671">
        <v>39</v>
      </c>
      <c r="F1671" t="s">
        <v>6</v>
      </c>
      <c r="G1671">
        <f t="shared" si="58"/>
        <v>62</v>
      </c>
      <c r="H1671" s="1" t="str">
        <f t="shared" si="59"/>
        <v>Tuesday</v>
      </c>
    </row>
    <row r="1672" spans="1:8" x14ac:dyDescent="0.3">
      <c r="A1672">
        <v>210087900</v>
      </c>
      <c r="B1672" s="1">
        <v>45020</v>
      </c>
      <c r="C1672" s="1">
        <v>45054</v>
      </c>
      <c r="D1672" t="s">
        <v>7</v>
      </c>
      <c r="E1672">
        <v>39</v>
      </c>
      <c r="F1672" t="s">
        <v>6</v>
      </c>
      <c r="G1672">
        <f t="shared" si="58"/>
        <v>34</v>
      </c>
      <c r="H1672" s="1" t="str">
        <f t="shared" si="59"/>
        <v>Tuesday</v>
      </c>
    </row>
    <row r="1673" spans="1:8" x14ac:dyDescent="0.3">
      <c r="A1673">
        <v>208890316</v>
      </c>
      <c r="B1673" s="1">
        <v>45020</v>
      </c>
      <c r="C1673" s="1">
        <v>45070</v>
      </c>
      <c r="D1673" t="s">
        <v>7</v>
      </c>
      <c r="E1673">
        <v>39</v>
      </c>
      <c r="F1673" t="s">
        <v>6</v>
      </c>
      <c r="G1673">
        <f t="shared" si="58"/>
        <v>50</v>
      </c>
      <c r="H1673" s="1" t="str">
        <f t="shared" si="59"/>
        <v>Tuesday</v>
      </c>
    </row>
    <row r="1674" spans="1:8" x14ac:dyDescent="0.3">
      <c r="A1674">
        <v>143706140</v>
      </c>
      <c r="B1674" s="1">
        <v>45020</v>
      </c>
      <c r="C1674" s="1">
        <v>45023</v>
      </c>
      <c r="D1674" t="s">
        <v>7</v>
      </c>
      <c r="E1674">
        <v>39</v>
      </c>
      <c r="F1674" t="s">
        <v>6</v>
      </c>
      <c r="G1674">
        <f t="shared" si="58"/>
        <v>3</v>
      </c>
      <c r="H1674" s="1" t="str">
        <f t="shared" si="59"/>
        <v>Tuesday</v>
      </c>
    </row>
    <row r="1675" spans="1:8" x14ac:dyDescent="0.3">
      <c r="A1675">
        <v>209950443</v>
      </c>
      <c r="B1675" s="1">
        <v>45020</v>
      </c>
      <c r="C1675" s="1">
        <v>45030</v>
      </c>
      <c r="D1675" t="s">
        <v>7</v>
      </c>
      <c r="E1675">
        <v>39</v>
      </c>
      <c r="F1675" t="s">
        <v>6</v>
      </c>
      <c r="G1675">
        <f t="shared" si="58"/>
        <v>10</v>
      </c>
      <c r="H1675" s="1" t="str">
        <f t="shared" si="59"/>
        <v>Tuesday</v>
      </c>
    </row>
    <row r="1676" spans="1:8" x14ac:dyDescent="0.3">
      <c r="A1676">
        <v>208892072</v>
      </c>
      <c r="B1676" s="1">
        <v>45020</v>
      </c>
      <c r="C1676" s="1">
        <v>45041</v>
      </c>
      <c r="D1676" t="s">
        <v>7</v>
      </c>
      <c r="E1676">
        <v>39</v>
      </c>
      <c r="F1676" t="s">
        <v>6</v>
      </c>
      <c r="G1676">
        <f t="shared" si="58"/>
        <v>21</v>
      </c>
      <c r="H1676" s="1" t="str">
        <f t="shared" si="59"/>
        <v>Tuesday</v>
      </c>
    </row>
    <row r="1677" spans="1:8" x14ac:dyDescent="0.3">
      <c r="A1677">
        <v>205767174</v>
      </c>
      <c r="B1677" s="1">
        <v>45020</v>
      </c>
      <c r="C1677" s="1">
        <v>45150</v>
      </c>
      <c r="D1677" t="s">
        <v>7</v>
      </c>
      <c r="E1677">
        <v>39</v>
      </c>
      <c r="F1677" t="s">
        <v>6</v>
      </c>
      <c r="G1677">
        <f t="shared" si="58"/>
        <v>130</v>
      </c>
      <c r="H1677" s="1" t="str">
        <f t="shared" si="59"/>
        <v>Tuesday</v>
      </c>
    </row>
    <row r="1678" spans="1:8" x14ac:dyDescent="0.3">
      <c r="A1678">
        <v>206676416</v>
      </c>
      <c r="B1678" s="1">
        <v>45020</v>
      </c>
      <c r="C1678" s="1">
        <v>45124</v>
      </c>
      <c r="D1678" t="s">
        <v>7</v>
      </c>
      <c r="E1678">
        <v>39</v>
      </c>
      <c r="F1678" t="s">
        <v>6</v>
      </c>
      <c r="G1678">
        <f t="shared" si="58"/>
        <v>104</v>
      </c>
      <c r="H1678" s="1" t="str">
        <f t="shared" si="59"/>
        <v>Tuesday</v>
      </c>
    </row>
    <row r="1679" spans="1:8" x14ac:dyDescent="0.3">
      <c r="A1679">
        <v>160676837</v>
      </c>
      <c r="B1679" s="1">
        <v>45021</v>
      </c>
      <c r="C1679" t="s">
        <v>19</v>
      </c>
      <c r="D1679" t="s">
        <v>7</v>
      </c>
      <c r="E1679">
        <v>39</v>
      </c>
      <c r="F1679" t="s">
        <v>6</v>
      </c>
      <c r="G1679" t="str">
        <f t="shared" si="58"/>
        <v>Active</v>
      </c>
      <c r="H1679" s="1" t="str">
        <f t="shared" si="59"/>
        <v>Wednesday</v>
      </c>
    </row>
    <row r="1680" spans="1:8" x14ac:dyDescent="0.3">
      <c r="A1680">
        <v>204274153</v>
      </c>
      <c r="B1680" s="1">
        <v>45021</v>
      </c>
      <c r="C1680" t="s">
        <v>19</v>
      </c>
      <c r="D1680" t="s">
        <v>7</v>
      </c>
      <c r="E1680">
        <v>39</v>
      </c>
      <c r="F1680" t="s">
        <v>6</v>
      </c>
      <c r="G1680" t="str">
        <f t="shared" si="58"/>
        <v>Active</v>
      </c>
      <c r="H1680" s="1" t="str">
        <f t="shared" si="59"/>
        <v>Wednesday</v>
      </c>
    </row>
    <row r="1681" spans="1:8" x14ac:dyDescent="0.3">
      <c r="A1681">
        <v>210327236</v>
      </c>
      <c r="B1681" s="1">
        <v>45021</v>
      </c>
      <c r="C1681" s="1">
        <v>45022</v>
      </c>
      <c r="D1681" t="s">
        <v>8</v>
      </c>
      <c r="E1681">
        <v>39</v>
      </c>
      <c r="F1681" t="s">
        <v>6</v>
      </c>
      <c r="G1681">
        <f t="shared" si="58"/>
        <v>1</v>
      </c>
      <c r="H1681" s="1" t="str">
        <f t="shared" si="59"/>
        <v>Wednesday</v>
      </c>
    </row>
    <row r="1682" spans="1:8" x14ac:dyDescent="0.3">
      <c r="A1682">
        <v>210326352</v>
      </c>
      <c r="B1682" s="1">
        <v>45021</v>
      </c>
      <c r="C1682" s="1">
        <v>45021</v>
      </c>
      <c r="D1682" t="s">
        <v>8</v>
      </c>
      <c r="E1682">
        <v>39</v>
      </c>
      <c r="F1682" t="s">
        <v>6</v>
      </c>
      <c r="G1682">
        <f t="shared" si="58"/>
        <v>0</v>
      </c>
      <c r="H1682" s="1" t="str">
        <f t="shared" si="59"/>
        <v>Wednesday</v>
      </c>
    </row>
    <row r="1683" spans="1:8" x14ac:dyDescent="0.3">
      <c r="A1683">
        <v>124155104</v>
      </c>
      <c r="B1683" s="1">
        <v>45021</v>
      </c>
      <c r="C1683" s="1">
        <v>45058</v>
      </c>
      <c r="D1683" t="s">
        <v>7</v>
      </c>
      <c r="E1683">
        <v>39</v>
      </c>
      <c r="F1683" t="s">
        <v>6</v>
      </c>
      <c r="G1683">
        <f t="shared" si="58"/>
        <v>37</v>
      </c>
      <c r="H1683" s="1" t="str">
        <f t="shared" si="59"/>
        <v>Wednesday</v>
      </c>
    </row>
    <row r="1684" spans="1:8" x14ac:dyDescent="0.3">
      <c r="A1684">
        <v>209517408</v>
      </c>
      <c r="B1684" s="1">
        <v>45021</v>
      </c>
      <c r="C1684" s="1">
        <v>45050</v>
      </c>
      <c r="D1684" t="s">
        <v>7</v>
      </c>
      <c r="E1684">
        <v>39</v>
      </c>
      <c r="F1684" t="s">
        <v>6</v>
      </c>
      <c r="G1684">
        <f t="shared" si="58"/>
        <v>29</v>
      </c>
      <c r="H1684" s="1" t="str">
        <f t="shared" si="59"/>
        <v>Wednesday</v>
      </c>
    </row>
    <row r="1685" spans="1:8" x14ac:dyDescent="0.3">
      <c r="A1685">
        <v>210432450</v>
      </c>
      <c r="B1685" s="1">
        <v>45021</v>
      </c>
      <c r="C1685" s="1">
        <v>45028</v>
      </c>
      <c r="D1685" t="s">
        <v>7</v>
      </c>
      <c r="E1685">
        <v>39</v>
      </c>
      <c r="F1685" t="s">
        <v>6</v>
      </c>
      <c r="G1685">
        <f t="shared" si="58"/>
        <v>7</v>
      </c>
      <c r="H1685" s="1" t="str">
        <f t="shared" si="59"/>
        <v>Wednesday</v>
      </c>
    </row>
    <row r="1686" spans="1:8" x14ac:dyDescent="0.3">
      <c r="A1686">
        <v>210138564</v>
      </c>
      <c r="B1686" s="1">
        <v>45022</v>
      </c>
      <c r="C1686" t="s">
        <v>19</v>
      </c>
      <c r="D1686" t="s">
        <v>7</v>
      </c>
      <c r="E1686">
        <v>39</v>
      </c>
      <c r="F1686" t="s">
        <v>6</v>
      </c>
      <c r="G1686" t="str">
        <f t="shared" si="58"/>
        <v>Active</v>
      </c>
      <c r="H1686" s="1" t="str">
        <f t="shared" si="59"/>
        <v>Thursday</v>
      </c>
    </row>
    <row r="1687" spans="1:8" x14ac:dyDescent="0.3">
      <c r="A1687">
        <v>210617010</v>
      </c>
      <c r="B1687" s="1">
        <v>45022</v>
      </c>
      <c r="C1687" s="1">
        <v>45022</v>
      </c>
      <c r="D1687" t="s">
        <v>7</v>
      </c>
      <c r="E1687">
        <v>39</v>
      </c>
      <c r="F1687" t="s">
        <v>6</v>
      </c>
      <c r="G1687">
        <f t="shared" si="58"/>
        <v>0</v>
      </c>
      <c r="H1687" s="1" t="str">
        <f t="shared" si="59"/>
        <v>Thursday</v>
      </c>
    </row>
    <row r="1688" spans="1:8" x14ac:dyDescent="0.3">
      <c r="A1688">
        <v>134894187</v>
      </c>
      <c r="B1688" s="1">
        <v>45022</v>
      </c>
      <c r="C1688" s="1">
        <v>45064</v>
      </c>
      <c r="D1688" t="s">
        <v>7</v>
      </c>
      <c r="E1688">
        <v>39</v>
      </c>
      <c r="F1688" t="s">
        <v>6</v>
      </c>
      <c r="G1688">
        <f t="shared" si="58"/>
        <v>42</v>
      </c>
      <c r="H1688" s="1" t="str">
        <f t="shared" si="59"/>
        <v>Thursday</v>
      </c>
    </row>
    <row r="1689" spans="1:8" x14ac:dyDescent="0.3">
      <c r="A1689">
        <v>150643785</v>
      </c>
      <c r="B1689" s="1">
        <v>45022</v>
      </c>
      <c r="C1689" s="1">
        <v>45083</v>
      </c>
      <c r="D1689" t="s">
        <v>7</v>
      </c>
      <c r="E1689">
        <v>39</v>
      </c>
      <c r="F1689" t="s">
        <v>6</v>
      </c>
      <c r="G1689">
        <f t="shared" si="58"/>
        <v>61</v>
      </c>
      <c r="H1689" s="1" t="str">
        <f t="shared" si="59"/>
        <v>Thursday</v>
      </c>
    </row>
    <row r="1690" spans="1:8" x14ac:dyDescent="0.3">
      <c r="A1690">
        <v>149986782</v>
      </c>
      <c r="B1690" s="1">
        <v>45022</v>
      </c>
      <c r="C1690" s="1">
        <v>45081</v>
      </c>
      <c r="D1690" t="s">
        <v>7</v>
      </c>
      <c r="E1690">
        <v>39</v>
      </c>
      <c r="F1690" t="s">
        <v>6</v>
      </c>
      <c r="G1690">
        <f t="shared" si="58"/>
        <v>59</v>
      </c>
      <c r="H1690" s="1" t="str">
        <f t="shared" si="59"/>
        <v>Thursday</v>
      </c>
    </row>
    <row r="1691" spans="1:8" x14ac:dyDescent="0.3">
      <c r="A1691">
        <v>205463099</v>
      </c>
      <c r="B1691" s="1">
        <v>45022</v>
      </c>
      <c r="C1691" s="1">
        <v>45093</v>
      </c>
      <c r="D1691" t="s">
        <v>7</v>
      </c>
      <c r="E1691">
        <v>39</v>
      </c>
      <c r="F1691" t="s">
        <v>6</v>
      </c>
      <c r="G1691">
        <f t="shared" si="58"/>
        <v>71</v>
      </c>
      <c r="H1691" s="1" t="str">
        <f t="shared" si="59"/>
        <v>Thursday</v>
      </c>
    </row>
    <row r="1692" spans="1:8" x14ac:dyDescent="0.3">
      <c r="A1692">
        <v>210565466</v>
      </c>
      <c r="B1692" s="1">
        <v>45022</v>
      </c>
      <c r="C1692" s="1">
        <v>45059</v>
      </c>
      <c r="D1692" t="s">
        <v>7</v>
      </c>
      <c r="E1692">
        <v>39</v>
      </c>
      <c r="F1692" t="s">
        <v>6</v>
      </c>
      <c r="G1692">
        <f t="shared" si="58"/>
        <v>37</v>
      </c>
      <c r="H1692" s="1" t="str">
        <f t="shared" si="59"/>
        <v>Thursday</v>
      </c>
    </row>
    <row r="1693" spans="1:8" x14ac:dyDescent="0.3">
      <c r="A1693">
        <v>209072132</v>
      </c>
      <c r="B1693" s="1">
        <v>45023</v>
      </c>
      <c r="C1693" t="s">
        <v>19</v>
      </c>
      <c r="D1693" t="s">
        <v>7</v>
      </c>
      <c r="E1693">
        <v>39</v>
      </c>
      <c r="F1693" t="s">
        <v>6</v>
      </c>
      <c r="G1693" t="str">
        <f t="shared" si="58"/>
        <v>Active</v>
      </c>
      <c r="H1693" s="1" t="str">
        <f t="shared" si="59"/>
        <v>Friday</v>
      </c>
    </row>
    <row r="1694" spans="1:8" x14ac:dyDescent="0.3">
      <c r="A1694">
        <v>210388772</v>
      </c>
      <c r="B1694" s="1">
        <v>45023</v>
      </c>
      <c r="C1694" t="s">
        <v>19</v>
      </c>
      <c r="D1694" t="s">
        <v>7</v>
      </c>
      <c r="E1694">
        <v>39</v>
      </c>
      <c r="F1694" t="s">
        <v>6</v>
      </c>
      <c r="G1694" t="str">
        <f t="shared" si="58"/>
        <v>Active</v>
      </c>
      <c r="H1694" s="1" t="str">
        <f t="shared" si="59"/>
        <v>Friday</v>
      </c>
    </row>
    <row r="1695" spans="1:8" x14ac:dyDescent="0.3">
      <c r="A1695">
        <v>210617010</v>
      </c>
      <c r="B1695" s="1">
        <v>45023</v>
      </c>
      <c r="C1695" s="1">
        <v>45086</v>
      </c>
      <c r="D1695" t="s">
        <v>7</v>
      </c>
      <c r="E1695">
        <v>39</v>
      </c>
      <c r="F1695" t="s">
        <v>6</v>
      </c>
      <c r="G1695">
        <f t="shared" si="58"/>
        <v>63</v>
      </c>
      <c r="H1695" s="1" t="str">
        <f t="shared" si="59"/>
        <v>Friday</v>
      </c>
    </row>
    <row r="1696" spans="1:8" x14ac:dyDescent="0.3">
      <c r="A1696">
        <v>210694562</v>
      </c>
      <c r="B1696" s="1">
        <v>45023</v>
      </c>
      <c r="C1696" s="1">
        <v>45060</v>
      </c>
      <c r="D1696" t="s">
        <v>7</v>
      </c>
      <c r="E1696">
        <v>39</v>
      </c>
      <c r="F1696" t="s">
        <v>6</v>
      </c>
      <c r="G1696">
        <f t="shared" si="58"/>
        <v>37</v>
      </c>
      <c r="H1696" s="1" t="str">
        <f t="shared" si="59"/>
        <v>Friday</v>
      </c>
    </row>
    <row r="1697" spans="1:8" x14ac:dyDescent="0.3">
      <c r="A1697">
        <v>134833306</v>
      </c>
      <c r="B1697" s="1">
        <v>45023</v>
      </c>
      <c r="C1697" s="1">
        <v>45054</v>
      </c>
      <c r="D1697" t="s">
        <v>7</v>
      </c>
      <c r="E1697">
        <v>39</v>
      </c>
      <c r="F1697" t="s">
        <v>6</v>
      </c>
      <c r="G1697">
        <f t="shared" si="58"/>
        <v>31</v>
      </c>
      <c r="H1697" s="1" t="str">
        <f t="shared" si="59"/>
        <v>Friday</v>
      </c>
    </row>
    <row r="1698" spans="1:8" x14ac:dyDescent="0.3">
      <c r="A1698">
        <v>211220014</v>
      </c>
      <c r="B1698" s="1">
        <v>45024</v>
      </c>
      <c r="C1698" t="s">
        <v>19</v>
      </c>
      <c r="D1698" t="s">
        <v>7</v>
      </c>
      <c r="E1698">
        <v>39</v>
      </c>
      <c r="F1698" t="s">
        <v>6</v>
      </c>
      <c r="G1698" t="str">
        <f t="shared" si="58"/>
        <v>Active</v>
      </c>
      <c r="H1698" s="1" t="str">
        <f t="shared" si="59"/>
        <v>Saturday</v>
      </c>
    </row>
    <row r="1699" spans="1:8" x14ac:dyDescent="0.3">
      <c r="A1699">
        <v>121571816</v>
      </c>
      <c r="B1699" s="1">
        <v>45024</v>
      </c>
      <c r="C1699" t="s">
        <v>19</v>
      </c>
      <c r="D1699" t="s">
        <v>7</v>
      </c>
      <c r="E1699">
        <v>39</v>
      </c>
      <c r="F1699" t="s">
        <v>6</v>
      </c>
      <c r="G1699" t="str">
        <f t="shared" si="58"/>
        <v>Active</v>
      </c>
      <c r="H1699" s="1" t="str">
        <f t="shared" si="59"/>
        <v>Saturday</v>
      </c>
    </row>
    <row r="1700" spans="1:8" x14ac:dyDescent="0.3">
      <c r="A1700">
        <v>211216060</v>
      </c>
      <c r="B1700" s="1">
        <v>45024</v>
      </c>
      <c r="C1700" t="s">
        <v>19</v>
      </c>
      <c r="D1700" t="s">
        <v>7</v>
      </c>
      <c r="E1700">
        <v>39</v>
      </c>
      <c r="F1700" t="s">
        <v>6</v>
      </c>
      <c r="G1700" t="str">
        <f t="shared" si="58"/>
        <v>Active</v>
      </c>
      <c r="H1700" s="1" t="str">
        <f t="shared" si="59"/>
        <v>Saturday</v>
      </c>
    </row>
    <row r="1701" spans="1:8" x14ac:dyDescent="0.3">
      <c r="A1701">
        <v>211114276</v>
      </c>
      <c r="B1701" s="1">
        <v>45024</v>
      </c>
      <c r="C1701" t="s">
        <v>19</v>
      </c>
      <c r="D1701" t="s">
        <v>7</v>
      </c>
      <c r="E1701">
        <v>39</v>
      </c>
      <c r="F1701" t="s">
        <v>6</v>
      </c>
      <c r="G1701" t="str">
        <f t="shared" si="58"/>
        <v>Active</v>
      </c>
      <c r="H1701" s="1" t="str">
        <f t="shared" si="59"/>
        <v>Saturday</v>
      </c>
    </row>
    <row r="1702" spans="1:8" x14ac:dyDescent="0.3">
      <c r="A1702">
        <v>211224883</v>
      </c>
      <c r="B1702" s="1">
        <v>45024</v>
      </c>
      <c r="C1702" s="1">
        <v>45025</v>
      </c>
      <c r="D1702" t="s">
        <v>8</v>
      </c>
      <c r="E1702">
        <v>39</v>
      </c>
      <c r="F1702" t="s">
        <v>6</v>
      </c>
      <c r="G1702">
        <f t="shared" si="58"/>
        <v>1</v>
      </c>
      <c r="H1702" s="1" t="str">
        <f t="shared" si="59"/>
        <v>Saturday</v>
      </c>
    </row>
    <row r="1703" spans="1:8" x14ac:dyDescent="0.3">
      <c r="A1703">
        <v>211212313</v>
      </c>
      <c r="B1703" s="1">
        <v>45024</v>
      </c>
      <c r="C1703" s="1">
        <v>45083</v>
      </c>
      <c r="D1703" t="s">
        <v>7</v>
      </c>
      <c r="E1703">
        <v>39</v>
      </c>
      <c r="F1703" t="s">
        <v>6</v>
      </c>
      <c r="G1703">
        <f t="shared" si="58"/>
        <v>59</v>
      </c>
      <c r="H1703" s="1" t="str">
        <f t="shared" si="59"/>
        <v>Saturday</v>
      </c>
    </row>
    <row r="1704" spans="1:8" x14ac:dyDescent="0.3">
      <c r="A1704">
        <v>210135815</v>
      </c>
      <c r="B1704" s="1">
        <v>45024</v>
      </c>
      <c r="C1704" s="1">
        <v>45034</v>
      </c>
      <c r="D1704" t="s">
        <v>7</v>
      </c>
      <c r="E1704">
        <v>39</v>
      </c>
      <c r="F1704" t="s">
        <v>6</v>
      </c>
      <c r="G1704">
        <f t="shared" si="58"/>
        <v>10</v>
      </c>
      <c r="H1704" s="1" t="str">
        <f t="shared" si="59"/>
        <v>Saturday</v>
      </c>
    </row>
    <row r="1705" spans="1:8" x14ac:dyDescent="0.3">
      <c r="A1705">
        <v>211381659</v>
      </c>
      <c r="B1705" s="1">
        <v>45025</v>
      </c>
      <c r="C1705" t="s">
        <v>19</v>
      </c>
      <c r="D1705" t="s">
        <v>7</v>
      </c>
      <c r="E1705">
        <v>39</v>
      </c>
      <c r="F1705" t="s">
        <v>6</v>
      </c>
      <c r="G1705" t="str">
        <f t="shared" si="58"/>
        <v>Active</v>
      </c>
      <c r="H1705" s="1" t="str">
        <f t="shared" si="59"/>
        <v>Sunday</v>
      </c>
    </row>
    <row r="1706" spans="1:8" x14ac:dyDescent="0.3">
      <c r="A1706">
        <v>183363812</v>
      </c>
      <c r="B1706" s="1">
        <v>45025</v>
      </c>
      <c r="C1706" t="s">
        <v>19</v>
      </c>
      <c r="D1706" t="s">
        <v>7</v>
      </c>
      <c r="E1706">
        <v>39</v>
      </c>
      <c r="F1706" t="s">
        <v>6</v>
      </c>
      <c r="G1706" t="str">
        <f t="shared" si="58"/>
        <v>Active</v>
      </c>
      <c r="H1706" s="1" t="str">
        <f t="shared" si="59"/>
        <v>Sunday</v>
      </c>
    </row>
    <row r="1707" spans="1:8" x14ac:dyDescent="0.3">
      <c r="A1707">
        <v>211289909</v>
      </c>
      <c r="B1707" s="1">
        <v>45025</v>
      </c>
      <c r="C1707" t="s">
        <v>19</v>
      </c>
      <c r="D1707" t="s">
        <v>7</v>
      </c>
      <c r="E1707">
        <v>39</v>
      </c>
      <c r="F1707" t="s">
        <v>6</v>
      </c>
      <c r="G1707" t="str">
        <f t="shared" si="58"/>
        <v>Active</v>
      </c>
      <c r="H1707" s="1" t="str">
        <f t="shared" si="59"/>
        <v>Sunday</v>
      </c>
    </row>
    <row r="1708" spans="1:8" x14ac:dyDescent="0.3">
      <c r="A1708">
        <v>211266858</v>
      </c>
      <c r="B1708" s="1">
        <v>45025</v>
      </c>
      <c r="C1708" s="1">
        <v>45048</v>
      </c>
      <c r="D1708" t="s">
        <v>7</v>
      </c>
      <c r="E1708">
        <v>39</v>
      </c>
      <c r="F1708" t="s">
        <v>6</v>
      </c>
      <c r="G1708">
        <f t="shared" si="58"/>
        <v>23</v>
      </c>
      <c r="H1708" s="1" t="str">
        <f t="shared" si="59"/>
        <v>Sunday</v>
      </c>
    </row>
    <row r="1709" spans="1:8" x14ac:dyDescent="0.3">
      <c r="A1709">
        <v>153163612</v>
      </c>
      <c r="B1709" s="1">
        <v>45025</v>
      </c>
      <c r="C1709" s="1">
        <v>45040</v>
      </c>
      <c r="D1709" t="s">
        <v>7</v>
      </c>
      <c r="E1709">
        <v>39</v>
      </c>
      <c r="F1709" t="s">
        <v>6</v>
      </c>
      <c r="G1709">
        <f t="shared" si="58"/>
        <v>15</v>
      </c>
      <c r="H1709" s="1" t="str">
        <f t="shared" si="59"/>
        <v>Sunday</v>
      </c>
    </row>
    <row r="1710" spans="1:8" x14ac:dyDescent="0.3">
      <c r="A1710">
        <v>209505551</v>
      </c>
      <c r="B1710" s="1">
        <v>45025</v>
      </c>
      <c r="C1710" s="1">
        <v>45041</v>
      </c>
      <c r="D1710" t="s">
        <v>7</v>
      </c>
      <c r="E1710">
        <v>39</v>
      </c>
      <c r="F1710" t="s">
        <v>6</v>
      </c>
      <c r="G1710">
        <f t="shared" si="58"/>
        <v>16</v>
      </c>
      <c r="H1710" s="1" t="str">
        <f t="shared" si="59"/>
        <v>Sunday</v>
      </c>
    </row>
    <row r="1711" spans="1:8" x14ac:dyDescent="0.3">
      <c r="A1711">
        <v>211389716</v>
      </c>
      <c r="B1711" s="1">
        <v>45026</v>
      </c>
      <c r="C1711" t="s">
        <v>19</v>
      </c>
      <c r="D1711" t="s">
        <v>7</v>
      </c>
      <c r="E1711">
        <v>39</v>
      </c>
      <c r="F1711" t="s">
        <v>6</v>
      </c>
      <c r="G1711" t="str">
        <f t="shared" si="58"/>
        <v>Active</v>
      </c>
      <c r="H1711" s="1" t="str">
        <f t="shared" si="59"/>
        <v>Monday</v>
      </c>
    </row>
    <row r="1712" spans="1:8" x14ac:dyDescent="0.3">
      <c r="A1712">
        <v>211636708</v>
      </c>
      <c r="B1712" s="1">
        <v>45026</v>
      </c>
      <c r="C1712" t="s">
        <v>19</v>
      </c>
      <c r="D1712" t="s">
        <v>7</v>
      </c>
      <c r="E1712">
        <v>39</v>
      </c>
      <c r="F1712" t="s">
        <v>6</v>
      </c>
      <c r="G1712" t="str">
        <f t="shared" si="58"/>
        <v>Active</v>
      </c>
      <c r="H1712" s="1" t="str">
        <f t="shared" si="59"/>
        <v>Monday</v>
      </c>
    </row>
    <row r="1713" spans="1:8" x14ac:dyDescent="0.3">
      <c r="A1713">
        <v>176884824</v>
      </c>
      <c r="B1713" s="1">
        <v>45026</v>
      </c>
      <c r="C1713" t="s">
        <v>19</v>
      </c>
      <c r="D1713" t="s">
        <v>7</v>
      </c>
      <c r="E1713">
        <v>39</v>
      </c>
      <c r="F1713" t="s">
        <v>6</v>
      </c>
      <c r="G1713" t="str">
        <f t="shared" si="58"/>
        <v>Active</v>
      </c>
      <c r="H1713" s="1" t="str">
        <f t="shared" si="59"/>
        <v>Monday</v>
      </c>
    </row>
    <row r="1714" spans="1:8" x14ac:dyDescent="0.3">
      <c r="A1714">
        <v>211352758</v>
      </c>
      <c r="B1714" s="1">
        <v>45026</v>
      </c>
      <c r="C1714" t="s">
        <v>19</v>
      </c>
      <c r="D1714" t="s">
        <v>7</v>
      </c>
      <c r="E1714">
        <v>39</v>
      </c>
      <c r="F1714" t="s">
        <v>6</v>
      </c>
      <c r="G1714" t="str">
        <f t="shared" si="58"/>
        <v>Active</v>
      </c>
      <c r="H1714" s="1" t="str">
        <f t="shared" si="59"/>
        <v>Monday</v>
      </c>
    </row>
    <row r="1715" spans="1:8" x14ac:dyDescent="0.3">
      <c r="A1715">
        <v>210814163</v>
      </c>
      <c r="B1715" s="1">
        <v>45026</v>
      </c>
      <c r="C1715" t="s">
        <v>19</v>
      </c>
      <c r="D1715" t="s">
        <v>7</v>
      </c>
      <c r="E1715">
        <v>39</v>
      </c>
      <c r="F1715" t="s">
        <v>6</v>
      </c>
      <c r="G1715" t="str">
        <f t="shared" si="58"/>
        <v>Active</v>
      </c>
      <c r="H1715" s="1" t="str">
        <f t="shared" si="59"/>
        <v>Monday</v>
      </c>
    </row>
    <row r="1716" spans="1:8" x14ac:dyDescent="0.3">
      <c r="A1716">
        <v>210893245</v>
      </c>
      <c r="B1716" s="1">
        <v>45026</v>
      </c>
      <c r="C1716" t="s">
        <v>19</v>
      </c>
      <c r="D1716" t="s">
        <v>7</v>
      </c>
      <c r="E1716">
        <v>39</v>
      </c>
      <c r="F1716" t="s">
        <v>6</v>
      </c>
      <c r="G1716" t="str">
        <f t="shared" si="58"/>
        <v>Active</v>
      </c>
      <c r="H1716" s="1" t="str">
        <f t="shared" si="59"/>
        <v>Monday</v>
      </c>
    </row>
    <row r="1717" spans="1:8" x14ac:dyDescent="0.3">
      <c r="A1717">
        <v>130967112</v>
      </c>
      <c r="B1717" s="1">
        <v>45026</v>
      </c>
      <c r="C1717" t="s">
        <v>19</v>
      </c>
      <c r="D1717" t="s">
        <v>7</v>
      </c>
      <c r="E1717">
        <v>39</v>
      </c>
      <c r="F1717" t="s">
        <v>6</v>
      </c>
      <c r="G1717" t="str">
        <f t="shared" si="58"/>
        <v>Active</v>
      </c>
      <c r="H1717" s="1" t="str">
        <f t="shared" si="59"/>
        <v>Monday</v>
      </c>
    </row>
    <row r="1718" spans="1:8" x14ac:dyDescent="0.3">
      <c r="A1718">
        <v>199116000</v>
      </c>
      <c r="B1718" s="1">
        <v>45026</v>
      </c>
      <c r="C1718" t="s">
        <v>19</v>
      </c>
      <c r="D1718" t="s">
        <v>7</v>
      </c>
      <c r="E1718">
        <v>39</v>
      </c>
      <c r="F1718" t="s">
        <v>6</v>
      </c>
      <c r="G1718" t="str">
        <f t="shared" si="58"/>
        <v>Active</v>
      </c>
      <c r="H1718" s="1" t="str">
        <f t="shared" si="59"/>
        <v>Monday</v>
      </c>
    </row>
    <row r="1719" spans="1:8" x14ac:dyDescent="0.3">
      <c r="A1719">
        <v>161182706</v>
      </c>
      <c r="B1719" s="1">
        <v>45026</v>
      </c>
      <c r="C1719" s="1">
        <v>45063</v>
      </c>
      <c r="D1719" t="s">
        <v>7</v>
      </c>
      <c r="E1719">
        <v>39</v>
      </c>
      <c r="F1719" t="s">
        <v>6</v>
      </c>
      <c r="G1719">
        <f t="shared" si="58"/>
        <v>37</v>
      </c>
      <c r="H1719" s="1" t="str">
        <f t="shared" si="59"/>
        <v>Monday</v>
      </c>
    </row>
    <row r="1720" spans="1:8" x14ac:dyDescent="0.3">
      <c r="A1720">
        <v>211576047</v>
      </c>
      <c r="B1720" s="1">
        <v>45027</v>
      </c>
      <c r="C1720" t="s">
        <v>19</v>
      </c>
      <c r="D1720" t="s">
        <v>7</v>
      </c>
      <c r="E1720">
        <v>39</v>
      </c>
      <c r="F1720" t="s">
        <v>6</v>
      </c>
      <c r="G1720" t="str">
        <f t="shared" si="58"/>
        <v>Active</v>
      </c>
      <c r="H1720" s="1" t="str">
        <f t="shared" si="59"/>
        <v>Tuesday</v>
      </c>
    </row>
    <row r="1721" spans="1:8" x14ac:dyDescent="0.3">
      <c r="A1721">
        <v>211897884</v>
      </c>
      <c r="B1721" s="1">
        <v>45027</v>
      </c>
      <c r="C1721" t="s">
        <v>19</v>
      </c>
      <c r="D1721" t="s">
        <v>7</v>
      </c>
      <c r="E1721">
        <v>39</v>
      </c>
      <c r="F1721" t="s">
        <v>6</v>
      </c>
      <c r="G1721" t="str">
        <f t="shared" si="58"/>
        <v>Active</v>
      </c>
      <c r="H1721" s="1" t="str">
        <f t="shared" si="59"/>
        <v>Tuesday</v>
      </c>
    </row>
    <row r="1722" spans="1:8" x14ac:dyDescent="0.3">
      <c r="A1722">
        <v>211661733</v>
      </c>
      <c r="B1722" s="1">
        <v>45027</v>
      </c>
      <c r="C1722" t="s">
        <v>19</v>
      </c>
      <c r="D1722" t="s">
        <v>7</v>
      </c>
      <c r="E1722">
        <v>39</v>
      </c>
      <c r="F1722" t="s">
        <v>6</v>
      </c>
      <c r="G1722" t="str">
        <f t="shared" si="58"/>
        <v>Active</v>
      </c>
      <c r="H1722" s="1" t="str">
        <f t="shared" si="59"/>
        <v>Tuesday</v>
      </c>
    </row>
    <row r="1723" spans="1:8" x14ac:dyDescent="0.3">
      <c r="A1723">
        <v>211561665</v>
      </c>
      <c r="B1723" s="1">
        <v>45027</v>
      </c>
      <c r="C1723" t="s">
        <v>19</v>
      </c>
      <c r="D1723" t="s">
        <v>8</v>
      </c>
      <c r="E1723">
        <v>39</v>
      </c>
      <c r="F1723" t="s">
        <v>6</v>
      </c>
      <c r="G1723" t="str">
        <f t="shared" si="58"/>
        <v>Active</v>
      </c>
      <c r="H1723" s="1" t="str">
        <f t="shared" si="59"/>
        <v>Tuesday</v>
      </c>
    </row>
    <row r="1724" spans="1:8" x14ac:dyDescent="0.3">
      <c r="A1724">
        <v>211911280</v>
      </c>
      <c r="B1724" s="1">
        <v>45027</v>
      </c>
      <c r="C1724" s="1">
        <v>45161</v>
      </c>
      <c r="D1724" t="s">
        <v>7</v>
      </c>
      <c r="E1724">
        <v>39</v>
      </c>
      <c r="F1724" t="s">
        <v>6</v>
      </c>
      <c r="G1724">
        <f t="shared" si="58"/>
        <v>134</v>
      </c>
      <c r="H1724" s="1" t="str">
        <f t="shared" si="59"/>
        <v>Tuesday</v>
      </c>
    </row>
    <row r="1725" spans="1:8" x14ac:dyDescent="0.3">
      <c r="A1725">
        <v>123946316</v>
      </c>
      <c r="B1725" s="1">
        <v>45027</v>
      </c>
      <c r="C1725" s="1">
        <v>45094</v>
      </c>
      <c r="D1725" t="s">
        <v>7</v>
      </c>
      <c r="E1725">
        <v>39</v>
      </c>
      <c r="F1725" t="s">
        <v>6</v>
      </c>
      <c r="G1725">
        <f t="shared" si="58"/>
        <v>67</v>
      </c>
      <c r="H1725" s="1" t="str">
        <f t="shared" si="59"/>
        <v>Tuesday</v>
      </c>
    </row>
    <row r="1726" spans="1:8" x14ac:dyDescent="0.3">
      <c r="A1726">
        <v>144469362</v>
      </c>
      <c r="B1726" s="1">
        <v>45027</v>
      </c>
      <c r="C1726" s="1">
        <v>45047</v>
      </c>
      <c r="D1726" t="s">
        <v>7</v>
      </c>
      <c r="E1726">
        <v>39</v>
      </c>
      <c r="F1726" t="s">
        <v>6</v>
      </c>
      <c r="G1726">
        <f t="shared" si="58"/>
        <v>20</v>
      </c>
      <c r="H1726" s="1" t="str">
        <f t="shared" si="59"/>
        <v>Tuesday</v>
      </c>
    </row>
    <row r="1727" spans="1:8" x14ac:dyDescent="0.3">
      <c r="A1727">
        <v>187268085</v>
      </c>
      <c r="B1727" s="1">
        <v>45027</v>
      </c>
      <c r="C1727" s="1">
        <v>45054</v>
      </c>
      <c r="D1727" t="s">
        <v>7</v>
      </c>
      <c r="E1727">
        <v>39</v>
      </c>
      <c r="F1727" t="s">
        <v>6</v>
      </c>
      <c r="G1727">
        <f t="shared" si="58"/>
        <v>27</v>
      </c>
      <c r="H1727" s="1" t="str">
        <f t="shared" si="59"/>
        <v>Tuesday</v>
      </c>
    </row>
    <row r="1728" spans="1:8" x14ac:dyDescent="0.3">
      <c r="A1728">
        <v>210088359</v>
      </c>
      <c r="B1728" s="1">
        <v>45027</v>
      </c>
      <c r="C1728" s="1">
        <v>45103</v>
      </c>
      <c r="D1728" t="s">
        <v>7</v>
      </c>
      <c r="E1728">
        <v>39</v>
      </c>
      <c r="F1728" t="s">
        <v>6</v>
      </c>
      <c r="G1728">
        <f t="shared" si="58"/>
        <v>76</v>
      </c>
      <c r="H1728" s="1" t="str">
        <f t="shared" si="59"/>
        <v>Tuesday</v>
      </c>
    </row>
    <row r="1729" spans="1:8" x14ac:dyDescent="0.3">
      <c r="A1729">
        <v>211906202</v>
      </c>
      <c r="B1729" s="1">
        <v>45027</v>
      </c>
      <c r="C1729" s="1">
        <v>45068</v>
      </c>
      <c r="D1729" t="s">
        <v>7</v>
      </c>
      <c r="E1729">
        <v>39</v>
      </c>
      <c r="F1729" t="s">
        <v>6</v>
      </c>
      <c r="G1729">
        <f t="shared" si="58"/>
        <v>41</v>
      </c>
      <c r="H1729" s="1" t="str">
        <f t="shared" si="59"/>
        <v>Tuesday</v>
      </c>
    </row>
    <row r="1730" spans="1:8" x14ac:dyDescent="0.3">
      <c r="A1730">
        <v>126391978</v>
      </c>
      <c r="B1730" s="1">
        <v>45027</v>
      </c>
      <c r="C1730" s="1">
        <v>45127</v>
      </c>
      <c r="D1730" t="s">
        <v>7</v>
      </c>
      <c r="E1730">
        <v>39</v>
      </c>
      <c r="F1730" t="s">
        <v>6</v>
      </c>
      <c r="G1730">
        <f t="shared" si="58"/>
        <v>100</v>
      </c>
      <c r="H1730" s="1" t="str">
        <f t="shared" si="59"/>
        <v>Tuesday</v>
      </c>
    </row>
    <row r="1731" spans="1:8" x14ac:dyDescent="0.3">
      <c r="A1731">
        <v>154753462</v>
      </c>
      <c r="B1731" s="1">
        <v>45028</v>
      </c>
      <c r="C1731" t="s">
        <v>19</v>
      </c>
      <c r="D1731" t="s">
        <v>7</v>
      </c>
      <c r="E1731">
        <v>39</v>
      </c>
      <c r="F1731" t="s">
        <v>6</v>
      </c>
      <c r="G1731" t="str">
        <f t="shared" ref="G1731:G1794" si="60">IF(C1731="Active","Active",C1731-B1731)</f>
        <v>Active</v>
      </c>
      <c r="H1731" s="1" t="str">
        <f t="shared" ref="H1731:H1794" si="61">TEXT(B1731,"dddd")</f>
        <v>Wednesday</v>
      </c>
    </row>
    <row r="1732" spans="1:8" x14ac:dyDescent="0.3">
      <c r="A1732">
        <v>212049757</v>
      </c>
      <c r="B1732" s="1">
        <v>45028</v>
      </c>
      <c r="C1732" t="s">
        <v>19</v>
      </c>
      <c r="D1732" t="s">
        <v>7</v>
      </c>
      <c r="E1732">
        <v>39</v>
      </c>
      <c r="F1732" t="s">
        <v>6</v>
      </c>
      <c r="G1732" t="str">
        <f t="shared" si="60"/>
        <v>Active</v>
      </c>
      <c r="H1732" s="1" t="str">
        <f t="shared" si="61"/>
        <v>Wednesday</v>
      </c>
    </row>
    <row r="1733" spans="1:8" x14ac:dyDescent="0.3">
      <c r="A1733">
        <v>147015210</v>
      </c>
      <c r="B1733" s="1">
        <v>45028</v>
      </c>
      <c r="C1733" t="s">
        <v>19</v>
      </c>
      <c r="D1733" t="s">
        <v>7</v>
      </c>
      <c r="E1733">
        <v>39</v>
      </c>
      <c r="F1733" t="s">
        <v>6</v>
      </c>
      <c r="G1733" t="str">
        <f t="shared" si="60"/>
        <v>Active</v>
      </c>
      <c r="H1733" s="1" t="str">
        <f t="shared" si="61"/>
        <v>Wednesday</v>
      </c>
    </row>
    <row r="1734" spans="1:8" x14ac:dyDescent="0.3">
      <c r="A1734">
        <v>212057431</v>
      </c>
      <c r="B1734" s="1">
        <v>45028</v>
      </c>
      <c r="C1734" s="1">
        <v>45029</v>
      </c>
      <c r="D1734" t="s">
        <v>8</v>
      </c>
      <c r="E1734">
        <v>39</v>
      </c>
      <c r="F1734" t="s">
        <v>6</v>
      </c>
      <c r="G1734">
        <f t="shared" si="60"/>
        <v>1</v>
      </c>
      <c r="H1734" s="1" t="str">
        <f t="shared" si="61"/>
        <v>Wednesday</v>
      </c>
    </row>
    <row r="1735" spans="1:8" x14ac:dyDescent="0.3">
      <c r="A1735">
        <v>205734465</v>
      </c>
      <c r="B1735" s="1">
        <v>45028</v>
      </c>
      <c r="C1735" s="1">
        <v>45085</v>
      </c>
      <c r="D1735" t="s">
        <v>7</v>
      </c>
      <c r="E1735">
        <v>39</v>
      </c>
      <c r="F1735" t="s">
        <v>6</v>
      </c>
      <c r="G1735">
        <f t="shared" si="60"/>
        <v>57</v>
      </c>
      <c r="H1735" s="1" t="str">
        <f t="shared" si="61"/>
        <v>Wednesday</v>
      </c>
    </row>
    <row r="1736" spans="1:8" x14ac:dyDescent="0.3">
      <c r="A1736">
        <v>208772540</v>
      </c>
      <c r="B1736" s="1">
        <v>45028</v>
      </c>
      <c r="C1736" s="1">
        <v>45046</v>
      </c>
      <c r="D1736" t="s">
        <v>7</v>
      </c>
      <c r="E1736">
        <v>39</v>
      </c>
      <c r="F1736" t="s">
        <v>6</v>
      </c>
      <c r="G1736">
        <f t="shared" si="60"/>
        <v>18</v>
      </c>
      <c r="H1736" s="1" t="str">
        <f t="shared" si="61"/>
        <v>Wednesday</v>
      </c>
    </row>
    <row r="1737" spans="1:8" x14ac:dyDescent="0.3">
      <c r="A1737">
        <v>182357706</v>
      </c>
      <c r="B1737" s="1">
        <v>45028</v>
      </c>
      <c r="C1737" s="1">
        <v>45111</v>
      </c>
      <c r="D1737" t="s">
        <v>7</v>
      </c>
      <c r="E1737">
        <v>39</v>
      </c>
      <c r="F1737" t="s">
        <v>6</v>
      </c>
      <c r="G1737">
        <f t="shared" si="60"/>
        <v>83</v>
      </c>
      <c r="H1737" s="1" t="str">
        <f t="shared" si="61"/>
        <v>Wednesday</v>
      </c>
    </row>
    <row r="1738" spans="1:8" x14ac:dyDescent="0.3">
      <c r="A1738">
        <v>211333348</v>
      </c>
      <c r="B1738" s="1">
        <v>45028</v>
      </c>
      <c r="C1738" s="1">
        <v>45115</v>
      </c>
      <c r="D1738" t="s">
        <v>7</v>
      </c>
      <c r="E1738">
        <v>39</v>
      </c>
      <c r="F1738" t="s">
        <v>6</v>
      </c>
      <c r="G1738">
        <f t="shared" si="60"/>
        <v>87</v>
      </c>
      <c r="H1738" s="1" t="str">
        <f t="shared" si="61"/>
        <v>Wednesday</v>
      </c>
    </row>
    <row r="1739" spans="1:8" x14ac:dyDescent="0.3">
      <c r="A1739">
        <v>211334702</v>
      </c>
      <c r="B1739" s="1">
        <v>45028</v>
      </c>
      <c r="C1739" s="1">
        <v>45132</v>
      </c>
      <c r="D1739" t="s">
        <v>7</v>
      </c>
      <c r="E1739">
        <v>39</v>
      </c>
      <c r="F1739" t="s">
        <v>6</v>
      </c>
      <c r="G1739">
        <f t="shared" si="60"/>
        <v>104</v>
      </c>
      <c r="H1739" s="1" t="str">
        <f t="shared" si="61"/>
        <v>Wednesday</v>
      </c>
    </row>
    <row r="1740" spans="1:8" x14ac:dyDescent="0.3">
      <c r="A1740">
        <v>212129575</v>
      </c>
      <c r="B1740" s="1">
        <v>45029</v>
      </c>
      <c r="C1740" t="s">
        <v>19</v>
      </c>
      <c r="D1740" t="s">
        <v>7</v>
      </c>
      <c r="E1740">
        <v>39</v>
      </c>
      <c r="F1740" t="s">
        <v>6</v>
      </c>
      <c r="G1740" t="str">
        <f t="shared" si="60"/>
        <v>Active</v>
      </c>
      <c r="H1740" s="1" t="str">
        <f t="shared" si="61"/>
        <v>Thursday</v>
      </c>
    </row>
    <row r="1741" spans="1:8" x14ac:dyDescent="0.3">
      <c r="A1741">
        <v>209733088</v>
      </c>
      <c r="B1741" s="1">
        <v>45029</v>
      </c>
      <c r="C1741" t="s">
        <v>19</v>
      </c>
      <c r="D1741" t="s">
        <v>7</v>
      </c>
      <c r="E1741">
        <v>39</v>
      </c>
      <c r="F1741" t="s">
        <v>6</v>
      </c>
      <c r="G1741" t="str">
        <f t="shared" si="60"/>
        <v>Active</v>
      </c>
      <c r="H1741" s="1" t="str">
        <f t="shared" si="61"/>
        <v>Thursday</v>
      </c>
    </row>
    <row r="1742" spans="1:8" x14ac:dyDescent="0.3">
      <c r="A1742">
        <v>152792045</v>
      </c>
      <c r="B1742" s="1">
        <v>45029</v>
      </c>
      <c r="C1742" s="1">
        <v>45097</v>
      </c>
      <c r="D1742" t="s">
        <v>7</v>
      </c>
      <c r="E1742">
        <v>39</v>
      </c>
      <c r="F1742" t="s">
        <v>6</v>
      </c>
      <c r="G1742">
        <f t="shared" si="60"/>
        <v>68</v>
      </c>
      <c r="H1742" s="1" t="str">
        <f t="shared" si="61"/>
        <v>Thursday</v>
      </c>
    </row>
    <row r="1743" spans="1:8" x14ac:dyDescent="0.3">
      <c r="A1743">
        <v>212163568</v>
      </c>
      <c r="B1743" s="1">
        <v>45029</v>
      </c>
      <c r="C1743" s="1">
        <v>45075</v>
      </c>
      <c r="D1743" t="s">
        <v>7</v>
      </c>
      <c r="E1743">
        <v>39</v>
      </c>
      <c r="F1743" t="s">
        <v>6</v>
      </c>
      <c r="G1743">
        <f t="shared" si="60"/>
        <v>46</v>
      </c>
      <c r="H1743" s="1" t="str">
        <f t="shared" si="61"/>
        <v>Thursday</v>
      </c>
    </row>
    <row r="1744" spans="1:8" x14ac:dyDescent="0.3">
      <c r="A1744">
        <v>212260363</v>
      </c>
      <c r="B1744" s="1">
        <v>45029</v>
      </c>
      <c r="C1744" s="1">
        <v>45056</v>
      </c>
      <c r="D1744" t="s">
        <v>7</v>
      </c>
      <c r="E1744">
        <v>39</v>
      </c>
      <c r="F1744" t="s">
        <v>6</v>
      </c>
      <c r="G1744">
        <f t="shared" si="60"/>
        <v>27</v>
      </c>
      <c r="H1744" s="1" t="str">
        <f t="shared" si="61"/>
        <v>Thursday</v>
      </c>
    </row>
    <row r="1745" spans="1:8" x14ac:dyDescent="0.3">
      <c r="A1745">
        <v>212164158</v>
      </c>
      <c r="B1745" s="1">
        <v>45029</v>
      </c>
      <c r="C1745" s="1">
        <v>45104</v>
      </c>
      <c r="D1745" t="s">
        <v>7</v>
      </c>
      <c r="E1745">
        <v>39</v>
      </c>
      <c r="F1745" t="s">
        <v>6</v>
      </c>
      <c r="G1745">
        <f t="shared" si="60"/>
        <v>75</v>
      </c>
      <c r="H1745" s="1" t="str">
        <f t="shared" si="61"/>
        <v>Thursday</v>
      </c>
    </row>
    <row r="1746" spans="1:8" x14ac:dyDescent="0.3">
      <c r="A1746">
        <v>155604779</v>
      </c>
      <c r="B1746" s="1">
        <v>45029</v>
      </c>
      <c r="C1746" s="1">
        <v>45111</v>
      </c>
      <c r="D1746" t="s">
        <v>7</v>
      </c>
      <c r="E1746">
        <v>39</v>
      </c>
      <c r="F1746" t="s">
        <v>6</v>
      </c>
      <c r="G1746">
        <f t="shared" si="60"/>
        <v>82</v>
      </c>
      <c r="H1746" s="1" t="str">
        <f t="shared" si="61"/>
        <v>Thursday</v>
      </c>
    </row>
    <row r="1747" spans="1:8" x14ac:dyDescent="0.3">
      <c r="A1747">
        <v>150421022</v>
      </c>
      <c r="B1747" s="1">
        <v>45029</v>
      </c>
      <c r="C1747" s="1">
        <v>45092</v>
      </c>
      <c r="D1747" t="s">
        <v>7</v>
      </c>
      <c r="E1747">
        <v>39</v>
      </c>
      <c r="F1747" t="s">
        <v>6</v>
      </c>
      <c r="G1747">
        <f t="shared" si="60"/>
        <v>63</v>
      </c>
      <c r="H1747" s="1" t="str">
        <f t="shared" si="61"/>
        <v>Thursday</v>
      </c>
    </row>
    <row r="1748" spans="1:8" x14ac:dyDescent="0.3">
      <c r="A1748">
        <v>122616012</v>
      </c>
      <c r="B1748" s="1">
        <v>45029</v>
      </c>
      <c r="C1748" s="1">
        <v>45106</v>
      </c>
      <c r="D1748" t="s">
        <v>7</v>
      </c>
      <c r="E1748">
        <v>39</v>
      </c>
      <c r="F1748" t="s">
        <v>6</v>
      </c>
      <c r="G1748">
        <f t="shared" si="60"/>
        <v>77</v>
      </c>
      <c r="H1748" s="1" t="str">
        <f t="shared" si="61"/>
        <v>Thursday</v>
      </c>
    </row>
    <row r="1749" spans="1:8" x14ac:dyDescent="0.3">
      <c r="A1749">
        <v>209356278</v>
      </c>
      <c r="B1749" s="1">
        <v>45030</v>
      </c>
      <c r="C1749" t="s">
        <v>19</v>
      </c>
      <c r="D1749" t="s">
        <v>7</v>
      </c>
      <c r="E1749">
        <v>39</v>
      </c>
      <c r="F1749" t="s">
        <v>6</v>
      </c>
      <c r="G1749" t="str">
        <f t="shared" si="60"/>
        <v>Active</v>
      </c>
      <c r="H1749" s="1" t="str">
        <f t="shared" si="61"/>
        <v>Friday</v>
      </c>
    </row>
    <row r="1750" spans="1:8" x14ac:dyDescent="0.3">
      <c r="A1750">
        <v>212604642</v>
      </c>
      <c r="B1750" s="1">
        <v>45030</v>
      </c>
      <c r="C1750" t="s">
        <v>19</v>
      </c>
      <c r="D1750" t="s">
        <v>7</v>
      </c>
      <c r="E1750">
        <v>39</v>
      </c>
      <c r="F1750" t="s">
        <v>6</v>
      </c>
      <c r="G1750" t="str">
        <f t="shared" si="60"/>
        <v>Active</v>
      </c>
      <c r="H1750" s="1" t="str">
        <f t="shared" si="61"/>
        <v>Friday</v>
      </c>
    </row>
    <row r="1751" spans="1:8" x14ac:dyDescent="0.3">
      <c r="A1751">
        <v>210730447</v>
      </c>
      <c r="B1751" s="1">
        <v>45030</v>
      </c>
      <c r="C1751" t="s">
        <v>19</v>
      </c>
      <c r="D1751" t="s">
        <v>7</v>
      </c>
      <c r="E1751">
        <v>39</v>
      </c>
      <c r="F1751" t="s">
        <v>6</v>
      </c>
      <c r="G1751" t="str">
        <f t="shared" si="60"/>
        <v>Active</v>
      </c>
      <c r="H1751" s="1" t="str">
        <f t="shared" si="61"/>
        <v>Friday</v>
      </c>
    </row>
    <row r="1752" spans="1:8" x14ac:dyDescent="0.3">
      <c r="A1752">
        <v>212388726</v>
      </c>
      <c r="B1752" s="1">
        <v>45030</v>
      </c>
      <c r="C1752" t="s">
        <v>19</v>
      </c>
      <c r="D1752" t="s">
        <v>8</v>
      </c>
      <c r="E1752">
        <v>39</v>
      </c>
      <c r="F1752" t="s">
        <v>6</v>
      </c>
      <c r="G1752" t="str">
        <f t="shared" si="60"/>
        <v>Active</v>
      </c>
      <c r="H1752" s="1" t="str">
        <f t="shared" si="61"/>
        <v>Friday</v>
      </c>
    </row>
    <row r="1753" spans="1:8" x14ac:dyDescent="0.3">
      <c r="A1753">
        <v>127793951</v>
      </c>
      <c r="B1753" s="1">
        <v>45030</v>
      </c>
      <c r="C1753" s="1">
        <v>45169</v>
      </c>
      <c r="D1753" t="s">
        <v>7</v>
      </c>
      <c r="E1753">
        <v>39</v>
      </c>
      <c r="F1753" t="s">
        <v>6</v>
      </c>
      <c r="G1753">
        <f t="shared" si="60"/>
        <v>139</v>
      </c>
      <c r="H1753" s="1" t="str">
        <f t="shared" si="61"/>
        <v>Friday</v>
      </c>
    </row>
    <row r="1754" spans="1:8" x14ac:dyDescent="0.3">
      <c r="A1754">
        <v>189715793</v>
      </c>
      <c r="B1754" s="1">
        <v>45030</v>
      </c>
      <c r="C1754" s="1">
        <v>45067</v>
      </c>
      <c r="D1754" t="s">
        <v>7</v>
      </c>
      <c r="E1754">
        <v>39</v>
      </c>
      <c r="F1754" t="s">
        <v>6</v>
      </c>
      <c r="G1754">
        <f t="shared" si="60"/>
        <v>37</v>
      </c>
      <c r="H1754" s="1" t="str">
        <f t="shared" si="61"/>
        <v>Friday</v>
      </c>
    </row>
    <row r="1755" spans="1:8" x14ac:dyDescent="0.3">
      <c r="A1755">
        <v>148369126</v>
      </c>
      <c r="B1755" s="1">
        <v>45031</v>
      </c>
      <c r="C1755" t="s">
        <v>19</v>
      </c>
      <c r="D1755" t="s">
        <v>7</v>
      </c>
      <c r="E1755">
        <v>39</v>
      </c>
      <c r="F1755" t="s">
        <v>6</v>
      </c>
      <c r="G1755" t="str">
        <f t="shared" si="60"/>
        <v>Active</v>
      </c>
      <c r="H1755" s="1" t="str">
        <f t="shared" si="61"/>
        <v>Saturday</v>
      </c>
    </row>
    <row r="1756" spans="1:8" x14ac:dyDescent="0.3">
      <c r="A1756">
        <v>157503290</v>
      </c>
      <c r="B1756" s="1">
        <v>45031</v>
      </c>
      <c r="C1756" s="1">
        <v>45068</v>
      </c>
      <c r="D1756" t="s">
        <v>7</v>
      </c>
      <c r="E1756">
        <v>39</v>
      </c>
      <c r="F1756" t="s">
        <v>6</v>
      </c>
      <c r="G1756">
        <f t="shared" si="60"/>
        <v>37</v>
      </c>
      <c r="H1756" s="1" t="str">
        <f t="shared" si="61"/>
        <v>Saturday</v>
      </c>
    </row>
    <row r="1757" spans="1:8" x14ac:dyDescent="0.3">
      <c r="A1757">
        <v>212712986</v>
      </c>
      <c r="B1757" s="1">
        <v>45031</v>
      </c>
      <c r="C1757" s="1">
        <v>45077</v>
      </c>
      <c r="D1757" t="s">
        <v>7</v>
      </c>
      <c r="E1757">
        <v>39</v>
      </c>
      <c r="F1757" t="s">
        <v>6</v>
      </c>
      <c r="G1757">
        <f t="shared" si="60"/>
        <v>46</v>
      </c>
      <c r="H1757" s="1" t="str">
        <f t="shared" si="61"/>
        <v>Saturday</v>
      </c>
    </row>
    <row r="1758" spans="1:8" x14ac:dyDescent="0.3">
      <c r="A1758">
        <v>204512028</v>
      </c>
      <c r="B1758" s="1">
        <v>45031</v>
      </c>
      <c r="C1758" s="1">
        <v>45061</v>
      </c>
      <c r="D1758" t="s">
        <v>7</v>
      </c>
      <c r="E1758">
        <v>39</v>
      </c>
      <c r="F1758" t="s">
        <v>6</v>
      </c>
      <c r="G1758">
        <f t="shared" si="60"/>
        <v>30</v>
      </c>
      <c r="H1758" s="1" t="str">
        <f t="shared" si="61"/>
        <v>Saturday</v>
      </c>
    </row>
    <row r="1759" spans="1:8" x14ac:dyDescent="0.3">
      <c r="A1759">
        <v>147066240</v>
      </c>
      <c r="B1759" s="1">
        <v>45031</v>
      </c>
      <c r="C1759" s="1">
        <v>45046</v>
      </c>
      <c r="D1759" t="s">
        <v>7</v>
      </c>
      <c r="E1759">
        <v>39</v>
      </c>
      <c r="F1759" t="s">
        <v>6</v>
      </c>
      <c r="G1759">
        <f t="shared" si="60"/>
        <v>15</v>
      </c>
      <c r="H1759" s="1" t="str">
        <f t="shared" si="61"/>
        <v>Saturday</v>
      </c>
    </row>
    <row r="1760" spans="1:8" x14ac:dyDescent="0.3">
      <c r="A1760">
        <v>212759443</v>
      </c>
      <c r="B1760" s="1">
        <v>45032</v>
      </c>
      <c r="C1760" s="1">
        <v>45032</v>
      </c>
      <c r="D1760" t="s">
        <v>7</v>
      </c>
      <c r="E1760">
        <v>39</v>
      </c>
      <c r="F1760" t="s">
        <v>6</v>
      </c>
      <c r="G1760">
        <f t="shared" si="60"/>
        <v>0</v>
      </c>
      <c r="H1760" s="1" t="str">
        <f t="shared" si="61"/>
        <v>Sunday</v>
      </c>
    </row>
    <row r="1761" spans="1:8" x14ac:dyDescent="0.3">
      <c r="A1761">
        <v>212042832</v>
      </c>
      <c r="B1761" s="1">
        <v>45033</v>
      </c>
      <c r="C1761" t="s">
        <v>19</v>
      </c>
      <c r="D1761" t="s">
        <v>7</v>
      </c>
      <c r="E1761">
        <v>39</v>
      </c>
      <c r="F1761" t="s">
        <v>6</v>
      </c>
      <c r="G1761" t="str">
        <f t="shared" si="60"/>
        <v>Active</v>
      </c>
      <c r="H1761" s="1" t="str">
        <f t="shared" si="61"/>
        <v>Monday</v>
      </c>
    </row>
    <row r="1762" spans="1:8" x14ac:dyDescent="0.3">
      <c r="A1762">
        <v>212113682</v>
      </c>
      <c r="B1762" s="1">
        <v>45033</v>
      </c>
      <c r="C1762" t="s">
        <v>19</v>
      </c>
      <c r="D1762" t="s">
        <v>7</v>
      </c>
      <c r="E1762">
        <v>39</v>
      </c>
      <c r="F1762" t="s">
        <v>6</v>
      </c>
      <c r="G1762" t="str">
        <f t="shared" si="60"/>
        <v>Active</v>
      </c>
      <c r="H1762" s="1" t="str">
        <f t="shared" si="61"/>
        <v>Monday</v>
      </c>
    </row>
    <row r="1763" spans="1:8" x14ac:dyDescent="0.3">
      <c r="A1763">
        <v>181175226</v>
      </c>
      <c r="B1763" s="1">
        <v>45033</v>
      </c>
      <c r="C1763" t="s">
        <v>19</v>
      </c>
      <c r="D1763" t="s">
        <v>7</v>
      </c>
      <c r="E1763">
        <v>39</v>
      </c>
      <c r="F1763" t="s">
        <v>6</v>
      </c>
      <c r="G1763" t="str">
        <f t="shared" si="60"/>
        <v>Active</v>
      </c>
      <c r="H1763" s="1" t="str">
        <f t="shared" si="61"/>
        <v>Monday</v>
      </c>
    </row>
    <row r="1764" spans="1:8" x14ac:dyDescent="0.3">
      <c r="A1764">
        <v>201817514</v>
      </c>
      <c r="B1764" s="1">
        <v>45033</v>
      </c>
      <c r="C1764" s="1">
        <v>45034</v>
      </c>
      <c r="D1764" t="s">
        <v>7</v>
      </c>
      <c r="E1764">
        <v>39</v>
      </c>
      <c r="F1764" t="s">
        <v>6</v>
      </c>
      <c r="G1764">
        <f t="shared" si="60"/>
        <v>1</v>
      </c>
      <c r="H1764" s="1" t="str">
        <f t="shared" si="61"/>
        <v>Monday</v>
      </c>
    </row>
    <row r="1765" spans="1:8" x14ac:dyDescent="0.3">
      <c r="A1765">
        <v>168698174</v>
      </c>
      <c r="B1765" s="1">
        <v>45033</v>
      </c>
      <c r="C1765" s="1">
        <v>45033</v>
      </c>
      <c r="D1765" t="s">
        <v>7</v>
      </c>
      <c r="E1765">
        <v>39</v>
      </c>
      <c r="F1765" t="s">
        <v>6</v>
      </c>
      <c r="G1765">
        <f t="shared" si="60"/>
        <v>0</v>
      </c>
      <c r="H1765" s="1" t="str">
        <f t="shared" si="61"/>
        <v>Monday</v>
      </c>
    </row>
    <row r="1766" spans="1:8" x14ac:dyDescent="0.3">
      <c r="A1766">
        <v>170512298</v>
      </c>
      <c r="B1766" s="1">
        <v>45033</v>
      </c>
      <c r="C1766" s="1">
        <v>45061</v>
      </c>
      <c r="D1766" t="s">
        <v>7</v>
      </c>
      <c r="E1766">
        <v>39</v>
      </c>
      <c r="F1766" t="s">
        <v>6</v>
      </c>
      <c r="G1766">
        <f t="shared" si="60"/>
        <v>28</v>
      </c>
      <c r="H1766" s="1" t="str">
        <f t="shared" si="61"/>
        <v>Monday</v>
      </c>
    </row>
    <row r="1767" spans="1:8" x14ac:dyDescent="0.3">
      <c r="A1767">
        <v>213181546</v>
      </c>
      <c r="B1767" s="1">
        <v>45033</v>
      </c>
      <c r="C1767" s="1">
        <v>45078</v>
      </c>
      <c r="D1767" t="s">
        <v>7</v>
      </c>
      <c r="E1767">
        <v>39</v>
      </c>
      <c r="F1767" t="s">
        <v>6</v>
      </c>
      <c r="G1767">
        <f t="shared" si="60"/>
        <v>45</v>
      </c>
      <c r="H1767" s="1" t="str">
        <f t="shared" si="61"/>
        <v>Monday</v>
      </c>
    </row>
    <row r="1768" spans="1:8" x14ac:dyDescent="0.3">
      <c r="A1768">
        <v>154535908</v>
      </c>
      <c r="B1768" s="1">
        <v>45033</v>
      </c>
      <c r="C1768" s="1">
        <v>45101</v>
      </c>
      <c r="D1768" t="s">
        <v>7</v>
      </c>
      <c r="E1768">
        <v>39</v>
      </c>
      <c r="F1768" t="s">
        <v>6</v>
      </c>
      <c r="G1768">
        <f t="shared" si="60"/>
        <v>68</v>
      </c>
      <c r="H1768" s="1" t="str">
        <f t="shared" si="61"/>
        <v>Monday</v>
      </c>
    </row>
    <row r="1769" spans="1:8" x14ac:dyDescent="0.3">
      <c r="A1769">
        <v>151540809</v>
      </c>
      <c r="B1769" s="1">
        <v>45033</v>
      </c>
      <c r="C1769" s="1">
        <v>45069</v>
      </c>
      <c r="D1769" t="s">
        <v>7</v>
      </c>
      <c r="E1769">
        <v>39</v>
      </c>
      <c r="F1769" t="s">
        <v>6</v>
      </c>
      <c r="G1769">
        <f t="shared" si="60"/>
        <v>36</v>
      </c>
      <c r="H1769" s="1" t="str">
        <f t="shared" si="61"/>
        <v>Monday</v>
      </c>
    </row>
    <row r="1770" spans="1:8" x14ac:dyDescent="0.3">
      <c r="A1770">
        <v>212334937</v>
      </c>
      <c r="B1770" s="1">
        <v>45033</v>
      </c>
      <c r="C1770" s="1">
        <v>45064</v>
      </c>
      <c r="D1770" t="s">
        <v>7</v>
      </c>
      <c r="E1770">
        <v>39</v>
      </c>
      <c r="F1770" t="s">
        <v>6</v>
      </c>
      <c r="G1770">
        <f t="shared" si="60"/>
        <v>31</v>
      </c>
      <c r="H1770" s="1" t="str">
        <f t="shared" si="61"/>
        <v>Monday</v>
      </c>
    </row>
    <row r="1771" spans="1:8" x14ac:dyDescent="0.3">
      <c r="A1771">
        <v>204766175</v>
      </c>
      <c r="B1771" s="1">
        <v>45033</v>
      </c>
      <c r="C1771" s="1">
        <v>45121</v>
      </c>
      <c r="D1771" t="s">
        <v>7</v>
      </c>
      <c r="E1771">
        <v>39</v>
      </c>
      <c r="F1771" t="s">
        <v>6</v>
      </c>
      <c r="G1771">
        <f t="shared" si="60"/>
        <v>88</v>
      </c>
      <c r="H1771" s="1" t="str">
        <f t="shared" si="61"/>
        <v>Monday</v>
      </c>
    </row>
    <row r="1772" spans="1:8" x14ac:dyDescent="0.3">
      <c r="A1772">
        <v>212055738</v>
      </c>
      <c r="B1772" s="1">
        <v>45033</v>
      </c>
      <c r="C1772" s="1">
        <v>45162</v>
      </c>
      <c r="D1772" t="s">
        <v>7</v>
      </c>
      <c r="E1772">
        <v>39</v>
      </c>
      <c r="F1772" t="s">
        <v>6</v>
      </c>
      <c r="G1772">
        <f t="shared" si="60"/>
        <v>129</v>
      </c>
      <c r="H1772" s="1" t="str">
        <f t="shared" si="61"/>
        <v>Monday</v>
      </c>
    </row>
    <row r="1773" spans="1:8" x14ac:dyDescent="0.3">
      <c r="A1773">
        <v>211907956</v>
      </c>
      <c r="B1773" s="1">
        <v>45034</v>
      </c>
      <c r="C1773" t="s">
        <v>19</v>
      </c>
      <c r="D1773" t="s">
        <v>7</v>
      </c>
      <c r="E1773">
        <v>39</v>
      </c>
      <c r="F1773" t="s">
        <v>6</v>
      </c>
      <c r="G1773" t="str">
        <f t="shared" si="60"/>
        <v>Active</v>
      </c>
      <c r="H1773" s="1" t="str">
        <f t="shared" si="61"/>
        <v>Tuesday</v>
      </c>
    </row>
    <row r="1774" spans="1:8" x14ac:dyDescent="0.3">
      <c r="A1774">
        <v>212759443</v>
      </c>
      <c r="B1774" s="1">
        <v>45034</v>
      </c>
      <c r="C1774" t="s">
        <v>19</v>
      </c>
      <c r="D1774" t="s">
        <v>7</v>
      </c>
      <c r="E1774">
        <v>39</v>
      </c>
      <c r="F1774" t="s">
        <v>6</v>
      </c>
      <c r="G1774" t="str">
        <f t="shared" si="60"/>
        <v>Active</v>
      </c>
      <c r="H1774" s="1" t="str">
        <f t="shared" si="61"/>
        <v>Tuesday</v>
      </c>
    </row>
    <row r="1775" spans="1:8" x14ac:dyDescent="0.3">
      <c r="A1775">
        <v>213182327</v>
      </c>
      <c r="B1775" s="1">
        <v>45034</v>
      </c>
      <c r="C1775" t="s">
        <v>19</v>
      </c>
      <c r="D1775" t="s">
        <v>7</v>
      </c>
      <c r="E1775">
        <v>39</v>
      </c>
      <c r="F1775" t="s">
        <v>6</v>
      </c>
      <c r="G1775" t="str">
        <f t="shared" si="60"/>
        <v>Active</v>
      </c>
      <c r="H1775" s="1" t="str">
        <f t="shared" si="61"/>
        <v>Tuesday</v>
      </c>
    </row>
    <row r="1776" spans="1:8" x14ac:dyDescent="0.3">
      <c r="A1776">
        <v>213442067</v>
      </c>
      <c r="B1776" s="1">
        <v>45034</v>
      </c>
      <c r="C1776" t="s">
        <v>19</v>
      </c>
      <c r="D1776" t="s">
        <v>7</v>
      </c>
      <c r="E1776">
        <v>39</v>
      </c>
      <c r="F1776" t="s">
        <v>6</v>
      </c>
      <c r="G1776" t="str">
        <f t="shared" si="60"/>
        <v>Active</v>
      </c>
      <c r="H1776" s="1" t="str">
        <f t="shared" si="61"/>
        <v>Tuesday</v>
      </c>
    </row>
    <row r="1777" spans="1:8" x14ac:dyDescent="0.3">
      <c r="A1777">
        <v>213427247</v>
      </c>
      <c r="B1777" s="1">
        <v>45034</v>
      </c>
      <c r="C1777" t="s">
        <v>19</v>
      </c>
      <c r="D1777" t="s">
        <v>7</v>
      </c>
      <c r="E1777">
        <v>39</v>
      </c>
      <c r="F1777" t="s">
        <v>6</v>
      </c>
      <c r="G1777" t="str">
        <f t="shared" si="60"/>
        <v>Active</v>
      </c>
      <c r="H1777" s="1" t="str">
        <f t="shared" si="61"/>
        <v>Tuesday</v>
      </c>
    </row>
    <row r="1778" spans="1:8" x14ac:dyDescent="0.3">
      <c r="A1778">
        <v>172476368</v>
      </c>
      <c r="B1778" s="1">
        <v>45034</v>
      </c>
      <c r="C1778" s="1">
        <v>45061</v>
      </c>
      <c r="D1778" t="s">
        <v>7</v>
      </c>
      <c r="E1778">
        <v>39</v>
      </c>
      <c r="F1778" t="s">
        <v>6</v>
      </c>
      <c r="G1778">
        <f t="shared" si="60"/>
        <v>27</v>
      </c>
      <c r="H1778" s="1" t="str">
        <f t="shared" si="61"/>
        <v>Tuesday</v>
      </c>
    </row>
    <row r="1779" spans="1:8" x14ac:dyDescent="0.3">
      <c r="A1779">
        <v>148900262</v>
      </c>
      <c r="B1779" s="1">
        <v>45034</v>
      </c>
      <c r="C1779" s="1">
        <v>45057</v>
      </c>
      <c r="D1779" t="s">
        <v>7</v>
      </c>
      <c r="E1779">
        <v>39</v>
      </c>
      <c r="F1779" t="s">
        <v>6</v>
      </c>
      <c r="G1779">
        <f t="shared" si="60"/>
        <v>23</v>
      </c>
      <c r="H1779" s="1" t="str">
        <f t="shared" si="61"/>
        <v>Tuesday</v>
      </c>
    </row>
    <row r="1780" spans="1:8" x14ac:dyDescent="0.3">
      <c r="A1780">
        <v>213450505</v>
      </c>
      <c r="B1780" s="1">
        <v>45034</v>
      </c>
      <c r="C1780" s="1">
        <v>45062</v>
      </c>
      <c r="D1780" t="s">
        <v>7</v>
      </c>
      <c r="E1780">
        <v>39</v>
      </c>
      <c r="F1780" t="s">
        <v>6</v>
      </c>
      <c r="G1780">
        <f t="shared" si="60"/>
        <v>28</v>
      </c>
      <c r="H1780" s="1" t="str">
        <f t="shared" si="61"/>
        <v>Tuesday</v>
      </c>
    </row>
    <row r="1781" spans="1:8" x14ac:dyDescent="0.3">
      <c r="A1781">
        <v>168261038</v>
      </c>
      <c r="B1781" s="1">
        <v>45034</v>
      </c>
      <c r="C1781" s="1">
        <v>45072</v>
      </c>
      <c r="D1781" t="s">
        <v>7</v>
      </c>
      <c r="E1781">
        <v>39</v>
      </c>
      <c r="F1781" t="s">
        <v>6</v>
      </c>
      <c r="G1781">
        <f t="shared" si="60"/>
        <v>38</v>
      </c>
      <c r="H1781" s="1" t="str">
        <f t="shared" si="61"/>
        <v>Tuesday</v>
      </c>
    </row>
    <row r="1782" spans="1:8" x14ac:dyDescent="0.3">
      <c r="A1782">
        <v>207018786</v>
      </c>
      <c r="B1782" s="1">
        <v>45034</v>
      </c>
      <c r="C1782" s="1">
        <v>45132</v>
      </c>
      <c r="D1782" t="s">
        <v>7</v>
      </c>
      <c r="E1782">
        <v>39</v>
      </c>
      <c r="F1782" t="s">
        <v>6</v>
      </c>
      <c r="G1782">
        <f t="shared" si="60"/>
        <v>98</v>
      </c>
      <c r="H1782" s="1" t="str">
        <f t="shared" si="61"/>
        <v>Tuesday</v>
      </c>
    </row>
    <row r="1783" spans="1:8" x14ac:dyDescent="0.3">
      <c r="A1783">
        <v>213781045</v>
      </c>
      <c r="B1783" s="1">
        <v>45035</v>
      </c>
      <c r="C1783" t="s">
        <v>19</v>
      </c>
      <c r="D1783" t="s">
        <v>7</v>
      </c>
      <c r="E1783">
        <v>39</v>
      </c>
      <c r="F1783" t="s">
        <v>6</v>
      </c>
      <c r="G1783" t="str">
        <f t="shared" si="60"/>
        <v>Active</v>
      </c>
      <c r="H1783" s="1" t="str">
        <f t="shared" si="61"/>
        <v>Wednesday</v>
      </c>
    </row>
    <row r="1784" spans="1:8" x14ac:dyDescent="0.3">
      <c r="A1784">
        <v>213785402</v>
      </c>
      <c r="B1784" s="1">
        <v>45035</v>
      </c>
      <c r="C1784" s="1">
        <v>45161</v>
      </c>
      <c r="D1784" t="s">
        <v>7</v>
      </c>
      <c r="E1784">
        <v>39</v>
      </c>
      <c r="F1784" t="s">
        <v>6</v>
      </c>
      <c r="G1784">
        <f t="shared" si="60"/>
        <v>126</v>
      </c>
      <c r="H1784" s="1" t="str">
        <f t="shared" si="61"/>
        <v>Wednesday</v>
      </c>
    </row>
    <row r="1785" spans="1:8" x14ac:dyDescent="0.3">
      <c r="A1785">
        <v>213689187</v>
      </c>
      <c r="B1785" s="1">
        <v>45035</v>
      </c>
      <c r="C1785" s="1">
        <v>45036</v>
      </c>
      <c r="D1785" t="s">
        <v>8</v>
      </c>
      <c r="E1785">
        <v>39</v>
      </c>
      <c r="F1785" t="s">
        <v>6</v>
      </c>
      <c r="G1785">
        <f t="shared" si="60"/>
        <v>1</v>
      </c>
      <c r="H1785" s="1" t="str">
        <f t="shared" si="61"/>
        <v>Wednesday</v>
      </c>
    </row>
    <row r="1786" spans="1:8" x14ac:dyDescent="0.3">
      <c r="A1786">
        <v>213413298</v>
      </c>
      <c r="B1786" s="1">
        <v>45035</v>
      </c>
      <c r="C1786" s="1">
        <v>45035</v>
      </c>
      <c r="D1786" t="s">
        <v>8</v>
      </c>
      <c r="E1786">
        <v>39</v>
      </c>
      <c r="F1786" t="s">
        <v>6</v>
      </c>
      <c r="G1786">
        <f t="shared" si="60"/>
        <v>0</v>
      </c>
      <c r="H1786" s="1" t="str">
        <f t="shared" si="61"/>
        <v>Wednesday</v>
      </c>
    </row>
    <row r="1787" spans="1:8" x14ac:dyDescent="0.3">
      <c r="A1787">
        <v>184458429</v>
      </c>
      <c r="B1787" s="1">
        <v>45035</v>
      </c>
      <c r="C1787" s="1">
        <v>45085</v>
      </c>
      <c r="D1787" t="s">
        <v>7</v>
      </c>
      <c r="E1787">
        <v>39</v>
      </c>
      <c r="F1787" t="s">
        <v>6</v>
      </c>
      <c r="G1787">
        <f t="shared" si="60"/>
        <v>50</v>
      </c>
      <c r="H1787" s="1" t="str">
        <f t="shared" si="61"/>
        <v>Wednesday</v>
      </c>
    </row>
    <row r="1788" spans="1:8" x14ac:dyDescent="0.3">
      <c r="A1788">
        <v>212190070</v>
      </c>
      <c r="B1788" s="1">
        <v>45035</v>
      </c>
      <c r="C1788" s="1">
        <v>45096</v>
      </c>
      <c r="D1788" t="s">
        <v>7</v>
      </c>
      <c r="E1788">
        <v>39</v>
      </c>
      <c r="F1788" t="s">
        <v>6</v>
      </c>
      <c r="G1788">
        <f t="shared" si="60"/>
        <v>61</v>
      </c>
      <c r="H1788" s="1" t="str">
        <f t="shared" si="61"/>
        <v>Wednesday</v>
      </c>
    </row>
    <row r="1789" spans="1:8" x14ac:dyDescent="0.3">
      <c r="A1789">
        <v>212737739</v>
      </c>
      <c r="B1789" s="1">
        <v>45035</v>
      </c>
      <c r="C1789" s="1">
        <v>45077</v>
      </c>
      <c r="D1789" t="s">
        <v>7</v>
      </c>
      <c r="E1789">
        <v>39</v>
      </c>
      <c r="F1789" t="s">
        <v>6</v>
      </c>
      <c r="G1789">
        <f t="shared" si="60"/>
        <v>42</v>
      </c>
      <c r="H1789" s="1" t="str">
        <f t="shared" si="61"/>
        <v>Wednesday</v>
      </c>
    </row>
    <row r="1790" spans="1:8" x14ac:dyDescent="0.3">
      <c r="A1790">
        <v>211904660</v>
      </c>
      <c r="B1790" s="1">
        <v>45036</v>
      </c>
      <c r="C1790" t="s">
        <v>19</v>
      </c>
      <c r="D1790" t="s">
        <v>7</v>
      </c>
      <c r="E1790">
        <v>39</v>
      </c>
      <c r="F1790" t="s">
        <v>6</v>
      </c>
      <c r="G1790" t="str">
        <f t="shared" si="60"/>
        <v>Active</v>
      </c>
      <c r="H1790" s="1" t="str">
        <f t="shared" si="61"/>
        <v>Thursday</v>
      </c>
    </row>
    <row r="1791" spans="1:8" x14ac:dyDescent="0.3">
      <c r="A1791">
        <v>112792926</v>
      </c>
      <c r="B1791" s="1">
        <v>45036</v>
      </c>
      <c r="C1791" t="s">
        <v>19</v>
      </c>
      <c r="D1791" t="s">
        <v>7</v>
      </c>
      <c r="E1791">
        <v>39</v>
      </c>
      <c r="F1791" t="s">
        <v>6</v>
      </c>
      <c r="G1791" t="str">
        <f t="shared" si="60"/>
        <v>Active</v>
      </c>
      <c r="H1791" s="1" t="str">
        <f t="shared" si="61"/>
        <v>Thursday</v>
      </c>
    </row>
    <row r="1792" spans="1:8" x14ac:dyDescent="0.3">
      <c r="A1792">
        <v>213914942</v>
      </c>
      <c r="B1792" s="1">
        <v>45036</v>
      </c>
      <c r="C1792" t="s">
        <v>19</v>
      </c>
      <c r="D1792" t="s">
        <v>7</v>
      </c>
      <c r="E1792">
        <v>39</v>
      </c>
      <c r="F1792" t="s">
        <v>6</v>
      </c>
      <c r="G1792" t="str">
        <f t="shared" si="60"/>
        <v>Active</v>
      </c>
      <c r="H1792" s="1" t="str">
        <f t="shared" si="61"/>
        <v>Thursday</v>
      </c>
    </row>
    <row r="1793" spans="1:8" x14ac:dyDescent="0.3">
      <c r="A1793">
        <v>189220435</v>
      </c>
      <c r="B1793" s="1">
        <v>45036</v>
      </c>
      <c r="C1793" s="1">
        <v>45046</v>
      </c>
      <c r="D1793" t="s">
        <v>7</v>
      </c>
      <c r="E1793">
        <v>39</v>
      </c>
      <c r="F1793" t="s">
        <v>6</v>
      </c>
      <c r="G1793">
        <f t="shared" si="60"/>
        <v>10</v>
      </c>
      <c r="H1793" s="1" t="str">
        <f t="shared" si="61"/>
        <v>Thursday</v>
      </c>
    </row>
    <row r="1794" spans="1:8" x14ac:dyDescent="0.3">
      <c r="A1794">
        <v>203237584</v>
      </c>
      <c r="B1794" s="1">
        <v>45036</v>
      </c>
      <c r="C1794" s="1">
        <v>45041</v>
      </c>
      <c r="D1794" t="s">
        <v>7</v>
      </c>
      <c r="E1794">
        <v>39</v>
      </c>
      <c r="F1794" t="s">
        <v>6</v>
      </c>
      <c r="G1794">
        <f t="shared" si="60"/>
        <v>5</v>
      </c>
      <c r="H1794" s="1" t="str">
        <f t="shared" si="61"/>
        <v>Thursday</v>
      </c>
    </row>
    <row r="1795" spans="1:8" x14ac:dyDescent="0.3">
      <c r="A1795">
        <v>213179140</v>
      </c>
      <c r="B1795" s="1">
        <v>45036</v>
      </c>
      <c r="C1795" s="1">
        <v>45063</v>
      </c>
      <c r="D1795" t="s">
        <v>7</v>
      </c>
      <c r="E1795">
        <v>39</v>
      </c>
      <c r="F1795" t="s">
        <v>6</v>
      </c>
      <c r="G1795">
        <f t="shared" ref="G1795:G1858" si="62">IF(C1795="Active","Active",C1795-B1795)</f>
        <v>27</v>
      </c>
      <c r="H1795" s="1" t="str">
        <f t="shared" ref="H1795:H1858" si="63">TEXT(B1795,"dddd")</f>
        <v>Thursday</v>
      </c>
    </row>
    <row r="1796" spans="1:8" x14ac:dyDescent="0.3">
      <c r="A1796">
        <v>211629536</v>
      </c>
      <c r="B1796" s="1">
        <v>45036</v>
      </c>
      <c r="C1796" s="1">
        <v>45073</v>
      </c>
      <c r="D1796" t="s">
        <v>7</v>
      </c>
      <c r="E1796">
        <v>39</v>
      </c>
      <c r="F1796" t="s">
        <v>6</v>
      </c>
      <c r="G1796">
        <f t="shared" si="62"/>
        <v>37</v>
      </c>
      <c r="H1796" s="1" t="str">
        <f t="shared" si="63"/>
        <v>Thursday</v>
      </c>
    </row>
    <row r="1797" spans="1:8" x14ac:dyDescent="0.3">
      <c r="A1797">
        <v>204953211</v>
      </c>
      <c r="B1797" s="1">
        <v>45036</v>
      </c>
      <c r="C1797" s="1">
        <v>45073</v>
      </c>
      <c r="D1797" t="s">
        <v>7</v>
      </c>
      <c r="E1797">
        <v>39</v>
      </c>
      <c r="F1797" t="s">
        <v>6</v>
      </c>
      <c r="G1797">
        <f t="shared" si="62"/>
        <v>37</v>
      </c>
      <c r="H1797" s="1" t="str">
        <f t="shared" si="63"/>
        <v>Thursday</v>
      </c>
    </row>
    <row r="1798" spans="1:8" x14ac:dyDescent="0.3">
      <c r="A1798">
        <v>111394466</v>
      </c>
      <c r="B1798" s="1">
        <v>45036</v>
      </c>
      <c r="C1798" s="1">
        <v>45099</v>
      </c>
      <c r="D1798" t="s">
        <v>7</v>
      </c>
      <c r="E1798">
        <v>39</v>
      </c>
      <c r="F1798" t="s">
        <v>6</v>
      </c>
      <c r="G1798">
        <f t="shared" si="62"/>
        <v>63</v>
      </c>
      <c r="H1798" s="1" t="str">
        <f t="shared" si="63"/>
        <v>Thursday</v>
      </c>
    </row>
    <row r="1799" spans="1:8" x14ac:dyDescent="0.3">
      <c r="A1799">
        <v>214107134</v>
      </c>
      <c r="B1799" s="1">
        <v>45037</v>
      </c>
      <c r="C1799" t="s">
        <v>19</v>
      </c>
      <c r="D1799" t="s">
        <v>7</v>
      </c>
      <c r="E1799">
        <v>39</v>
      </c>
      <c r="F1799" t="s">
        <v>6</v>
      </c>
      <c r="G1799" t="str">
        <f t="shared" si="62"/>
        <v>Active</v>
      </c>
      <c r="H1799" s="1" t="str">
        <f t="shared" si="63"/>
        <v>Friday</v>
      </c>
    </row>
    <row r="1800" spans="1:8" x14ac:dyDescent="0.3">
      <c r="A1800">
        <v>214105034</v>
      </c>
      <c r="B1800" s="1">
        <v>45037</v>
      </c>
      <c r="C1800" t="s">
        <v>19</v>
      </c>
      <c r="D1800" t="s">
        <v>7</v>
      </c>
      <c r="E1800">
        <v>39</v>
      </c>
      <c r="F1800" t="s">
        <v>6</v>
      </c>
      <c r="G1800" t="str">
        <f t="shared" si="62"/>
        <v>Active</v>
      </c>
      <c r="H1800" s="1" t="str">
        <f t="shared" si="63"/>
        <v>Friday</v>
      </c>
    </row>
    <row r="1801" spans="1:8" x14ac:dyDescent="0.3">
      <c r="A1801">
        <v>214124745</v>
      </c>
      <c r="B1801" s="1">
        <v>45037</v>
      </c>
      <c r="C1801" s="1">
        <v>45176</v>
      </c>
      <c r="D1801" t="s">
        <v>7</v>
      </c>
      <c r="E1801">
        <v>39</v>
      </c>
      <c r="F1801" t="s">
        <v>6</v>
      </c>
      <c r="G1801">
        <f t="shared" si="62"/>
        <v>139</v>
      </c>
      <c r="H1801" s="1" t="str">
        <f t="shared" si="63"/>
        <v>Friday</v>
      </c>
    </row>
    <row r="1802" spans="1:8" x14ac:dyDescent="0.3">
      <c r="A1802">
        <v>214107426</v>
      </c>
      <c r="B1802" s="1">
        <v>45037</v>
      </c>
      <c r="C1802" s="1">
        <v>45038</v>
      </c>
      <c r="D1802" t="s">
        <v>8</v>
      </c>
      <c r="E1802">
        <v>39</v>
      </c>
      <c r="F1802" t="s">
        <v>6</v>
      </c>
      <c r="G1802">
        <f t="shared" si="62"/>
        <v>1</v>
      </c>
      <c r="H1802" s="1" t="str">
        <f t="shared" si="63"/>
        <v>Friday</v>
      </c>
    </row>
    <row r="1803" spans="1:8" x14ac:dyDescent="0.3">
      <c r="A1803">
        <v>213980322</v>
      </c>
      <c r="B1803" s="1">
        <v>45037</v>
      </c>
      <c r="C1803" s="1">
        <v>45097</v>
      </c>
      <c r="D1803" t="s">
        <v>7</v>
      </c>
      <c r="E1803">
        <v>39</v>
      </c>
      <c r="F1803" t="s">
        <v>6</v>
      </c>
      <c r="G1803">
        <f t="shared" si="62"/>
        <v>60</v>
      </c>
      <c r="H1803" s="1" t="str">
        <f t="shared" si="63"/>
        <v>Friday</v>
      </c>
    </row>
    <row r="1804" spans="1:8" x14ac:dyDescent="0.3">
      <c r="A1804">
        <v>213434919</v>
      </c>
      <c r="B1804" s="1">
        <v>45037</v>
      </c>
      <c r="C1804" s="1">
        <v>45037</v>
      </c>
      <c r="D1804" t="s">
        <v>7</v>
      </c>
      <c r="E1804">
        <v>39</v>
      </c>
      <c r="F1804" t="s">
        <v>6</v>
      </c>
      <c r="G1804">
        <f t="shared" si="62"/>
        <v>0</v>
      </c>
      <c r="H1804" s="1" t="str">
        <f t="shared" si="63"/>
        <v>Friday</v>
      </c>
    </row>
    <row r="1805" spans="1:8" x14ac:dyDescent="0.3">
      <c r="A1805">
        <v>214129448</v>
      </c>
      <c r="B1805" s="1">
        <v>45037</v>
      </c>
      <c r="C1805" s="1">
        <v>45135</v>
      </c>
      <c r="D1805" t="s">
        <v>7</v>
      </c>
      <c r="E1805">
        <v>39</v>
      </c>
      <c r="F1805" t="s">
        <v>6</v>
      </c>
      <c r="G1805">
        <f t="shared" si="62"/>
        <v>98</v>
      </c>
      <c r="H1805" s="1" t="str">
        <f t="shared" si="63"/>
        <v>Friday</v>
      </c>
    </row>
    <row r="1806" spans="1:8" x14ac:dyDescent="0.3">
      <c r="A1806">
        <v>213944536</v>
      </c>
      <c r="B1806" s="1">
        <v>45037</v>
      </c>
      <c r="C1806" s="1">
        <v>45098</v>
      </c>
      <c r="D1806" t="s">
        <v>7</v>
      </c>
      <c r="E1806">
        <v>39</v>
      </c>
      <c r="F1806" t="s">
        <v>6</v>
      </c>
      <c r="G1806">
        <f t="shared" si="62"/>
        <v>61</v>
      </c>
      <c r="H1806" s="1" t="str">
        <f t="shared" si="63"/>
        <v>Friday</v>
      </c>
    </row>
    <row r="1807" spans="1:8" x14ac:dyDescent="0.3">
      <c r="A1807">
        <v>214052531</v>
      </c>
      <c r="B1807" s="1">
        <v>45037</v>
      </c>
      <c r="C1807" s="1">
        <v>45166</v>
      </c>
      <c r="D1807" t="s">
        <v>7</v>
      </c>
      <c r="E1807">
        <v>39</v>
      </c>
      <c r="F1807" t="s">
        <v>6</v>
      </c>
      <c r="G1807">
        <f t="shared" si="62"/>
        <v>129</v>
      </c>
      <c r="H1807" s="1" t="str">
        <f t="shared" si="63"/>
        <v>Friday</v>
      </c>
    </row>
    <row r="1808" spans="1:8" x14ac:dyDescent="0.3">
      <c r="A1808">
        <v>214196608</v>
      </c>
      <c r="B1808" s="1">
        <v>45038</v>
      </c>
      <c r="C1808" t="s">
        <v>19</v>
      </c>
      <c r="D1808" t="s">
        <v>7</v>
      </c>
      <c r="E1808">
        <v>39</v>
      </c>
      <c r="F1808" t="s">
        <v>6</v>
      </c>
      <c r="G1808" t="str">
        <f t="shared" si="62"/>
        <v>Active</v>
      </c>
      <c r="H1808" s="1" t="str">
        <f t="shared" si="63"/>
        <v>Saturday</v>
      </c>
    </row>
    <row r="1809" spans="1:8" x14ac:dyDescent="0.3">
      <c r="A1809">
        <v>125299295</v>
      </c>
      <c r="B1809" s="1">
        <v>45038</v>
      </c>
      <c r="C1809" s="1">
        <v>45096</v>
      </c>
      <c r="D1809" t="s">
        <v>7</v>
      </c>
      <c r="E1809">
        <v>39</v>
      </c>
      <c r="F1809" t="s">
        <v>6</v>
      </c>
      <c r="G1809">
        <f t="shared" si="62"/>
        <v>58</v>
      </c>
      <c r="H1809" s="1" t="str">
        <f t="shared" si="63"/>
        <v>Saturday</v>
      </c>
    </row>
    <row r="1810" spans="1:8" x14ac:dyDescent="0.3">
      <c r="A1810">
        <v>214199386</v>
      </c>
      <c r="B1810" s="1">
        <v>45038</v>
      </c>
      <c r="C1810" s="1">
        <v>45053</v>
      </c>
      <c r="D1810" t="s">
        <v>7</v>
      </c>
      <c r="E1810">
        <v>39</v>
      </c>
      <c r="F1810" t="s">
        <v>6</v>
      </c>
      <c r="G1810">
        <f t="shared" si="62"/>
        <v>15</v>
      </c>
      <c r="H1810" s="1" t="str">
        <f t="shared" si="63"/>
        <v>Saturday</v>
      </c>
    </row>
    <row r="1811" spans="1:8" x14ac:dyDescent="0.3">
      <c r="A1811">
        <v>214191851</v>
      </c>
      <c r="B1811" s="1">
        <v>45038</v>
      </c>
      <c r="C1811" s="1">
        <v>45058</v>
      </c>
      <c r="D1811" t="s">
        <v>7</v>
      </c>
      <c r="E1811">
        <v>39</v>
      </c>
      <c r="F1811" t="s">
        <v>6</v>
      </c>
      <c r="G1811">
        <f t="shared" si="62"/>
        <v>20</v>
      </c>
      <c r="H1811" s="1" t="str">
        <f t="shared" si="63"/>
        <v>Saturday</v>
      </c>
    </row>
    <row r="1812" spans="1:8" x14ac:dyDescent="0.3">
      <c r="A1812">
        <v>214174478</v>
      </c>
      <c r="B1812" s="1">
        <v>45038</v>
      </c>
      <c r="C1812" s="1">
        <v>45068</v>
      </c>
      <c r="D1812" t="s">
        <v>7</v>
      </c>
      <c r="E1812">
        <v>39</v>
      </c>
      <c r="F1812" t="s">
        <v>6</v>
      </c>
      <c r="G1812">
        <f t="shared" si="62"/>
        <v>30</v>
      </c>
      <c r="H1812" s="1" t="str">
        <f t="shared" si="63"/>
        <v>Saturday</v>
      </c>
    </row>
    <row r="1813" spans="1:8" x14ac:dyDescent="0.3">
      <c r="A1813">
        <v>214264465</v>
      </c>
      <c r="B1813" s="1">
        <v>45039</v>
      </c>
      <c r="C1813" t="s">
        <v>19</v>
      </c>
      <c r="D1813" t="s">
        <v>7</v>
      </c>
      <c r="E1813">
        <v>39</v>
      </c>
      <c r="F1813" t="s">
        <v>6</v>
      </c>
      <c r="G1813" t="str">
        <f t="shared" si="62"/>
        <v>Active</v>
      </c>
      <c r="H1813" s="1" t="str">
        <f t="shared" si="63"/>
        <v>Sunday</v>
      </c>
    </row>
    <row r="1814" spans="1:8" x14ac:dyDescent="0.3">
      <c r="A1814">
        <v>214261616</v>
      </c>
      <c r="B1814" s="1">
        <v>45039</v>
      </c>
      <c r="C1814" t="s">
        <v>19</v>
      </c>
      <c r="D1814" t="s">
        <v>7</v>
      </c>
      <c r="E1814">
        <v>39</v>
      </c>
      <c r="F1814" t="s">
        <v>6</v>
      </c>
      <c r="G1814" t="str">
        <f t="shared" si="62"/>
        <v>Active</v>
      </c>
      <c r="H1814" s="1" t="str">
        <f t="shared" si="63"/>
        <v>Sunday</v>
      </c>
    </row>
    <row r="1815" spans="1:8" x14ac:dyDescent="0.3">
      <c r="A1815">
        <v>214178644</v>
      </c>
      <c r="B1815" s="1">
        <v>45039</v>
      </c>
      <c r="C1815" t="s">
        <v>19</v>
      </c>
      <c r="D1815" t="s">
        <v>7</v>
      </c>
      <c r="E1815">
        <v>39</v>
      </c>
      <c r="F1815" t="s">
        <v>6</v>
      </c>
      <c r="G1815" t="str">
        <f t="shared" si="62"/>
        <v>Active</v>
      </c>
      <c r="H1815" s="1" t="str">
        <f t="shared" si="63"/>
        <v>Sunday</v>
      </c>
    </row>
    <row r="1816" spans="1:8" x14ac:dyDescent="0.3">
      <c r="A1816">
        <v>214202809</v>
      </c>
      <c r="B1816" s="1">
        <v>45039</v>
      </c>
      <c r="C1816" s="1">
        <v>45068</v>
      </c>
      <c r="D1816" t="s">
        <v>7</v>
      </c>
      <c r="E1816">
        <v>39</v>
      </c>
      <c r="F1816" t="s">
        <v>6</v>
      </c>
      <c r="G1816">
        <f t="shared" si="62"/>
        <v>29</v>
      </c>
      <c r="H1816" s="1" t="str">
        <f t="shared" si="63"/>
        <v>Sunday</v>
      </c>
    </row>
    <row r="1817" spans="1:8" x14ac:dyDescent="0.3">
      <c r="A1817">
        <v>214220188</v>
      </c>
      <c r="B1817" s="1">
        <v>45040</v>
      </c>
      <c r="C1817" t="s">
        <v>19</v>
      </c>
      <c r="D1817" t="s">
        <v>7</v>
      </c>
      <c r="E1817">
        <v>39</v>
      </c>
      <c r="F1817" t="s">
        <v>6</v>
      </c>
      <c r="G1817" t="str">
        <f t="shared" si="62"/>
        <v>Active</v>
      </c>
      <c r="H1817" s="1" t="str">
        <f t="shared" si="63"/>
        <v>Monday</v>
      </c>
    </row>
    <row r="1818" spans="1:8" x14ac:dyDescent="0.3">
      <c r="A1818">
        <v>212113435</v>
      </c>
      <c r="B1818" s="1">
        <v>45040</v>
      </c>
      <c r="C1818" t="s">
        <v>19</v>
      </c>
      <c r="D1818" t="s">
        <v>7</v>
      </c>
      <c r="E1818">
        <v>39</v>
      </c>
      <c r="F1818" t="s">
        <v>6</v>
      </c>
      <c r="G1818" t="str">
        <f t="shared" si="62"/>
        <v>Active</v>
      </c>
      <c r="H1818" s="1" t="str">
        <f t="shared" si="63"/>
        <v>Monday</v>
      </c>
    </row>
    <row r="1819" spans="1:8" x14ac:dyDescent="0.3">
      <c r="A1819">
        <v>213431638</v>
      </c>
      <c r="B1819" s="1">
        <v>45040</v>
      </c>
      <c r="C1819" t="s">
        <v>19</v>
      </c>
      <c r="D1819" t="s">
        <v>7</v>
      </c>
      <c r="E1819">
        <v>39</v>
      </c>
      <c r="F1819" t="s">
        <v>6</v>
      </c>
      <c r="G1819" t="str">
        <f t="shared" si="62"/>
        <v>Active</v>
      </c>
      <c r="H1819" s="1" t="str">
        <f t="shared" si="63"/>
        <v>Monday</v>
      </c>
    </row>
    <row r="1820" spans="1:8" x14ac:dyDescent="0.3">
      <c r="A1820">
        <v>214102994</v>
      </c>
      <c r="B1820" s="1">
        <v>45040</v>
      </c>
      <c r="C1820" t="s">
        <v>19</v>
      </c>
      <c r="D1820" t="s">
        <v>7</v>
      </c>
      <c r="E1820">
        <v>39</v>
      </c>
      <c r="F1820" t="s">
        <v>6</v>
      </c>
      <c r="G1820" t="str">
        <f t="shared" si="62"/>
        <v>Active</v>
      </c>
      <c r="H1820" s="1" t="str">
        <f t="shared" si="63"/>
        <v>Monday</v>
      </c>
    </row>
    <row r="1821" spans="1:8" x14ac:dyDescent="0.3">
      <c r="A1821">
        <v>177266058</v>
      </c>
      <c r="B1821" s="1">
        <v>45040</v>
      </c>
      <c r="C1821" t="s">
        <v>19</v>
      </c>
      <c r="D1821" t="s">
        <v>7</v>
      </c>
      <c r="E1821">
        <v>39</v>
      </c>
      <c r="F1821" t="s">
        <v>6</v>
      </c>
      <c r="G1821" t="str">
        <f t="shared" si="62"/>
        <v>Active</v>
      </c>
      <c r="H1821" s="1" t="str">
        <f t="shared" si="63"/>
        <v>Monday</v>
      </c>
    </row>
    <row r="1822" spans="1:8" x14ac:dyDescent="0.3">
      <c r="A1822">
        <v>116060198</v>
      </c>
      <c r="B1822" s="1">
        <v>45040</v>
      </c>
      <c r="C1822" t="s">
        <v>19</v>
      </c>
      <c r="D1822" t="s">
        <v>7</v>
      </c>
      <c r="E1822">
        <v>39</v>
      </c>
      <c r="F1822" t="s">
        <v>6</v>
      </c>
      <c r="G1822" t="str">
        <f t="shared" si="62"/>
        <v>Active</v>
      </c>
      <c r="H1822" s="1" t="str">
        <f t="shared" si="63"/>
        <v>Monday</v>
      </c>
    </row>
    <row r="1823" spans="1:8" x14ac:dyDescent="0.3">
      <c r="A1823">
        <v>214312843</v>
      </c>
      <c r="B1823" s="1">
        <v>45040</v>
      </c>
      <c r="C1823" t="s">
        <v>19</v>
      </c>
      <c r="D1823" t="s">
        <v>7</v>
      </c>
      <c r="E1823">
        <v>39</v>
      </c>
      <c r="F1823" t="s">
        <v>6</v>
      </c>
      <c r="G1823" t="str">
        <f t="shared" si="62"/>
        <v>Active</v>
      </c>
      <c r="H1823" s="1" t="str">
        <f t="shared" si="63"/>
        <v>Monday</v>
      </c>
    </row>
    <row r="1824" spans="1:8" x14ac:dyDescent="0.3">
      <c r="A1824">
        <v>156245288</v>
      </c>
      <c r="B1824" s="1">
        <v>45040</v>
      </c>
      <c r="C1824" s="1">
        <v>45057</v>
      </c>
      <c r="D1824" t="s">
        <v>7</v>
      </c>
      <c r="E1824">
        <v>39</v>
      </c>
      <c r="F1824" t="s">
        <v>6</v>
      </c>
      <c r="G1824">
        <f t="shared" si="62"/>
        <v>17</v>
      </c>
      <c r="H1824" s="1" t="str">
        <f t="shared" si="63"/>
        <v>Monday</v>
      </c>
    </row>
    <row r="1825" spans="1:8" x14ac:dyDescent="0.3">
      <c r="A1825">
        <v>148869972</v>
      </c>
      <c r="B1825" s="1">
        <v>45040</v>
      </c>
      <c r="C1825" s="1">
        <v>45056</v>
      </c>
      <c r="D1825" t="s">
        <v>7</v>
      </c>
      <c r="E1825">
        <v>39</v>
      </c>
      <c r="F1825" t="s">
        <v>6</v>
      </c>
      <c r="G1825">
        <f t="shared" si="62"/>
        <v>16</v>
      </c>
      <c r="H1825" s="1" t="str">
        <f t="shared" si="63"/>
        <v>Monday</v>
      </c>
    </row>
    <row r="1826" spans="1:8" x14ac:dyDescent="0.3">
      <c r="A1826">
        <v>156186115</v>
      </c>
      <c r="B1826" s="1">
        <v>45040</v>
      </c>
      <c r="C1826" s="1">
        <v>45063</v>
      </c>
      <c r="D1826" t="s">
        <v>7</v>
      </c>
      <c r="E1826">
        <v>39</v>
      </c>
      <c r="F1826" t="s">
        <v>6</v>
      </c>
      <c r="G1826">
        <f t="shared" si="62"/>
        <v>23</v>
      </c>
      <c r="H1826" s="1" t="str">
        <f t="shared" si="63"/>
        <v>Monday</v>
      </c>
    </row>
    <row r="1827" spans="1:8" x14ac:dyDescent="0.3">
      <c r="A1827">
        <v>207235755</v>
      </c>
      <c r="B1827" s="1">
        <v>45040</v>
      </c>
      <c r="C1827" s="1">
        <v>45068</v>
      </c>
      <c r="D1827" t="s">
        <v>7</v>
      </c>
      <c r="E1827">
        <v>39</v>
      </c>
      <c r="F1827" t="s">
        <v>6</v>
      </c>
      <c r="G1827">
        <f t="shared" si="62"/>
        <v>28</v>
      </c>
      <c r="H1827" s="1" t="str">
        <f t="shared" si="63"/>
        <v>Monday</v>
      </c>
    </row>
    <row r="1828" spans="1:8" x14ac:dyDescent="0.3">
      <c r="A1828">
        <v>169235213</v>
      </c>
      <c r="B1828" s="1">
        <v>45040</v>
      </c>
      <c r="C1828" s="1">
        <v>45077</v>
      </c>
      <c r="D1828" t="s">
        <v>7</v>
      </c>
      <c r="E1828">
        <v>39</v>
      </c>
      <c r="F1828" t="s">
        <v>6</v>
      </c>
      <c r="G1828">
        <f t="shared" si="62"/>
        <v>37</v>
      </c>
      <c r="H1828" s="1" t="str">
        <f t="shared" si="63"/>
        <v>Monday</v>
      </c>
    </row>
    <row r="1829" spans="1:8" x14ac:dyDescent="0.3">
      <c r="A1829">
        <v>213692152</v>
      </c>
      <c r="B1829" s="1">
        <v>45040</v>
      </c>
      <c r="C1829" s="1">
        <v>45071</v>
      </c>
      <c r="D1829" t="s">
        <v>7</v>
      </c>
      <c r="E1829">
        <v>39</v>
      </c>
      <c r="F1829" t="s">
        <v>6</v>
      </c>
      <c r="G1829">
        <f t="shared" si="62"/>
        <v>31</v>
      </c>
      <c r="H1829" s="1" t="str">
        <f t="shared" si="63"/>
        <v>Monday</v>
      </c>
    </row>
    <row r="1830" spans="1:8" x14ac:dyDescent="0.3">
      <c r="A1830">
        <v>214352003</v>
      </c>
      <c r="B1830" s="1">
        <v>45040</v>
      </c>
      <c r="C1830" s="1">
        <v>45161</v>
      </c>
      <c r="D1830" t="s">
        <v>7</v>
      </c>
      <c r="E1830">
        <v>39</v>
      </c>
      <c r="F1830" t="s">
        <v>6</v>
      </c>
      <c r="G1830">
        <f t="shared" si="62"/>
        <v>121</v>
      </c>
      <c r="H1830" s="1" t="str">
        <f t="shared" si="63"/>
        <v>Monday</v>
      </c>
    </row>
    <row r="1831" spans="1:8" x14ac:dyDescent="0.3">
      <c r="A1831">
        <v>139691790</v>
      </c>
      <c r="B1831" s="1">
        <v>45041</v>
      </c>
      <c r="C1831" s="1">
        <v>45102</v>
      </c>
      <c r="D1831" t="s">
        <v>7</v>
      </c>
      <c r="E1831">
        <v>39</v>
      </c>
      <c r="F1831" t="s">
        <v>6</v>
      </c>
      <c r="G1831">
        <f t="shared" si="62"/>
        <v>61</v>
      </c>
      <c r="H1831" s="1" t="str">
        <f t="shared" si="63"/>
        <v>Tuesday</v>
      </c>
    </row>
    <row r="1832" spans="1:8" x14ac:dyDescent="0.3">
      <c r="A1832">
        <v>210646453</v>
      </c>
      <c r="B1832" s="1">
        <v>45041</v>
      </c>
      <c r="C1832" s="1">
        <v>45101</v>
      </c>
      <c r="D1832" t="s">
        <v>7</v>
      </c>
      <c r="E1832">
        <v>39</v>
      </c>
      <c r="F1832" t="s">
        <v>6</v>
      </c>
      <c r="G1832">
        <f t="shared" si="62"/>
        <v>60</v>
      </c>
      <c r="H1832" s="1" t="str">
        <f t="shared" si="63"/>
        <v>Tuesday</v>
      </c>
    </row>
    <row r="1833" spans="1:8" x14ac:dyDescent="0.3">
      <c r="A1833">
        <v>206891005</v>
      </c>
      <c r="B1833" s="1">
        <v>45041</v>
      </c>
      <c r="C1833" s="1">
        <v>45063</v>
      </c>
      <c r="D1833" t="s">
        <v>7</v>
      </c>
      <c r="E1833">
        <v>39</v>
      </c>
      <c r="F1833" t="s">
        <v>6</v>
      </c>
      <c r="G1833">
        <f t="shared" si="62"/>
        <v>22</v>
      </c>
      <c r="H1833" s="1" t="str">
        <f t="shared" si="63"/>
        <v>Tuesday</v>
      </c>
    </row>
    <row r="1834" spans="1:8" x14ac:dyDescent="0.3">
      <c r="A1834">
        <v>212293354</v>
      </c>
      <c r="B1834" s="1">
        <v>45041</v>
      </c>
      <c r="C1834" s="1">
        <v>45041</v>
      </c>
      <c r="D1834" t="s">
        <v>7</v>
      </c>
      <c r="E1834">
        <v>39</v>
      </c>
      <c r="F1834" t="s">
        <v>6</v>
      </c>
      <c r="G1834">
        <f t="shared" si="62"/>
        <v>0</v>
      </c>
      <c r="H1834" s="1" t="str">
        <f t="shared" si="63"/>
        <v>Tuesday</v>
      </c>
    </row>
    <row r="1835" spans="1:8" x14ac:dyDescent="0.3">
      <c r="A1835">
        <v>214464069</v>
      </c>
      <c r="B1835" s="1">
        <v>45042</v>
      </c>
      <c r="C1835" t="s">
        <v>19</v>
      </c>
      <c r="D1835" t="s">
        <v>7</v>
      </c>
      <c r="E1835">
        <v>39</v>
      </c>
      <c r="F1835" t="s">
        <v>6</v>
      </c>
      <c r="G1835" t="str">
        <f t="shared" si="62"/>
        <v>Active</v>
      </c>
      <c r="H1835" s="1" t="str">
        <f t="shared" si="63"/>
        <v>Wednesday</v>
      </c>
    </row>
    <row r="1836" spans="1:8" x14ac:dyDescent="0.3">
      <c r="A1836">
        <v>214446543</v>
      </c>
      <c r="B1836" s="1">
        <v>45042</v>
      </c>
      <c r="C1836" t="s">
        <v>19</v>
      </c>
      <c r="D1836" t="s">
        <v>7</v>
      </c>
      <c r="E1836">
        <v>39</v>
      </c>
      <c r="F1836" t="s">
        <v>6</v>
      </c>
      <c r="G1836" t="str">
        <f t="shared" si="62"/>
        <v>Active</v>
      </c>
      <c r="H1836" s="1" t="str">
        <f t="shared" si="63"/>
        <v>Wednesday</v>
      </c>
    </row>
    <row r="1837" spans="1:8" x14ac:dyDescent="0.3">
      <c r="A1837">
        <v>212376935</v>
      </c>
      <c r="B1837" s="1">
        <v>45042</v>
      </c>
      <c r="C1837" s="1">
        <v>45089</v>
      </c>
      <c r="D1837" t="s">
        <v>7</v>
      </c>
      <c r="E1837">
        <v>39</v>
      </c>
      <c r="F1837" t="s">
        <v>6</v>
      </c>
      <c r="G1837">
        <f t="shared" si="62"/>
        <v>47</v>
      </c>
      <c r="H1837" s="1" t="str">
        <f t="shared" si="63"/>
        <v>Wednesday</v>
      </c>
    </row>
    <row r="1838" spans="1:8" x14ac:dyDescent="0.3">
      <c r="A1838">
        <v>173118928</v>
      </c>
      <c r="B1838" s="1">
        <v>45042</v>
      </c>
      <c r="C1838" s="1">
        <v>45079</v>
      </c>
      <c r="D1838" t="s">
        <v>7</v>
      </c>
      <c r="E1838">
        <v>39</v>
      </c>
      <c r="F1838" t="s">
        <v>6</v>
      </c>
      <c r="G1838">
        <f t="shared" si="62"/>
        <v>37</v>
      </c>
      <c r="H1838" s="1" t="str">
        <f t="shared" si="63"/>
        <v>Wednesday</v>
      </c>
    </row>
    <row r="1839" spans="1:8" x14ac:dyDescent="0.3">
      <c r="A1839">
        <v>214410106</v>
      </c>
      <c r="B1839" s="1">
        <v>45042</v>
      </c>
      <c r="C1839" s="1">
        <v>45063</v>
      </c>
      <c r="D1839" t="s">
        <v>7</v>
      </c>
      <c r="E1839">
        <v>39</v>
      </c>
      <c r="F1839" t="s">
        <v>6</v>
      </c>
      <c r="G1839">
        <f t="shared" si="62"/>
        <v>21</v>
      </c>
      <c r="H1839" s="1" t="str">
        <f t="shared" si="63"/>
        <v>Wednesday</v>
      </c>
    </row>
    <row r="1840" spans="1:8" x14ac:dyDescent="0.3">
      <c r="A1840">
        <v>214093520</v>
      </c>
      <c r="B1840" s="1">
        <v>45042</v>
      </c>
      <c r="C1840" s="1">
        <v>45070</v>
      </c>
      <c r="D1840" t="s">
        <v>7</v>
      </c>
      <c r="E1840">
        <v>39</v>
      </c>
      <c r="F1840" t="s">
        <v>6</v>
      </c>
      <c r="G1840">
        <f t="shared" si="62"/>
        <v>28</v>
      </c>
      <c r="H1840" s="1" t="str">
        <f t="shared" si="63"/>
        <v>Wednesday</v>
      </c>
    </row>
    <row r="1841" spans="1:8" x14ac:dyDescent="0.3">
      <c r="A1841">
        <v>214441521</v>
      </c>
      <c r="B1841" s="1">
        <v>45042</v>
      </c>
      <c r="C1841" s="1">
        <v>45070</v>
      </c>
      <c r="D1841" t="s">
        <v>7</v>
      </c>
      <c r="E1841">
        <v>39</v>
      </c>
      <c r="F1841" t="s">
        <v>6</v>
      </c>
      <c r="G1841">
        <f t="shared" si="62"/>
        <v>28</v>
      </c>
      <c r="H1841" s="1" t="str">
        <f t="shared" si="63"/>
        <v>Wednesday</v>
      </c>
    </row>
    <row r="1842" spans="1:8" x14ac:dyDescent="0.3">
      <c r="A1842">
        <v>214519787</v>
      </c>
      <c r="B1842" s="1">
        <v>45043</v>
      </c>
      <c r="C1842" t="s">
        <v>19</v>
      </c>
      <c r="D1842" t="s">
        <v>7</v>
      </c>
      <c r="E1842">
        <v>39</v>
      </c>
      <c r="F1842" t="s">
        <v>6</v>
      </c>
      <c r="G1842" t="str">
        <f t="shared" si="62"/>
        <v>Active</v>
      </c>
      <c r="H1842" s="1" t="str">
        <f t="shared" si="63"/>
        <v>Thursday</v>
      </c>
    </row>
    <row r="1843" spans="1:8" x14ac:dyDescent="0.3">
      <c r="A1843">
        <v>213177724</v>
      </c>
      <c r="B1843" s="1">
        <v>45043</v>
      </c>
      <c r="C1843" t="s">
        <v>19</v>
      </c>
      <c r="D1843" t="s">
        <v>7</v>
      </c>
      <c r="E1843">
        <v>39</v>
      </c>
      <c r="F1843" t="s">
        <v>6</v>
      </c>
      <c r="G1843" t="str">
        <f t="shared" si="62"/>
        <v>Active</v>
      </c>
      <c r="H1843" s="1" t="str">
        <f t="shared" si="63"/>
        <v>Thursday</v>
      </c>
    </row>
    <row r="1844" spans="1:8" x14ac:dyDescent="0.3">
      <c r="A1844">
        <v>213421956</v>
      </c>
      <c r="B1844" s="1">
        <v>45043</v>
      </c>
      <c r="C1844" s="1">
        <v>45044</v>
      </c>
      <c r="D1844" t="s">
        <v>8</v>
      </c>
      <c r="E1844">
        <v>39</v>
      </c>
      <c r="F1844" t="s">
        <v>6</v>
      </c>
      <c r="G1844">
        <f t="shared" si="62"/>
        <v>1</v>
      </c>
      <c r="H1844" s="1" t="str">
        <f t="shared" si="63"/>
        <v>Thursday</v>
      </c>
    </row>
    <row r="1845" spans="1:8" x14ac:dyDescent="0.3">
      <c r="A1845">
        <v>151094649</v>
      </c>
      <c r="B1845" s="1">
        <v>45043</v>
      </c>
      <c r="C1845" s="1">
        <v>45073</v>
      </c>
      <c r="D1845" t="s">
        <v>7</v>
      </c>
      <c r="E1845">
        <v>39</v>
      </c>
      <c r="F1845" t="s">
        <v>6</v>
      </c>
      <c r="G1845">
        <f t="shared" si="62"/>
        <v>30</v>
      </c>
      <c r="H1845" s="1" t="str">
        <f t="shared" si="63"/>
        <v>Thursday</v>
      </c>
    </row>
    <row r="1846" spans="1:8" x14ac:dyDescent="0.3">
      <c r="A1846">
        <v>160056180</v>
      </c>
      <c r="B1846" s="1">
        <v>45043</v>
      </c>
      <c r="C1846" s="1">
        <v>45074</v>
      </c>
      <c r="D1846" t="s">
        <v>7</v>
      </c>
      <c r="E1846">
        <v>39</v>
      </c>
      <c r="F1846" t="s">
        <v>6</v>
      </c>
      <c r="G1846">
        <f t="shared" si="62"/>
        <v>31</v>
      </c>
      <c r="H1846" s="1" t="str">
        <f t="shared" si="63"/>
        <v>Thursday</v>
      </c>
    </row>
    <row r="1847" spans="1:8" x14ac:dyDescent="0.3">
      <c r="A1847">
        <v>166480898</v>
      </c>
      <c r="B1847" s="1">
        <v>45043</v>
      </c>
      <c r="C1847" s="1">
        <v>45071</v>
      </c>
      <c r="D1847" t="s">
        <v>7</v>
      </c>
      <c r="E1847">
        <v>39</v>
      </c>
      <c r="F1847" t="s">
        <v>6</v>
      </c>
      <c r="G1847">
        <f t="shared" si="62"/>
        <v>28</v>
      </c>
      <c r="H1847" s="1" t="str">
        <f t="shared" si="63"/>
        <v>Thursday</v>
      </c>
    </row>
    <row r="1848" spans="1:8" x14ac:dyDescent="0.3">
      <c r="A1848">
        <v>182085396</v>
      </c>
      <c r="B1848" s="1">
        <v>45043</v>
      </c>
      <c r="C1848" s="1">
        <v>45080</v>
      </c>
      <c r="D1848" t="s">
        <v>7</v>
      </c>
      <c r="E1848">
        <v>39</v>
      </c>
      <c r="F1848" t="s">
        <v>6</v>
      </c>
      <c r="G1848">
        <f t="shared" si="62"/>
        <v>37</v>
      </c>
      <c r="H1848" s="1" t="str">
        <f t="shared" si="63"/>
        <v>Thursday</v>
      </c>
    </row>
    <row r="1849" spans="1:8" x14ac:dyDescent="0.3">
      <c r="A1849">
        <v>214519010</v>
      </c>
      <c r="B1849" s="1">
        <v>45043</v>
      </c>
      <c r="C1849" s="1">
        <v>45074</v>
      </c>
      <c r="D1849" t="s">
        <v>7</v>
      </c>
      <c r="E1849">
        <v>39</v>
      </c>
      <c r="F1849" t="s">
        <v>6</v>
      </c>
      <c r="G1849">
        <f t="shared" si="62"/>
        <v>31</v>
      </c>
      <c r="H1849" s="1" t="str">
        <f t="shared" si="63"/>
        <v>Thursday</v>
      </c>
    </row>
    <row r="1850" spans="1:8" x14ac:dyDescent="0.3">
      <c r="A1850">
        <v>148657735</v>
      </c>
      <c r="B1850" s="1">
        <v>45043</v>
      </c>
      <c r="C1850" s="1">
        <v>45072</v>
      </c>
      <c r="D1850" t="s">
        <v>7</v>
      </c>
      <c r="E1850">
        <v>39</v>
      </c>
      <c r="F1850" t="s">
        <v>6</v>
      </c>
      <c r="G1850">
        <f t="shared" si="62"/>
        <v>29</v>
      </c>
      <c r="H1850" s="1" t="str">
        <f t="shared" si="63"/>
        <v>Thursday</v>
      </c>
    </row>
    <row r="1851" spans="1:8" x14ac:dyDescent="0.3">
      <c r="A1851">
        <v>214555461</v>
      </c>
      <c r="B1851" s="1">
        <v>45044</v>
      </c>
      <c r="C1851" t="s">
        <v>19</v>
      </c>
      <c r="D1851" t="s">
        <v>7</v>
      </c>
      <c r="E1851">
        <v>39</v>
      </c>
      <c r="F1851" t="s">
        <v>6</v>
      </c>
      <c r="G1851" t="str">
        <f t="shared" si="62"/>
        <v>Active</v>
      </c>
      <c r="H1851" s="1" t="str">
        <f t="shared" si="63"/>
        <v>Friday</v>
      </c>
    </row>
    <row r="1852" spans="1:8" x14ac:dyDescent="0.3">
      <c r="A1852">
        <v>148042512</v>
      </c>
      <c r="B1852" s="1">
        <v>45044</v>
      </c>
      <c r="C1852" t="s">
        <v>19</v>
      </c>
      <c r="D1852" t="s">
        <v>7</v>
      </c>
      <c r="E1852">
        <v>39</v>
      </c>
      <c r="F1852" t="s">
        <v>6</v>
      </c>
      <c r="G1852" t="str">
        <f t="shared" si="62"/>
        <v>Active</v>
      </c>
      <c r="H1852" s="1" t="str">
        <f t="shared" si="63"/>
        <v>Friday</v>
      </c>
    </row>
    <row r="1853" spans="1:8" x14ac:dyDescent="0.3">
      <c r="A1853">
        <v>214534717</v>
      </c>
      <c r="B1853" s="1">
        <v>45044</v>
      </c>
      <c r="C1853" t="s">
        <v>19</v>
      </c>
      <c r="D1853" t="s">
        <v>7</v>
      </c>
      <c r="E1853">
        <v>39</v>
      </c>
      <c r="F1853" t="s">
        <v>6</v>
      </c>
      <c r="G1853" t="str">
        <f t="shared" si="62"/>
        <v>Active</v>
      </c>
      <c r="H1853" s="1" t="str">
        <f t="shared" si="63"/>
        <v>Friday</v>
      </c>
    </row>
    <row r="1854" spans="1:8" x14ac:dyDescent="0.3">
      <c r="A1854">
        <v>211223610</v>
      </c>
      <c r="B1854" s="1">
        <v>45044</v>
      </c>
      <c r="C1854" s="1">
        <v>45112</v>
      </c>
      <c r="D1854" t="s">
        <v>7</v>
      </c>
      <c r="E1854">
        <v>39</v>
      </c>
      <c r="F1854" t="s">
        <v>6</v>
      </c>
      <c r="G1854">
        <f t="shared" si="62"/>
        <v>68</v>
      </c>
      <c r="H1854" s="1" t="str">
        <f t="shared" si="63"/>
        <v>Friday</v>
      </c>
    </row>
    <row r="1855" spans="1:8" x14ac:dyDescent="0.3">
      <c r="A1855">
        <v>214444866</v>
      </c>
      <c r="B1855" s="1">
        <v>45044</v>
      </c>
      <c r="C1855" s="1">
        <v>45105</v>
      </c>
      <c r="D1855" t="s">
        <v>7</v>
      </c>
      <c r="E1855">
        <v>39</v>
      </c>
      <c r="F1855" t="s">
        <v>6</v>
      </c>
      <c r="G1855">
        <f t="shared" si="62"/>
        <v>61</v>
      </c>
      <c r="H1855" s="1" t="str">
        <f t="shared" si="63"/>
        <v>Friday</v>
      </c>
    </row>
    <row r="1856" spans="1:8" x14ac:dyDescent="0.3">
      <c r="A1856">
        <v>206477826</v>
      </c>
      <c r="B1856" s="1">
        <v>45044</v>
      </c>
      <c r="C1856" s="1">
        <v>45081</v>
      </c>
      <c r="D1856" t="s">
        <v>7</v>
      </c>
      <c r="E1856">
        <v>39</v>
      </c>
      <c r="F1856" t="s">
        <v>6</v>
      </c>
      <c r="G1856">
        <f t="shared" si="62"/>
        <v>37</v>
      </c>
      <c r="H1856" s="1" t="str">
        <f t="shared" si="63"/>
        <v>Friday</v>
      </c>
    </row>
    <row r="1857" spans="1:8" x14ac:dyDescent="0.3">
      <c r="A1857">
        <v>214589440</v>
      </c>
      <c r="B1857" s="1">
        <v>45044</v>
      </c>
      <c r="C1857" s="1">
        <v>45074</v>
      </c>
      <c r="D1857" t="s">
        <v>7</v>
      </c>
      <c r="E1857">
        <v>39</v>
      </c>
      <c r="F1857" t="s">
        <v>6</v>
      </c>
      <c r="G1857">
        <f t="shared" si="62"/>
        <v>30</v>
      </c>
      <c r="H1857" s="1" t="str">
        <f t="shared" si="63"/>
        <v>Friday</v>
      </c>
    </row>
    <row r="1858" spans="1:8" x14ac:dyDescent="0.3">
      <c r="A1858">
        <v>214516527</v>
      </c>
      <c r="B1858" s="1">
        <v>45044</v>
      </c>
      <c r="C1858" s="1">
        <v>45075</v>
      </c>
      <c r="D1858" t="s">
        <v>7</v>
      </c>
      <c r="E1858">
        <v>39</v>
      </c>
      <c r="F1858" t="s">
        <v>6</v>
      </c>
      <c r="G1858">
        <f t="shared" si="62"/>
        <v>31</v>
      </c>
      <c r="H1858" s="1" t="str">
        <f t="shared" si="63"/>
        <v>Friday</v>
      </c>
    </row>
    <row r="1859" spans="1:8" x14ac:dyDescent="0.3">
      <c r="A1859">
        <v>158980862</v>
      </c>
      <c r="B1859" s="1">
        <v>45044</v>
      </c>
      <c r="C1859" s="1">
        <v>45063</v>
      </c>
      <c r="D1859" t="s">
        <v>7</v>
      </c>
      <c r="E1859">
        <v>39</v>
      </c>
      <c r="F1859" t="s">
        <v>6</v>
      </c>
      <c r="G1859">
        <f t="shared" ref="G1859:G1922" si="64">IF(C1859="Active","Active",C1859-B1859)</f>
        <v>19</v>
      </c>
      <c r="H1859" s="1" t="str">
        <f t="shared" ref="H1859:H1922" si="65">TEXT(B1859,"dddd")</f>
        <v>Friday</v>
      </c>
    </row>
    <row r="1860" spans="1:8" x14ac:dyDescent="0.3">
      <c r="A1860">
        <v>144769275</v>
      </c>
      <c r="B1860" s="1">
        <v>45044</v>
      </c>
      <c r="C1860" s="1">
        <v>45044</v>
      </c>
      <c r="D1860" t="s">
        <v>7</v>
      </c>
      <c r="E1860">
        <v>39</v>
      </c>
      <c r="F1860" t="s">
        <v>6</v>
      </c>
      <c r="G1860">
        <f t="shared" si="64"/>
        <v>0</v>
      </c>
      <c r="H1860" s="1" t="str">
        <f t="shared" si="65"/>
        <v>Friday</v>
      </c>
    </row>
    <row r="1861" spans="1:8" x14ac:dyDescent="0.3">
      <c r="A1861">
        <v>214508205</v>
      </c>
      <c r="B1861" s="1">
        <v>45044</v>
      </c>
      <c r="C1861" s="1">
        <v>45111</v>
      </c>
      <c r="D1861" t="s">
        <v>7</v>
      </c>
      <c r="E1861">
        <v>39</v>
      </c>
      <c r="F1861" t="s">
        <v>6</v>
      </c>
      <c r="G1861">
        <f t="shared" si="64"/>
        <v>67</v>
      </c>
      <c r="H1861" s="1" t="str">
        <f t="shared" si="65"/>
        <v>Friday</v>
      </c>
    </row>
    <row r="1862" spans="1:8" x14ac:dyDescent="0.3">
      <c r="A1862">
        <v>156178486</v>
      </c>
      <c r="B1862" s="1">
        <v>45045</v>
      </c>
      <c r="C1862" t="s">
        <v>19</v>
      </c>
      <c r="D1862" t="s">
        <v>7</v>
      </c>
      <c r="E1862">
        <v>39</v>
      </c>
      <c r="F1862" t="s">
        <v>6</v>
      </c>
      <c r="G1862" t="str">
        <f t="shared" si="64"/>
        <v>Active</v>
      </c>
      <c r="H1862" s="1" t="str">
        <f t="shared" si="65"/>
        <v>Saturday</v>
      </c>
    </row>
    <row r="1863" spans="1:8" x14ac:dyDescent="0.3">
      <c r="A1863">
        <v>214584458</v>
      </c>
      <c r="B1863" s="1">
        <v>45045</v>
      </c>
      <c r="C1863" s="1">
        <v>45127</v>
      </c>
      <c r="D1863" t="s">
        <v>7</v>
      </c>
      <c r="E1863">
        <v>39</v>
      </c>
      <c r="F1863" t="s">
        <v>6</v>
      </c>
      <c r="G1863">
        <f t="shared" si="64"/>
        <v>82</v>
      </c>
      <c r="H1863" s="1" t="str">
        <f t="shared" si="65"/>
        <v>Saturday</v>
      </c>
    </row>
    <row r="1864" spans="1:8" x14ac:dyDescent="0.3">
      <c r="A1864">
        <v>181935574</v>
      </c>
      <c r="B1864" s="1">
        <v>45046</v>
      </c>
      <c r="C1864" t="s">
        <v>19</v>
      </c>
      <c r="D1864" t="s">
        <v>7</v>
      </c>
      <c r="E1864">
        <v>39</v>
      </c>
      <c r="F1864" t="s">
        <v>6</v>
      </c>
      <c r="G1864" t="str">
        <f t="shared" si="64"/>
        <v>Active</v>
      </c>
      <c r="H1864" s="1" t="str">
        <f t="shared" si="65"/>
        <v>Sunday</v>
      </c>
    </row>
    <row r="1865" spans="1:8" x14ac:dyDescent="0.3">
      <c r="A1865">
        <v>153006404</v>
      </c>
      <c r="B1865" s="1">
        <v>45046</v>
      </c>
      <c r="C1865" s="1">
        <v>45066</v>
      </c>
      <c r="D1865" t="s">
        <v>7</v>
      </c>
      <c r="E1865">
        <v>39</v>
      </c>
      <c r="F1865" t="s">
        <v>6</v>
      </c>
      <c r="G1865">
        <f t="shared" si="64"/>
        <v>20</v>
      </c>
      <c r="H1865" s="1" t="str">
        <f t="shared" si="65"/>
        <v>Sunday</v>
      </c>
    </row>
    <row r="1866" spans="1:8" x14ac:dyDescent="0.3">
      <c r="A1866">
        <v>214423891</v>
      </c>
      <c r="B1866" s="1">
        <v>45046</v>
      </c>
      <c r="C1866" s="1">
        <v>45079</v>
      </c>
      <c r="D1866" t="s">
        <v>7</v>
      </c>
      <c r="E1866">
        <v>39</v>
      </c>
      <c r="F1866" t="s">
        <v>6</v>
      </c>
      <c r="G1866">
        <f t="shared" si="64"/>
        <v>33</v>
      </c>
      <c r="H1866" s="1" t="str">
        <f t="shared" si="65"/>
        <v>Sunday</v>
      </c>
    </row>
    <row r="1867" spans="1:8" x14ac:dyDescent="0.3">
      <c r="A1867">
        <v>214510838</v>
      </c>
      <c r="B1867" s="1">
        <v>45046</v>
      </c>
      <c r="C1867" s="1">
        <v>45083</v>
      </c>
      <c r="D1867" t="s">
        <v>7</v>
      </c>
      <c r="E1867">
        <v>39</v>
      </c>
      <c r="F1867" t="s">
        <v>6</v>
      </c>
      <c r="G1867">
        <f t="shared" si="64"/>
        <v>37</v>
      </c>
      <c r="H1867" s="1" t="str">
        <f t="shared" si="65"/>
        <v>Sunday</v>
      </c>
    </row>
    <row r="1868" spans="1:8" x14ac:dyDescent="0.3">
      <c r="A1868">
        <v>211383216</v>
      </c>
      <c r="B1868" s="1">
        <v>45046</v>
      </c>
      <c r="C1868" s="1">
        <v>45048</v>
      </c>
      <c r="D1868" t="s">
        <v>7</v>
      </c>
      <c r="E1868">
        <v>39</v>
      </c>
      <c r="F1868" t="s">
        <v>6</v>
      </c>
      <c r="G1868">
        <f t="shared" si="64"/>
        <v>2</v>
      </c>
      <c r="H1868" s="1" t="str">
        <f t="shared" si="65"/>
        <v>Sunday</v>
      </c>
    </row>
    <row r="1869" spans="1:8" x14ac:dyDescent="0.3">
      <c r="A1869">
        <v>214641741</v>
      </c>
      <c r="B1869" s="1">
        <v>45046</v>
      </c>
      <c r="C1869" s="1">
        <v>45047</v>
      </c>
      <c r="D1869" t="s">
        <v>7</v>
      </c>
      <c r="E1869">
        <v>39</v>
      </c>
      <c r="F1869" t="s">
        <v>6</v>
      </c>
      <c r="G1869">
        <f t="shared" si="64"/>
        <v>1</v>
      </c>
      <c r="H1869" s="1" t="str">
        <f t="shared" si="65"/>
        <v>Sunday</v>
      </c>
    </row>
    <row r="1870" spans="1:8" x14ac:dyDescent="0.3">
      <c r="A1870">
        <v>214643362</v>
      </c>
      <c r="B1870" s="1">
        <v>45046</v>
      </c>
      <c r="C1870" s="1">
        <v>45107</v>
      </c>
      <c r="D1870" t="s">
        <v>7</v>
      </c>
      <c r="E1870">
        <v>39</v>
      </c>
      <c r="F1870" t="s">
        <v>6</v>
      </c>
      <c r="G1870">
        <f t="shared" si="64"/>
        <v>61</v>
      </c>
      <c r="H1870" s="1" t="str">
        <f t="shared" si="65"/>
        <v>Sunday</v>
      </c>
    </row>
    <row r="1871" spans="1:8" x14ac:dyDescent="0.3">
      <c r="A1871">
        <v>214419772</v>
      </c>
      <c r="B1871" s="1">
        <v>45047</v>
      </c>
      <c r="C1871" t="s">
        <v>19</v>
      </c>
      <c r="D1871" t="s">
        <v>7</v>
      </c>
      <c r="E1871">
        <v>39</v>
      </c>
      <c r="F1871" t="s">
        <v>6</v>
      </c>
      <c r="G1871" t="str">
        <f t="shared" si="64"/>
        <v>Active</v>
      </c>
      <c r="H1871" s="1" t="str">
        <f t="shared" si="65"/>
        <v>Monday</v>
      </c>
    </row>
    <row r="1872" spans="1:8" x14ac:dyDescent="0.3">
      <c r="A1872">
        <v>213227787</v>
      </c>
      <c r="B1872" s="1">
        <v>45047</v>
      </c>
      <c r="C1872" t="s">
        <v>19</v>
      </c>
      <c r="D1872" t="s">
        <v>7</v>
      </c>
      <c r="E1872">
        <v>39</v>
      </c>
      <c r="F1872" t="s">
        <v>6</v>
      </c>
      <c r="G1872" t="str">
        <f t="shared" si="64"/>
        <v>Active</v>
      </c>
      <c r="H1872" s="1" t="str">
        <f t="shared" si="65"/>
        <v>Monday</v>
      </c>
    </row>
    <row r="1873" spans="1:8" x14ac:dyDescent="0.3">
      <c r="A1873">
        <v>214666572</v>
      </c>
      <c r="B1873" s="1">
        <v>45047</v>
      </c>
      <c r="C1873" t="s">
        <v>19</v>
      </c>
      <c r="D1873" t="s">
        <v>7</v>
      </c>
      <c r="E1873">
        <v>39</v>
      </c>
      <c r="F1873" t="s">
        <v>6</v>
      </c>
      <c r="G1873" t="str">
        <f t="shared" si="64"/>
        <v>Active</v>
      </c>
      <c r="H1873" s="1" t="str">
        <f t="shared" si="65"/>
        <v>Monday</v>
      </c>
    </row>
    <row r="1874" spans="1:8" x14ac:dyDescent="0.3">
      <c r="A1874">
        <v>126780716</v>
      </c>
      <c r="B1874" s="1">
        <v>45047</v>
      </c>
      <c r="C1874" s="1">
        <v>45078</v>
      </c>
      <c r="D1874" t="s">
        <v>7</v>
      </c>
      <c r="E1874">
        <v>39</v>
      </c>
      <c r="F1874" t="s">
        <v>6</v>
      </c>
      <c r="G1874">
        <f t="shared" si="64"/>
        <v>31</v>
      </c>
      <c r="H1874" s="1" t="str">
        <f t="shared" si="65"/>
        <v>Monday</v>
      </c>
    </row>
    <row r="1875" spans="1:8" x14ac:dyDescent="0.3">
      <c r="A1875">
        <v>214682826</v>
      </c>
      <c r="B1875" s="1">
        <v>45047</v>
      </c>
      <c r="C1875" s="1">
        <v>45078</v>
      </c>
      <c r="D1875" t="s">
        <v>7</v>
      </c>
      <c r="E1875">
        <v>39</v>
      </c>
      <c r="F1875" t="s">
        <v>6</v>
      </c>
      <c r="G1875">
        <f t="shared" si="64"/>
        <v>31</v>
      </c>
      <c r="H1875" s="1" t="str">
        <f t="shared" si="65"/>
        <v>Monday</v>
      </c>
    </row>
    <row r="1876" spans="1:8" x14ac:dyDescent="0.3">
      <c r="A1876">
        <v>212392663</v>
      </c>
      <c r="B1876" s="1">
        <v>45047</v>
      </c>
      <c r="C1876" s="1">
        <v>45070</v>
      </c>
      <c r="D1876" t="s">
        <v>7</v>
      </c>
      <c r="E1876">
        <v>39</v>
      </c>
      <c r="F1876" t="s">
        <v>6</v>
      </c>
      <c r="G1876">
        <f t="shared" si="64"/>
        <v>23</v>
      </c>
      <c r="H1876" s="1" t="str">
        <f t="shared" si="65"/>
        <v>Monday</v>
      </c>
    </row>
    <row r="1877" spans="1:8" x14ac:dyDescent="0.3">
      <c r="A1877">
        <v>147118133</v>
      </c>
      <c r="B1877" s="1">
        <v>45047</v>
      </c>
      <c r="C1877" s="1">
        <v>45146</v>
      </c>
      <c r="D1877" t="s">
        <v>7</v>
      </c>
      <c r="E1877">
        <v>39</v>
      </c>
      <c r="F1877" t="s">
        <v>6</v>
      </c>
      <c r="G1877">
        <f t="shared" si="64"/>
        <v>99</v>
      </c>
      <c r="H1877" s="1" t="str">
        <f t="shared" si="65"/>
        <v>Monday</v>
      </c>
    </row>
    <row r="1878" spans="1:8" x14ac:dyDescent="0.3">
      <c r="A1878">
        <v>157031617</v>
      </c>
      <c r="B1878" s="1">
        <v>45048</v>
      </c>
      <c r="C1878" t="s">
        <v>19</v>
      </c>
      <c r="D1878" t="s">
        <v>7</v>
      </c>
      <c r="E1878">
        <v>39</v>
      </c>
      <c r="F1878" t="s">
        <v>6</v>
      </c>
      <c r="G1878" t="str">
        <f t="shared" si="64"/>
        <v>Active</v>
      </c>
      <c r="H1878" s="1" t="str">
        <f t="shared" si="65"/>
        <v>Tuesday</v>
      </c>
    </row>
    <row r="1879" spans="1:8" x14ac:dyDescent="0.3">
      <c r="A1879">
        <v>211958379</v>
      </c>
      <c r="B1879" s="1">
        <v>45048</v>
      </c>
      <c r="C1879" t="s">
        <v>19</v>
      </c>
      <c r="D1879" t="s">
        <v>7</v>
      </c>
      <c r="E1879">
        <v>39</v>
      </c>
      <c r="F1879" t="s">
        <v>6</v>
      </c>
      <c r="G1879" t="str">
        <f t="shared" si="64"/>
        <v>Active</v>
      </c>
      <c r="H1879" s="1" t="str">
        <f t="shared" si="65"/>
        <v>Tuesday</v>
      </c>
    </row>
    <row r="1880" spans="1:8" x14ac:dyDescent="0.3">
      <c r="A1880">
        <v>152310842</v>
      </c>
      <c r="B1880" s="1">
        <v>45048</v>
      </c>
      <c r="C1880" t="s">
        <v>19</v>
      </c>
      <c r="D1880" t="s">
        <v>7</v>
      </c>
      <c r="E1880">
        <v>39</v>
      </c>
      <c r="F1880" t="s">
        <v>6</v>
      </c>
      <c r="G1880" t="str">
        <f t="shared" si="64"/>
        <v>Active</v>
      </c>
      <c r="H1880" s="1" t="str">
        <f t="shared" si="65"/>
        <v>Tuesday</v>
      </c>
    </row>
    <row r="1881" spans="1:8" x14ac:dyDescent="0.3">
      <c r="A1881">
        <v>214711907</v>
      </c>
      <c r="B1881" s="1">
        <v>45048</v>
      </c>
      <c r="C1881" t="s">
        <v>19</v>
      </c>
      <c r="D1881" t="s">
        <v>7</v>
      </c>
      <c r="E1881">
        <v>39</v>
      </c>
      <c r="F1881" t="s">
        <v>6</v>
      </c>
      <c r="G1881" t="str">
        <f t="shared" si="64"/>
        <v>Active</v>
      </c>
      <c r="H1881" s="1" t="str">
        <f t="shared" si="65"/>
        <v>Tuesday</v>
      </c>
    </row>
    <row r="1882" spans="1:8" x14ac:dyDescent="0.3">
      <c r="A1882">
        <v>150342446</v>
      </c>
      <c r="B1882" s="1">
        <v>45048</v>
      </c>
      <c r="C1882" s="1">
        <v>45049</v>
      </c>
      <c r="D1882" t="s">
        <v>7</v>
      </c>
      <c r="E1882">
        <v>39</v>
      </c>
      <c r="F1882" t="s">
        <v>6</v>
      </c>
      <c r="G1882">
        <f t="shared" si="64"/>
        <v>1</v>
      </c>
      <c r="H1882" s="1" t="str">
        <f t="shared" si="65"/>
        <v>Tuesday</v>
      </c>
    </row>
    <row r="1883" spans="1:8" x14ac:dyDescent="0.3">
      <c r="A1883">
        <v>214741130</v>
      </c>
      <c r="B1883" s="1">
        <v>45048</v>
      </c>
      <c r="C1883" s="1">
        <v>45116</v>
      </c>
      <c r="D1883" t="s">
        <v>7</v>
      </c>
      <c r="E1883">
        <v>39</v>
      </c>
      <c r="F1883" t="s">
        <v>6</v>
      </c>
      <c r="G1883">
        <f t="shared" si="64"/>
        <v>68</v>
      </c>
      <c r="H1883" s="1" t="str">
        <f t="shared" si="65"/>
        <v>Tuesday</v>
      </c>
    </row>
    <row r="1884" spans="1:8" x14ac:dyDescent="0.3">
      <c r="A1884">
        <v>214734037</v>
      </c>
      <c r="B1884" s="1">
        <v>45048</v>
      </c>
      <c r="C1884" s="1">
        <v>45096</v>
      </c>
      <c r="D1884" t="s">
        <v>7</v>
      </c>
      <c r="E1884">
        <v>39</v>
      </c>
      <c r="F1884" t="s">
        <v>6</v>
      </c>
      <c r="G1884">
        <f t="shared" si="64"/>
        <v>48</v>
      </c>
      <c r="H1884" s="1" t="str">
        <f t="shared" si="65"/>
        <v>Tuesday</v>
      </c>
    </row>
    <row r="1885" spans="1:8" x14ac:dyDescent="0.3">
      <c r="A1885">
        <v>214500293</v>
      </c>
      <c r="B1885" s="1">
        <v>45048</v>
      </c>
      <c r="C1885" s="1">
        <v>45083</v>
      </c>
      <c r="D1885" t="s">
        <v>7</v>
      </c>
      <c r="E1885">
        <v>39</v>
      </c>
      <c r="F1885" t="s">
        <v>6</v>
      </c>
      <c r="G1885">
        <f t="shared" si="64"/>
        <v>35</v>
      </c>
      <c r="H1885" s="1" t="str">
        <f t="shared" si="65"/>
        <v>Tuesday</v>
      </c>
    </row>
    <row r="1886" spans="1:8" x14ac:dyDescent="0.3">
      <c r="A1886">
        <v>214587827</v>
      </c>
      <c r="B1886" s="1">
        <v>45048</v>
      </c>
      <c r="C1886" s="1">
        <v>45139</v>
      </c>
      <c r="D1886" t="s">
        <v>7</v>
      </c>
      <c r="E1886">
        <v>39</v>
      </c>
      <c r="F1886" t="s">
        <v>6</v>
      </c>
      <c r="G1886">
        <f t="shared" si="64"/>
        <v>91</v>
      </c>
      <c r="H1886" s="1" t="str">
        <f t="shared" si="65"/>
        <v>Tuesday</v>
      </c>
    </row>
    <row r="1887" spans="1:8" x14ac:dyDescent="0.3">
      <c r="A1887">
        <v>214739055</v>
      </c>
      <c r="B1887" s="1">
        <v>45048</v>
      </c>
      <c r="C1887" s="1">
        <v>45147</v>
      </c>
      <c r="D1887" t="s">
        <v>7</v>
      </c>
      <c r="E1887">
        <v>39</v>
      </c>
      <c r="F1887" t="s">
        <v>6</v>
      </c>
      <c r="G1887">
        <f t="shared" si="64"/>
        <v>99</v>
      </c>
      <c r="H1887" s="1" t="str">
        <f t="shared" si="65"/>
        <v>Tuesday</v>
      </c>
    </row>
    <row r="1888" spans="1:8" x14ac:dyDescent="0.3">
      <c r="A1888">
        <v>163103693</v>
      </c>
      <c r="B1888" s="1">
        <v>45048</v>
      </c>
      <c r="C1888" s="1">
        <v>45160</v>
      </c>
      <c r="D1888" t="s">
        <v>7</v>
      </c>
      <c r="E1888">
        <v>39</v>
      </c>
      <c r="F1888" t="s">
        <v>6</v>
      </c>
      <c r="G1888">
        <f t="shared" si="64"/>
        <v>112</v>
      </c>
      <c r="H1888" s="1" t="str">
        <f t="shared" si="65"/>
        <v>Tuesday</v>
      </c>
    </row>
    <row r="1889" spans="1:8" x14ac:dyDescent="0.3">
      <c r="A1889">
        <v>214483378</v>
      </c>
      <c r="B1889" s="1">
        <v>45049</v>
      </c>
      <c r="C1889" t="s">
        <v>19</v>
      </c>
      <c r="D1889" t="s">
        <v>7</v>
      </c>
      <c r="E1889">
        <v>39</v>
      </c>
      <c r="F1889" t="s">
        <v>6</v>
      </c>
      <c r="G1889" t="str">
        <f t="shared" si="64"/>
        <v>Active</v>
      </c>
      <c r="H1889" s="1" t="str">
        <f t="shared" si="65"/>
        <v>Wednesday</v>
      </c>
    </row>
    <row r="1890" spans="1:8" x14ac:dyDescent="0.3">
      <c r="A1890">
        <v>157883110</v>
      </c>
      <c r="B1890" s="1">
        <v>45049</v>
      </c>
      <c r="C1890" t="s">
        <v>19</v>
      </c>
      <c r="D1890" t="s">
        <v>7</v>
      </c>
      <c r="E1890">
        <v>39</v>
      </c>
      <c r="F1890" t="s">
        <v>6</v>
      </c>
      <c r="G1890" t="str">
        <f t="shared" si="64"/>
        <v>Active</v>
      </c>
      <c r="H1890" s="1" t="str">
        <f t="shared" si="65"/>
        <v>Wednesday</v>
      </c>
    </row>
    <row r="1891" spans="1:8" x14ac:dyDescent="0.3">
      <c r="A1891">
        <v>132424181</v>
      </c>
      <c r="B1891" s="1">
        <v>45049</v>
      </c>
      <c r="C1891" s="1">
        <v>45122</v>
      </c>
      <c r="D1891" t="s">
        <v>7</v>
      </c>
      <c r="E1891">
        <v>39</v>
      </c>
      <c r="F1891" t="s">
        <v>6</v>
      </c>
      <c r="G1891">
        <f t="shared" si="64"/>
        <v>73</v>
      </c>
      <c r="H1891" s="1" t="str">
        <f t="shared" si="65"/>
        <v>Wednesday</v>
      </c>
    </row>
    <row r="1892" spans="1:8" x14ac:dyDescent="0.3">
      <c r="A1892">
        <v>214805206</v>
      </c>
      <c r="B1892" s="1">
        <v>45049</v>
      </c>
      <c r="C1892" s="1">
        <v>45097</v>
      </c>
      <c r="D1892" t="s">
        <v>7</v>
      </c>
      <c r="E1892">
        <v>39</v>
      </c>
      <c r="F1892" t="s">
        <v>6</v>
      </c>
      <c r="G1892">
        <f t="shared" si="64"/>
        <v>48</v>
      </c>
      <c r="H1892" s="1" t="str">
        <f t="shared" si="65"/>
        <v>Wednesday</v>
      </c>
    </row>
    <row r="1893" spans="1:8" x14ac:dyDescent="0.3">
      <c r="A1893">
        <v>214641940</v>
      </c>
      <c r="B1893" s="1">
        <v>45049</v>
      </c>
      <c r="C1893" s="1">
        <v>45087</v>
      </c>
      <c r="D1893" t="s">
        <v>7</v>
      </c>
      <c r="E1893">
        <v>39</v>
      </c>
      <c r="F1893" t="s">
        <v>6</v>
      </c>
      <c r="G1893">
        <f t="shared" si="64"/>
        <v>38</v>
      </c>
      <c r="H1893" s="1" t="str">
        <f t="shared" si="65"/>
        <v>Wednesday</v>
      </c>
    </row>
    <row r="1894" spans="1:8" x14ac:dyDescent="0.3">
      <c r="A1894">
        <v>206112289</v>
      </c>
      <c r="B1894" s="1">
        <v>45049</v>
      </c>
      <c r="C1894" s="1">
        <v>45089</v>
      </c>
      <c r="D1894" t="s">
        <v>7</v>
      </c>
      <c r="E1894">
        <v>39</v>
      </c>
      <c r="F1894" t="s">
        <v>6</v>
      </c>
      <c r="G1894">
        <f t="shared" si="64"/>
        <v>40</v>
      </c>
      <c r="H1894" s="1" t="str">
        <f t="shared" si="65"/>
        <v>Wednesday</v>
      </c>
    </row>
    <row r="1895" spans="1:8" x14ac:dyDescent="0.3">
      <c r="A1895">
        <v>214781323</v>
      </c>
      <c r="B1895" s="1">
        <v>45049</v>
      </c>
      <c r="C1895" s="1">
        <v>45070</v>
      </c>
      <c r="D1895" t="s">
        <v>7</v>
      </c>
      <c r="E1895">
        <v>39</v>
      </c>
      <c r="F1895" t="s">
        <v>6</v>
      </c>
      <c r="G1895">
        <f t="shared" si="64"/>
        <v>21</v>
      </c>
      <c r="H1895" s="1" t="str">
        <f t="shared" si="65"/>
        <v>Wednesday</v>
      </c>
    </row>
    <row r="1896" spans="1:8" x14ac:dyDescent="0.3">
      <c r="A1896">
        <v>214767936</v>
      </c>
      <c r="B1896" s="1">
        <v>45049</v>
      </c>
      <c r="C1896" s="1">
        <v>45049</v>
      </c>
      <c r="D1896" t="s">
        <v>7</v>
      </c>
      <c r="E1896">
        <v>39</v>
      </c>
      <c r="F1896" t="s">
        <v>6</v>
      </c>
      <c r="G1896">
        <f t="shared" si="64"/>
        <v>0</v>
      </c>
      <c r="H1896" s="1" t="str">
        <f t="shared" si="65"/>
        <v>Wednesday</v>
      </c>
    </row>
    <row r="1897" spans="1:8" x14ac:dyDescent="0.3">
      <c r="A1897">
        <v>182023209</v>
      </c>
      <c r="B1897" s="1">
        <v>45049</v>
      </c>
      <c r="C1897" s="1">
        <v>45060</v>
      </c>
      <c r="D1897" t="s">
        <v>7</v>
      </c>
      <c r="E1897">
        <v>39</v>
      </c>
      <c r="F1897" t="s">
        <v>6</v>
      </c>
      <c r="G1897">
        <f t="shared" si="64"/>
        <v>11</v>
      </c>
      <c r="H1897" s="1" t="str">
        <f t="shared" si="65"/>
        <v>Wednesday</v>
      </c>
    </row>
    <row r="1898" spans="1:8" x14ac:dyDescent="0.3">
      <c r="A1898">
        <v>148513036</v>
      </c>
      <c r="B1898" s="1">
        <v>45050</v>
      </c>
      <c r="C1898" t="s">
        <v>19</v>
      </c>
      <c r="D1898" t="s">
        <v>7</v>
      </c>
      <c r="E1898">
        <v>39</v>
      </c>
      <c r="F1898" t="s">
        <v>6</v>
      </c>
      <c r="G1898" t="str">
        <f t="shared" si="64"/>
        <v>Active</v>
      </c>
      <c r="H1898" s="1" t="str">
        <f t="shared" si="65"/>
        <v>Thursday</v>
      </c>
    </row>
    <row r="1899" spans="1:8" x14ac:dyDescent="0.3">
      <c r="A1899">
        <v>157910445</v>
      </c>
      <c r="B1899" s="1">
        <v>45050</v>
      </c>
      <c r="C1899" t="s">
        <v>19</v>
      </c>
      <c r="D1899" t="s">
        <v>7</v>
      </c>
      <c r="E1899">
        <v>39</v>
      </c>
      <c r="F1899" t="s">
        <v>6</v>
      </c>
      <c r="G1899" t="str">
        <f t="shared" si="64"/>
        <v>Active</v>
      </c>
      <c r="H1899" s="1" t="str">
        <f t="shared" si="65"/>
        <v>Thursday</v>
      </c>
    </row>
    <row r="1900" spans="1:8" x14ac:dyDescent="0.3">
      <c r="A1900">
        <v>213810773</v>
      </c>
      <c r="B1900" s="1">
        <v>45050</v>
      </c>
      <c r="C1900" s="1">
        <v>45174</v>
      </c>
      <c r="D1900" t="s">
        <v>7</v>
      </c>
      <c r="E1900">
        <v>39</v>
      </c>
      <c r="F1900" t="s">
        <v>6</v>
      </c>
      <c r="G1900">
        <f t="shared" si="64"/>
        <v>124</v>
      </c>
      <c r="H1900" s="1" t="str">
        <f t="shared" si="65"/>
        <v>Thursday</v>
      </c>
    </row>
    <row r="1901" spans="1:8" x14ac:dyDescent="0.3">
      <c r="A1901">
        <v>154820233</v>
      </c>
      <c r="B1901" s="1">
        <v>45050</v>
      </c>
      <c r="C1901" s="1">
        <v>45112</v>
      </c>
      <c r="D1901" t="s">
        <v>7</v>
      </c>
      <c r="E1901">
        <v>39</v>
      </c>
      <c r="F1901" t="s">
        <v>6</v>
      </c>
      <c r="G1901">
        <f t="shared" si="64"/>
        <v>62</v>
      </c>
      <c r="H1901" s="1" t="str">
        <f t="shared" si="65"/>
        <v>Thursday</v>
      </c>
    </row>
    <row r="1902" spans="1:8" x14ac:dyDescent="0.3">
      <c r="A1902">
        <v>214248197</v>
      </c>
      <c r="B1902" s="1">
        <v>45050</v>
      </c>
      <c r="C1902" s="1">
        <v>45079</v>
      </c>
      <c r="D1902" t="s">
        <v>7</v>
      </c>
      <c r="E1902">
        <v>39</v>
      </c>
      <c r="F1902" t="s">
        <v>6</v>
      </c>
      <c r="G1902">
        <f t="shared" si="64"/>
        <v>29</v>
      </c>
      <c r="H1902" s="1" t="str">
        <f t="shared" si="65"/>
        <v>Thursday</v>
      </c>
    </row>
    <row r="1903" spans="1:8" x14ac:dyDescent="0.3">
      <c r="A1903">
        <v>214818730</v>
      </c>
      <c r="B1903" s="1">
        <v>45050</v>
      </c>
      <c r="C1903" s="1">
        <v>45078</v>
      </c>
      <c r="D1903" t="s">
        <v>7</v>
      </c>
      <c r="E1903">
        <v>39</v>
      </c>
      <c r="F1903" t="s">
        <v>6</v>
      </c>
      <c r="G1903">
        <f t="shared" si="64"/>
        <v>28</v>
      </c>
      <c r="H1903" s="1" t="str">
        <f t="shared" si="65"/>
        <v>Thursday</v>
      </c>
    </row>
    <row r="1904" spans="1:8" x14ac:dyDescent="0.3">
      <c r="A1904">
        <v>186667733</v>
      </c>
      <c r="B1904" s="1">
        <v>45050</v>
      </c>
      <c r="C1904" s="1">
        <v>45078</v>
      </c>
      <c r="D1904" t="s">
        <v>7</v>
      </c>
      <c r="E1904">
        <v>39</v>
      </c>
      <c r="F1904" t="s">
        <v>6</v>
      </c>
      <c r="G1904">
        <f t="shared" si="64"/>
        <v>28</v>
      </c>
      <c r="H1904" s="1" t="str">
        <f t="shared" si="65"/>
        <v>Thursday</v>
      </c>
    </row>
    <row r="1905" spans="1:8" x14ac:dyDescent="0.3">
      <c r="A1905">
        <v>214901781</v>
      </c>
      <c r="B1905" s="1">
        <v>45051</v>
      </c>
      <c r="C1905" t="s">
        <v>19</v>
      </c>
      <c r="D1905" t="s">
        <v>7</v>
      </c>
      <c r="E1905">
        <v>39</v>
      </c>
      <c r="F1905" t="s">
        <v>6</v>
      </c>
      <c r="G1905" t="str">
        <f t="shared" si="64"/>
        <v>Active</v>
      </c>
      <c r="H1905" s="1" t="str">
        <f t="shared" si="65"/>
        <v>Friday</v>
      </c>
    </row>
    <row r="1906" spans="1:8" x14ac:dyDescent="0.3">
      <c r="A1906">
        <v>214884589</v>
      </c>
      <c r="B1906" s="1">
        <v>45051</v>
      </c>
      <c r="C1906" t="s">
        <v>19</v>
      </c>
      <c r="D1906" t="s">
        <v>7</v>
      </c>
      <c r="E1906">
        <v>39</v>
      </c>
      <c r="F1906" t="s">
        <v>6</v>
      </c>
      <c r="G1906" t="str">
        <f t="shared" si="64"/>
        <v>Active</v>
      </c>
      <c r="H1906" s="1" t="str">
        <f t="shared" si="65"/>
        <v>Friday</v>
      </c>
    </row>
    <row r="1907" spans="1:8" x14ac:dyDescent="0.3">
      <c r="A1907">
        <v>210344586</v>
      </c>
      <c r="B1907" s="1">
        <v>45051</v>
      </c>
      <c r="C1907" t="s">
        <v>19</v>
      </c>
      <c r="D1907" t="s">
        <v>7</v>
      </c>
      <c r="E1907">
        <v>39</v>
      </c>
      <c r="F1907" t="s">
        <v>6</v>
      </c>
      <c r="G1907" t="str">
        <f t="shared" si="64"/>
        <v>Active</v>
      </c>
      <c r="H1907" s="1" t="str">
        <f t="shared" si="65"/>
        <v>Friday</v>
      </c>
    </row>
    <row r="1908" spans="1:8" x14ac:dyDescent="0.3">
      <c r="A1908">
        <v>214813191</v>
      </c>
      <c r="B1908" s="1">
        <v>45051</v>
      </c>
      <c r="C1908" t="s">
        <v>19</v>
      </c>
      <c r="D1908" t="s">
        <v>7</v>
      </c>
      <c r="E1908">
        <v>39</v>
      </c>
      <c r="F1908" t="s">
        <v>6</v>
      </c>
      <c r="G1908" t="str">
        <f t="shared" si="64"/>
        <v>Active</v>
      </c>
      <c r="H1908" s="1" t="str">
        <f t="shared" si="65"/>
        <v>Friday</v>
      </c>
    </row>
    <row r="1909" spans="1:8" x14ac:dyDescent="0.3">
      <c r="A1909">
        <v>214880602</v>
      </c>
      <c r="B1909" s="1">
        <v>45051</v>
      </c>
      <c r="C1909" t="s">
        <v>19</v>
      </c>
      <c r="D1909" t="s">
        <v>7</v>
      </c>
      <c r="E1909">
        <v>39</v>
      </c>
      <c r="F1909" t="s">
        <v>6</v>
      </c>
      <c r="G1909" t="str">
        <f t="shared" si="64"/>
        <v>Active</v>
      </c>
      <c r="H1909" s="1" t="str">
        <f t="shared" si="65"/>
        <v>Friday</v>
      </c>
    </row>
    <row r="1910" spans="1:8" x14ac:dyDescent="0.3">
      <c r="A1910">
        <v>186140999</v>
      </c>
      <c r="B1910" s="1">
        <v>45051</v>
      </c>
      <c r="C1910" s="1">
        <v>45080</v>
      </c>
      <c r="D1910" t="s">
        <v>7</v>
      </c>
      <c r="E1910">
        <v>39</v>
      </c>
      <c r="F1910" t="s">
        <v>6</v>
      </c>
      <c r="G1910">
        <f t="shared" si="64"/>
        <v>29</v>
      </c>
      <c r="H1910" s="1" t="str">
        <f t="shared" si="65"/>
        <v>Friday</v>
      </c>
    </row>
    <row r="1911" spans="1:8" x14ac:dyDescent="0.3">
      <c r="A1911">
        <v>214860336</v>
      </c>
      <c r="B1911" s="1">
        <v>45051</v>
      </c>
      <c r="C1911" s="1">
        <v>45110</v>
      </c>
      <c r="D1911" t="s">
        <v>7</v>
      </c>
      <c r="E1911">
        <v>39</v>
      </c>
      <c r="F1911" t="s">
        <v>6</v>
      </c>
      <c r="G1911">
        <f t="shared" si="64"/>
        <v>59</v>
      </c>
      <c r="H1911" s="1" t="str">
        <f t="shared" si="65"/>
        <v>Friday</v>
      </c>
    </row>
    <row r="1912" spans="1:8" x14ac:dyDescent="0.3">
      <c r="A1912">
        <v>138725699</v>
      </c>
      <c r="B1912" s="1">
        <v>45051</v>
      </c>
      <c r="C1912" s="1">
        <v>45089</v>
      </c>
      <c r="D1912" t="s">
        <v>7</v>
      </c>
      <c r="E1912">
        <v>39</v>
      </c>
      <c r="F1912" t="s">
        <v>6</v>
      </c>
      <c r="G1912">
        <f t="shared" si="64"/>
        <v>38</v>
      </c>
      <c r="H1912" s="1" t="str">
        <f t="shared" si="65"/>
        <v>Friday</v>
      </c>
    </row>
    <row r="1913" spans="1:8" x14ac:dyDescent="0.3">
      <c r="A1913">
        <v>132315255</v>
      </c>
      <c r="B1913" s="1">
        <v>45051</v>
      </c>
      <c r="C1913" s="1">
        <v>45051</v>
      </c>
      <c r="D1913" t="s">
        <v>7</v>
      </c>
      <c r="E1913">
        <v>39</v>
      </c>
      <c r="F1913" t="s">
        <v>6</v>
      </c>
      <c r="G1913">
        <f t="shared" si="64"/>
        <v>0</v>
      </c>
      <c r="H1913" s="1" t="str">
        <f t="shared" si="65"/>
        <v>Friday</v>
      </c>
    </row>
    <row r="1914" spans="1:8" x14ac:dyDescent="0.3">
      <c r="A1914">
        <v>208202304</v>
      </c>
      <c r="B1914" s="1">
        <v>45051</v>
      </c>
      <c r="C1914" s="1">
        <v>45051</v>
      </c>
      <c r="D1914" t="s">
        <v>7</v>
      </c>
      <c r="E1914">
        <v>39</v>
      </c>
      <c r="F1914" t="s">
        <v>6</v>
      </c>
      <c r="G1914">
        <f t="shared" si="64"/>
        <v>0</v>
      </c>
      <c r="H1914" s="1" t="str">
        <f t="shared" si="65"/>
        <v>Friday</v>
      </c>
    </row>
    <row r="1915" spans="1:8" x14ac:dyDescent="0.3">
      <c r="A1915">
        <v>214869362</v>
      </c>
      <c r="B1915" s="1">
        <v>45051</v>
      </c>
      <c r="C1915" s="1">
        <v>45077</v>
      </c>
      <c r="D1915" t="s">
        <v>7</v>
      </c>
      <c r="E1915">
        <v>39</v>
      </c>
      <c r="F1915" t="s">
        <v>6</v>
      </c>
      <c r="G1915">
        <f t="shared" si="64"/>
        <v>26</v>
      </c>
      <c r="H1915" s="1" t="str">
        <f t="shared" si="65"/>
        <v>Friday</v>
      </c>
    </row>
    <row r="1916" spans="1:8" x14ac:dyDescent="0.3">
      <c r="A1916">
        <v>207118054</v>
      </c>
      <c r="B1916" s="1">
        <v>45052</v>
      </c>
      <c r="C1916" t="s">
        <v>19</v>
      </c>
      <c r="D1916" t="s">
        <v>7</v>
      </c>
      <c r="E1916">
        <v>39</v>
      </c>
      <c r="F1916" t="s">
        <v>6</v>
      </c>
      <c r="G1916" t="str">
        <f t="shared" si="64"/>
        <v>Active</v>
      </c>
      <c r="H1916" s="1" t="str">
        <f t="shared" si="65"/>
        <v>Saturday</v>
      </c>
    </row>
    <row r="1917" spans="1:8" x14ac:dyDescent="0.3">
      <c r="A1917">
        <v>214856586</v>
      </c>
      <c r="B1917" s="1">
        <v>45052</v>
      </c>
      <c r="C1917" t="s">
        <v>19</v>
      </c>
      <c r="D1917" t="s">
        <v>7</v>
      </c>
      <c r="E1917">
        <v>39</v>
      </c>
      <c r="F1917" t="s">
        <v>6</v>
      </c>
      <c r="G1917" t="str">
        <f t="shared" si="64"/>
        <v>Active</v>
      </c>
      <c r="H1917" s="1" t="str">
        <f t="shared" si="65"/>
        <v>Saturday</v>
      </c>
    </row>
    <row r="1918" spans="1:8" x14ac:dyDescent="0.3">
      <c r="A1918">
        <v>201945254</v>
      </c>
      <c r="B1918" s="1">
        <v>45052</v>
      </c>
      <c r="C1918" s="1">
        <v>45079</v>
      </c>
      <c r="D1918" t="s">
        <v>7</v>
      </c>
      <c r="E1918">
        <v>39</v>
      </c>
      <c r="F1918" t="s">
        <v>6</v>
      </c>
      <c r="G1918">
        <f t="shared" si="64"/>
        <v>27</v>
      </c>
      <c r="H1918" s="1" t="str">
        <f t="shared" si="65"/>
        <v>Saturday</v>
      </c>
    </row>
    <row r="1919" spans="1:8" x14ac:dyDescent="0.3">
      <c r="A1919">
        <v>134531651</v>
      </c>
      <c r="B1919" s="1">
        <v>45053</v>
      </c>
      <c r="C1919" t="s">
        <v>19</v>
      </c>
      <c r="D1919" t="s">
        <v>7</v>
      </c>
      <c r="E1919">
        <v>39</v>
      </c>
      <c r="F1919" t="s">
        <v>6</v>
      </c>
      <c r="G1919" t="str">
        <f t="shared" si="64"/>
        <v>Active</v>
      </c>
      <c r="H1919" s="1" t="str">
        <f t="shared" si="65"/>
        <v>Sunday</v>
      </c>
    </row>
    <row r="1920" spans="1:8" x14ac:dyDescent="0.3">
      <c r="A1920">
        <v>204865394</v>
      </c>
      <c r="B1920" s="1">
        <v>45053</v>
      </c>
      <c r="C1920" t="s">
        <v>19</v>
      </c>
      <c r="D1920" t="s">
        <v>7</v>
      </c>
      <c r="E1920">
        <v>39</v>
      </c>
      <c r="F1920" t="s">
        <v>6</v>
      </c>
      <c r="G1920" t="str">
        <f t="shared" si="64"/>
        <v>Active</v>
      </c>
      <c r="H1920" s="1" t="str">
        <f t="shared" si="65"/>
        <v>Sunday</v>
      </c>
    </row>
    <row r="1921" spans="1:8" x14ac:dyDescent="0.3">
      <c r="A1921">
        <v>158906669</v>
      </c>
      <c r="B1921" s="1">
        <v>45053</v>
      </c>
      <c r="C1921" t="s">
        <v>19</v>
      </c>
      <c r="D1921" t="s">
        <v>7</v>
      </c>
      <c r="E1921">
        <v>39</v>
      </c>
      <c r="F1921" t="s">
        <v>6</v>
      </c>
      <c r="G1921" t="str">
        <f t="shared" si="64"/>
        <v>Active</v>
      </c>
      <c r="H1921" s="1" t="str">
        <f t="shared" si="65"/>
        <v>Sunday</v>
      </c>
    </row>
    <row r="1922" spans="1:8" x14ac:dyDescent="0.3">
      <c r="A1922">
        <v>125591366</v>
      </c>
      <c r="B1922" s="1">
        <v>45053</v>
      </c>
      <c r="C1922" s="1">
        <v>45144</v>
      </c>
      <c r="D1922" t="s">
        <v>7</v>
      </c>
      <c r="E1922">
        <v>39</v>
      </c>
      <c r="F1922" t="s">
        <v>6</v>
      </c>
      <c r="G1922">
        <f t="shared" si="64"/>
        <v>91</v>
      </c>
      <c r="H1922" s="1" t="str">
        <f t="shared" si="65"/>
        <v>Sunday</v>
      </c>
    </row>
    <row r="1923" spans="1:8" x14ac:dyDescent="0.3">
      <c r="A1923">
        <v>214839844</v>
      </c>
      <c r="B1923" s="1">
        <v>45053</v>
      </c>
      <c r="C1923" s="1">
        <v>45114</v>
      </c>
      <c r="D1923" t="s">
        <v>7</v>
      </c>
      <c r="E1923">
        <v>39</v>
      </c>
      <c r="F1923" t="s">
        <v>6</v>
      </c>
      <c r="G1923">
        <f t="shared" ref="G1923:G1986" si="66">IF(C1923="Active","Active",C1923-B1923)</f>
        <v>61</v>
      </c>
      <c r="H1923" s="1" t="str">
        <f t="shared" ref="H1923:H1986" si="67">TEXT(B1923,"dddd")</f>
        <v>Sunday</v>
      </c>
    </row>
    <row r="1924" spans="1:8" x14ac:dyDescent="0.3">
      <c r="A1924">
        <v>214939612</v>
      </c>
      <c r="B1924" s="1">
        <v>45053</v>
      </c>
      <c r="C1924" s="1">
        <v>45110</v>
      </c>
      <c r="D1924" t="s">
        <v>7</v>
      </c>
      <c r="E1924">
        <v>39</v>
      </c>
      <c r="F1924" t="s">
        <v>6</v>
      </c>
      <c r="G1924">
        <f t="shared" si="66"/>
        <v>57</v>
      </c>
      <c r="H1924" s="1" t="str">
        <f t="shared" si="67"/>
        <v>Sunday</v>
      </c>
    </row>
    <row r="1925" spans="1:8" x14ac:dyDescent="0.3">
      <c r="A1925">
        <v>204670100</v>
      </c>
      <c r="B1925" s="1">
        <v>45053</v>
      </c>
      <c r="C1925" s="1">
        <v>45121</v>
      </c>
      <c r="D1925" t="s">
        <v>7</v>
      </c>
      <c r="E1925">
        <v>39</v>
      </c>
      <c r="F1925" t="s">
        <v>6</v>
      </c>
      <c r="G1925">
        <f t="shared" si="66"/>
        <v>68</v>
      </c>
      <c r="H1925" s="1" t="str">
        <f t="shared" si="67"/>
        <v>Sunday</v>
      </c>
    </row>
    <row r="1926" spans="1:8" x14ac:dyDescent="0.3">
      <c r="A1926">
        <v>214830539</v>
      </c>
      <c r="B1926" s="1">
        <v>45053</v>
      </c>
      <c r="C1926" s="1">
        <v>45091</v>
      </c>
      <c r="D1926" t="s">
        <v>7</v>
      </c>
      <c r="E1926">
        <v>39</v>
      </c>
      <c r="F1926" t="s">
        <v>6</v>
      </c>
      <c r="G1926">
        <f t="shared" si="66"/>
        <v>38</v>
      </c>
      <c r="H1926" s="1" t="str">
        <f t="shared" si="67"/>
        <v>Sunday</v>
      </c>
    </row>
    <row r="1927" spans="1:8" x14ac:dyDescent="0.3">
      <c r="A1927">
        <v>185952990</v>
      </c>
      <c r="B1927" s="1">
        <v>45053</v>
      </c>
      <c r="C1927" s="1">
        <v>45087</v>
      </c>
      <c r="D1927" t="s">
        <v>7</v>
      </c>
      <c r="E1927">
        <v>39</v>
      </c>
      <c r="F1927" t="s">
        <v>6</v>
      </c>
      <c r="G1927">
        <f t="shared" si="66"/>
        <v>34</v>
      </c>
      <c r="H1927" s="1" t="str">
        <f t="shared" si="67"/>
        <v>Sunday</v>
      </c>
    </row>
    <row r="1928" spans="1:8" x14ac:dyDescent="0.3">
      <c r="A1928">
        <v>214936311</v>
      </c>
      <c r="B1928" s="1">
        <v>45053</v>
      </c>
      <c r="C1928" s="1">
        <v>45053</v>
      </c>
      <c r="D1928" t="s">
        <v>7</v>
      </c>
      <c r="E1928">
        <v>39</v>
      </c>
      <c r="F1928" t="s">
        <v>6</v>
      </c>
      <c r="G1928">
        <f t="shared" si="66"/>
        <v>0</v>
      </c>
      <c r="H1928" s="1" t="str">
        <f t="shared" si="67"/>
        <v>Sunday</v>
      </c>
    </row>
    <row r="1929" spans="1:8" x14ac:dyDescent="0.3">
      <c r="A1929">
        <v>214620392</v>
      </c>
      <c r="B1929" s="1">
        <v>45053</v>
      </c>
      <c r="C1929" s="1">
        <v>45114</v>
      </c>
      <c r="D1929" t="s">
        <v>7</v>
      </c>
      <c r="E1929">
        <v>39</v>
      </c>
      <c r="F1929" t="s">
        <v>6</v>
      </c>
      <c r="G1929">
        <f t="shared" si="66"/>
        <v>61</v>
      </c>
      <c r="H1929" s="1" t="str">
        <f t="shared" si="67"/>
        <v>Sunday</v>
      </c>
    </row>
    <row r="1930" spans="1:8" x14ac:dyDescent="0.3">
      <c r="A1930">
        <v>157935884</v>
      </c>
      <c r="B1930" s="1">
        <v>45054</v>
      </c>
      <c r="C1930" t="s">
        <v>19</v>
      </c>
      <c r="D1930" t="s">
        <v>7</v>
      </c>
      <c r="E1930">
        <v>39</v>
      </c>
      <c r="F1930" t="s">
        <v>6</v>
      </c>
      <c r="G1930" t="str">
        <f t="shared" si="66"/>
        <v>Active</v>
      </c>
      <c r="H1930" s="1" t="str">
        <f t="shared" si="67"/>
        <v>Monday</v>
      </c>
    </row>
    <row r="1931" spans="1:8" x14ac:dyDescent="0.3">
      <c r="A1931">
        <v>214945706</v>
      </c>
      <c r="B1931" s="1">
        <v>45054</v>
      </c>
      <c r="C1931" t="s">
        <v>19</v>
      </c>
      <c r="D1931" t="s">
        <v>7</v>
      </c>
      <c r="E1931">
        <v>39</v>
      </c>
      <c r="F1931" t="s">
        <v>6</v>
      </c>
      <c r="G1931" t="str">
        <f t="shared" si="66"/>
        <v>Active</v>
      </c>
      <c r="H1931" s="1" t="str">
        <f t="shared" si="67"/>
        <v>Monday</v>
      </c>
    </row>
    <row r="1932" spans="1:8" x14ac:dyDescent="0.3">
      <c r="A1932">
        <v>214999374</v>
      </c>
      <c r="B1932" s="1">
        <v>45054</v>
      </c>
      <c r="C1932" t="s">
        <v>19</v>
      </c>
      <c r="D1932" t="s">
        <v>7</v>
      </c>
      <c r="E1932">
        <v>39</v>
      </c>
      <c r="F1932" t="s">
        <v>6</v>
      </c>
      <c r="G1932" t="str">
        <f t="shared" si="66"/>
        <v>Active</v>
      </c>
      <c r="H1932" s="1" t="str">
        <f t="shared" si="67"/>
        <v>Monday</v>
      </c>
    </row>
    <row r="1933" spans="1:8" x14ac:dyDescent="0.3">
      <c r="A1933">
        <v>214986467</v>
      </c>
      <c r="B1933" s="1">
        <v>45054</v>
      </c>
      <c r="C1933" t="s">
        <v>19</v>
      </c>
      <c r="D1933" t="s">
        <v>7</v>
      </c>
      <c r="E1933">
        <v>39</v>
      </c>
      <c r="F1933" t="s">
        <v>6</v>
      </c>
      <c r="G1933" t="str">
        <f t="shared" si="66"/>
        <v>Active</v>
      </c>
      <c r="H1933" s="1" t="str">
        <f t="shared" si="67"/>
        <v>Monday</v>
      </c>
    </row>
    <row r="1934" spans="1:8" x14ac:dyDescent="0.3">
      <c r="A1934">
        <v>214984741</v>
      </c>
      <c r="B1934" s="1">
        <v>45054</v>
      </c>
      <c r="C1934" t="s">
        <v>19</v>
      </c>
      <c r="D1934" t="s">
        <v>7</v>
      </c>
      <c r="E1934">
        <v>39</v>
      </c>
      <c r="F1934" t="s">
        <v>6</v>
      </c>
      <c r="G1934" t="str">
        <f t="shared" si="66"/>
        <v>Active</v>
      </c>
      <c r="H1934" s="1" t="str">
        <f t="shared" si="67"/>
        <v>Monday</v>
      </c>
    </row>
    <row r="1935" spans="1:8" x14ac:dyDescent="0.3">
      <c r="A1935">
        <v>214993166</v>
      </c>
      <c r="B1935" s="1">
        <v>45054</v>
      </c>
      <c r="C1935" t="s">
        <v>19</v>
      </c>
      <c r="D1935" t="s">
        <v>7</v>
      </c>
      <c r="E1935">
        <v>39</v>
      </c>
      <c r="F1935" t="s">
        <v>6</v>
      </c>
      <c r="G1935" t="str">
        <f t="shared" si="66"/>
        <v>Active</v>
      </c>
      <c r="H1935" s="1" t="str">
        <f t="shared" si="67"/>
        <v>Monday</v>
      </c>
    </row>
    <row r="1936" spans="1:8" x14ac:dyDescent="0.3">
      <c r="A1936">
        <v>203116697</v>
      </c>
      <c r="B1936" s="1">
        <v>45054</v>
      </c>
      <c r="C1936" t="s">
        <v>19</v>
      </c>
      <c r="D1936" t="s">
        <v>7</v>
      </c>
      <c r="E1936">
        <v>39</v>
      </c>
      <c r="F1936" t="s">
        <v>6</v>
      </c>
      <c r="G1936" t="str">
        <f t="shared" si="66"/>
        <v>Active</v>
      </c>
      <c r="H1936" s="1" t="str">
        <f t="shared" si="67"/>
        <v>Monday</v>
      </c>
    </row>
    <row r="1937" spans="1:8" x14ac:dyDescent="0.3">
      <c r="A1937">
        <v>214906741</v>
      </c>
      <c r="B1937" s="1">
        <v>45054</v>
      </c>
      <c r="C1937" t="s">
        <v>19</v>
      </c>
      <c r="D1937" t="s">
        <v>7</v>
      </c>
      <c r="E1937">
        <v>39</v>
      </c>
      <c r="F1937" t="s">
        <v>6</v>
      </c>
      <c r="G1937" t="str">
        <f t="shared" si="66"/>
        <v>Active</v>
      </c>
      <c r="H1937" s="1" t="str">
        <f t="shared" si="67"/>
        <v>Monday</v>
      </c>
    </row>
    <row r="1938" spans="1:8" x14ac:dyDescent="0.3">
      <c r="A1938">
        <v>128977818</v>
      </c>
      <c r="B1938" s="1">
        <v>45054</v>
      </c>
      <c r="C1938" s="1">
        <v>45175</v>
      </c>
      <c r="D1938" t="s">
        <v>7</v>
      </c>
      <c r="E1938">
        <v>39</v>
      </c>
      <c r="F1938" t="s">
        <v>6</v>
      </c>
      <c r="G1938">
        <f t="shared" si="66"/>
        <v>121</v>
      </c>
      <c r="H1938" s="1" t="str">
        <f t="shared" si="67"/>
        <v>Monday</v>
      </c>
    </row>
    <row r="1939" spans="1:8" x14ac:dyDescent="0.3">
      <c r="A1939">
        <v>209743418</v>
      </c>
      <c r="B1939" s="1">
        <v>45054</v>
      </c>
      <c r="C1939" s="1">
        <v>45055</v>
      </c>
      <c r="D1939" t="s">
        <v>7</v>
      </c>
      <c r="E1939">
        <v>39</v>
      </c>
      <c r="F1939" t="s">
        <v>6</v>
      </c>
      <c r="G1939">
        <f t="shared" si="66"/>
        <v>1</v>
      </c>
      <c r="H1939" s="1" t="str">
        <f t="shared" si="67"/>
        <v>Monday</v>
      </c>
    </row>
    <row r="1940" spans="1:8" x14ac:dyDescent="0.3">
      <c r="A1940">
        <v>209743418</v>
      </c>
      <c r="B1940" s="1">
        <v>45054</v>
      </c>
      <c r="C1940" s="1">
        <v>45115</v>
      </c>
      <c r="D1940" t="s">
        <v>7</v>
      </c>
      <c r="E1940">
        <v>39</v>
      </c>
      <c r="F1940" t="s">
        <v>6</v>
      </c>
      <c r="G1940">
        <f t="shared" si="66"/>
        <v>61</v>
      </c>
      <c r="H1940" s="1" t="str">
        <f t="shared" si="67"/>
        <v>Monday</v>
      </c>
    </row>
    <row r="1941" spans="1:8" x14ac:dyDescent="0.3">
      <c r="A1941">
        <v>130868671</v>
      </c>
      <c r="B1941" s="1">
        <v>45054</v>
      </c>
      <c r="C1941" s="1">
        <v>45091</v>
      </c>
      <c r="D1941" t="s">
        <v>7</v>
      </c>
      <c r="E1941">
        <v>39</v>
      </c>
      <c r="F1941" t="s">
        <v>6</v>
      </c>
      <c r="G1941">
        <f t="shared" si="66"/>
        <v>37</v>
      </c>
      <c r="H1941" s="1" t="str">
        <f t="shared" si="67"/>
        <v>Monday</v>
      </c>
    </row>
    <row r="1942" spans="1:8" x14ac:dyDescent="0.3">
      <c r="A1942">
        <v>146963394</v>
      </c>
      <c r="B1942" s="1">
        <v>45054</v>
      </c>
      <c r="C1942" s="1">
        <v>45111</v>
      </c>
      <c r="D1942" t="s">
        <v>7</v>
      </c>
      <c r="E1942">
        <v>39</v>
      </c>
      <c r="F1942" t="s">
        <v>6</v>
      </c>
      <c r="G1942">
        <f t="shared" si="66"/>
        <v>57</v>
      </c>
      <c r="H1942" s="1" t="str">
        <f t="shared" si="67"/>
        <v>Monday</v>
      </c>
    </row>
    <row r="1943" spans="1:8" x14ac:dyDescent="0.3">
      <c r="A1943">
        <v>214960770</v>
      </c>
      <c r="B1943" s="1">
        <v>45054</v>
      </c>
      <c r="C1943" s="1">
        <v>45110</v>
      </c>
      <c r="D1943" t="s">
        <v>7</v>
      </c>
      <c r="E1943">
        <v>39</v>
      </c>
      <c r="F1943" t="s">
        <v>6</v>
      </c>
      <c r="G1943">
        <f t="shared" si="66"/>
        <v>56</v>
      </c>
      <c r="H1943" s="1" t="str">
        <f t="shared" si="67"/>
        <v>Monday</v>
      </c>
    </row>
    <row r="1944" spans="1:8" x14ac:dyDescent="0.3">
      <c r="A1944">
        <v>207344872</v>
      </c>
      <c r="B1944" s="1">
        <v>45054</v>
      </c>
      <c r="C1944" s="1">
        <v>45084</v>
      </c>
      <c r="D1944" t="s">
        <v>7</v>
      </c>
      <c r="E1944">
        <v>39</v>
      </c>
      <c r="F1944" t="s">
        <v>6</v>
      </c>
      <c r="G1944">
        <f t="shared" si="66"/>
        <v>30</v>
      </c>
      <c r="H1944" s="1" t="str">
        <f t="shared" si="67"/>
        <v>Monday</v>
      </c>
    </row>
    <row r="1945" spans="1:8" x14ac:dyDescent="0.3">
      <c r="A1945">
        <v>202925989</v>
      </c>
      <c r="B1945" s="1">
        <v>45054</v>
      </c>
      <c r="C1945" s="1">
        <v>45092</v>
      </c>
      <c r="D1945" t="s">
        <v>7</v>
      </c>
      <c r="E1945">
        <v>39</v>
      </c>
      <c r="F1945" t="s">
        <v>6</v>
      </c>
      <c r="G1945">
        <f t="shared" si="66"/>
        <v>38</v>
      </c>
      <c r="H1945" s="1" t="str">
        <f t="shared" si="67"/>
        <v>Monday</v>
      </c>
    </row>
    <row r="1946" spans="1:8" x14ac:dyDescent="0.3">
      <c r="A1946">
        <v>214991976</v>
      </c>
      <c r="B1946" s="1">
        <v>45054</v>
      </c>
      <c r="C1946" s="1">
        <v>45099</v>
      </c>
      <c r="D1946" t="s">
        <v>7</v>
      </c>
      <c r="E1946">
        <v>39</v>
      </c>
      <c r="F1946" t="s">
        <v>6</v>
      </c>
      <c r="G1946">
        <f t="shared" si="66"/>
        <v>45</v>
      </c>
      <c r="H1946" s="1" t="str">
        <f t="shared" si="67"/>
        <v>Monday</v>
      </c>
    </row>
    <row r="1947" spans="1:8" x14ac:dyDescent="0.3">
      <c r="A1947">
        <v>211917633</v>
      </c>
      <c r="B1947" s="1">
        <v>45054</v>
      </c>
      <c r="C1947" s="1">
        <v>45071</v>
      </c>
      <c r="D1947" t="s">
        <v>7</v>
      </c>
      <c r="E1947">
        <v>39</v>
      </c>
      <c r="F1947" t="s">
        <v>6</v>
      </c>
      <c r="G1947">
        <f t="shared" si="66"/>
        <v>17</v>
      </c>
      <c r="H1947" s="1" t="str">
        <f t="shared" si="67"/>
        <v>Monday</v>
      </c>
    </row>
    <row r="1948" spans="1:8" x14ac:dyDescent="0.3">
      <c r="A1948">
        <v>214623264</v>
      </c>
      <c r="B1948" s="1">
        <v>45054</v>
      </c>
      <c r="C1948" s="1">
        <v>45122</v>
      </c>
      <c r="D1948" t="s">
        <v>7</v>
      </c>
      <c r="E1948">
        <v>39</v>
      </c>
      <c r="F1948" t="s">
        <v>6</v>
      </c>
      <c r="G1948">
        <f t="shared" si="66"/>
        <v>68</v>
      </c>
      <c r="H1948" s="1" t="str">
        <f t="shared" si="67"/>
        <v>Monday</v>
      </c>
    </row>
    <row r="1949" spans="1:8" x14ac:dyDescent="0.3">
      <c r="A1949">
        <v>205339362</v>
      </c>
      <c r="B1949" s="1">
        <v>45054</v>
      </c>
      <c r="C1949" s="1">
        <v>45115</v>
      </c>
      <c r="D1949" t="s">
        <v>7</v>
      </c>
      <c r="E1949">
        <v>39</v>
      </c>
      <c r="F1949" t="s">
        <v>6</v>
      </c>
      <c r="G1949">
        <f t="shared" si="66"/>
        <v>61</v>
      </c>
      <c r="H1949" s="1" t="str">
        <f t="shared" si="67"/>
        <v>Monday</v>
      </c>
    </row>
    <row r="1950" spans="1:8" x14ac:dyDescent="0.3">
      <c r="A1950">
        <v>214956352</v>
      </c>
      <c r="B1950" s="1">
        <v>45055</v>
      </c>
      <c r="C1950" t="s">
        <v>19</v>
      </c>
      <c r="D1950" t="s">
        <v>7</v>
      </c>
      <c r="E1950">
        <v>39</v>
      </c>
      <c r="F1950" t="s">
        <v>6</v>
      </c>
      <c r="G1950" t="str">
        <f t="shared" si="66"/>
        <v>Active</v>
      </c>
      <c r="H1950" s="1" t="str">
        <f t="shared" si="67"/>
        <v>Tuesday</v>
      </c>
    </row>
    <row r="1951" spans="1:8" x14ac:dyDescent="0.3">
      <c r="A1951">
        <v>196061402</v>
      </c>
      <c r="B1951" s="1">
        <v>45055</v>
      </c>
      <c r="C1951" t="s">
        <v>19</v>
      </c>
      <c r="D1951" t="s">
        <v>7</v>
      </c>
      <c r="E1951">
        <v>39</v>
      </c>
      <c r="F1951" t="s">
        <v>6</v>
      </c>
      <c r="G1951" t="str">
        <f t="shared" si="66"/>
        <v>Active</v>
      </c>
      <c r="H1951" s="1" t="str">
        <f t="shared" si="67"/>
        <v>Tuesday</v>
      </c>
    </row>
    <row r="1952" spans="1:8" x14ac:dyDescent="0.3">
      <c r="A1952">
        <v>215019022</v>
      </c>
      <c r="B1952" s="1">
        <v>45055</v>
      </c>
      <c r="C1952" t="s">
        <v>19</v>
      </c>
      <c r="D1952" t="s">
        <v>7</v>
      </c>
      <c r="E1952">
        <v>39</v>
      </c>
      <c r="F1952" t="s">
        <v>6</v>
      </c>
      <c r="G1952" t="str">
        <f t="shared" si="66"/>
        <v>Active</v>
      </c>
      <c r="H1952" s="1" t="str">
        <f t="shared" si="67"/>
        <v>Tuesday</v>
      </c>
    </row>
    <row r="1953" spans="1:8" x14ac:dyDescent="0.3">
      <c r="A1953">
        <v>185517087</v>
      </c>
      <c r="B1953" s="1">
        <v>45055</v>
      </c>
      <c r="C1953" t="s">
        <v>19</v>
      </c>
      <c r="D1953" t="s">
        <v>7</v>
      </c>
      <c r="E1953">
        <v>39</v>
      </c>
      <c r="F1953" t="s">
        <v>6</v>
      </c>
      <c r="G1953" t="str">
        <f t="shared" si="66"/>
        <v>Active</v>
      </c>
      <c r="H1953" s="1" t="str">
        <f t="shared" si="67"/>
        <v>Tuesday</v>
      </c>
    </row>
    <row r="1954" spans="1:8" x14ac:dyDescent="0.3">
      <c r="A1954">
        <v>151513254</v>
      </c>
      <c r="B1954" s="1">
        <v>45055</v>
      </c>
      <c r="C1954" s="1">
        <v>45055</v>
      </c>
      <c r="D1954" t="s">
        <v>7</v>
      </c>
      <c r="E1954">
        <v>39</v>
      </c>
      <c r="F1954" t="s">
        <v>6</v>
      </c>
      <c r="G1954">
        <f t="shared" si="66"/>
        <v>0</v>
      </c>
      <c r="H1954" s="1" t="str">
        <f t="shared" si="67"/>
        <v>Tuesday</v>
      </c>
    </row>
    <row r="1955" spans="1:8" x14ac:dyDescent="0.3">
      <c r="A1955">
        <v>214952558</v>
      </c>
      <c r="B1955" s="1">
        <v>45055</v>
      </c>
      <c r="C1955" s="1">
        <v>45056</v>
      </c>
      <c r="D1955" t="s">
        <v>8</v>
      </c>
      <c r="E1955">
        <v>39</v>
      </c>
      <c r="F1955" t="s">
        <v>6</v>
      </c>
      <c r="G1955">
        <f t="shared" si="66"/>
        <v>1</v>
      </c>
      <c r="H1955" s="1" t="str">
        <f t="shared" si="67"/>
        <v>Tuesday</v>
      </c>
    </row>
    <row r="1956" spans="1:8" x14ac:dyDescent="0.3">
      <c r="A1956">
        <v>139339380</v>
      </c>
      <c r="B1956" s="1">
        <v>45055</v>
      </c>
      <c r="C1956" s="1">
        <v>45095</v>
      </c>
      <c r="D1956" t="s">
        <v>7</v>
      </c>
      <c r="E1956">
        <v>39</v>
      </c>
      <c r="F1956" t="s">
        <v>6</v>
      </c>
      <c r="G1956">
        <f t="shared" si="66"/>
        <v>40</v>
      </c>
      <c r="H1956" s="1" t="str">
        <f t="shared" si="67"/>
        <v>Tuesday</v>
      </c>
    </row>
    <row r="1957" spans="1:8" x14ac:dyDescent="0.3">
      <c r="A1957">
        <v>208188866</v>
      </c>
      <c r="B1957" s="1">
        <v>45055</v>
      </c>
      <c r="C1957" s="1">
        <v>45086</v>
      </c>
      <c r="D1957" t="s">
        <v>7</v>
      </c>
      <c r="E1957">
        <v>39</v>
      </c>
      <c r="F1957" t="s">
        <v>6</v>
      </c>
      <c r="G1957">
        <f t="shared" si="66"/>
        <v>31</v>
      </c>
      <c r="H1957" s="1" t="str">
        <f t="shared" si="67"/>
        <v>Tuesday</v>
      </c>
    </row>
    <row r="1958" spans="1:8" x14ac:dyDescent="0.3">
      <c r="A1958">
        <v>150342446</v>
      </c>
      <c r="B1958" s="1">
        <v>45055</v>
      </c>
      <c r="C1958" s="1">
        <v>45093</v>
      </c>
      <c r="D1958" t="s">
        <v>7</v>
      </c>
      <c r="E1958">
        <v>39</v>
      </c>
      <c r="F1958" t="s">
        <v>6</v>
      </c>
      <c r="G1958">
        <f t="shared" si="66"/>
        <v>38</v>
      </c>
      <c r="H1958" s="1" t="str">
        <f t="shared" si="67"/>
        <v>Tuesday</v>
      </c>
    </row>
    <row r="1959" spans="1:8" x14ac:dyDescent="0.3">
      <c r="A1959">
        <v>188748372</v>
      </c>
      <c r="B1959" s="1">
        <v>45055</v>
      </c>
      <c r="C1959" s="1">
        <v>45093</v>
      </c>
      <c r="D1959" t="s">
        <v>7</v>
      </c>
      <c r="E1959">
        <v>39</v>
      </c>
      <c r="F1959" t="s">
        <v>6</v>
      </c>
      <c r="G1959">
        <f t="shared" si="66"/>
        <v>38</v>
      </c>
      <c r="H1959" s="1" t="str">
        <f t="shared" si="67"/>
        <v>Tuesday</v>
      </c>
    </row>
    <row r="1960" spans="1:8" x14ac:dyDescent="0.3">
      <c r="A1960">
        <v>215034356</v>
      </c>
      <c r="B1960" s="1">
        <v>45055</v>
      </c>
      <c r="C1960" s="1">
        <v>45055</v>
      </c>
      <c r="D1960" t="s">
        <v>7</v>
      </c>
      <c r="E1960">
        <v>39</v>
      </c>
      <c r="F1960" t="s">
        <v>6</v>
      </c>
      <c r="G1960">
        <f t="shared" si="66"/>
        <v>0</v>
      </c>
      <c r="H1960" s="1" t="str">
        <f t="shared" si="67"/>
        <v>Tuesday</v>
      </c>
    </row>
    <row r="1961" spans="1:8" x14ac:dyDescent="0.3">
      <c r="A1961">
        <v>145013444</v>
      </c>
      <c r="B1961" s="1">
        <v>45055</v>
      </c>
      <c r="C1961" s="1">
        <v>45075</v>
      </c>
      <c r="D1961" t="s">
        <v>7</v>
      </c>
      <c r="E1961">
        <v>39</v>
      </c>
      <c r="F1961" t="s">
        <v>6</v>
      </c>
      <c r="G1961">
        <f t="shared" si="66"/>
        <v>20</v>
      </c>
      <c r="H1961" s="1" t="str">
        <f t="shared" si="67"/>
        <v>Tuesday</v>
      </c>
    </row>
    <row r="1962" spans="1:8" x14ac:dyDescent="0.3">
      <c r="A1962">
        <v>164548755</v>
      </c>
      <c r="B1962" s="1">
        <v>45055</v>
      </c>
      <c r="C1962" s="1">
        <v>45123</v>
      </c>
      <c r="D1962" t="s">
        <v>7</v>
      </c>
      <c r="E1962">
        <v>39</v>
      </c>
      <c r="F1962" t="s">
        <v>6</v>
      </c>
      <c r="G1962">
        <f t="shared" si="66"/>
        <v>68</v>
      </c>
      <c r="H1962" s="1" t="str">
        <f t="shared" si="67"/>
        <v>Tuesday</v>
      </c>
    </row>
    <row r="1963" spans="1:8" x14ac:dyDescent="0.3">
      <c r="A1963">
        <v>193315330</v>
      </c>
      <c r="B1963" s="1">
        <v>45055</v>
      </c>
      <c r="C1963" s="1">
        <v>45154</v>
      </c>
      <c r="D1963" t="s">
        <v>7</v>
      </c>
      <c r="E1963">
        <v>39</v>
      </c>
      <c r="F1963" t="s">
        <v>6</v>
      </c>
      <c r="G1963">
        <f t="shared" si="66"/>
        <v>99</v>
      </c>
      <c r="H1963" s="1" t="str">
        <f t="shared" si="67"/>
        <v>Tuesday</v>
      </c>
    </row>
    <row r="1964" spans="1:8" x14ac:dyDescent="0.3">
      <c r="A1964">
        <v>147592201</v>
      </c>
      <c r="B1964" s="1">
        <v>45056</v>
      </c>
      <c r="C1964" t="s">
        <v>19</v>
      </c>
      <c r="D1964" t="s">
        <v>7</v>
      </c>
      <c r="E1964">
        <v>39</v>
      </c>
      <c r="F1964" t="s">
        <v>6</v>
      </c>
      <c r="G1964" t="str">
        <f t="shared" si="66"/>
        <v>Active</v>
      </c>
      <c r="H1964" s="1" t="str">
        <f t="shared" si="67"/>
        <v>Wednesday</v>
      </c>
    </row>
    <row r="1965" spans="1:8" x14ac:dyDescent="0.3">
      <c r="A1965">
        <v>192068317</v>
      </c>
      <c r="B1965" s="1">
        <v>45056</v>
      </c>
      <c r="C1965" t="s">
        <v>19</v>
      </c>
      <c r="D1965" t="s">
        <v>7</v>
      </c>
      <c r="E1965">
        <v>39</v>
      </c>
      <c r="F1965" t="s">
        <v>6</v>
      </c>
      <c r="G1965" t="str">
        <f t="shared" si="66"/>
        <v>Active</v>
      </c>
      <c r="H1965" s="1" t="str">
        <f t="shared" si="67"/>
        <v>Wednesday</v>
      </c>
    </row>
    <row r="1966" spans="1:8" x14ac:dyDescent="0.3">
      <c r="A1966">
        <v>214396083</v>
      </c>
      <c r="B1966" s="1">
        <v>45056</v>
      </c>
      <c r="C1966" t="s">
        <v>19</v>
      </c>
      <c r="D1966" t="s">
        <v>7</v>
      </c>
      <c r="E1966">
        <v>39</v>
      </c>
      <c r="F1966" t="s">
        <v>6</v>
      </c>
      <c r="G1966" t="str">
        <f t="shared" si="66"/>
        <v>Active</v>
      </c>
      <c r="H1966" s="1" t="str">
        <f t="shared" si="67"/>
        <v>Wednesday</v>
      </c>
    </row>
    <row r="1967" spans="1:8" x14ac:dyDescent="0.3">
      <c r="A1967">
        <v>214698924</v>
      </c>
      <c r="B1967" s="1">
        <v>45056</v>
      </c>
      <c r="C1967" s="1">
        <v>45056</v>
      </c>
      <c r="D1967" t="s">
        <v>7</v>
      </c>
      <c r="E1967">
        <v>39</v>
      </c>
      <c r="F1967" t="s">
        <v>6</v>
      </c>
      <c r="G1967">
        <f t="shared" si="66"/>
        <v>0</v>
      </c>
      <c r="H1967" s="1" t="str">
        <f t="shared" si="67"/>
        <v>Wednesday</v>
      </c>
    </row>
    <row r="1968" spans="1:8" x14ac:dyDescent="0.3">
      <c r="A1968">
        <v>153402484</v>
      </c>
      <c r="B1968" s="1">
        <v>45056</v>
      </c>
      <c r="C1968" s="1">
        <v>45086</v>
      </c>
      <c r="D1968" t="s">
        <v>7</v>
      </c>
      <c r="E1968">
        <v>39</v>
      </c>
      <c r="F1968" t="s">
        <v>6</v>
      </c>
      <c r="G1968">
        <f t="shared" si="66"/>
        <v>30</v>
      </c>
      <c r="H1968" s="1" t="str">
        <f t="shared" si="67"/>
        <v>Wednesday</v>
      </c>
    </row>
    <row r="1969" spans="1:8" x14ac:dyDescent="0.3">
      <c r="A1969">
        <v>214809412</v>
      </c>
      <c r="B1969" s="1">
        <v>45056</v>
      </c>
      <c r="C1969" s="1">
        <v>45147</v>
      </c>
      <c r="D1969" t="s">
        <v>7</v>
      </c>
      <c r="E1969">
        <v>39</v>
      </c>
      <c r="F1969" t="s">
        <v>6</v>
      </c>
      <c r="G1969">
        <f t="shared" si="66"/>
        <v>91</v>
      </c>
      <c r="H1969" s="1" t="str">
        <f t="shared" si="67"/>
        <v>Wednesday</v>
      </c>
    </row>
    <row r="1970" spans="1:8" x14ac:dyDescent="0.3">
      <c r="A1970">
        <v>215062365</v>
      </c>
      <c r="B1970" s="1">
        <v>45056</v>
      </c>
      <c r="C1970" s="1">
        <v>45141</v>
      </c>
      <c r="D1970" t="s">
        <v>7</v>
      </c>
      <c r="E1970">
        <v>39</v>
      </c>
      <c r="F1970" t="s">
        <v>6</v>
      </c>
      <c r="G1970">
        <f t="shared" si="66"/>
        <v>85</v>
      </c>
      <c r="H1970" s="1" t="str">
        <f t="shared" si="67"/>
        <v>Wednesday</v>
      </c>
    </row>
    <row r="1971" spans="1:8" x14ac:dyDescent="0.3">
      <c r="A1971">
        <v>135185873</v>
      </c>
      <c r="B1971" s="1">
        <v>45057</v>
      </c>
      <c r="C1971" t="s">
        <v>19</v>
      </c>
      <c r="D1971" t="s">
        <v>7</v>
      </c>
      <c r="E1971">
        <v>39</v>
      </c>
      <c r="F1971" t="s">
        <v>6</v>
      </c>
      <c r="G1971" t="str">
        <f t="shared" si="66"/>
        <v>Active</v>
      </c>
      <c r="H1971" s="1" t="str">
        <f t="shared" si="67"/>
        <v>Thursday</v>
      </c>
    </row>
    <row r="1972" spans="1:8" x14ac:dyDescent="0.3">
      <c r="A1972">
        <v>144898968</v>
      </c>
      <c r="B1972" s="1">
        <v>45057</v>
      </c>
      <c r="C1972" t="s">
        <v>19</v>
      </c>
      <c r="D1972" t="s">
        <v>7</v>
      </c>
      <c r="E1972">
        <v>39</v>
      </c>
      <c r="F1972" t="s">
        <v>6</v>
      </c>
      <c r="G1972" t="str">
        <f t="shared" si="66"/>
        <v>Active</v>
      </c>
      <c r="H1972" s="1" t="str">
        <f t="shared" si="67"/>
        <v>Thursday</v>
      </c>
    </row>
    <row r="1973" spans="1:8" x14ac:dyDescent="0.3">
      <c r="A1973">
        <v>214973231</v>
      </c>
      <c r="B1973" s="1">
        <v>45057</v>
      </c>
      <c r="C1973" t="s">
        <v>19</v>
      </c>
      <c r="D1973" t="s">
        <v>7</v>
      </c>
      <c r="E1973">
        <v>39</v>
      </c>
      <c r="F1973" t="s">
        <v>6</v>
      </c>
      <c r="G1973" t="str">
        <f t="shared" si="66"/>
        <v>Active</v>
      </c>
      <c r="H1973" s="1" t="str">
        <f t="shared" si="67"/>
        <v>Thursday</v>
      </c>
    </row>
    <row r="1974" spans="1:8" x14ac:dyDescent="0.3">
      <c r="A1974">
        <v>214971897</v>
      </c>
      <c r="B1974" s="1">
        <v>45057</v>
      </c>
      <c r="C1974" t="s">
        <v>19</v>
      </c>
      <c r="D1974" t="s">
        <v>7</v>
      </c>
      <c r="E1974">
        <v>39</v>
      </c>
      <c r="F1974" t="s">
        <v>6</v>
      </c>
      <c r="G1974" t="str">
        <f t="shared" si="66"/>
        <v>Active</v>
      </c>
      <c r="H1974" s="1" t="str">
        <f t="shared" si="67"/>
        <v>Thursday</v>
      </c>
    </row>
    <row r="1975" spans="1:8" x14ac:dyDescent="0.3">
      <c r="A1975">
        <v>134919488</v>
      </c>
      <c r="B1975" s="1">
        <v>45057</v>
      </c>
      <c r="C1975" s="1">
        <v>45145</v>
      </c>
      <c r="D1975" t="s">
        <v>7</v>
      </c>
      <c r="E1975">
        <v>39</v>
      </c>
      <c r="F1975" t="s">
        <v>6</v>
      </c>
      <c r="G1975">
        <f t="shared" si="66"/>
        <v>88</v>
      </c>
      <c r="H1975" s="1" t="str">
        <f t="shared" si="67"/>
        <v>Thursday</v>
      </c>
    </row>
    <row r="1976" spans="1:8" x14ac:dyDescent="0.3">
      <c r="A1976">
        <v>214912916</v>
      </c>
      <c r="B1976" s="1">
        <v>45057</v>
      </c>
      <c r="C1976" s="1">
        <v>45088</v>
      </c>
      <c r="D1976" t="s">
        <v>7</v>
      </c>
      <c r="E1976">
        <v>39</v>
      </c>
      <c r="F1976" t="s">
        <v>6</v>
      </c>
      <c r="G1976">
        <f t="shared" si="66"/>
        <v>31</v>
      </c>
      <c r="H1976" s="1" t="str">
        <f t="shared" si="67"/>
        <v>Thursday</v>
      </c>
    </row>
    <row r="1977" spans="1:8" x14ac:dyDescent="0.3">
      <c r="A1977">
        <v>215138344</v>
      </c>
      <c r="B1977" s="1">
        <v>45057</v>
      </c>
      <c r="C1977" s="1">
        <v>45079</v>
      </c>
      <c r="D1977" t="s">
        <v>7</v>
      </c>
      <c r="E1977">
        <v>39</v>
      </c>
      <c r="F1977" t="s">
        <v>6</v>
      </c>
      <c r="G1977">
        <f t="shared" si="66"/>
        <v>22</v>
      </c>
      <c r="H1977" s="1" t="str">
        <f t="shared" si="67"/>
        <v>Thursday</v>
      </c>
    </row>
    <row r="1978" spans="1:8" x14ac:dyDescent="0.3">
      <c r="A1978">
        <v>215132378</v>
      </c>
      <c r="B1978" s="1">
        <v>45057</v>
      </c>
      <c r="C1978" s="1">
        <v>45082</v>
      </c>
      <c r="D1978" t="s">
        <v>7</v>
      </c>
      <c r="E1978">
        <v>39</v>
      </c>
      <c r="F1978" t="s">
        <v>6</v>
      </c>
      <c r="G1978">
        <f t="shared" si="66"/>
        <v>25</v>
      </c>
      <c r="H1978" s="1" t="str">
        <f t="shared" si="67"/>
        <v>Thursday</v>
      </c>
    </row>
    <row r="1979" spans="1:8" x14ac:dyDescent="0.3">
      <c r="A1979">
        <v>206145911</v>
      </c>
      <c r="B1979" s="1">
        <v>45057</v>
      </c>
      <c r="C1979" s="1">
        <v>45057</v>
      </c>
      <c r="D1979" t="s">
        <v>7</v>
      </c>
      <c r="E1979">
        <v>39</v>
      </c>
      <c r="F1979" t="s">
        <v>6</v>
      </c>
      <c r="G1979">
        <f t="shared" si="66"/>
        <v>0</v>
      </c>
      <c r="H1979" s="1" t="str">
        <f t="shared" si="67"/>
        <v>Thursday</v>
      </c>
    </row>
    <row r="1980" spans="1:8" x14ac:dyDescent="0.3">
      <c r="A1980">
        <v>215146368</v>
      </c>
      <c r="B1980" s="1">
        <v>45057</v>
      </c>
      <c r="C1980" s="1">
        <v>45065</v>
      </c>
      <c r="D1980" t="s">
        <v>7</v>
      </c>
      <c r="E1980">
        <v>39</v>
      </c>
      <c r="F1980" t="s">
        <v>6</v>
      </c>
      <c r="G1980">
        <f t="shared" si="66"/>
        <v>8</v>
      </c>
      <c r="H1980" s="1" t="str">
        <f t="shared" si="67"/>
        <v>Thursday</v>
      </c>
    </row>
    <row r="1981" spans="1:8" x14ac:dyDescent="0.3">
      <c r="A1981">
        <v>133199506</v>
      </c>
      <c r="B1981" s="1">
        <v>45058</v>
      </c>
      <c r="C1981" t="s">
        <v>19</v>
      </c>
      <c r="D1981" t="s">
        <v>7</v>
      </c>
      <c r="E1981">
        <v>39</v>
      </c>
      <c r="F1981" t="s">
        <v>6</v>
      </c>
      <c r="G1981" t="str">
        <f t="shared" si="66"/>
        <v>Active</v>
      </c>
      <c r="H1981" s="1" t="str">
        <f t="shared" si="67"/>
        <v>Friday</v>
      </c>
    </row>
    <row r="1982" spans="1:8" x14ac:dyDescent="0.3">
      <c r="A1982">
        <v>202763494</v>
      </c>
      <c r="B1982" s="1">
        <v>45058</v>
      </c>
      <c r="C1982" t="s">
        <v>19</v>
      </c>
      <c r="D1982" t="s">
        <v>7</v>
      </c>
      <c r="E1982">
        <v>39</v>
      </c>
      <c r="F1982" t="s">
        <v>6</v>
      </c>
      <c r="G1982" t="str">
        <f t="shared" si="66"/>
        <v>Active</v>
      </c>
      <c r="H1982" s="1" t="str">
        <f t="shared" si="67"/>
        <v>Friday</v>
      </c>
    </row>
    <row r="1983" spans="1:8" x14ac:dyDescent="0.3">
      <c r="A1983">
        <v>215113205</v>
      </c>
      <c r="B1983" s="1">
        <v>45058</v>
      </c>
      <c r="C1983" t="s">
        <v>19</v>
      </c>
      <c r="D1983" t="s">
        <v>7</v>
      </c>
      <c r="E1983">
        <v>39</v>
      </c>
      <c r="F1983" t="s">
        <v>6</v>
      </c>
      <c r="G1983" t="str">
        <f t="shared" si="66"/>
        <v>Active</v>
      </c>
      <c r="H1983" s="1" t="str">
        <f t="shared" si="67"/>
        <v>Friday</v>
      </c>
    </row>
    <row r="1984" spans="1:8" x14ac:dyDescent="0.3">
      <c r="A1984">
        <v>147097108</v>
      </c>
      <c r="B1984" s="1">
        <v>45058</v>
      </c>
      <c r="C1984" t="s">
        <v>19</v>
      </c>
      <c r="D1984" t="s">
        <v>7</v>
      </c>
      <c r="E1984">
        <v>39</v>
      </c>
      <c r="F1984" t="s">
        <v>6</v>
      </c>
      <c r="G1984" t="str">
        <f t="shared" si="66"/>
        <v>Active</v>
      </c>
      <c r="H1984" s="1" t="str">
        <f t="shared" si="67"/>
        <v>Friday</v>
      </c>
    </row>
    <row r="1985" spans="1:8" x14ac:dyDescent="0.3">
      <c r="A1985">
        <v>186692270</v>
      </c>
      <c r="B1985" s="1">
        <v>45058</v>
      </c>
      <c r="C1985" t="s">
        <v>19</v>
      </c>
      <c r="D1985" t="s">
        <v>7</v>
      </c>
      <c r="E1985">
        <v>39</v>
      </c>
      <c r="F1985" t="s">
        <v>6</v>
      </c>
      <c r="G1985" t="str">
        <f t="shared" si="66"/>
        <v>Active</v>
      </c>
      <c r="H1985" s="1" t="str">
        <f t="shared" si="67"/>
        <v>Friday</v>
      </c>
    </row>
    <row r="1986" spans="1:8" x14ac:dyDescent="0.3">
      <c r="A1986">
        <v>215169444</v>
      </c>
      <c r="B1986" s="1">
        <v>45058</v>
      </c>
      <c r="C1986" t="s">
        <v>19</v>
      </c>
      <c r="D1986" t="s">
        <v>7</v>
      </c>
      <c r="E1986">
        <v>39</v>
      </c>
      <c r="F1986" t="s">
        <v>6</v>
      </c>
      <c r="G1986" t="str">
        <f t="shared" si="66"/>
        <v>Active</v>
      </c>
      <c r="H1986" s="1" t="str">
        <f t="shared" si="67"/>
        <v>Friday</v>
      </c>
    </row>
    <row r="1987" spans="1:8" x14ac:dyDescent="0.3">
      <c r="A1987">
        <v>114992353</v>
      </c>
      <c r="B1987" s="1">
        <v>45058</v>
      </c>
      <c r="C1987" s="1">
        <v>45152</v>
      </c>
      <c r="D1987" t="s">
        <v>7</v>
      </c>
      <c r="E1987">
        <v>39</v>
      </c>
      <c r="F1987" t="s">
        <v>6</v>
      </c>
      <c r="G1987">
        <f t="shared" ref="G1987:G2050" si="68">IF(C1987="Active","Active",C1987-B1987)</f>
        <v>94</v>
      </c>
      <c r="H1987" s="1" t="str">
        <f t="shared" ref="H1987:H2050" si="69">TEXT(B1987,"dddd")</f>
        <v>Friday</v>
      </c>
    </row>
    <row r="1988" spans="1:8" x14ac:dyDescent="0.3">
      <c r="A1988">
        <v>212339137</v>
      </c>
      <c r="B1988" s="1">
        <v>45058</v>
      </c>
      <c r="C1988" s="1">
        <v>45059</v>
      </c>
      <c r="D1988" t="s">
        <v>7</v>
      </c>
      <c r="E1988">
        <v>39</v>
      </c>
      <c r="F1988" t="s">
        <v>6</v>
      </c>
      <c r="G1988">
        <f t="shared" si="68"/>
        <v>1</v>
      </c>
      <c r="H1988" s="1" t="str">
        <f t="shared" si="69"/>
        <v>Friday</v>
      </c>
    </row>
    <row r="1989" spans="1:8" x14ac:dyDescent="0.3">
      <c r="A1989">
        <v>175564124</v>
      </c>
      <c r="B1989" s="1">
        <v>45058</v>
      </c>
      <c r="C1989" s="1">
        <v>45081</v>
      </c>
      <c r="D1989" t="s">
        <v>7</v>
      </c>
      <c r="E1989">
        <v>39</v>
      </c>
      <c r="F1989" t="s">
        <v>6</v>
      </c>
      <c r="G1989">
        <f t="shared" si="68"/>
        <v>23</v>
      </c>
      <c r="H1989" s="1" t="str">
        <f t="shared" si="69"/>
        <v>Friday</v>
      </c>
    </row>
    <row r="1990" spans="1:8" x14ac:dyDescent="0.3">
      <c r="A1990">
        <v>174646950</v>
      </c>
      <c r="B1990" s="1">
        <v>45058</v>
      </c>
      <c r="C1990" s="1">
        <v>45096</v>
      </c>
      <c r="D1990" t="s">
        <v>7</v>
      </c>
      <c r="E1990">
        <v>39</v>
      </c>
      <c r="F1990" t="s">
        <v>6</v>
      </c>
      <c r="G1990">
        <f t="shared" si="68"/>
        <v>38</v>
      </c>
      <c r="H1990" s="1" t="str">
        <f t="shared" si="69"/>
        <v>Friday</v>
      </c>
    </row>
    <row r="1991" spans="1:8" x14ac:dyDescent="0.3">
      <c r="A1991">
        <v>215075697</v>
      </c>
      <c r="B1991" s="1">
        <v>45058</v>
      </c>
      <c r="C1991" s="1">
        <v>45088</v>
      </c>
      <c r="D1991" t="s">
        <v>7</v>
      </c>
      <c r="E1991">
        <v>39</v>
      </c>
      <c r="F1991" t="s">
        <v>6</v>
      </c>
      <c r="G1991">
        <f t="shared" si="68"/>
        <v>30</v>
      </c>
      <c r="H1991" s="1" t="str">
        <f t="shared" si="69"/>
        <v>Friday</v>
      </c>
    </row>
    <row r="1992" spans="1:8" x14ac:dyDescent="0.3">
      <c r="A1992">
        <v>215149530</v>
      </c>
      <c r="B1992" s="1">
        <v>45058</v>
      </c>
      <c r="C1992" s="1">
        <v>45107</v>
      </c>
      <c r="D1992" t="s">
        <v>7</v>
      </c>
      <c r="E1992">
        <v>39</v>
      </c>
      <c r="F1992" t="s">
        <v>6</v>
      </c>
      <c r="G1992">
        <f t="shared" si="68"/>
        <v>49</v>
      </c>
      <c r="H1992" s="1" t="str">
        <f t="shared" si="69"/>
        <v>Friday</v>
      </c>
    </row>
    <row r="1993" spans="1:8" x14ac:dyDescent="0.3">
      <c r="A1993">
        <v>215226464</v>
      </c>
      <c r="B1993" s="1">
        <v>45059</v>
      </c>
      <c r="C1993" t="s">
        <v>19</v>
      </c>
      <c r="D1993" t="s">
        <v>7</v>
      </c>
      <c r="E1993">
        <v>39</v>
      </c>
      <c r="F1993" t="s">
        <v>6</v>
      </c>
      <c r="G1993" t="str">
        <f t="shared" si="68"/>
        <v>Active</v>
      </c>
      <c r="H1993" s="1" t="str">
        <f t="shared" si="69"/>
        <v>Saturday</v>
      </c>
    </row>
    <row r="1994" spans="1:8" x14ac:dyDescent="0.3">
      <c r="A1994">
        <v>215221354</v>
      </c>
      <c r="B1994" s="1">
        <v>45059</v>
      </c>
      <c r="C1994" t="s">
        <v>19</v>
      </c>
      <c r="D1994" t="s">
        <v>7</v>
      </c>
      <c r="E1994">
        <v>39</v>
      </c>
      <c r="F1994" t="s">
        <v>6</v>
      </c>
      <c r="G1994" t="str">
        <f t="shared" si="68"/>
        <v>Active</v>
      </c>
      <c r="H1994" s="1" t="str">
        <f t="shared" si="69"/>
        <v>Saturday</v>
      </c>
    </row>
    <row r="1995" spans="1:8" x14ac:dyDescent="0.3">
      <c r="A1995">
        <v>215031638</v>
      </c>
      <c r="B1995" s="1">
        <v>45059</v>
      </c>
      <c r="C1995" t="s">
        <v>19</v>
      </c>
      <c r="D1995" t="s">
        <v>7</v>
      </c>
      <c r="E1995">
        <v>39</v>
      </c>
      <c r="F1995" t="s">
        <v>6</v>
      </c>
      <c r="G1995" t="str">
        <f t="shared" si="68"/>
        <v>Active</v>
      </c>
      <c r="H1995" s="1" t="str">
        <f t="shared" si="69"/>
        <v>Saturday</v>
      </c>
    </row>
    <row r="1996" spans="1:8" x14ac:dyDescent="0.3">
      <c r="A1996">
        <v>182019861</v>
      </c>
      <c r="B1996" s="1">
        <v>45060</v>
      </c>
      <c r="C1996" t="s">
        <v>19</v>
      </c>
      <c r="D1996" t="s">
        <v>7</v>
      </c>
      <c r="E1996">
        <v>39</v>
      </c>
      <c r="F1996" t="s">
        <v>6</v>
      </c>
      <c r="G1996" t="str">
        <f t="shared" si="68"/>
        <v>Active</v>
      </c>
      <c r="H1996" s="1" t="str">
        <f t="shared" si="69"/>
        <v>Sunday</v>
      </c>
    </row>
    <row r="1997" spans="1:8" x14ac:dyDescent="0.3">
      <c r="A1997">
        <v>210072231</v>
      </c>
      <c r="B1997" s="1">
        <v>45060</v>
      </c>
      <c r="C1997" t="s">
        <v>19</v>
      </c>
      <c r="D1997" t="s">
        <v>7</v>
      </c>
      <c r="E1997">
        <v>39</v>
      </c>
      <c r="F1997" t="s">
        <v>6</v>
      </c>
      <c r="G1997" t="str">
        <f t="shared" si="68"/>
        <v>Active</v>
      </c>
      <c r="H1997" s="1" t="str">
        <f t="shared" si="69"/>
        <v>Sunday</v>
      </c>
    </row>
    <row r="1998" spans="1:8" x14ac:dyDescent="0.3">
      <c r="A1998">
        <v>127328847</v>
      </c>
      <c r="B1998" s="1">
        <v>45060</v>
      </c>
      <c r="C1998" s="1">
        <v>45061</v>
      </c>
      <c r="D1998" t="s">
        <v>7</v>
      </c>
      <c r="E1998">
        <v>39</v>
      </c>
      <c r="F1998" t="s">
        <v>6</v>
      </c>
      <c r="G1998">
        <f t="shared" si="68"/>
        <v>1</v>
      </c>
      <c r="H1998" s="1" t="str">
        <f t="shared" si="69"/>
        <v>Sunday</v>
      </c>
    </row>
    <row r="1999" spans="1:8" x14ac:dyDescent="0.3">
      <c r="A1999">
        <v>155566052</v>
      </c>
      <c r="B1999" s="1">
        <v>45060</v>
      </c>
      <c r="C1999" s="1">
        <v>45089</v>
      </c>
      <c r="D1999" t="s">
        <v>7</v>
      </c>
      <c r="E1999">
        <v>39</v>
      </c>
      <c r="F1999" t="s">
        <v>6</v>
      </c>
      <c r="G1999">
        <f t="shared" si="68"/>
        <v>29</v>
      </c>
      <c r="H1999" s="1" t="str">
        <f t="shared" si="69"/>
        <v>Sunday</v>
      </c>
    </row>
    <row r="2000" spans="1:8" x14ac:dyDescent="0.3">
      <c r="A2000">
        <v>151513254</v>
      </c>
      <c r="B2000" s="1">
        <v>45060</v>
      </c>
      <c r="C2000" s="1">
        <v>45097</v>
      </c>
      <c r="D2000" t="s">
        <v>7</v>
      </c>
      <c r="E2000">
        <v>39</v>
      </c>
      <c r="F2000" t="s">
        <v>6</v>
      </c>
      <c r="G2000">
        <f t="shared" si="68"/>
        <v>37</v>
      </c>
      <c r="H2000" s="1" t="str">
        <f t="shared" si="69"/>
        <v>Sunday</v>
      </c>
    </row>
    <row r="2001" spans="1:8" x14ac:dyDescent="0.3">
      <c r="A2001">
        <v>152236400</v>
      </c>
      <c r="B2001" s="1">
        <v>45060</v>
      </c>
      <c r="C2001" s="1">
        <v>45113</v>
      </c>
      <c r="D2001" t="s">
        <v>7</v>
      </c>
      <c r="E2001">
        <v>39</v>
      </c>
      <c r="F2001" t="s">
        <v>6</v>
      </c>
      <c r="G2001">
        <f t="shared" si="68"/>
        <v>53</v>
      </c>
      <c r="H2001" s="1" t="str">
        <f t="shared" si="69"/>
        <v>Sunday</v>
      </c>
    </row>
    <row r="2002" spans="1:8" x14ac:dyDescent="0.3">
      <c r="A2002">
        <v>215030324</v>
      </c>
      <c r="B2002" s="1">
        <v>45060</v>
      </c>
      <c r="C2002" s="1">
        <v>45152</v>
      </c>
      <c r="D2002" t="s">
        <v>7</v>
      </c>
      <c r="E2002">
        <v>39</v>
      </c>
      <c r="F2002" t="s">
        <v>6</v>
      </c>
      <c r="G2002">
        <f t="shared" si="68"/>
        <v>92</v>
      </c>
      <c r="H2002" s="1" t="str">
        <f t="shared" si="69"/>
        <v>Sunday</v>
      </c>
    </row>
    <row r="2003" spans="1:8" x14ac:dyDescent="0.3">
      <c r="A2003">
        <v>206087650</v>
      </c>
      <c r="B2003" s="1">
        <v>45060</v>
      </c>
      <c r="C2003" s="1">
        <v>45128</v>
      </c>
      <c r="D2003" t="s">
        <v>7</v>
      </c>
      <c r="E2003">
        <v>39</v>
      </c>
      <c r="F2003" t="s">
        <v>6</v>
      </c>
      <c r="G2003">
        <f t="shared" si="68"/>
        <v>68</v>
      </c>
      <c r="H2003" s="1" t="str">
        <f t="shared" si="69"/>
        <v>Sunday</v>
      </c>
    </row>
    <row r="2004" spans="1:8" x14ac:dyDescent="0.3">
      <c r="A2004">
        <v>136252657</v>
      </c>
      <c r="B2004" s="1">
        <v>45061</v>
      </c>
      <c r="C2004" s="1">
        <v>45112</v>
      </c>
      <c r="D2004" t="s">
        <v>7</v>
      </c>
      <c r="E2004">
        <v>39</v>
      </c>
      <c r="F2004" t="s">
        <v>6</v>
      </c>
      <c r="G2004">
        <f t="shared" si="68"/>
        <v>51</v>
      </c>
      <c r="H2004" s="1" t="str">
        <f t="shared" si="69"/>
        <v>Monday</v>
      </c>
    </row>
    <row r="2005" spans="1:8" x14ac:dyDescent="0.3">
      <c r="A2005">
        <v>134753801</v>
      </c>
      <c r="B2005" s="1">
        <v>45061</v>
      </c>
      <c r="C2005" s="1">
        <v>45119</v>
      </c>
      <c r="D2005" t="s">
        <v>7</v>
      </c>
      <c r="E2005">
        <v>39</v>
      </c>
      <c r="F2005" t="s">
        <v>6</v>
      </c>
      <c r="G2005">
        <f t="shared" si="68"/>
        <v>58</v>
      </c>
      <c r="H2005" s="1" t="str">
        <f t="shared" si="69"/>
        <v>Monday</v>
      </c>
    </row>
    <row r="2006" spans="1:8" x14ac:dyDescent="0.3">
      <c r="A2006">
        <v>155245092</v>
      </c>
      <c r="B2006" s="1">
        <v>45061</v>
      </c>
      <c r="C2006" s="1">
        <v>45093</v>
      </c>
      <c r="D2006" t="s">
        <v>7</v>
      </c>
      <c r="E2006">
        <v>39</v>
      </c>
      <c r="F2006" t="s">
        <v>6</v>
      </c>
      <c r="G2006">
        <f t="shared" si="68"/>
        <v>32</v>
      </c>
      <c r="H2006" s="1" t="str">
        <f t="shared" si="69"/>
        <v>Monday</v>
      </c>
    </row>
    <row r="2007" spans="1:8" x14ac:dyDescent="0.3">
      <c r="A2007">
        <v>214905500</v>
      </c>
      <c r="B2007" s="1">
        <v>45061</v>
      </c>
      <c r="C2007" s="1">
        <v>45160</v>
      </c>
      <c r="D2007" t="s">
        <v>7</v>
      </c>
      <c r="E2007">
        <v>39</v>
      </c>
      <c r="F2007" t="s">
        <v>6</v>
      </c>
      <c r="G2007">
        <f t="shared" si="68"/>
        <v>99</v>
      </c>
      <c r="H2007" s="1" t="str">
        <f t="shared" si="69"/>
        <v>Monday</v>
      </c>
    </row>
    <row r="2008" spans="1:8" x14ac:dyDescent="0.3">
      <c r="A2008">
        <v>215152504</v>
      </c>
      <c r="B2008" s="1">
        <v>45062</v>
      </c>
      <c r="C2008" t="s">
        <v>19</v>
      </c>
      <c r="D2008" t="s">
        <v>7</v>
      </c>
      <c r="E2008">
        <v>39</v>
      </c>
      <c r="F2008" t="s">
        <v>6</v>
      </c>
      <c r="G2008" t="str">
        <f t="shared" si="68"/>
        <v>Active</v>
      </c>
      <c r="H2008" s="1" t="str">
        <f t="shared" si="69"/>
        <v>Tuesday</v>
      </c>
    </row>
    <row r="2009" spans="1:8" x14ac:dyDescent="0.3">
      <c r="A2009">
        <v>215336639</v>
      </c>
      <c r="B2009" s="1">
        <v>45062</v>
      </c>
      <c r="C2009" t="s">
        <v>19</v>
      </c>
      <c r="D2009" t="s">
        <v>7</v>
      </c>
      <c r="E2009">
        <v>39</v>
      </c>
      <c r="F2009" t="s">
        <v>6</v>
      </c>
      <c r="G2009" t="str">
        <f t="shared" si="68"/>
        <v>Active</v>
      </c>
      <c r="H2009" s="1" t="str">
        <f t="shared" si="69"/>
        <v>Tuesday</v>
      </c>
    </row>
    <row r="2010" spans="1:8" x14ac:dyDescent="0.3">
      <c r="A2010">
        <v>215220026</v>
      </c>
      <c r="B2010" s="1">
        <v>45062</v>
      </c>
      <c r="C2010" t="s">
        <v>19</v>
      </c>
      <c r="D2010" t="s">
        <v>7</v>
      </c>
      <c r="E2010">
        <v>39</v>
      </c>
      <c r="F2010" t="s">
        <v>6</v>
      </c>
      <c r="G2010" t="str">
        <f t="shared" si="68"/>
        <v>Active</v>
      </c>
      <c r="H2010" s="1" t="str">
        <f t="shared" si="69"/>
        <v>Tuesday</v>
      </c>
    </row>
    <row r="2011" spans="1:8" x14ac:dyDescent="0.3">
      <c r="A2011">
        <v>202395800</v>
      </c>
      <c r="B2011" s="1">
        <v>45062</v>
      </c>
      <c r="C2011" t="s">
        <v>19</v>
      </c>
      <c r="D2011" t="s">
        <v>7</v>
      </c>
      <c r="E2011">
        <v>39</v>
      </c>
      <c r="F2011" t="s">
        <v>6</v>
      </c>
      <c r="G2011" t="str">
        <f t="shared" si="68"/>
        <v>Active</v>
      </c>
      <c r="H2011" s="1" t="str">
        <f t="shared" si="69"/>
        <v>Tuesday</v>
      </c>
    </row>
    <row r="2012" spans="1:8" x14ac:dyDescent="0.3">
      <c r="A2012">
        <v>215289431</v>
      </c>
      <c r="B2012" s="1">
        <v>45062</v>
      </c>
      <c r="C2012" s="1">
        <v>45160</v>
      </c>
      <c r="D2012" t="s">
        <v>7</v>
      </c>
      <c r="E2012">
        <v>39</v>
      </c>
      <c r="F2012" t="s">
        <v>6</v>
      </c>
      <c r="G2012">
        <f t="shared" si="68"/>
        <v>98</v>
      </c>
      <c r="H2012" s="1" t="str">
        <f t="shared" si="69"/>
        <v>Tuesday</v>
      </c>
    </row>
    <row r="2013" spans="1:8" x14ac:dyDescent="0.3">
      <c r="A2013">
        <v>182102820</v>
      </c>
      <c r="B2013" s="1">
        <v>45062</v>
      </c>
      <c r="C2013" s="1">
        <v>45063</v>
      </c>
      <c r="D2013" t="s">
        <v>7</v>
      </c>
      <c r="E2013">
        <v>39</v>
      </c>
      <c r="F2013" t="s">
        <v>6</v>
      </c>
      <c r="G2013">
        <f t="shared" si="68"/>
        <v>1</v>
      </c>
      <c r="H2013" s="1" t="str">
        <f t="shared" si="69"/>
        <v>Tuesday</v>
      </c>
    </row>
    <row r="2014" spans="1:8" x14ac:dyDescent="0.3">
      <c r="A2014">
        <v>215322558</v>
      </c>
      <c r="B2014" s="1">
        <v>45062</v>
      </c>
      <c r="C2014" s="1">
        <v>45100</v>
      </c>
      <c r="D2014" t="s">
        <v>7</v>
      </c>
      <c r="E2014">
        <v>39</v>
      </c>
      <c r="F2014" t="s">
        <v>6</v>
      </c>
      <c r="G2014">
        <f t="shared" si="68"/>
        <v>38</v>
      </c>
      <c r="H2014" s="1" t="str">
        <f t="shared" si="69"/>
        <v>Tuesday</v>
      </c>
    </row>
    <row r="2015" spans="1:8" x14ac:dyDescent="0.3">
      <c r="A2015">
        <v>215347417</v>
      </c>
      <c r="B2015" s="1">
        <v>45062</v>
      </c>
      <c r="C2015" s="1">
        <v>45071</v>
      </c>
      <c r="D2015" t="s">
        <v>7</v>
      </c>
      <c r="E2015">
        <v>39</v>
      </c>
      <c r="F2015" t="s">
        <v>6</v>
      </c>
      <c r="G2015">
        <f t="shared" si="68"/>
        <v>9</v>
      </c>
      <c r="H2015" s="1" t="str">
        <f t="shared" si="69"/>
        <v>Tuesday</v>
      </c>
    </row>
    <row r="2016" spans="1:8" x14ac:dyDescent="0.3">
      <c r="A2016">
        <v>215203944</v>
      </c>
      <c r="B2016" s="1">
        <v>45062</v>
      </c>
      <c r="C2016" s="1">
        <v>45118</v>
      </c>
      <c r="D2016" t="s">
        <v>7</v>
      </c>
      <c r="E2016">
        <v>39</v>
      </c>
      <c r="F2016" t="s">
        <v>6</v>
      </c>
      <c r="G2016">
        <f t="shared" si="68"/>
        <v>56</v>
      </c>
      <c r="H2016" s="1" t="str">
        <f t="shared" si="69"/>
        <v>Tuesday</v>
      </c>
    </row>
    <row r="2017" spans="1:8" x14ac:dyDescent="0.3">
      <c r="A2017">
        <v>215350747</v>
      </c>
      <c r="B2017" s="1">
        <v>45062</v>
      </c>
      <c r="C2017" s="1">
        <v>45141</v>
      </c>
      <c r="D2017" t="s">
        <v>7</v>
      </c>
      <c r="E2017">
        <v>39</v>
      </c>
      <c r="F2017" t="s">
        <v>6</v>
      </c>
      <c r="G2017">
        <f t="shared" si="68"/>
        <v>79</v>
      </c>
      <c r="H2017" s="1" t="str">
        <f t="shared" si="69"/>
        <v>Tuesday</v>
      </c>
    </row>
    <row r="2018" spans="1:8" x14ac:dyDescent="0.3">
      <c r="A2018">
        <v>215254830</v>
      </c>
      <c r="B2018" s="1">
        <v>45062</v>
      </c>
      <c r="C2018" s="1">
        <v>45140</v>
      </c>
      <c r="D2018" t="s">
        <v>7</v>
      </c>
      <c r="E2018">
        <v>39</v>
      </c>
      <c r="F2018" t="s">
        <v>6</v>
      </c>
      <c r="G2018">
        <f t="shared" si="68"/>
        <v>78</v>
      </c>
      <c r="H2018" s="1" t="str">
        <f t="shared" si="69"/>
        <v>Tuesday</v>
      </c>
    </row>
    <row r="2019" spans="1:8" x14ac:dyDescent="0.3">
      <c r="A2019">
        <v>192908537</v>
      </c>
      <c r="B2019" s="1">
        <v>45062</v>
      </c>
      <c r="C2019" s="1">
        <v>45093</v>
      </c>
      <c r="D2019" t="s">
        <v>7</v>
      </c>
      <c r="E2019">
        <v>39</v>
      </c>
      <c r="F2019" t="s">
        <v>6</v>
      </c>
      <c r="G2019">
        <f t="shared" si="68"/>
        <v>31</v>
      </c>
      <c r="H2019" s="1" t="str">
        <f t="shared" si="69"/>
        <v>Tuesday</v>
      </c>
    </row>
    <row r="2020" spans="1:8" x14ac:dyDescent="0.3">
      <c r="A2020">
        <v>123007965</v>
      </c>
      <c r="B2020" s="1">
        <v>45063</v>
      </c>
      <c r="C2020" t="s">
        <v>19</v>
      </c>
      <c r="D2020" t="s">
        <v>7</v>
      </c>
      <c r="E2020">
        <v>39</v>
      </c>
      <c r="F2020" t="s">
        <v>6</v>
      </c>
      <c r="G2020" t="str">
        <f t="shared" si="68"/>
        <v>Active</v>
      </c>
      <c r="H2020" s="1" t="str">
        <f t="shared" si="69"/>
        <v>Wednesday</v>
      </c>
    </row>
    <row r="2021" spans="1:8" x14ac:dyDescent="0.3">
      <c r="A2021">
        <v>151711223</v>
      </c>
      <c r="B2021" s="1">
        <v>45063</v>
      </c>
      <c r="C2021" t="s">
        <v>19</v>
      </c>
      <c r="D2021" t="s">
        <v>7</v>
      </c>
      <c r="E2021">
        <v>39</v>
      </c>
      <c r="F2021" t="s">
        <v>6</v>
      </c>
      <c r="G2021" t="str">
        <f t="shared" si="68"/>
        <v>Active</v>
      </c>
      <c r="H2021" s="1" t="str">
        <f t="shared" si="69"/>
        <v>Wednesday</v>
      </c>
    </row>
    <row r="2022" spans="1:8" x14ac:dyDescent="0.3">
      <c r="A2022">
        <v>130751382</v>
      </c>
      <c r="B2022" s="1">
        <v>45063</v>
      </c>
      <c r="C2022" t="s">
        <v>19</v>
      </c>
      <c r="D2022" t="s">
        <v>7</v>
      </c>
      <c r="E2022">
        <v>39</v>
      </c>
      <c r="F2022" t="s">
        <v>6</v>
      </c>
      <c r="G2022" t="str">
        <f t="shared" si="68"/>
        <v>Active</v>
      </c>
      <c r="H2022" s="1" t="str">
        <f t="shared" si="69"/>
        <v>Wednesday</v>
      </c>
    </row>
    <row r="2023" spans="1:8" x14ac:dyDescent="0.3">
      <c r="A2023">
        <v>126037254</v>
      </c>
      <c r="B2023" s="1">
        <v>45063</v>
      </c>
      <c r="C2023" t="s">
        <v>19</v>
      </c>
      <c r="D2023" t="s">
        <v>7</v>
      </c>
      <c r="E2023">
        <v>39</v>
      </c>
      <c r="F2023" t="s">
        <v>6</v>
      </c>
      <c r="G2023" t="str">
        <f t="shared" si="68"/>
        <v>Active</v>
      </c>
      <c r="H2023" s="1" t="str">
        <f t="shared" si="69"/>
        <v>Wednesday</v>
      </c>
    </row>
    <row r="2024" spans="1:8" x14ac:dyDescent="0.3">
      <c r="A2024">
        <v>133469770</v>
      </c>
      <c r="B2024" s="1">
        <v>45063</v>
      </c>
      <c r="C2024" t="s">
        <v>19</v>
      </c>
      <c r="D2024" t="s">
        <v>7</v>
      </c>
      <c r="E2024">
        <v>39</v>
      </c>
      <c r="F2024" t="s">
        <v>6</v>
      </c>
      <c r="G2024" t="str">
        <f t="shared" si="68"/>
        <v>Active</v>
      </c>
      <c r="H2024" s="1" t="str">
        <f t="shared" si="69"/>
        <v>Wednesday</v>
      </c>
    </row>
    <row r="2025" spans="1:8" x14ac:dyDescent="0.3">
      <c r="A2025">
        <v>133565657</v>
      </c>
      <c r="B2025" s="1">
        <v>45063</v>
      </c>
      <c r="C2025" s="1">
        <v>45148</v>
      </c>
      <c r="D2025" t="s">
        <v>7</v>
      </c>
      <c r="E2025">
        <v>39</v>
      </c>
      <c r="F2025" t="s">
        <v>6</v>
      </c>
      <c r="G2025">
        <f t="shared" si="68"/>
        <v>85</v>
      </c>
      <c r="H2025" s="1" t="str">
        <f t="shared" si="69"/>
        <v>Wednesday</v>
      </c>
    </row>
    <row r="2026" spans="1:8" x14ac:dyDescent="0.3">
      <c r="A2026">
        <v>215307979</v>
      </c>
      <c r="B2026" s="1">
        <v>45063</v>
      </c>
      <c r="C2026" s="1">
        <v>45101</v>
      </c>
      <c r="D2026" t="s">
        <v>7</v>
      </c>
      <c r="E2026">
        <v>39</v>
      </c>
      <c r="F2026" t="s">
        <v>6</v>
      </c>
      <c r="G2026">
        <f t="shared" si="68"/>
        <v>38</v>
      </c>
      <c r="H2026" s="1" t="str">
        <f t="shared" si="69"/>
        <v>Wednesday</v>
      </c>
    </row>
    <row r="2027" spans="1:8" x14ac:dyDescent="0.3">
      <c r="A2027">
        <v>174289942</v>
      </c>
      <c r="B2027" s="1">
        <v>45063</v>
      </c>
      <c r="C2027" s="1">
        <v>45128</v>
      </c>
      <c r="D2027" t="s">
        <v>7</v>
      </c>
      <c r="E2027">
        <v>39</v>
      </c>
      <c r="F2027" t="s">
        <v>6</v>
      </c>
      <c r="G2027">
        <f t="shared" si="68"/>
        <v>65</v>
      </c>
      <c r="H2027" s="1" t="str">
        <f t="shared" si="69"/>
        <v>Wednesday</v>
      </c>
    </row>
    <row r="2028" spans="1:8" x14ac:dyDescent="0.3">
      <c r="A2028">
        <v>215366550</v>
      </c>
      <c r="B2028" s="1">
        <v>45063</v>
      </c>
      <c r="C2028" s="1">
        <v>45139</v>
      </c>
      <c r="D2028" t="s">
        <v>7</v>
      </c>
      <c r="E2028">
        <v>39</v>
      </c>
      <c r="F2028" t="s">
        <v>6</v>
      </c>
      <c r="G2028">
        <f t="shared" si="68"/>
        <v>76</v>
      </c>
      <c r="H2028" s="1" t="str">
        <f t="shared" si="69"/>
        <v>Wednesday</v>
      </c>
    </row>
    <row r="2029" spans="1:8" x14ac:dyDescent="0.3">
      <c r="A2029">
        <v>210361390</v>
      </c>
      <c r="B2029" s="1">
        <v>45064</v>
      </c>
      <c r="C2029" t="s">
        <v>19</v>
      </c>
      <c r="D2029" t="s">
        <v>7</v>
      </c>
      <c r="E2029">
        <v>39</v>
      </c>
      <c r="F2029" t="s">
        <v>6</v>
      </c>
      <c r="G2029" t="str">
        <f t="shared" si="68"/>
        <v>Active</v>
      </c>
      <c r="H2029" s="1" t="str">
        <f t="shared" si="69"/>
        <v>Thursday</v>
      </c>
    </row>
    <row r="2030" spans="1:8" x14ac:dyDescent="0.3">
      <c r="A2030">
        <v>120738319</v>
      </c>
      <c r="B2030" s="1">
        <v>45064</v>
      </c>
      <c r="C2030" t="s">
        <v>19</v>
      </c>
      <c r="D2030" t="s">
        <v>7</v>
      </c>
      <c r="E2030">
        <v>39</v>
      </c>
      <c r="F2030" t="s">
        <v>6</v>
      </c>
      <c r="G2030" t="str">
        <f t="shared" si="68"/>
        <v>Active</v>
      </c>
      <c r="H2030" s="1" t="str">
        <f t="shared" si="69"/>
        <v>Thursday</v>
      </c>
    </row>
    <row r="2031" spans="1:8" x14ac:dyDescent="0.3">
      <c r="A2031">
        <v>214122861</v>
      </c>
      <c r="B2031" s="1">
        <v>45064</v>
      </c>
      <c r="C2031" t="s">
        <v>19</v>
      </c>
      <c r="D2031" t="s">
        <v>7</v>
      </c>
      <c r="E2031">
        <v>39</v>
      </c>
      <c r="F2031" t="s">
        <v>6</v>
      </c>
      <c r="G2031" t="str">
        <f t="shared" si="68"/>
        <v>Active</v>
      </c>
      <c r="H2031" s="1" t="str">
        <f t="shared" si="69"/>
        <v>Thursday</v>
      </c>
    </row>
    <row r="2032" spans="1:8" x14ac:dyDescent="0.3">
      <c r="A2032">
        <v>214793162</v>
      </c>
      <c r="B2032" s="1">
        <v>45064</v>
      </c>
      <c r="C2032" t="s">
        <v>19</v>
      </c>
      <c r="D2032" t="s">
        <v>7</v>
      </c>
      <c r="E2032">
        <v>39</v>
      </c>
      <c r="F2032" t="s">
        <v>6</v>
      </c>
      <c r="G2032" t="str">
        <f t="shared" si="68"/>
        <v>Active</v>
      </c>
      <c r="H2032" s="1" t="str">
        <f t="shared" si="69"/>
        <v>Thursday</v>
      </c>
    </row>
    <row r="2033" spans="1:8" x14ac:dyDescent="0.3">
      <c r="A2033">
        <v>215420480</v>
      </c>
      <c r="B2033" s="1">
        <v>45064</v>
      </c>
      <c r="C2033" s="1">
        <v>45175</v>
      </c>
      <c r="D2033" t="s">
        <v>7</v>
      </c>
      <c r="E2033">
        <v>39</v>
      </c>
      <c r="F2033" t="s">
        <v>6</v>
      </c>
      <c r="G2033">
        <f t="shared" si="68"/>
        <v>111</v>
      </c>
      <c r="H2033" s="1" t="str">
        <f t="shared" si="69"/>
        <v>Thursday</v>
      </c>
    </row>
    <row r="2034" spans="1:8" x14ac:dyDescent="0.3">
      <c r="A2034">
        <v>215415792</v>
      </c>
      <c r="B2034" s="1">
        <v>45064</v>
      </c>
      <c r="C2034" s="1">
        <v>45065</v>
      </c>
      <c r="D2034" t="s">
        <v>8</v>
      </c>
      <c r="E2034">
        <v>39</v>
      </c>
      <c r="F2034" t="s">
        <v>6</v>
      </c>
      <c r="G2034">
        <f t="shared" si="68"/>
        <v>1</v>
      </c>
      <c r="H2034" s="1" t="str">
        <f t="shared" si="69"/>
        <v>Thursday</v>
      </c>
    </row>
    <row r="2035" spans="1:8" x14ac:dyDescent="0.3">
      <c r="A2035">
        <v>152705871</v>
      </c>
      <c r="B2035" s="1">
        <v>45064</v>
      </c>
      <c r="C2035" s="1">
        <v>45071</v>
      </c>
      <c r="D2035" t="s">
        <v>7</v>
      </c>
      <c r="E2035">
        <v>39</v>
      </c>
      <c r="F2035" t="s">
        <v>6</v>
      </c>
      <c r="G2035">
        <f t="shared" si="68"/>
        <v>7</v>
      </c>
      <c r="H2035" s="1" t="str">
        <f t="shared" si="69"/>
        <v>Thursday</v>
      </c>
    </row>
    <row r="2036" spans="1:8" x14ac:dyDescent="0.3">
      <c r="A2036">
        <v>168265029</v>
      </c>
      <c r="B2036" s="1">
        <v>45064</v>
      </c>
      <c r="C2036" s="1">
        <v>45077</v>
      </c>
      <c r="D2036" t="s">
        <v>7</v>
      </c>
      <c r="E2036">
        <v>39</v>
      </c>
      <c r="F2036" t="s">
        <v>6</v>
      </c>
      <c r="G2036">
        <f t="shared" si="68"/>
        <v>13</v>
      </c>
      <c r="H2036" s="1" t="str">
        <f t="shared" si="69"/>
        <v>Thursday</v>
      </c>
    </row>
    <row r="2037" spans="1:8" x14ac:dyDescent="0.3">
      <c r="A2037">
        <v>215428908</v>
      </c>
      <c r="B2037" s="1">
        <v>45064</v>
      </c>
      <c r="C2037" s="1">
        <v>45096</v>
      </c>
      <c r="D2037" t="s">
        <v>7</v>
      </c>
      <c r="E2037">
        <v>39</v>
      </c>
      <c r="F2037" t="s">
        <v>6</v>
      </c>
      <c r="G2037">
        <f t="shared" si="68"/>
        <v>32</v>
      </c>
      <c r="H2037" s="1" t="str">
        <f t="shared" si="69"/>
        <v>Thursday</v>
      </c>
    </row>
    <row r="2038" spans="1:8" x14ac:dyDescent="0.3">
      <c r="A2038">
        <v>215189952</v>
      </c>
      <c r="B2038" s="1">
        <v>45064</v>
      </c>
      <c r="C2038" s="1">
        <v>45106</v>
      </c>
      <c r="D2038" t="s">
        <v>7</v>
      </c>
      <c r="E2038">
        <v>39</v>
      </c>
      <c r="F2038" t="s">
        <v>6</v>
      </c>
      <c r="G2038">
        <f t="shared" si="68"/>
        <v>42</v>
      </c>
      <c r="H2038" s="1" t="str">
        <f t="shared" si="69"/>
        <v>Thursday</v>
      </c>
    </row>
    <row r="2039" spans="1:8" x14ac:dyDescent="0.3">
      <c r="A2039">
        <v>208168256</v>
      </c>
      <c r="B2039" s="1">
        <v>45064</v>
      </c>
      <c r="C2039" s="1">
        <v>45095</v>
      </c>
      <c r="D2039" t="s">
        <v>7</v>
      </c>
      <c r="E2039">
        <v>39</v>
      </c>
      <c r="F2039" t="s">
        <v>6</v>
      </c>
      <c r="G2039">
        <f t="shared" si="68"/>
        <v>31</v>
      </c>
      <c r="H2039" s="1" t="str">
        <f t="shared" si="69"/>
        <v>Thursday</v>
      </c>
    </row>
    <row r="2040" spans="1:8" x14ac:dyDescent="0.3">
      <c r="A2040">
        <v>163193072</v>
      </c>
      <c r="B2040" s="1">
        <v>45065</v>
      </c>
      <c r="C2040" t="s">
        <v>19</v>
      </c>
      <c r="D2040" t="s">
        <v>7</v>
      </c>
      <c r="E2040">
        <v>39</v>
      </c>
      <c r="F2040" t="s">
        <v>6</v>
      </c>
      <c r="G2040" t="str">
        <f t="shared" si="68"/>
        <v>Active</v>
      </c>
      <c r="H2040" s="1" t="str">
        <f t="shared" si="69"/>
        <v>Friday</v>
      </c>
    </row>
    <row r="2041" spans="1:8" x14ac:dyDescent="0.3">
      <c r="A2041">
        <v>153449481</v>
      </c>
      <c r="B2041" s="1">
        <v>45065</v>
      </c>
      <c r="C2041" s="1">
        <v>45066</v>
      </c>
      <c r="D2041" t="s">
        <v>7</v>
      </c>
      <c r="E2041">
        <v>39</v>
      </c>
      <c r="F2041" t="s">
        <v>6</v>
      </c>
      <c r="G2041">
        <f t="shared" si="68"/>
        <v>1</v>
      </c>
      <c r="H2041" s="1" t="str">
        <f t="shared" si="69"/>
        <v>Friday</v>
      </c>
    </row>
    <row r="2042" spans="1:8" x14ac:dyDescent="0.3">
      <c r="A2042">
        <v>215384745</v>
      </c>
      <c r="B2042" s="1">
        <v>45065</v>
      </c>
      <c r="C2042" s="1">
        <v>45095</v>
      </c>
      <c r="D2042" t="s">
        <v>7</v>
      </c>
      <c r="E2042">
        <v>39</v>
      </c>
      <c r="F2042" t="s">
        <v>6</v>
      </c>
      <c r="G2042">
        <f t="shared" si="68"/>
        <v>30</v>
      </c>
      <c r="H2042" s="1" t="str">
        <f t="shared" si="69"/>
        <v>Friday</v>
      </c>
    </row>
    <row r="2043" spans="1:8" x14ac:dyDescent="0.3">
      <c r="A2043">
        <v>160904253</v>
      </c>
      <c r="B2043" s="1">
        <v>45065</v>
      </c>
      <c r="C2043" s="1">
        <v>45103</v>
      </c>
      <c r="D2043" t="s">
        <v>7</v>
      </c>
      <c r="E2043">
        <v>39</v>
      </c>
      <c r="F2043" t="s">
        <v>6</v>
      </c>
      <c r="G2043">
        <f t="shared" si="68"/>
        <v>38</v>
      </c>
      <c r="H2043" s="1" t="str">
        <f t="shared" si="69"/>
        <v>Friday</v>
      </c>
    </row>
    <row r="2044" spans="1:8" x14ac:dyDescent="0.3">
      <c r="A2044">
        <v>215476119</v>
      </c>
      <c r="B2044" s="1">
        <v>45065</v>
      </c>
      <c r="C2044" s="1">
        <v>45103</v>
      </c>
      <c r="D2044" t="s">
        <v>7</v>
      </c>
      <c r="E2044">
        <v>39</v>
      </c>
      <c r="F2044" t="s">
        <v>6</v>
      </c>
      <c r="G2044">
        <f t="shared" si="68"/>
        <v>38</v>
      </c>
      <c r="H2044" s="1" t="str">
        <f t="shared" si="69"/>
        <v>Friday</v>
      </c>
    </row>
    <row r="2045" spans="1:8" x14ac:dyDescent="0.3">
      <c r="A2045">
        <v>214624328</v>
      </c>
      <c r="B2045" s="1">
        <v>45065</v>
      </c>
      <c r="C2045" s="1">
        <v>45091</v>
      </c>
      <c r="D2045" t="s">
        <v>7</v>
      </c>
      <c r="E2045">
        <v>39</v>
      </c>
      <c r="F2045" t="s">
        <v>6</v>
      </c>
      <c r="G2045">
        <f t="shared" si="68"/>
        <v>26</v>
      </c>
      <c r="H2045" s="1" t="str">
        <f t="shared" si="69"/>
        <v>Friday</v>
      </c>
    </row>
    <row r="2046" spans="1:8" x14ac:dyDescent="0.3">
      <c r="A2046">
        <v>215463105</v>
      </c>
      <c r="B2046" s="1">
        <v>45065</v>
      </c>
      <c r="C2046" s="1">
        <v>45073</v>
      </c>
      <c r="D2046" t="s">
        <v>7</v>
      </c>
      <c r="E2046">
        <v>39</v>
      </c>
      <c r="F2046" t="s">
        <v>6</v>
      </c>
      <c r="G2046">
        <f t="shared" si="68"/>
        <v>8</v>
      </c>
      <c r="H2046" s="1" t="str">
        <f t="shared" si="69"/>
        <v>Friday</v>
      </c>
    </row>
    <row r="2047" spans="1:8" x14ac:dyDescent="0.3">
      <c r="A2047">
        <v>187368519</v>
      </c>
      <c r="B2047" s="1">
        <v>45065</v>
      </c>
      <c r="C2047" s="1">
        <v>45164</v>
      </c>
      <c r="D2047" t="s">
        <v>7</v>
      </c>
      <c r="E2047">
        <v>39</v>
      </c>
      <c r="F2047" t="s">
        <v>6</v>
      </c>
      <c r="G2047">
        <f t="shared" si="68"/>
        <v>99</v>
      </c>
      <c r="H2047" s="1" t="str">
        <f t="shared" si="69"/>
        <v>Friday</v>
      </c>
    </row>
    <row r="2048" spans="1:8" x14ac:dyDescent="0.3">
      <c r="A2048">
        <v>206139986</v>
      </c>
      <c r="B2048" s="1">
        <v>45065</v>
      </c>
      <c r="C2048" s="1">
        <v>45125</v>
      </c>
      <c r="D2048" t="s">
        <v>7</v>
      </c>
      <c r="E2048">
        <v>39</v>
      </c>
      <c r="F2048" t="s">
        <v>6</v>
      </c>
      <c r="G2048">
        <f t="shared" si="68"/>
        <v>60</v>
      </c>
      <c r="H2048" s="1" t="str">
        <f t="shared" si="69"/>
        <v>Friday</v>
      </c>
    </row>
    <row r="2049" spans="1:8" x14ac:dyDescent="0.3">
      <c r="A2049">
        <v>215473481</v>
      </c>
      <c r="B2049" s="1">
        <v>45065</v>
      </c>
      <c r="C2049" s="1">
        <v>45121</v>
      </c>
      <c r="D2049" t="s">
        <v>7</v>
      </c>
      <c r="E2049">
        <v>39</v>
      </c>
      <c r="F2049" t="s">
        <v>6</v>
      </c>
      <c r="G2049">
        <f t="shared" si="68"/>
        <v>56</v>
      </c>
      <c r="H2049" s="1" t="str">
        <f t="shared" si="69"/>
        <v>Friday</v>
      </c>
    </row>
    <row r="2050" spans="1:8" x14ac:dyDescent="0.3">
      <c r="A2050">
        <v>214967111</v>
      </c>
      <c r="B2050" s="1">
        <v>45066</v>
      </c>
      <c r="C2050" t="s">
        <v>19</v>
      </c>
      <c r="D2050" t="s">
        <v>7</v>
      </c>
      <c r="E2050">
        <v>39</v>
      </c>
      <c r="F2050" t="s">
        <v>6</v>
      </c>
      <c r="G2050" t="str">
        <f t="shared" si="68"/>
        <v>Active</v>
      </c>
      <c r="H2050" s="1" t="str">
        <f t="shared" si="69"/>
        <v>Saturday</v>
      </c>
    </row>
    <row r="2051" spans="1:8" x14ac:dyDescent="0.3">
      <c r="A2051">
        <v>215472324</v>
      </c>
      <c r="B2051" s="1">
        <v>45066</v>
      </c>
      <c r="C2051" s="1">
        <v>45104</v>
      </c>
      <c r="D2051" t="s">
        <v>7</v>
      </c>
      <c r="E2051">
        <v>39</v>
      </c>
      <c r="F2051" t="s">
        <v>6</v>
      </c>
      <c r="G2051">
        <f t="shared" ref="G2051:G2114" si="70">IF(C2051="Active","Active",C2051-B2051)</f>
        <v>38</v>
      </c>
      <c r="H2051" s="1" t="str">
        <f t="shared" ref="H2051:H2114" si="71">TEXT(B2051,"dddd")</f>
        <v>Saturday</v>
      </c>
    </row>
    <row r="2052" spans="1:8" x14ac:dyDescent="0.3">
      <c r="A2052">
        <v>146557284</v>
      </c>
      <c r="B2052" s="1">
        <v>45066</v>
      </c>
      <c r="C2052" s="1">
        <v>45098</v>
      </c>
      <c r="D2052" t="s">
        <v>7</v>
      </c>
      <c r="E2052">
        <v>39</v>
      </c>
      <c r="F2052" t="s">
        <v>6</v>
      </c>
      <c r="G2052">
        <f t="shared" si="70"/>
        <v>32</v>
      </c>
      <c r="H2052" s="1" t="str">
        <f t="shared" si="71"/>
        <v>Saturday</v>
      </c>
    </row>
    <row r="2053" spans="1:8" x14ac:dyDescent="0.3">
      <c r="A2053">
        <v>215486098</v>
      </c>
      <c r="B2053" s="1">
        <v>45067</v>
      </c>
      <c r="C2053" t="s">
        <v>19</v>
      </c>
      <c r="D2053" t="s">
        <v>7</v>
      </c>
      <c r="E2053">
        <v>39</v>
      </c>
      <c r="F2053" t="s">
        <v>6</v>
      </c>
      <c r="G2053" t="str">
        <f t="shared" si="70"/>
        <v>Active</v>
      </c>
      <c r="H2053" s="1" t="str">
        <f t="shared" si="71"/>
        <v>Sunday</v>
      </c>
    </row>
    <row r="2054" spans="1:8" x14ac:dyDescent="0.3">
      <c r="A2054">
        <v>119436804</v>
      </c>
      <c r="B2054" s="1">
        <v>45067</v>
      </c>
      <c r="C2054" t="s">
        <v>19</v>
      </c>
      <c r="D2054" t="s">
        <v>7</v>
      </c>
      <c r="E2054">
        <v>39</v>
      </c>
      <c r="F2054" t="s">
        <v>6</v>
      </c>
      <c r="G2054" t="str">
        <f t="shared" si="70"/>
        <v>Active</v>
      </c>
      <c r="H2054" s="1" t="str">
        <f t="shared" si="71"/>
        <v>Sunday</v>
      </c>
    </row>
    <row r="2055" spans="1:8" x14ac:dyDescent="0.3">
      <c r="A2055">
        <v>127100688</v>
      </c>
      <c r="B2055" s="1">
        <v>45067</v>
      </c>
      <c r="C2055" s="1">
        <v>45068</v>
      </c>
      <c r="D2055" t="s">
        <v>7</v>
      </c>
      <c r="E2055">
        <v>39</v>
      </c>
      <c r="F2055" t="s">
        <v>6</v>
      </c>
      <c r="G2055">
        <f t="shared" si="70"/>
        <v>1</v>
      </c>
      <c r="H2055" s="1" t="str">
        <f t="shared" si="71"/>
        <v>Sunday</v>
      </c>
    </row>
    <row r="2056" spans="1:8" x14ac:dyDescent="0.3">
      <c r="A2056">
        <v>134524378</v>
      </c>
      <c r="B2056" s="1">
        <v>45067</v>
      </c>
      <c r="C2056" s="1">
        <v>45068</v>
      </c>
      <c r="D2056" t="s">
        <v>7</v>
      </c>
      <c r="E2056">
        <v>39</v>
      </c>
      <c r="F2056" t="s">
        <v>6</v>
      </c>
      <c r="G2056">
        <f t="shared" si="70"/>
        <v>1</v>
      </c>
      <c r="H2056" s="1" t="str">
        <f t="shared" si="71"/>
        <v>Sunday</v>
      </c>
    </row>
    <row r="2057" spans="1:8" x14ac:dyDescent="0.3">
      <c r="A2057">
        <v>134652589</v>
      </c>
      <c r="B2057" s="1">
        <v>45067</v>
      </c>
      <c r="C2057" s="1">
        <v>45067</v>
      </c>
      <c r="D2057" t="s">
        <v>7</v>
      </c>
      <c r="E2057">
        <v>39</v>
      </c>
      <c r="F2057" t="s">
        <v>6</v>
      </c>
      <c r="G2057">
        <f t="shared" si="70"/>
        <v>0</v>
      </c>
      <c r="H2057" s="1" t="str">
        <f t="shared" si="71"/>
        <v>Sunday</v>
      </c>
    </row>
    <row r="2058" spans="1:8" x14ac:dyDescent="0.3">
      <c r="A2058">
        <v>214134251</v>
      </c>
      <c r="B2058" s="1">
        <v>45067</v>
      </c>
      <c r="C2058" s="1">
        <v>45068</v>
      </c>
      <c r="D2058" t="s">
        <v>8</v>
      </c>
      <c r="E2058">
        <v>39</v>
      </c>
      <c r="F2058" t="s">
        <v>6</v>
      </c>
      <c r="G2058">
        <f t="shared" si="70"/>
        <v>1</v>
      </c>
      <c r="H2058" s="1" t="str">
        <f t="shared" si="71"/>
        <v>Sunday</v>
      </c>
    </row>
    <row r="2059" spans="1:8" x14ac:dyDescent="0.3">
      <c r="A2059">
        <v>215565049</v>
      </c>
      <c r="B2059" s="1">
        <v>45067</v>
      </c>
      <c r="C2059" s="1">
        <v>45067</v>
      </c>
      <c r="D2059" t="s">
        <v>7</v>
      </c>
      <c r="E2059">
        <v>39</v>
      </c>
      <c r="F2059" t="s">
        <v>6</v>
      </c>
      <c r="G2059">
        <f t="shared" si="70"/>
        <v>0</v>
      </c>
      <c r="H2059" s="1" t="str">
        <f t="shared" si="71"/>
        <v>Sunday</v>
      </c>
    </row>
    <row r="2060" spans="1:8" x14ac:dyDescent="0.3">
      <c r="A2060">
        <v>215606026</v>
      </c>
      <c r="B2060" s="1">
        <v>45067</v>
      </c>
      <c r="C2060" s="1">
        <v>45127</v>
      </c>
      <c r="D2060" t="s">
        <v>7</v>
      </c>
      <c r="E2060">
        <v>39</v>
      </c>
      <c r="F2060" t="s">
        <v>6</v>
      </c>
      <c r="G2060">
        <f t="shared" si="70"/>
        <v>60</v>
      </c>
      <c r="H2060" s="1" t="str">
        <f t="shared" si="71"/>
        <v>Sunday</v>
      </c>
    </row>
    <row r="2061" spans="1:8" x14ac:dyDescent="0.3">
      <c r="A2061">
        <v>215678881</v>
      </c>
      <c r="B2061" s="1">
        <v>45068</v>
      </c>
      <c r="C2061" t="s">
        <v>19</v>
      </c>
      <c r="D2061" t="s">
        <v>7</v>
      </c>
      <c r="E2061">
        <v>39</v>
      </c>
      <c r="F2061" t="s">
        <v>6</v>
      </c>
      <c r="G2061" t="str">
        <f t="shared" si="70"/>
        <v>Active</v>
      </c>
      <c r="H2061" s="1" t="str">
        <f t="shared" si="71"/>
        <v>Monday</v>
      </c>
    </row>
    <row r="2062" spans="1:8" x14ac:dyDescent="0.3">
      <c r="A2062">
        <v>212356610</v>
      </c>
      <c r="B2062" s="1">
        <v>45068</v>
      </c>
      <c r="C2062" t="s">
        <v>19</v>
      </c>
      <c r="D2062" t="s">
        <v>7</v>
      </c>
      <c r="E2062">
        <v>39</v>
      </c>
      <c r="F2062" t="s">
        <v>6</v>
      </c>
      <c r="G2062" t="str">
        <f t="shared" si="70"/>
        <v>Active</v>
      </c>
      <c r="H2062" s="1" t="str">
        <f t="shared" si="71"/>
        <v>Monday</v>
      </c>
    </row>
    <row r="2063" spans="1:8" x14ac:dyDescent="0.3">
      <c r="A2063">
        <v>215336118</v>
      </c>
      <c r="B2063" s="1">
        <v>45068</v>
      </c>
      <c r="C2063" t="s">
        <v>19</v>
      </c>
      <c r="D2063" t="s">
        <v>7</v>
      </c>
      <c r="E2063">
        <v>39</v>
      </c>
      <c r="F2063" t="s">
        <v>6</v>
      </c>
      <c r="G2063" t="str">
        <f t="shared" si="70"/>
        <v>Active</v>
      </c>
      <c r="H2063" s="1" t="str">
        <f t="shared" si="71"/>
        <v>Monday</v>
      </c>
    </row>
    <row r="2064" spans="1:8" x14ac:dyDescent="0.3">
      <c r="A2064">
        <v>215664306</v>
      </c>
      <c r="B2064" s="1">
        <v>45068</v>
      </c>
      <c r="C2064" t="s">
        <v>19</v>
      </c>
      <c r="D2064" t="s">
        <v>7</v>
      </c>
      <c r="E2064">
        <v>39</v>
      </c>
      <c r="F2064" t="s">
        <v>6</v>
      </c>
      <c r="G2064" t="str">
        <f t="shared" si="70"/>
        <v>Active</v>
      </c>
      <c r="H2064" s="1" t="str">
        <f t="shared" si="71"/>
        <v>Monday</v>
      </c>
    </row>
    <row r="2065" spans="1:8" x14ac:dyDescent="0.3">
      <c r="A2065">
        <v>215643802</v>
      </c>
      <c r="B2065" s="1">
        <v>45068</v>
      </c>
      <c r="C2065" t="s">
        <v>19</v>
      </c>
      <c r="D2065" t="s">
        <v>7</v>
      </c>
      <c r="E2065">
        <v>39</v>
      </c>
      <c r="F2065" t="s">
        <v>6</v>
      </c>
      <c r="G2065" t="str">
        <f t="shared" si="70"/>
        <v>Active</v>
      </c>
      <c r="H2065" s="1" t="str">
        <f t="shared" si="71"/>
        <v>Monday</v>
      </c>
    </row>
    <row r="2066" spans="1:8" x14ac:dyDescent="0.3">
      <c r="A2066">
        <v>206177720</v>
      </c>
      <c r="B2066" s="1">
        <v>45068</v>
      </c>
      <c r="C2066" s="1">
        <v>45069</v>
      </c>
      <c r="D2066" t="s">
        <v>8</v>
      </c>
      <c r="E2066">
        <v>39</v>
      </c>
      <c r="F2066" t="s">
        <v>6</v>
      </c>
      <c r="G2066">
        <f t="shared" si="70"/>
        <v>1</v>
      </c>
      <c r="H2066" s="1" t="str">
        <f t="shared" si="71"/>
        <v>Monday</v>
      </c>
    </row>
    <row r="2067" spans="1:8" x14ac:dyDescent="0.3">
      <c r="A2067">
        <v>215691994</v>
      </c>
      <c r="B2067" s="1">
        <v>45068</v>
      </c>
      <c r="C2067" s="1">
        <v>45159</v>
      </c>
      <c r="D2067" t="s">
        <v>7</v>
      </c>
      <c r="E2067">
        <v>39</v>
      </c>
      <c r="F2067" t="s">
        <v>6</v>
      </c>
      <c r="G2067">
        <f t="shared" si="70"/>
        <v>91</v>
      </c>
      <c r="H2067" s="1" t="str">
        <f t="shared" si="71"/>
        <v>Monday</v>
      </c>
    </row>
    <row r="2068" spans="1:8" x14ac:dyDescent="0.3">
      <c r="A2068">
        <v>215653406</v>
      </c>
      <c r="B2068" s="1">
        <v>45069</v>
      </c>
      <c r="C2068" t="s">
        <v>19</v>
      </c>
      <c r="D2068" t="s">
        <v>7</v>
      </c>
      <c r="E2068">
        <v>39</v>
      </c>
      <c r="F2068" t="s">
        <v>6</v>
      </c>
      <c r="G2068" t="str">
        <f t="shared" si="70"/>
        <v>Active</v>
      </c>
      <c r="H2068" s="1" t="str">
        <f t="shared" si="71"/>
        <v>Tuesday</v>
      </c>
    </row>
    <row r="2069" spans="1:8" x14ac:dyDescent="0.3">
      <c r="A2069">
        <v>215534470</v>
      </c>
      <c r="B2069" s="1">
        <v>45069</v>
      </c>
      <c r="C2069" s="1">
        <v>45070</v>
      </c>
      <c r="D2069" t="s">
        <v>7</v>
      </c>
      <c r="E2069">
        <v>39</v>
      </c>
      <c r="F2069" t="s">
        <v>6</v>
      </c>
      <c r="G2069">
        <f t="shared" si="70"/>
        <v>1</v>
      </c>
      <c r="H2069" s="1" t="str">
        <f t="shared" si="71"/>
        <v>Tuesday</v>
      </c>
    </row>
    <row r="2070" spans="1:8" x14ac:dyDescent="0.3">
      <c r="A2070">
        <v>150751482</v>
      </c>
      <c r="B2070" s="1">
        <v>45069</v>
      </c>
      <c r="C2070" s="1">
        <v>45127</v>
      </c>
      <c r="D2070" t="s">
        <v>7</v>
      </c>
      <c r="E2070">
        <v>39</v>
      </c>
      <c r="F2070" t="s">
        <v>6</v>
      </c>
      <c r="G2070">
        <f t="shared" si="70"/>
        <v>58</v>
      </c>
      <c r="H2070" s="1" t="str">
        <f t="shared" si="71"/>
        <v>Tuesday</v>
      </c>
    </row>
    <row r="2071" spans="1:8" x14ac:dyDescent="0.3">
      <c r="A2071">
        <v>208601341</v>
      </c>
      <c r="B2071" s="1">
        <v>45069</v>
      </c>
      <c r="C2071" s="1">
        <v>45115</v>
      </c>
      <c r="D2071" t="s">
        <v>7</v>
      </c>
      <c r="E2071">
        <v>39</v>
      </c>
      <c r="F2071" t="s">
        <v>6</v>
      </c>
      <c r="G2071">
        <f t="shared" si="70"/>
        <v>46</v>
      </c>
      <c r="H2071" s="1" t="str">
        <f t="shared" si="71"/>
        <v>Tuesday</v>
      </c>
    </row>
    <row r="2072" spans="1:8" x14ac:dyDescent="0.3">
      <c r="A2072">
        <v>215473479</v>
      </c>
      <c r="B2072" s="1">
        <v>45069</v>
      </c>
      <c r="C2072" s="1">
        <v>45103</v>
      </c>
      <c r="D2072" t="s">
        <v>7</v>
      </c>
      <c r="E2072">
        <v>39</v>
      </c>
      <c r="F2072" t="s">
        <v>6</v>
      </c>
      <c r="G2072">
        <f t="shared" si="70"/>
        <v>34</v>
      </c>
      <c r="H2072" s="1" t="str">
        <f t="shared" si="71"/>
        <v>Tuesday</v>
      </c>
    </row>
    <row r="2073" spans="1:8" x14ac:dyDescent="0.3">
      <c r="A2073">
        <v>215646044</v>
      </c>
      <c r="B2073" s="1">
        <v>45069</v>
      </c>
      <c r="C2073" s="1">
        <v>45098</v>
      </c>
      <c r="D2073" t="s">
        <v>7</v>
      </c>
      <c r="E2073">
        <v>39</v>
      </c>
      <c r="F2073" t="s">
        <v>6</v>
      </c>
      <c r="G2073">
        <f t="shared" si="70"/>
        <v>29</v>
      </c>
      <c r="H2073" s="1" t="str">
        <f t="shared" si="71"/>
        <v>Tuesday</v>
      </c>
    </row>
    <row r="2074" spans="1:8" x14ac:dyDescent="0.3">
      <c r="A2074">
        <v>215686983</v>
      </c>
      <c r="B2074" s="1">
        <v>45069</v>
      </c>
      <c r="C2074" s="1">
        <v>45103</v>
      </c>
      <c r="D2074" t="s">
        <v>7</v>
      </c>
      <c r="E2074">
        <v>39</v>
      </c>
      <c r="F2074" t="s">
        <v>6</v>
      </c>
      <c r="G2074">
        <f t="shared" si="70"/>
        <v>34</v>
      </c>
      <c r="H2074" s="1" t="str">
        <f t="shared" si="71"/>
        <v>Tuesday</v>
      </c>
    </row>
    <row r="2075" spans="1:8" x14ac:dyDescent="0.3">
      <c r="A2075">
        <v>215704655</v>
      </c>
      <c r="B2075" s="1">
        <v>45070</v>
      </c>
      <c r="C2075" t="s">
        <v>19</v>
      </c>
      <c r="D2075" t="s">
        <v>7</v>
      </c>
      <c r="E2075">
        <v>39</v>
      </c>
      <c r="F2075" t="s">
        <v>6</v>
      </c>
      <c r="G2075" t="str">
        <f t="shared" si="70"/>
        <v>Active</v>
      </c>
      <c r="H2075" s="1" t="str">
        <f t="shared" si="71"/>
        <v>Wednesday</v>
      </c>
    </row>
    <row r="2076" spans="1:8" x14ac:dyDescent="0.3">
      <c r="A2076">
        <v>131984682</v>
      </c>
      <c r="B2076" s="1">
        <v>45070</v>
      </c>
      <c r="C2076" s="1">
        <v>45116</v>
      </c>
      <c r="D2076" t="s">
        <v>7</v>
      </c>
      <c r="E2076">
        <v>39</v>
      </c>
      <c r="F2076" t="s">
        <v>6</v>
      </c>
      <c r="G2076">
        <f t="shared" si="70"/>
        <v>46</v>
      </c>
      <c r="H2076" s="1" t="str">
        <f t="shared" si="71"/>
        <v>Wednesday</v>
      </c>
    </row>
    <row r="2077" spans="1:8" x14ac:dyDescent="0.3">
      <c r="A2077">
        <v>214698924</v>
      </c>
      <c r="B2077" s="1">
        <v>45070</v>
      </c>
      <c r="C2077" s="1">
        <v>45104</v>
      </c>
      <c r="D2077" t="s">
        <v>7</v>
      </c>
      <c r="E2077">
        <v>39</v>
      </c>
      <c r="F2077" t="s">
        <v>6</v>
      </c>
      <c r="G2077">
        <f t="shared" si="70"/>
        <v>34</v>
      </c>
      <c r="H2077" s="1" t="str">
        <f t="shared" si="71"/>
        <v>Wednesday</v>
      </c>
    </row>
    <row r="2078" spans="1:8" x14ac:dyDescent="0.3">
      <c r="A2078">
        <v>183886863</v>
      </c>
      <c r="B2078" s="1">
        <v>45070</v>
      </c>
      <c r="C2078" s="1">
        <v>45070</v>
      </c>
      <c r="D2078" t="s">
        <v>7</v>
      </c>
      <c r="E2078">
        <v>39</v>
      </c>
      <c r="F2078" t="s">
        <v>6</v>
      </c>
      <c r="G2078">
        <f t="shared" si="70"/>
        <v>0</v>
      </c>
      <c r="H2078" s="1" t="str">
        <f t="shared" si="71"/>
        <v>Wednesday</v>
      </c>
    </row>
    <row r="2079" spans="1:8" x14ac:dyDescent="0.3">
      <c r="A2079">
        <v>215869320</v>
      </c>
      <c r="B2079" s="1">
        <v>45071</v>
      </c>
      <c r="C2079" t="s">
        <v>19</v>
      </c>
      <c r="D2079" t="s">
        <v>7</v>
      </c>
      <c r="E2079">
        <v>39</v>
      </c>
      <c r="F2079" t="s">
        <v>6</v>
      </c>
      <c r="G2079" t="str">
        <f t="shared" si="70"/>
        <v>Active</v>
      </c>
      <c r="H2079" s="1" t="str">
        <f t="shared" si="71"/>
        <v>Thursday</v>
      </c>
    </row>
    <row r="2080" spans="1:8" x14ac:dyDescent="0.3">
      <c r="A2080">
        <v>215616284</v>
      </c>
      <c r="B2080" s="1">
        <v>45071</v>
      </c>
      <c r="C2080" t="s">
        <v>19</v>
      </c>
      <c r="D2080" t="s">
        <v>7</v>
      </c>
      <c r="E2080">
        <v>39</v>
      </c>
      <c r="F2080" t="s">
        <v>6</v>
      </c>
      <c r="G2080" t="str">
        <f t="shared" si="70"/>
        <v>Active</v>
      </c>
      <c r="H2080" s="1" t="str">
        <f t="shared" si="71"/>
        <v>Thursday</v>
      </c>
    </row>
    <row r="2081" spans="1:8" x14ac:dyDescent="0.3">
      <c r="A2081">
        <v>215896078</v>
      </c>
      <c r="B2081" s="1">
        <v>45071</v>
      </c>
      <c r="C2081" t="s">
        <v>19</v>
      </c>
      <c r="D2081" t="s">
        <v>7</v>
      </c>
      <c r="E2081">
        <v>39</v>
      </c>
      <c r="F2081" t="s">
        <v>6</v>
      </c>
      <c r="G2081" t="str">
        <f t="shared" si="70"/>
        <v>Active</v>
      </c>
      <c r="H2081" s="1" t="str">
        <f t="shared" si="71"/>
        <v>Thursday</v>
      </c>
    </row>
    <row r="2082" spans="1:8" x14ac:dyDescent="0.3">
      <c r="A2082">
        <v>215910170</v>
      </c>
      <c r="B2082" s="1">
        <v>45071</v>
      </c>
      <c r="C2082" t="s">
        <v>19</v>
      </c>
      <c r="D2082" t="s">
        <v>7</v>
      </c>
      <c r="E2082">
        <v>39</v>
      </c>
      <c r="F2082" t="s">
        <v>6</v>
      </c>
      <c r="G2082" t="str">
        <f t="shared" si="70"/>
        <v>Active</v>
      </c>
      <c r="H2082" s="1" t="str">
        <f t="shared" si="71"/>
        <v>Thursday</v>
      </c>
    </row>
    <row r="2083" spans="1:8" x14ac:dyDescent="0.3">
      <c r="A2083">
        <v>211754109</v>
      </c>
      <c r="B2083" s="1">
        <v>45071</v>
      </c>
      <c r="C2083" s="1">
        <v>45072</v>
      </c>
      <c r="D2083" t="s">
        <v>8</v>
      </c>
      <c r="E2083">
        <v>39</v>
      </c>
      <c r="F2083" t="s">
        <v>6</v>
      </c>
      <c r="G2083">
        <f t="shared" si="70"/>
        <v>1</v>
      </c>
      <c r="H2083" s="1" t="str">
        <f t="shared" si="71"/>
        <v>Thursday</v>
      </c>
    </row>
    <row r="2084" spans="1:8" x14ac:dyDescent="0.3">
      <c r="A2084">
        <v>205682690</v>
      </c>
      <c r="B2084" s="1">
        <v>45071</v>
      </c>
      <c r="C2084" s="1">
        <v>45072</v>
      </c>
      <c r="D2084" t="s">
        <v>7</v>
      </c>
      <c r="E2084">
        <v>39</v>
      </c>
      <c r="F2084" t="s">
        <v>6</v>
      </c>
      <c r="G2084">
        <f t="shared" si="70"/>
        <v>1</v>
      </c>
      <c r="H2084" s="1" t="str">
        <f t="shared" si="71"/>
        <v>Thursday</v>
      </c>
    </row>
    <row r="2085" spans="1:8" x14ac:dyDescent="0.3">
      <c r="A2085">
        <v>151412112</v>
      </c>
      <c r="B2085" s="1">
        <v>45071</v>
      </c>
      <c r="C2085" s="1">
        <v>45096</v>
      </c>
      <c r="D2085" t="s">
        <v>7</v>
      </c>
      <c r="E2085">
        <v>39</v>
      </c>
      <c r="F2085" t="s">
        <v>6</v>
      </c>
      <c r="G2085">
        <f t="shared" si="70"/>
        <v>25</v>
      </c>
      <c r="H2085" s="1" t="str">
        <f t="shared" si="71"/>
        <v>Thursday</v>
      </c>
    </row>
    <row r="2086" spans="1:8" x14ac:dyDescent="0.3">
      <c r="A2086">
        <v>154467458</v>
      </c>
      <c r="B2086" s="1">
        <v>45071</v>
      </c>
      <c r="C2086" s="1">
        <v>45106</v>
      </c>
      <c r="D2086" t="s">
        <v>7</v>
      </c>
      <c r="E2086">
        <v>39</v>
      </c>
      <c r="F2086" t="s">
        <v>6</v>
      </c>
      <c r="G2086">
        <f t="shared" si="70"/>
        <v>35</v>
      </c>
      <c r="H2086" s="1" t="str">
        <f t="shared" si="71"/>
        <v>Thursday</v>
      </c>
    </row>
    <row r="2087" spans="1:8" x14ac:dyDescent="0.3">
      <c r="A2087">
        <v>212339137</v>
      </c>
      <c r="B2087" s="1">
        <v>45071</v>
      </c>
      <c r="C2087" s="1">
        <v>45109</v>
      </c>
      <c r="D2087" t="s">
        <v>7</v>
      </c>
      <c r="E2087">
        <v>39</v>
      </c>
      <c r="F2087" t="s">
        <v>6</v>
      </c>
      <c r="G2087">
        <f t="shared" si="70"/>
        <v>38</v>
      </c>
      <c r="H2087" s="1" t="str">
        <f t="shared" si="71"/>
        <v>Thursday</v>
      </c>
    </row>
    <row r="2088" spans="1:8" x14ac:dyDescent="0.3">
      <c r="A2088">
        <v>215894271</v>
      </c>
      <c r="B2088" s="1">
        <v>45071</v>
      </c>
      <c r="C2088" s="1">
        <v>45092</v>
      </c>
      <c r="D2088" t="s">
        <v>7</v>
      </c>
      <c r="E2088">
        <v>39</v>
      </c>
      <c r="F2088" t="s">
        <v>6</v>
      </c>
      <c r="G2088">
        <f t="shared" si="70"/>
        <v>21</v>
      </c>
      <c r="H2088" s="1" t="str">
        <f t="shared" si="71"/>
        <v>Thursday</v>
      </c>
    </row>
    <row r="2089" spans="1:8" x14ac:dyDescent="0.3">
      <c r="A2089">
        <v>215908442</v>
      </c>
      <c r="B2089" s="1">
        <v>45071</v>
      </c>
      <c r="C2089" s="1">
        <v>45155</v>
      </c>
      <c r="D2089" t="s">
        <v>7</v>
      </c>
      <c r="E2089">
        <v>39</v>
      </c>
      <c r="F2089" t="s">
        <v>6</v>
      </c>
      <c r="G2089">
        <f t="shared" si="70"/>
        <v>84</v>
      </c>
      <c r="H2089" s="1" t="str">
        <f t="shared" si="71"/>
        <v>Thursday</v>
      </c>
    </row>
    <row r="2090" spans="1:8" x14ac:dyDescent="0.3">
      <c r="A2090">
        <v>136032360</v>
      </c>
      <c r="B2090" s="1">
        <v>45071</v>
      </c>
      <c r="C2090" s="1">
        <v>45163</v>
      </c>
      <c r="D2090" t="s">
        <v>7</v>
      </c>
      <c r="E2090">
        <v>39</v>
      </c>
      <c r="F2090" t="s">
        <v>6</v>
      </c>
      <c r="G2090">
        <f t="shared" si="70"/>
        <v>92</v>
      </c>
      <c r="H2090" s="1" t="str">
        <f t="shared" si="71"/>
        <v>Thursday</v>
      </c>
    </row>
    <row r="2091" spans="1:8" x14ac:dyDescent="0.3">
      <c r="A2091">
        <v>215956542</v>
      </c>
      <c r="B2091" s="1">
        <v>45072</v>
      </c>
      <c r="C2091" t="s">
        <v>19</v>
      </c>
      <c r="D2091" t="s">
        <v>7</v>
      </c>
      <c r="E2091">
        <v>39</v>
      </c>
      <c r="F2091" t="s">
        <v>6</v>
      </c>
      <c r="G2091" t="str">
        <f t="shared" si="70"/>
        <v>Active</v>
      </c>
      <c r="H2091" s="1" t="str">
        <f t="shared" si="71"/>
        <v>Friday</v>
      </c>
    </row>
    <row r="2092" spans="1:8" x14ac:dyDescent="0.3">
      <c r="A2092">
        <v>215947247</v>
      </c>
      <c r="B2092" s="1">
        <v>45072</v>
      </c>
      <c r="C2092" t="s">
        <v>19</v>
      </c>
      <c r="D2092" t="s">
        <v>7</v>
      </c>
      <c r="E2092">
        <v>39</v>
      </c>
      <c r="F2092" t="s">
        <v>6</v>
      </c>
      <c r="G2092" t="str">
        <f t="shared" si="70"/>
        <v>Active</v>
      </c>
      <c r="H2092" s="1" t="str">
        <f t="shared" si="71"/>
        <v>Friday</v>
      </c>
    </row>
    <row r="2093" spans="1:8" x14ac:dyDescent="0.3">
      <c r="A2093">
        <v>122830574</v>
      </c>
      <c r="B2093" s="1">
        <v>45072</v>
      </c>
      <c r="C2093" t="s">
        <v>19</v>
      </c>
      <c r="D2093" t="s">
        <v>7</v>
      </c>
      <c r="E2093">
        <v>39</v>
      </c>
      <c r="F2093" t="s">
        <v>6</v>
      </c>
      <c r="G2093" t="str">
        <f t="shared" si="70"/>
        <v>Active</v>
      </c>
      <c r="H2093" s="1" t="str">
        <f t="shared" si="71"/>
        <v>Friday</v>
      </c>
    </row>
    <row r="2094" spans="1:8" x14ac:dyDescent="0.3">
      <c r="A2094">
        <v>206904025</v>
      </c>
      <c r="B2094" s="1">
        <v>45072</v>
      </c>
      <c r="C2094" s="1">
        <v>45073</v>
      </c>
      <c r="D2094" t="s">
        <v>8</v>
      </c>
      <c r="E2094">
        <v>39</v>
      </c>
      <c r="F2094" t="s">
        <v>6</v>
      </c>
      <c r="G2094">
        <f t="shared" si="70"/>
        <v>1</v>
      </c>
      <c r="H2094" s="1" t="str">
        <f t="shared" si="71"/>
        <v>Friday</v>
      </c>
    </row>
    <row r="2095" spans="1:8" x14ac:dyDescent="0.3">
      <c r="A2095">
        <v>153396366</v>
      </c>
      <c r="B2095" s="1">
        <v>45072</v>
      </c>
      <c r="C2095" s="1">
        <v>45104</v>
      </c>
      <c r="D2095" t="s">
        <v>7</v>
      </c>
      <c r="E2095">
        <v>39</v>
      </c>
      <c r="F2095" t="s">
        <v>6</v>
      </c>
      <c r="G2095">
        <f t="shared" si="70"/>
        <v>32</v>
      </c>
      <c r="H2095" s="1" t="str">
        <f t="shared" si="71"/>
        <v>Friday</v>
      </c>
    </row>
    <row r="2096" spans="1:8" x14ac:dyDescent="0.3">
      <c r="A2096">
        <v>200304509</v>
      </c>
      <c r="B2096" s="1">
        <v>45072</v>
      </c>
      <c r="C2096" s="1">
        <v>45094</v>
      </c>
      <c r="D2096" t="s">
        <v>7</v>
      </c>
      <c r="E2096">
        <v>39</v>
      </c>
      <c r="F2096" t="s">
        <v>6</v>
      </c>
      <c r="G2096">
        <f t="shared" si="70"/>
        <v>22</v>
      </c>
      <c r="H2096" s="1" t="str">
        <f t="shared" si="71"/>
        <v>Friday</v>
      </c>
    </row>
    <row r="2097" spans="1:8" x14ac:dyDescent="0.3">
      <c r="A2097">
        <v>215867874</v>
      </c>
      <c r="B2097" s="1">
        <v>45072</v>
      </c>
      <c r="C2097" s="1">
        <v>45095</v>
      </c>
      <c r="D2097" t="s">
        <v>7</v>
      </c>
      <c r="E2097">
        <v>39</v>
      </c>
      <c r="F2097" t="s">
        <v>6</v>
      </c>
      <c r="G2097">
        <f t="shared" si="70"/>
        <v>23</v>
      </c>
      <c r="H2097" s="1" t="str">
        <f t="shared" si="71"/>
        <v>Friday</v>
      </c>
    </row>
    <row r="2098" spans="1:8" x14ac:dyDescent="0.3">
      <c r="A2098">
        <v>215869887</v>
      </c>
      <c r="B2098" s="1">
        <v>45072</v>
      </c>
      <c r="C2098" s="1">
        <v>45088</v>
      </c>
      <c r="D2098" t="s">
        <v>7</v>
      </c>
      <c r="E2098">
        <v>39</v>
      </c>
      <c r="F2098" t="s">
        <v>6</v>
      </c>
      <c r="G2098">
        <f t="shared" si="70"/>
        <v>16</v>
      </c>
      <c r="H2098" s="1" t="str">
        <f t="shared" si="71"/>
        <v>Friday</v>
      </c>
    </row>
    <row r="2099" spans="1:8" x14ac:dyDescent="0.3">
      <c r="A2099">
        <v>134652589</v>
      </c>
      <c r="B2099" s="1">
        <v>45072</v>
      </c>
      <c r="C2099" s="1">
        <v>45087</v>
      </c>
      <c r="D2099" t="s">
        <v>7</v>
      </c>
      <c r="E2099">
        <v>39</v>
      </c>
      <c r="F2099" t="s">
        <v>6</v>
      </c>
      <c r="G2099">
        <f t="shared" si="70"/>
        <v>15</v>
      </c>
      <c r="H2099" s="1" t="str">
        <f t="shared" si="71"/>
        <v>Friday</v>
      </c>
    </row>
    <row r="2100" spans="1:8" x14ac:dyDescent="0.3">
      <c r="A2100">
        <v>215759517</v>
      </c>
      <c r="B2100" s="1">
        <v>45072</v>
      </c>
      <c r="C2100" s="1">
        <v>45171</v>
      </c>
      <c r="D2100" t="s">
        <v>7</v>
      </c>
      <c r="E2100">
        <v>39</v>
      </c>
      <c r="F2100" t="s">
        <v>6</v>
      </c>
      <c r="G2100">
        <f t="shared" si="70"/>
        <v>99</v>
      </c>
      <c r="H2100" s="1" t="str">
        <f t="shared" si="71"/>
        <v>Friday</v>
      </c>
    </row>
    <row r="2101" spans="1:8" x14ac:dyDescent="0.3">
      <c r="A2101">
        <v>152004313</v>
      </c>
      <c r="B2101" s="1">
        <v>45072</v>
      </c>
      <c r="C2101" s="1">
        <v>45111</v>
      </c>
      <c r="D2101" t="s">
        <v>7</v>
      </c>
      <c r="E2101">
        <v>39</v>
      </c>
      <c r="F2101" t="s">
        <v>6</v>
      </c>
      <c r="G2101">
        <f t="shared" si="70"/>
        <v>39</v>
      </c>
      <c r="H2101" s="1" t="str">
        <f t="shared" si="71"/>
        <v>Friday</v>
      </c>
    </row>
    <row r="2102" spans="1:8" x14ac:dyDescent="0.3">
      <c r="A2102">
        <v>215931788</v>
      </c>
      <c r="B2102" s="1">
        <v>45072</v>
      </c>
      <c r="C2102" s="1">
        <v>45104</v>
      </c>
      <c r="D2102" t="s">
        <v>7</v>
      </c>
      <c r="E2102">
        <v>39</v>
      </c>
      <c r="F2102" t="s">
        <v>6</v>
      </c>
      <c r="G2102">
        <f t="shared" si="70"/>
        <v>32</v>
      </c>
      <c r="H2102" s="1" t="str">
        <f t="shared" si="71"/>
        <v>Friday</v>
      </c>
    </row>
    <row r="2103" spans="1:8" x14ac:dyDescent="0.3">
      <c r="A2103">
        <v>215792692</v>
      </c>
      <c r="B2103" s="1">
        <v>45072</v>
      </c>
      <c r="C2103" s="1">
        <v>45132</v>
      </c>
      <c r="D2103" t="s">
        <v>7</v>
      </c>
      <c r="E2103">
        <v>39</v>
      </c>
      <c r="F2103" t="s">
        <v>6</v>
      </c>
      <c r="G2103">
        <f t="shared" si="70"/>
        <v>60</v>
      </c>
      <c r="H2103" s="1" t="str">
        <f t="shared" si="71"/>
        <v>Friday</v>
      </c>
    </row>
    <row r="2104" spans="1:8" x14ac:dyDescent="0.3">
      <c r="A2104">
        <v>205507364</v>
      </c>
      <c r="B2104" s="1">
        <v>45072</v>
      </c>
      <c r="C2104" s="1">
        <v>45133</v>
      </c>
      <c r="D2104" t="s">
        <v>7</v>
      </c>
      <c r="E2104">
        <v>39</v>
      </c>
      <c r="F2104" t="s">
        <v>6</v>
      </c>
      <c r="G2104">
        <f t="shared" si="70"/>
        <v>61</v>
      </c>
      <c r="H2104" s="1" t="str">
        <f t="shared" si="71"/>
        <v>Friday</v>
      </c>
    </row>
    <row r="2105" spans="1:8" x14ac:dyDescent="0.3">
      <c r="A2105">
        <v>130016916</v>
      </c>
      <c r="B2105" s="1">
        <v>45072</v>
      </c>
      <c r="C2105" s="1">
        <v>45133</v>
      </c>
      <c r="D2105" t="s">
        <v>7</v>
      </c>
      <c r="E2105">
        <v>39</v>
      </c>
      <c r="F2105" t="s">
        <v>6</v>
      </c>
      <c r="G2105">
        <f t="shared" si="70"/>
        <v>61</v>
      </c>
      <c r="H2105" s="1" t="str">
        <f t="shared" si="71"/>
        <v>Friday</v>
      </c>
    </row>
    <row r="2106" spans="1:8" x14ac:dyDescent="0.3">
      <c r="A2106">
        <v>174991614</v>
      </c>
      <c r="B2106" s="1">
        <v>45073</v>
      </c>
      <c r="C2106" t="s">
        <v>19</v>
      </c>
      <c r="D2106" t="s">
        <v>7</v>
      </c>
      <c r="E2106">
        <v>39</v>
      </c>
      <c r="F2106" t="s">
        <v>6</v>
      </c>
      <c r="G2106" t="str">
        <f t="shared" si="70"/>
        <v>Active</v>
      </c>
      <c r="H2106" s="1" t="str">
        <f t="shared" si="71"/>
        <v>Saturday</v>
      </c>
    </row>
    <row r="2107" spans="1:8" x14ac:dyDescent="0.3">
      <c r="A2107">
        <v>118197872</v>
      </c>
      <c r="B2107" s="1">
        <v>45073</v>
      </c>
      <c r="C2107" t="s">
        <v>19</v>
      </c>
      <c r="D2107" t="s">
        <v>7</v>
      </c>
      <c r="E2107">
        <v>39</v>
      </c>
      <c r="F2107" t="s">
        <v>6</v>
      </c>
      <c r="G2107" t="str">
        <f t="shared" si="70"/>
        <v>Active</v>
      </c>
      <c r="H2107" s="1" t="str">
        <f t="shared" si="71"/>
        <v>Saturday</v>
      </c>
    </row>
    <row r="2108" spans="1:8" x14ac:dyDescent="0.3">
      <c r="A2108">
        <v>215906516</v>
      </c>
      <c r="B2108" s="1">
        <v>45073</v>
      </c>
      <c r="C2108" t="s">
        <v>19</v>
      </c>
      <c r="D2108" t="s">
        <v>7</v>
      </c>
      <c r="E2108">
        <v>39</v>
      </c>
      <c r="F2108" t="s">
        <v>6</v>
      </c>
      <c r="G2108" t="str">
        <f t="shared" si="70"/>
        <v>Active</v>
      </c>
      <c r="H2108" s="1" t="str">
        <f t="shared" si="71"/>
        <v>Saturday</v>
      </c>
    </row>
    <row r="2109" spans="1:8" x14ac:dyDescent="0.3">
      <c r="A2109">
        <v>116197941</v>
      </c>
      <c r="B2109" s="1">
        <v>45073</v>
      </c>
      <c r="C2109" s="1">
        <v>45141</v>
      </c>
      <c r="D2109" t="s">
        <v>7</v>
      </c>
      <c r="E2109">
        <v>39</v>
      </c>
      <c r="F2109" t="s">
        <v>6</v>
      </c>
      <c r="G2109">
        <f t="shared" si="70"/>
        <v>68</v>
      </c>
      <c r="H2109" s="1" t="str">
        <f t="shared" si="71"/>
        <v>Saturday</v>
      </c>
    </row>
    <row r="2110" spans="1:8" x14ac:dyDescent="0.3">
      <c r="A2110">
        <v>215973039</v>
      </c>
      <c r="B2110" s="1">
        <v>45073</v>
      </c>
      <c r="C2110" s="1">
        <v>45080</v>
      </c>
      <c r="D2110" t="s">
        <v>7</v>
      </c>
      <c r="E2110">
        <v>39</v>
      </c>
      <c r="F2110" t="s">
        <v>6</v>
      </c>
      <c r="G2110">
        <f t="shared" si="70"/>
        <v>7</v>
      </c>
      <c r="H2110" s="1" t="str">
        <f t="shared" si="71"/>
        <v>Saturday</v>
      </c>
    </row>
    <row r="2111" spans="1:8" x14ac:dyDescent="0.3">
      <c r="A2111">
        <v>147761700</v>
      </c>
      <c r="B2111" s="1">
        <v>45073</v>
      </c>
      <c r="C2111" s="1">
        <v>45085</v>
      </c>
      <c r="D2111" t="s">
        <v>7</v>
      </c>
      <c r="E2111">
        <v>39</v>
      </c>
      <c r="F2111" t="s">
        <v>6</v>
      </c>
      <c r="G2111">
        <f t="shared" si="70"/>
        <v>12</v>
      </c>
      <c r="H2111" s="1" t="str">
        <f t="shared" si="71"/>
        <v>Saturday</v>
      </c>
    </row>
    <row r="2112" spans="1:8" x14ac:dyDescent="0.3">
      <c r="A2112">
        <v>215943650</v>
      </c>
      <c r="B2112" s="1">
        <v>45073</v>
      </c>
      <c r="C2112" s="1">
        <v>45111</v>
      </c>
      <c r="D2112" t="s">
        <v>7</v>
      </c>
      <c r="E2112">
        <v>39</v>
      </c>
      <c r="F2112" t="s">
        <v>6</v>
      </c>
      <c r="G2112">
        <f t="shared" si="70"/>
        <v>38</v>
      </c>
      <c r="H2112" s="1" t="str">
        <f t="shared" si="71"/>
        <v>Saturday</v>
      </c>
    </row>
    <row r="2113" spans="1:8" x14ac:dyDescent="0.3">
      <c r="A2113">
        <v>157259062</v>
      </c>
      <c r="B2113" s="1">
        <v>45073</v>
      </c>
      <c r="C2113" s="1">
        <v>45111</v>
      </c>
      <c r="D2113" t="s">
        <v>7</v>
      </c>
      <c r="E2113">
        <v>39</v>
      </c>
      <c r="F2113" t="s">
        <v>6</v>
      </c>
      <c r="G2113">
        <f t="shared" si="70"/>
        <v>38</v>
      </c>
      <c r="H2113" s="1" t="str">
        <f t="shared" si="71"/>
        <v>Saturday</v>
      </c>
    </row>
    <row r="2114" spans="1:8" x14ac:dyDescent="0.3">
      <c r="A2114">
        <v>216001506</v>
      </c>
      <c r="B2114" s="1">
        <v>45073</v>
      </c>
      <c r="C2114" s="1">
        <v>45133</v>
      </c>
      <c r="D2114" t="s">
        <v>7</v>
      </c>
      <c r="E2114">
        <v>39</v>
      </c>
      <c r="F2114" t="s">
        <v>6</v>
      </c>
      <c r="G2114">
        <f t="shared" si="70"/>
        <v>60</v>
      </c>
      <c r="H2114" s="1" t="str">
        <f t="shared" si="71"/>
        <v>Saturday</v>
      </c>
    </row>
    <row r="2115" spans="1:8" x14ac:dyDescent="0.3">
      <c r="A2115">
        <v>199306900</v>
      </c>
      <c r="B2115" s="1">
        <v>45073</v>
      </c>
      <c r="C2115" s="1">
        <v>45172</v>
      </c>
      <c r="D2115" t="s">
        <v>7</v>
      </c>
      <c r="E2115">
        <v>39</v>
      </c>
      <c r="F2115" t="s">
        <v>6</v>
      </c>
      <c r="G2115">
        <f t="shared" ref="G2115:G2178" si="72">IF(C2115="Active","Active",C2115-B2115)</f>
        <v>99</v>
      </c>
      <c r="H2115" s="1" t="str">
        <f t="shared" ref="H2115:H2178" si="73">TEXT(B2115,"dddd")</f>
        <v>Saturday</v>
      </c>
    </row>
    <row r="2116" spans="1:8" x14ac:dyDescent="0.3">
      <c r="A2116">
        <v>156245288</v>
      </c>
      <c r="B2116" s="1">
        <v>45074</v>
      </c>
      <c r="C2116" t="s">
        <v>19</v>
      </c>
      <c r="D2116" t="s">
        <v>7</v>
      </c>
      <c r="E2116">
        <v>39</v>
      </c>
      <c r="F2116" t="s">
        <v>6</v>
      </c>
      <c r="G2116" t="str">
        <f t="shared" si="72"/>
        <v>Active</v>
      </c>
      <c r="H2116" s="1" t="str">
        <f t="shared" si="73"/>
        <v>Sunday</v>
      </c>
    </row>
    <row r="2117" spans="1:8" x14ac:dyDescent="0.3">
      <c r="A2117">
        <v>211904765</v>
      </c>
      <c r="B2117" s="1">
        <v>45074</v>
      </c>
      <c r="C2117" t="s">
        <v>19</v>
      </c>
      <c r="D2117" t="s">
        <v>7</v>
      </c>
      <c r="E2117">
        <v>39</v>
      </c>
      <c r="F2117" t="s">
        <v>6</v>
      </c>
      <c r="G2117" t="str">
        <f t="shared" si="72"/>
        <v>Active</v>
      </c>
      <c r="H2117" s="1" t="str">
        <f t="shared" si="73"/>
        <v>Sunday</v>
      </c>
    </row>
    <row r="2118" spans="1:8" x14ac:dyDescent="0.3">
      <c r="A2118">
        <v>215832805</v>
      </c>
      <c r="B2118" s="1">
        <v>45074</v>
      </c>
      <c r="C2118" t="s">
        <v>19</v>
      </c>
      <c r="D2118" t="s">
        <v>7</v>
      </c>
      <c r="E2118">
        <v>39</v>
      </c>
      <c r="F2118" t="s">
        <v>6</v>
      </c>
      <c r="G2118" t="str">
        <f t="shared" si="72"/>
        <v>Active</v>
      </c>
      <c r="H2118" s="1" t="str">
        <f t="shared" si="73"/>
        <v>Sunday</v>
      </c>
    </row>
    <row r="2119" spans="1:8" x14ac:dyDescent="0.3">
      <c r="A2119">
        <v>156403612</v>
      </c>
      <c r="B2119" s="1">
        <v>45075</v>
      </c>
      <c r="C2119" t="s">
        <v>19</v>
      </c>
      <c r="D2119" t="s">
        <v>7</v>
      </c>
      <c r="E2119">
        <v>39</v>
      </c>
      <c r="F2119" t="s">
        <v>6</v>
      </c>
      <c r="G2119" t="str">
        <f t="shared" si="72"/>
        <v>Active</v>
      </c>
      <c r="H2119" s="1" t="str">
        <f t="shared" si="73"/>
        <v>Monday</v>
      </c>
    </row>
    <row r="2120" spans="1:8" x14ac:dyDescent="0.3">
      <c r="A2120">
        <v>216062001</v>
      </c>
      <c r="B2120" s="1">
        <v>45075</v>
      </c>
      <c r="C2120" t="s">
        <v>19</v>
      </c>
      <c r="D2120" t="s">
        <v>7</v>
      </c>
      <c r="E2120">
        <v>39</v>
      </c>
      <c r="F2120" t="s">
        <v>6</v>
      </c>
      <c r="G2120" t="str">
        <f t="shared" si="72"/>
        <v>Active</v>
      </c>
      <c r="H2120" s="1" t="str">
        <f t="shared" si="73"/>
        <v>Monday</v>
      </c>
    </row>
    <row r="2121" spans="1:8" x14ac:dyDescent="0.3">
      <c r="A2121">
        <v>216083936</v>
      </c>
      <c r="B2121" s="1">
        <v>45075</v>
      </c>
      <c r="C2121" t="s">
        <v>19</v>
      </c>
      <c r="D2121" t="s">
        <v>7</v>
      </c>
      <c r="E2121">
        <v>39</v>
      </c>
      <c r="F2121" t="s">
        <v>6</v>
      </c>
      <c r="G2121" t="str">
        <f t="shared" si="72"/>
        <v>Active</v>
      </c>
      <c r="H2121" s="1" t="str">
        <f t="shared" si="73"/>
        <v>Monday</v>
      </c>
    </row>
    <row r="2122" spans="1:8" x14ac:dyDescent="0.3">
      <c r="A2122">
        <v>215568210</v>
      </c>
      <c r="B2122" s="1">
        <v>45075</v>
      </c>
      <c r="C2122" s="1">
        <v>45166</v>
      </c>
      <c r="D2122" t="s">
        <v>7</v>
      </c>
      <c r="E2122">
        <v>39</v>
      </c>
      <c r="F2122" t="s">
        <v>6</v>
      </c>
      <c r="G2122">
        <f t="shared" si="72"/>
        <v>91</v>
      </c>
      <c r="H2122" s="1" t="str">
        <f t="shared" si="73"/>
        <v>Monday</v>
      </c>
    </row>
    <row r="2123" spans="1:8" x14ac:dyDescent="0.3">
      <c r="A2123">
        <v>181480437</v>
      </c>
      <c r="B2123" s="1">
        <v>45075</v>
      </c>
      <c r="C2123" s="1">
        <v>45110</v>
      </c>
      <c r="D2123" t="s">
        <v>7</v>
      </c>
      <c r="E2123">
        <v>39</v>
      </c>
      <c r="F2123" t="s">
        <v>6</v>
      </c>
      <c r="G2123">
        <f t="shared" si="72"/>
        <v>35</v>
      </c>
      <c r="H2123" s="1" t="str">
        <f t="shared" si="73"/>
        <v>Monday</v>
      </c>
    </row>
    <row r="2124" spans="1:8" x14ac:dyDescent="0.3">
      <c r="A2124">
        <v>147197398</v>
      </c>
      <c r="B2124" s="1">
        <v>45076</v>
      </c>
      <c r="C2124" t="s">
        <v>19</v>
      </c>
      <c r="D2124" t="s">
        <v>7</v>
      </c>
      <c r="E2124">
        <v>39</v>
      </c>
      <c r="F2124" t="s">
        <v>6</v>
      </c>
      <c r="G2124" t="str">
        <f t="shared" si="72"/>
        <v>Active</v>
      </c>
      <c r="H2124" s="1" t="str">
        <f t="shared" si="73"/>
        <v>Tuesday</v>
      </c>
    </row>
    <row r="2125" spans="1:8" x14ac:dyDescent="0.3">
      <c r="A2125">
        <v>212051648</v>
      </c>
      <c r="B2125" s="1">
        <v>45076</v>
      </c>
      <c r="C2125" t="s">
        <v>19</v>
      </c>
      <c r="D2125" t="s">
        <v>7</v>
      </c>
      <c r="E2125">
        <v>39</v>
      </c>
      <c r="F2125" t="s">
        <v>6</v>
      </c>
      <c r="G2125" t="str">
        <f t="shared" si="72"/>
        <v>Active</v>
      </c>
      <c r="H2125" s="1" t="str">
        <f t="shared" si="73"/>
        <v>Tuesday</v>
      </c>
    </row>
    <row r="2126" spans="1:8" x14ac:dyDescent="0.3">
      <c r="A2126">
        <v>216141502</v>
      </c>
      <c r="B2126" s="1">
        <v>45076</v>
      </c>
      <c r="C2126" t="s">
        <v>19</v>
      </c>
      <c r="D2126" t="s">
        <v>7</v>
      </c>
      <c r="E2126">
        <v>39</v>
      </c>
      <c r="F2126" t="s">
        <v>6</v>
      </c>
      <c r="G2126" t="str">
        <f t="shared" si="72"/>
        <v>Active</v>
      </c>
      <c r="H2126" s="1" t="str">
        <f t="shared" si="73"/>
        <v>Tuesday</v>
      </c>
    </row>
    <row r="2127" spans="1:8" x14ac:dyDescent="0.3">
      <c r="A2127">
        <v>216136975</v>
      </c>
      <c r="B2127" s="1">
        <v>45076</v>
      </c>
      <c r="C2127" t="s">
        <v>19</v>
      </c>
      <c r="D2127" t="s">
        <v>7</v>
      </c>
      <c r="E2127">
        <v>39</v>
      </c>
      <c r="F2127" t="s">
        <v>6</v>
      </c>
      <c r="G2127" t="str">
        <f t="shared" si="72"/>
        <v>Active</v>
      </c>
      <c r="H2127" s="1" t="str">
        <f t="shared" si="73"/>
        <v>Tuesday</v>
      </c>
    </row>
    <row r="2128" spans="1:8" x14ac:dyDescent="0.3">
      <c r="A2128">
        <v>213240907</v>
      </c>
      <c r="B2128" s="1">
        <v>45076</v>
      </c>
      <c r="C2128" t="s">
        <v>19</v>
      </c>
      <c r="D2128" t="s">
        <v>7</v>
      </c>
      <c r="E2128">
        <v>39</v>
      </c>
      <c r="F2128" t="s">
        <v>6</v>
      </c>
      <c r="G2128" t="str">
        <f t="shared" si="72"/>
        <v>Active</v>
      </c>
      <c r="H2128" s="1" t="str">
        <f t="shared" si="73"/>
        <v>Tuesday</v>
      </c>
    </row>
    <row r="2129" spans="1:8" x14ac:dyDescent="0.3">
      <c r="A2129">
        <v>204739496</v>
      </c>
      <c r="B2129" s="1">
        <v>45076</v>
      </c>
      <c r="C2129" s="1">
        <v>45172</v>
      </c>
      <c r="D2129" t="s">
        <v>7</v>
      </c>
      <c r="E2129">
        <v>39</v>
      </c>
      <c r="F2129" t="s">
        <v>6</v>
      </c>
      <c r="G2129">
        <f t="shared" si="72"/>
        <v>96</v>
      </c>
      <c r="H2129" s="1" t="str">
        <f t="shared" si="73"/>
        <v>Tuesday</v>
      </c>
    </row>
    <row r="2130" spans="1:8" x14ac:dyDescent="0.3">
      <c r="A2130">
        <v>203366396</v>
      </c>
      <c r="B2130" s="1">
        <v>45076</v>
      </c>
      <c r="C2130" s="1">
        <v>45077</v>
      </c>
      <c r="D2130" t="s">
        <v>7</v>
      </c>
      <c r="E2130">
        <v>39</v>
      </c>
      <c r="F2130" t="s">
        <v>6</v>
      </c>
      <c r="G2130">
        <f t="shared" si="72"/>
        <v>1</v>
      </c>
      <c r="H2130" s="1" t="str">
        <f t="shared" si="73"/>
        <v>Tuesday</v>
      </c>
    </row>
    <row r="2131" spans="1:8" x14ac:dyDescent="0.3">
      <c r="A2131">
        <v>216136446</v>
      </c>
      <c r="B2131" s="1">
        <v>45076</v>
      </c>
      <c r="C2131" s="1">
        <v>45105</v>
      </c>
      <c r="D2131" t="s">
        <v>7</v>
      </c>
      <c r="E2131">
        <v>39</v>
      </c>
      <c r="F2131" t="s">
        <v>6</v>
      </c>
      <c r="G2131">
        <f t="shared" si="72"/>
        <v>29</v>
      </c>
      <c r="H2131" s="1" t="str">
        <f t="shared" si="73"/>
        <v>Tuesday</v>
      </c>
    </row>
    <row r="2132" spans="1:8" x14ac:dyDescent="0.3">
      <c r="A2132">
        <v>216139586</v>
      </c>
      <c r="B2132" s="1">
        <v>45076</v>
      </c>
      <c r="C2132" s="1">
        <v>45107</v>
      </c>
      <c r="D2132" t="s">
        <v>7</v>
      </c>
      <c r="E2132">
        <v>39</v>
      </c>
      <c r="F2132" t="s">
        <v>6</v>
      </c>
      <c r="G2132">
        <f t="shared" si="72"/>
        <v>31</v>
      </c>
      <c r="H2132" s="1" t="str">
        <f t="shared" si="73"/>
        <v>Tuesday</v>
      </c>
    </row>
    <row r="2133" spans="1:8" x14ac:dyDescent="0.3">
      <c r="A2133">
        <v>216126416</v>
      </c>
      <c r="B2133" s="1">
        <v>45076</v>
      </c>
      <c r="C2133" s="1">
        <v>45081</v>
      </c>
      <c r="D2133" t="s">
        <v>7</v>
      </c>
      <c r="E2133">
        <v>39</v>
      </c>
      <c r="F2133" t="s">
        <v>6</v>
      </c>
      <c r="G2133">
        <f t="shared" si="72"/>
        <v>5</v>
      </c>
      <c r="H2133" s="1" t="str">
        <f t="shared" si="73"/>
        <v>Tuesday</v>
      </c>
    </row>
    <row r="2134" spans="1:8" x14ac:dyDescent="0.3">
      <c r="A2134">
        <v>216181144</v>
      </c>
      <c r="B2134" s="1">
        <v>45076</v>
      </c>
      <c r="C2134" s="1">
        <v>45114</v>
      </c>
      <c r="D2134" t="s">
        <v>7</v>
      </c>
      <c r="E2134">
        <v>39</v>
      </c>
      <c r="F2134" t="s">
        <v>6</v>
      </c>
      <c r="G2134">
        <f t="shared" si="72"/>
        <v>38</v>
      </c>
      <c r="H2134" s="1" t="str">
        <f t="shared" si="73"/>
        <v>Tuesday</v>
      </c>
    </row>
    <row r="2135" spans="1:8" x14ac:dyDescent="0.3">
      <c r="A2135">
        <v>216100714</v>
      </c>
      <c r="B2135" s="1">
        <v>45076</v>
      </c>
      <c r="C2135" s="1">
        <v>45140</v>
      </c>
      <c r="D2135" t="s">
        <v>7</v>
      </c>
      <c r="E2135">
        <v>39</v>
      </c>
      <c r="F2135" t="s">
        <v>6</v>
      </c>
      <c r="G2135">
        <f t="shared" si="72"/>
        <v>64</v>
      </c>
      <c r="H2135" s="1" t="str">
        <f t="shared" si="73"/>
        <v>Tuesday</v>
      </c>
    </row>
    <row r="2136" spans="1:8" x14ac:dyDescent="0.3">
      <c r="A2136">
        <v>216155144</v>
      </c>
      <c r="B2136" s="1">
        <v>45076</v>
      </c>
      <c r="C2136" s="1">
        <v>45137</v>
      </c>
      <c r="D2136" t="s">
        <v>7</v>
      </c>
      <c r="E2136">
        <v>39</v>
      </c>
      <c r="F2136" t="s">
        <v>6</v>
      </c>
      <c r="G2136">
        <f t="shared" si="72"/>
        <v>61</v>
      </c>
      <c r="H2136" s="1" t="str">
        <f t="shared" si="73"/>
        <v>Tuesday</v>
      </c>
    </row>
    <row r="2137" spans="1:8" x14ac:dyDescent="0.3">
      <c r="A2137">
        <v>190978347</v>
      </c>
      <c r="B2137" s="1">
        <v>45076</v>
      </c>
      <c r="C2137" s="1">
        <v>45146</v>
      </c>
      <c r="D2137" t="s">
        <v>7</v>
      </c>
      <c r="E2137">
        <v>39</v>
      </c>
      <c r="F2137" t="s">
        <v>6</v>
      </c>
      <c r="G2137">
        <f t="shared" si="72"/>
        <v>70</v>
      </c>
      <c r="H2137" s="1" t="str">
        <f t="shared" si="73"/>
        <v>Tuesday</v>
      </c>
    </row>
    <row r="2138" spans="1:8" x14ac:dyDescent="0.3">
      <c r="A2138">
        <v>215653713</v>
      </c>
      <c r="B2138" s="1">
        <v>45076</v>
      </c>
      <c r="C2138" s="1">
        <v>45118</v>
      </c>
      <c r="D2138" t="s">
        <v>7</v>
      </c>
      <c r="E2138">
        <v>39</v>
      </c>
      <c r="F2138" t="s">
        <v>6</v>
      </c>
      <c r="G2138">
        <f t="shared" si="72"/>
        <v>42</v>
      </c>
      <c r="H2138" s="1" t="str">
        <f t="shared" si="73"/>
        <v>Tuesday</v>
      </c>
    </row>
    <row r="2139" spans="1:8" x14ac:dyDescent="0.3">
      <c r="A2139">
        <v>215185569</v>
      </c>
      <c r="B2139" s="1">
        <v>45076</v>
      </c>
      <c r="C2139" s="1">
        <v>45167</v>
      </c>
      <c r="D2139" t="s">
        <v>7</v>
      </c>
      <c r="E2139">
        <v>39</v>
      </c>
      <c r="F2139" t="s">
        <v>6</v>
      </c>
      <c r="G2139">
        <f t="shared" si="72"/>
        <v>91</v>
      </c>
      <c r="H2139" s="1" t="str">
        <f t="shared" si="73"/>
        <v>Tuesday</v>
      </c>
    </row>
    <row r="2140" spans="1:8" x14ac:dyDescent="0.3">
      <c r="A2140">
        <v>215488799</v>
      </c>
      <c r="B2140" s="1">
        <v>45077</v>
      </c>
      <c r="C2140" t="s">
        <v>19</v>
      </c>
      <c r="D2140" t="s">
        <v>7</v>
      </c>
      <c r="E2140">
        <v>39</v>
      </c>
      <c r="F2140" t="s">
        <v>6</v>
      </c>
      <c r="G2140" t="str">
        <f t="shared" si="72"/>
        <v>Active</v>
      </c>
      <c r="H2140" s="1" t="str">
        <f t="shared" si="73"/>
        <v>Wednesday</v>
      </c>
    </row>
    <row r="2141" spans="1:8" x14ac:dyDescent="0.3">
      <c r="A2141">
        <v>216170130</v>
      </c>
      <c r="B2141" s="1">
        <v>45077</v>
      </c>
      <c r="C2141" t="s">
        <v>19</v>
      </c>
      <c r="D2141" t="s">
        <v>7</v>
      </c>
      <c r="E2141">
        <v>39</v>
      </c>
      <c r="F2141" t="s">
        <v>6</v>
      </c>
      <c r="G2141" t="str">
        <f t="shared" si="72"/>
        <v>Active</v>
      </c>
      <c r="H2141" s="1" t="str">
        <f t="shared" si="73"/>
        <v>Wednesday</v>
      </c>
    </row>
    <row r="2142" spans="1:8" x14ac:dyDescent="0.3">
      <c r="A2142">
        <v>215723337</v>
      </c>
      <c r="B2142" s="1">
        <v>45077</v>
      </c>
      <c r="C2142" t="s">
        <v>19</v>
      </c>
      <c r="D2142" t="s">
        <v>7</v>
      </c>
      <c r="E2142">
        <v>39</v>
      </c>
      <c r="F2142" t="s">
        <v>6</v>
      </c>
      <c r="G2142" t="str">
        <f t="shared" si="72"/>
        <v>Active</v>
      </c>
      <c r="H2142" s="1" t="str">
        <f t="shared" si="73"/>
        <v>Wednesday</v>
      </c>
    </row>
    <row r="2143" spans="1:8" x14ac:dyDescent="0.3">
      <c r="A2143">
        <v>148568942</v>
      </c>
      <c r="B2143" s="1">
        <v>45077</v>
      </c>
      <c r="C2143" t="s">
        <v>19</v>
      </c>
      <c r="D2143" t="s">
        <v>7</v>
      </c>
      <c r="E2143">
        <v>39</v>
      </c>
      <c r="F2143" t="s">
        <v>6</v>
      </c>
      <c r="G2143" t="str">
        <f t="shared" si="72"/>
        <v>Active</v>
      </c>
      <c r="H2143" s="1" t="str">
        <f t="shared" si="73"/>
        <v>Wednesday</v>
      </c>
    </row>
    <row r="2144" spans="1:8" x14ac:dyDescent="0.3">
      <c r="A2144">
        <v>215102456</v>
      </c>
      <c r="B2144" s="1">
        <v>45077</v>
      </c>
      <c r="C2144" t="s">
        <v>19</v>
      </c>
      <c r="D2144" t="s">
        <v>7</v>
      </c>
      <c r="E2144">
        <v>39</v>
      </c>
      <c r="F2144" t="s">
        <v>6</v>
      </c>
      <c r="G2144" t="str">
        <f t="shared" si="72"/>
        <v>Active</v>
      </c>
      <c r="H2144" s="1" t="str">
        <f t="shared" si="73"/>
        <v>Wednesday</v>
      </c>
    </row>
    <row r="2145" spans="1:8" x14ac:dyDescent="0.3">
      <c r="A2145">
        <v>216017581</v>
      </c>
      <c r="B2145" s="1">
        <v>45077</v>
      </c>
      <c r="C2145" t="s">
        <v>19</v>
      </c>
      <c r="D2145" t="s">
        <v>7</v>
      </c>
      <c r="E2145">
        <v>39</v>
      </c>
      <c r="F2145" t="s">
        <v>6</v>
      </c>
      <c r="G2145" t="str">
        <f t="shared" si="72"/>
        <v>Active</v>
      </c>
      <c r="H2145" s="1" t="str">
        <f t="shared" si="73"/>
        <v>Wednesday</v>
      </c>
    </row>
    <row r="2146" spans="1:8" x14ac:dyDescent="0.3">
      <c r="A2146">
        <v>153438676</v>
      </c>
      <c r="B2146" s="1">
        <v>45077</v>
      </c>
      <c r="C2146" t="s">
        <v>19</v>
      </c>
      <c r="D2146" t="s">
        <v>7</v>
      </c>
      <c r="E2146">
        <v>39</v>
      </c>
      <c r="F2146" t="s">
        <v>6</v>
      </c>
      <c r="G2146" t="str">
        <f t="shared" si="72"/>
        <v>Active</v>
      </c>
      <c r="H2146" s="1" t="str">
        <f t="shared" si="73"/>
        <v>Wednesday</v>
      </c>
    </row>
    <row r="2147" spans="1:8" x14ac:dyDescent="0.3">
      <c r="A2147">
        <v>213190132</v>
      </c>
      <c r="B2147" s="1">
        <v>45077</v>
      </c>
      <c r="C2147" t="s">
        <v>19</v>
      </c>
      <c r="D2147" t="s">
        <v>7</v>
      </c>
      <c r="E2147">
        <v>39</v>
      </c>
      <c r="F2147" t="s">
        <v>6</v>
      </c>
      <c r="G2147" t="str">
        <f t="shared" si="72"/>
        <v>Active</v>
      </c>
      <c r="H2147" s="1" t="str">
        <f t="shared" si="73"/>
        <v>Wednesday</v>
      </c>
    </row>
    <row r="2148" spans="1:8" x14ac:dyDescent="0.3">
      <c r="A2148">
        <v>216218992</v>
      </c>
      <c r="B2148" s="1">
        <v>45077</v>
      </c>
      <c r="C2148" s="1">
        <v>45169</v>
      </c>
      <c r="D2148" t="s">
        <v>7</v>
      </c>
      <c r="E2148">
        <v>39</v>
      </c>
      <c r="F2148" t="s">
        <v>6</v>
      </c>
      <c r="G2148">
        <f t="shared" si="72"/>
        <v>92</v>
      </c>
      <c r="H2148" s="1" t="str">
        <f t="shared" si="73"/>
        <v>Wednesday</v>
      </c>
    </row>
    <row r="2149" spans="1:8" x14ac:dyDescent="0.3">
      <c r="A2149">
        <v>216210442</v>
      </c>
      <c r="B2149" s="1">
        <v>45077</v>
      </c>
      <c r="C2149" s="1">
        <v>45092</v>
      </c>
      <c r="D2149" t="s">
        <v>7</v>
      </c>
      <c r="E2149">
        <v>39</v>
      </c>
      <c r="F2149" t="s">
        <v>6</v>
      </c>
      <c r="G2149">
        <f t="shared" si="72"/>
        <v>15</v>
      </c>
      <c r="H2149" s="1" t="str">
        <f t="shared" si="73"/>
        <v>Wednesday</v>
      </c>
    </row>
    <row r="2150" spans="1:8" x14ac:dyDescent="0.3">
      <c r="A2150">
        <v>129447970</v>
      </c>
      <c r="B2150" s="1">
        <v>45077</v>
      </c>
      <c r="C2150" s="1">
        <v>45172</v>
      </c>
      <c r="D2150" t="s">
        <v>7</v>
      </c>
      <c r="E2150">
        <v>39</v>
      </c>
      <c r="F2150" t="s">
        <v>6</v>
      </c>
      <c r="G2150">
        <f t="shared" si="72"/>
        <v>95</v>
      </c>
      <c r="H2150" s="1" t="str">
        <f t="shared" si="73"/>
        <v>Wednesday</v>
      </c>
    </row>
    <row r="2151" spans="1:8" x14ac:dyDescent="0.3">
      <c r="A2151">
        <v>216221115</v>
      </c>
      <c r="B2151" s="1">
        <v>45077</v>
      </c>
      <c r="C2151" s="1">
        <v>45109</v>
      </c>
      <c r="D2151" t="s">
        <v>7</v>
      </c>
      <c r="E2151">
        <v>39</v>
      </c>
      <c r="F2151" t="s">
        <v>6</v>
      </c>
      <c r="G2151">
        <f t="shared" si="72"/>
        <v>32</v>
      </c>
      <c r="H2151" s="1" t="str">
        <f t="shared" si="73"/>
        <v>Wednesday</v>
      </c>
    </row>
    <row r="2152" spans="1:8" x14ac:dyDescent="0.3">
      <c r="A2152">
        <v>215911675</v>
      </c>
      <c r="B2152" s="1">
        <v>45077</v>
      </c>
      <c r="C2152" s="1">
        <v>45114</v>
      </c>
      <c r="D2152" t="s">
        <v>7</v>
      </c>
      <c r="E2152">
        <v>39</v>
      </c>
      <c r="F2152" t="s">
        <v>6</v>
      </c>
      <c r="G2152">
        <f t="shared" si="72"/>
        <v>37</v>
      </c>
      <c r="H2152" s="1" t="str">
        <f t="shared" si="73"/>
        <v>Wednesday</v>
      </c>
    </row>
    <row r="2153" spans="1:8" x14ac:dyDescent="0.3">
      <c r="A2153">
        <v>215908254</v>
      </c>
      <c r="B2153" s="1">
        <v>45077</v>
      </c>
      <c r="C2153" s="1">
        <v>45098</v>
      </c>
      <c r="D2153" t="s">
        <v>7</v>
      </c>
      <c r="E2153">
        <v>39</v>
      </c>
      <c r="F2153" t="s">
        <v>6</v>
      </c>
      <c r="G2153">
        <f t="shared" si="72"/>
        <v>21</v>
      </c>
      <c r="H2153" s="1" t="str">
        <f t="shared" si="73"/>
        <v>Wednesday</v>
      </c>
    </row>
    <row r="2154" spans="1:8" x14ac:dyDescent="0.3">
      <c r="A2154">
        <v>214610994</v>
      </c>
      <c r="B2154" s="1">
        <v>45077</v>
      </c>
      <c r="C2154" s="1">
        <v>45106</v>
      </c>
      <c r="D2154" t="s">
        <v>7</v>
      </c>
      <c r="E2154">
        <v>39</v>
      </c>
      <c r="F2154" t="s">
        <v>6</v>
      </c>
      <c r="G2154">
        <f t="shared" si="72"/>
        <v>29</v>
      </c>
      <c r="H2154" s="1" t="str">
        <f t="shared" si="73"/>
        <v>Wednesday</v>
      </c>
    </row>
    <row r="2155" spans="1:8" x14ac:dyDescent="0.3">
      <c r="A2155">
        <v>143272167</v>
      </c>
      <c r="B2155" s="1">
        <v>45077</v>
      </c>
      <c r="C2155" s="1">
        <v>45176</v>
      </c>
      <c r="D2155" t="s">
        <v>7</v>
      </c>
      <c r="E2155">
        <v>39</v>
      </c>
      <c r="F2155" t="s">
        <v>6</v>
      </c>
      <c r="G2155">
        <f t="shared" si="72"/>
        <v>99</v>
      </c>
      <c r="H2155" s="1" t="str">
        <f t="shared" si="73"/>
        <v>Wednesday</v>
      </c>
    </row>
    <row r="2156" spans="1:8" x14ac:dyDescent="0.3">
      <c r="A2156">
        <v>216340651</v>
      </c>
      <c r="B2156" s="1">
        <v>45078</v>
      </c>
      <c r="C2156" t="s">
        <v>19</v>
      </c>
      <c r="D2156" t="s">
        <v>7</v>
      </c>
      <c r="E2156">
        <v>39</v>
      </c>
      <c r="F2156" t="s">
        <v>6</v>
      </c>
      <c r="G2156" t="str">
        <f t="shared" si="72"/>
        <v>Active</v>
      </c>
      <c r="H2156" s="1" t="str">
        <f t="shared" si="73"/>
        <v>Thursday</v>
      </c>
    </row>
    <row r="2157" spans="1:8" x14ac:dyDescent="0.3">
      <c r="A2157">
        <v>153573832</v>
      </c>
      <c r="B2157" s="1">
        <v>45078</v>
      </c>
      <c r="C2157" t="s">
        <v>19</v>
      </c>
      <c r="D2157" t="s">
        <v>7</v>
      </c>
      <c r="E2157">
        <v>39</v>
      </c>
      <c r="F2157" t="s">
        <v>6</v>
      </c>
      <c r="G2157" t="str">
        <f t="shared" si="72"/>
        <v>Active</v>
      </c>
      <c r="H2157" s="1" t="str">
        <f t="shared" si="73"/>
        <v>Thursday</v>
      </c>
    </row>
    <row r="2158" spans="1:8" x14ac:dyDescent="0.3">
      <c r="A2158">
        <v>138312982</v>
      </c>
      <c r="B2158" s="1">
        <v>45078</v>
      </c>
      <c r="C2158" t="s">
        <v>19</v>
      </c>
      <c r="D2158" t="s">
        <v>7</v>
      </c>
      <c r="E2158">
        <v>39</v>
      </c>
      <c r="F2158" t="s">
        <v>6</v>
      </c>
      <c r="G2158" t="str">
        <f t="shared" si="72"/>
        <v>Active</v>
      </c>
      <c r="H2158" s="1" t="str">
        <f t="shared" si="73"/>
        <v>Thursday</v>
      </c>
    </row>
    <row r="2159" spans="1:8" x14ac:dyDescent="0.3">
      <c r="A2159">
        <v>216365777</v>
      </c>
      <c r="B2159" s="1">
        <v>45078</v>
      </c>
      <c r="C2159" t="s">
        <v>19</v>
      </c>
      <c r="D2159" t="s">
        <v>7</v>
      </c>
      <c r="E2159">
        <v>39</v>
      </c>
      <c r="F2159" t="s">
        <v>6</v>
      </c>
      <c r="G2159" t="str">
        <f t="shared" si="72"/>
        <v>Active</v>
      </c>
      <c r="H2159" s="1" t="str">
        <f t="shared" si="73"/>
        <v>Thursday</v>
      </c>
    </row>
    <row r="2160" spans="1:8" x14ac:dyDescent="0.3">
      <c r="A2160">
        <v>216272792</v>
      </c>
      <c r="B2160" s="1">
        <v>45078</v>
      </c>
      <c r="C2160" s="1">
        <v>45175</v>
      </c>
      <c r="D2160" t="s">
        <v>7</v>
      </c>
      <c r="E2160">
        <v>39</v>
      </c>
      <c r="F2160" t="s">
        <v>6</v>
      </c>
      <c r="G2160">
        <f t="shared" si="72"/>
        <v>97</v>
      </c>
      <c r="H2160" s="1" t="str">
        <f t="shared" si="73"/>
        <v>Thursday</v>
      </c>
    </row>
    <row r="2161" spans="1:8" x14ac:dyDescent="0.3">
      <c r="A2161">
        <v>167174814</v>
      </c>
      <c r="B2161" s="1">
        <v>45078</v>
      </c>
      <c r="C2161" s="1">
        <v>45088</v>
      </c>
      <c r="D2161" t="s">
        <v>7</v>
      </c>
      <c r="E2161">
        <v>39</v>
      </c>
      <c r="F2161" t="s">
        <v>6</v>
      </c>
      <c r="G2161">
        <f t="shared" si="72"/>
        <v>10</v>
      </c>
      <c r="H2161" s="1" t="str">
        <f t="shared" si="73"/>
        <v>Thursday</v>
      </c>
    </row>
    <row r="2162" spans="1:8" x14ac:dyDescent="0.3">
      <c r="A2162">
        <v>216329176</v>
      </c>
      <c r="B2162" s="1">
        <v>45078</v>
      </c>
      <c r="C2162" s="1">
        <v>45115</v>
      </c>
      <c r="D2162" t="s">
        <v>7</v>
      </c>
      <c r="E2162">
        <v>39</v>
      </c>
      <c r="F2162" t="s">
        <v>6</v>
      </c>
      <c r="G2162">
        <f t="shared" si="72"/>
        <v>37</v>
      </c>
      <c r="H2162" s="1" t="str">
        <f t="shared" si="73"/>
        <v>Thursday</v>
      </c>
    </row>
    <row r="2163" spans="1:8" x14ac:dyDescent="0.3">
      <c r="A2163">
        <v>147320092</v>
      </c>
      <c r="B2163" s="1">
        <v>45078</v>
      </c>
      <c r="C2163" s="1">
        <v>45111</v>
      </c>
      <c r="D2163" t="s">
        <v>7</v>
      </c>
      <c r="E2163">
        <v>39</v>
      </c>
      <c r="F2163" t="s">
        <v>6</v>
      </c>
      <c r="G2163">
        <f t="shared" si="72"/>
        <v>33</v>
      </c>
      <c r="H2163" s="1" t="str">
        <f t="shared" si="73"/>
        <v>Thursday</v>
      </c>
    </row>
    <row r="2164" spans="1:8" x14ac:dyDescent="0.3">
      <c r="A2164">
        <v>157974600</v>
      </c>
      <c r="B2164" s="1">
        <v>45078</v>
      </c>
      <c r="C2164" s="1">
        <v>45091</v>
      </c>
      <c r="D2164" t="s">
        <v>7</v>
      </c>
      <c r="E2164">
        <v>39</v>
      </c>
      <c r="F2164" t="s">
        <v>6</v>
      </c>
      <c r="G2164">
        <f t="shared" si="72"/>
        <v>13</v>
      </c>
      <c r="H2164" s="1" t="str">
        <f t="shared" si="73"/>
        <v>Thursday</v>
      </c>
    </row>
    <row r="2165" spans="1:8" x14ac:dyDescent="0.3">
      <c r="A2165">
        <v>200955808</v>
      </c>
      <c r="B2165" s="1">
        <v>45078</v>
      </c>
      <c r="C2165" s="1">
        <v>45108</v>
      </c>
      <c r="D2165" t="s">
        <v>7</v>
      </c>
      <c r="E2165">
        <v>39</v>
      </c>
      <c r="F2165" t="s">
        <v>6</v>
      </c>
      <c r="G2165">
        <f t="shared" si="72"/>
        <v>30</v>
      </c>
      <c r="H2165" s="1" t="str">
        <f t="shared" si="73"/>
        <v>Thursday</v>
      </c>
    </row>
    <row r="2166" spans="1:8" x14ac:dyDescent="0.3">
      <c r="A2166">
        <v>216332850</v>
      </c>
      <c r="B2166" s="1">
        <v>45078</v>
      </c>
      <c r="C2166" s="1">
        <v>45139</v>
      </c>
      <c r="D2166" t="s">
        <v>7</v>
      </c>
      <c r="E2166">
        <v>39</v>
      </c>
      <c r="F2166" t="s">
        <v>6</v>
      </c>
      <c r="G2166">
        <f t="shared" si="72"/>
        <v>61</v>
      </c>
      <c r="H2166" s="1" t="str">
        <f t="shared" si="73"/>
        <v>Thursday</v>
      </c>
    </row>
    <row r="2167" spans="1:8" x14ac:dyDescent="0.3">
      <c r="A2167">
        <v>149986818</v>
      </c>
      <c r="B2167" s="1">
        <v>45079</v>
      </c>
      <c r="C2167" t="s">
        <v>19</v>
      </c>
      <c r="D2167" t="s">
        <v>7</v>
      </c>
      <c r="E2167">
        <v>39</v>
      </c>
      <c r="F2167" t="s">
        <v>6</v>
      </c>
      <c r="G2167" t="str">
        <f t="shared" si="72"/>
        <v>Active</v>
      </c>
      <c r="H2167" s="1" t="str">
        <f t="shared" si="73"/>
        <v>Friday</v>
      </c>
    </row>
    <row r="2168" spans="1:8" x14ac:dyDescent="0.3">
      <c r="A2168">
        <v>132579012</v>
      </c>
      <c r="B2168" s="1">
        <v>45079</v>
      </c>
      <c r="C2168" t="s">
        <v>19</v>
      </c>
      <c r="D2168" t="s">
        <v>7</v>
      </c>
      <c r="E2168">
        <v>39</v>
      </c>
      <c r="F2168" t="s">
        <v>6</v>
      </c>
      <c r="G2168" t="str">
        <f t="shared" si="72"/>
        <v>Active</v>
      </c>
      <c r="H2168" s="1" t="str">
        <f t="shared" si="73"/>
        <v>Friday</v>
      </c>
    </row>
    <row r="2169" spans="1:8" x14ac:dyDescent="0.3">
      <c r="A2169">
        <v>155529346</v>
      </c>
      <c r="B2169" s="1">
        <v>45079</v>
      </c>
      <c r="C2169" s="1">
        <v>45173</v>
      </c>
      <c r="D2169" t="s">
        <v>7</v>
      </c>
      <c r="E2169">
        <v>39</v>
      </c>
      <c r="F2169" t="s">
        <v>6</v>
      </c>
      <c r="G2169">
        <f t="shared" si="72"/>
        <v>94</v>
      </c>
      <c r="H2169" s="1" t="str">
        <f t="shared" si="73"/>
        <v>Friday</v>
      </c>
    </row>
    <row r="2170" spans="1:8" x14ac:dyDescent="0.3">
      <c r="A2170">
        <v>153085868</v>
      </c>
      <c r="B2170" s="1">
        <v>45079</v>
      </c>
      <c r="C2170" s="1">
        <v>45106</v>
      </c>
      <c r="D2170" t="s">
        <v>7</v>
      </c>
      <c r="E2170">
        <v>39</v>
      </c>
      <c r="F2170" t="s">
        <v>6</v>
      </c>
      <c r="G2170">
        <f t="shared" si="72"/>
        <v>27</v>
      </c>
      <c r="H2170" s="1" t="str">
        <f t="shared" si="73"/>
        <v>Friday</v>
      </c>
    </row>
    <row r="2171" spans="1:8" x14ac:dyDescent="0.3">
      <c r="A2171">
        <v>156702204</v>
      </c>
      <c r="B2171" s="1">
        <v>45079</v>
      </c>
      <c r="C2171" s="1">
        <v>45109</v>
      </c>
      <c r="D2171" t="s">
        <v>7</v>
      </c>
      <c r="E2171">
        <v>39</v>
      </c>
      <c r="F2171" t="s">
        <v>6</v>
      </c>
      <c r="G2171">
        <f t="shared" si="72"/>
        <v>30</v>
      </c>
      <c r="H2171" s="1" t="str">
        <f t="shared" si="73"/>
        <v>Friday</v>
      </c>
    </row>
    <row r="2172" spans="1:8" x14ac:dyDescent="0.3">
      <c r="A2172">
        <v>158177676</v>
      </c>
      <c r="B2172" s="1">
        <v>45079</v>
      </c>
      <c r="C2172" s="1">
        <v>45104</v>
      </c>
      <c r="D2172" t="s">
        <v>7</v>
      </c>
      <c r="E2172">
        <v>39</v>
      </c>
      <c r="F2172" t="s">
        <v>6</v>
      </c>
      <c r="G2172">
        <f t="shared" si="72"/>
        <v>25</v>
      </c>
      <c r="H2172" s="1" t="str">
        <f t="shared" si="73"/>
        <v>Friday</v>
      </c>
    </row>
    <row r="2173" spans="1:8" x14ac:dyDescent="0.3">
      <c r="A2173">
        <v>216423972</v>
      </c>
      <c r="B2173" s="1">
        <v>45079</v>
      </c>
      <c r="C2173" s="1">
        <v>45121</v>
      </c>
      <c r="D2173" t="s">
        <v>7</v>
      </c>
      <c r="E2173">
        <v>39</v>
      </c>
      <c r="F2173" t="s">
        <v>6</v>
      </c>
      <c r="G2173">
        <f t="shared" si="72"/>
        <v>42</v>
      </c>
      <c r="H2173" s="1" t="str">
        <f t="shared" si="73"/>
        <v>Friday</v>
      </c>
    </row>
    <row r="2174" spans="1:8" x14ac:dyDescent="0.3">
      <c r="A2174">
        <v>216533259</v>
      </c>
      <c r="B2174" s="1">
        <v>45080</v>
      </c>
      <c r="C2174" t="s">
        <v>19</v>
      </c>
      <c r="D2174" t="s">
        <v>7</v>
      </c>
      <c r="E2174">
        <v>39</v>
      </c>
      <c r="F2174" t="s">
        <v>6</v>
      </c>
      <c r="G2174" t="str">
        <f t="shared" si="72"/>
        <v>Active</v>
      </c>
      <c r="H2174" s="1" t="str">
        <f t="shared" si="73"/>
        <v>Saturday</v>
      </c>
    </row>
    <row r="2175" spans="1:8" x14ac:dyDescent="0.3">
      <c r="A2175">
        <v>204953211</v>
      </c>
      <c r="B2175" s="1">
        <v>45080</v>
      </c>
      <c r="C2175" t="s">
        <v>19</v>
      </c>
      <c r="D2175" t="s">
        <v>7</v>
      </c>
      <c r="E2175">
        <v>39</v>
      </c>
      <c r="F2175" t="s">
        <v>6</v>
      </c>
      <c r="G2175" t="str">
        <f t="shared" si="72"/>
        <v>Active</v>
      </c>
      <c r="H2175" s="1" t="str">
        <f t="shared" si="73"/>
        <v>Saturday</v>
      </c>
    </row>
    <row r="2176" spans="1:8" x14ac:dyDescent="0.3">
      <c r="A2176">
        <v>149112756</v>
      </c>
      <c r="B2176" s="1">
        <v>45080</v>
      </c>
      <c r="C2176" t="s">
        <v>19</v>
      </c>
      <c r="D2176" t="s">
        <v>7</v>
      </c>
      <c r="E2176">
        <v>39</v>
      </c>
      <c r="F2176" t="s">
        <v>6</v>
      </c>
      <c r="G2176" t="str">
        <f t="shared" si="72"/>
        <v>Active</v>
      </c>
      <c r="H2176" s="1" t="str">
        <f t="shared" si="73"/>
        <v>Saturday</v>
      </c>
    </row>
    <row r="2177" spans="1:8" x14ac:dyDescent="0.3">
      <c r="A2177">
        <v>216674420</v>
      </c>
      <c r="B2177" s="1">
        <v>45080</v>
      </c>
      <c r="C2177" s="1">
        <v>45081</v>
      </c>
      <c r="D2177" t="s">
        <v>8</v>
      </c>
      <c r="E2177">
        <v>39</v>
      </c>
      <c r="F2177" t="s">
        <v>6</v>
      </c>
      <c r="G2177">
        <f t="shared" si="72"/>
        <v>1</v>
      </c>
      <c r="H2177" s="1" t="str">
        <f t="shared" si="73"/>
        <v>Saturday</v>
      </c>
    </row>
    <row r="2178" spans="1:8" x14ac:dyDescent="0.3">
      <c r="A2178">
        <v>148225450</v>
      </c>
      <c r="B2178" s="1">
        <v>45080</v>
      </c>
      <c r="C2178" s="1">
        <v>45106</v>
      </c>
      <c r="D2178" t="s">
        <v>7</v>
      </c>
      <c r="E2178">
        <v>39</v>
      </c>
      <c r="F2178" t="s">
        <v>6</v>
      </c>
      <c r="G2178">
        <f t="shared" si="72"/>
        <v>26</v>
      </c>
      <c r="H2178" s="1" t="str">
        <f t="shared" si="73"/>
        <v>Saturday</v>
      </c>
    </row>
    <row r="2179" spans="1:8" x14ac:dyDescent="0.3">
      <c r="A2179">
        <v>216720172</v>
      </c>
      <c r="B2179" s="1">
        <v>45080</v>
      </c>
      <c r="C2179" s="1">
        <v>45097</v>
      </c>
      <c r="D2179" t="s">
        <v>7</v>
      </c>
      <c r="E2179">
        <v>39</v>
      </c>
      <c r="F2179" t="s">
        <v>6</v>
      </c>
      <c r="G2179">
        <f t="shared" ref="G2179:G2242" si="74">IF(C2179="Active","Active",C2179-B2179)</f>
        <v>17</v>
      </c>
      <c r="H2179" s="1" t="str">
        <f t="shared" ref="H2179:H2242" si="75">TEXT(B2179,"dddd")</f>
        <v>Saturday</v>
      </c>
    </row>
    <row r="2180" spans="1:8" x14ac:dyDescent="0.3">
      <c r="A2180">
        <v>204750804</v>
      </c>
      <c r="B2180" s="1">
        <v>45080</v>
      </c>
      <c r="C2180" s="1">
        <v>45104</v>
      </c>
      <c r="D2180" t="s">
        <v>7</v>
      </c>
      <c r="E2180">
        <v>39</v>
      </c>
      <c r="F2180" t="s">
        <v>6</v>
      </c>
      <c r="G2180">
        <f t="shared" si="74"/>
        <v>24</v>
      </c>
      <c r="H2180" s="1" t="str">
        <f t="shared" si="75"/>
        <v>Saturday</v>
      </c>
    </row>
    <row r="2181" spans="1:8" x14ac:dyDescent="0.3">
      <c r="A2181">
        <v>147798395</v>
      </c>
      <c r="B2181" s="1">
        <v>45081</v>
      </c>
      <c r="C2181" t="s">
        <v>19</v>
      </c>
      <c r="D2181" t="s">
        <v>7</v>
      </c>
      <c r="E2181">
        <v>39</v>
      </c>
      <c r="F2181" t="s">
        <v>6</v>
      </c>
      <c r="G2181" t="str">
        <f t="shared" si="74"/>
        <v>Active</v>
      </c>
      <c r="H2181" s="1" t="str">
        <f t="shared" si="75"/>
        <v>Sunday</v>
      </c>
    </row>
    <row r="2182" spans="1:8" x14ac:dyDescent="0.3">
      <c r="A2182">
        <v>216560949</v>
      </c>
      <c r="B2182" s="1">
        <v>45081</v>
      </c>
      <c r="C2182" s="1">
        <v>45112</v>
      </c>
      <c r="D2182" t="s">
        <v>7</v>
      </c>
      <c r="E2182">
        <v>39</v>
      </c>
      <c r="F2182" t="s">
        <v>6</v>
      </c>
      <c r="G2182">
        <f t="shared" si="74"/>
        <v>31</v>
      </c>
      <c r="H2182" s="1" t="str">
        <f t="shared" si="75"/>
        <v>Sunday</v>
      </c>
    </row>
    <row r="2183" spans="1:8" x14ac:dyDescent="0.3">
      <c r="A2183">
        <v>216743053</v>
      </c>
      <c r="B2183" s="1">
        <v>45081</v>
      </c>
      <c r="C2183" s="1">
        <v>45121</v>
      </c>
      <c r="D2183" t="s">
        <v>7</v>
      </c>
      <c r="E2183">
        <v>39</v>
      </c>
      <c r="F2183" t="s">
        <v>6</v>
      </c>
      <c r="G2183">
        <f t="shared" si="74"/>
        <v>40</v>
      </c>
      <c r="H2183" s="1" t="str">
        <f t="shared" si="75"/>
        <v>Sunday</v>
      </c>
    </row>
    <row r="2184" spans="1:8" x14ac:dyDescent="0.3">
      <c r="A2184">
        <v>149040748</v>
      </c>
      <c r="B2184" s="1">
        <v>45082</v>
      </c>
      <c r="C2184" t="s">
        <v>19</v>
      </c>
      <c r="D2184" t="s">
        <v>7</v>
      </c>
      <c r="E2184">
        <v>39</v>
      </c>
      <c r="F2184" t="s">
        <v>6</v>
      </c>
      <c r="G2184" t="str">
        <f t="shared" si="74"/>
        <v>Active</v>
      </c>
      <c r="H2184" s="1" t="str">
        <f t="shared" si="75"/>
        <v>Monday</v>
      </c>
    </row>
    <row r="2185" spans="1:8" x14ac:dyDescent="0.3">
      <c r="A2185">
        <v>206939746</v>
      </c>
      <c r="B2185" s="1">
        <v>45082</v>
      </c>
      <c r="C2185" t="s">
        <v>19</v>
      </c>
      <c r="D2185" t="s">
        <v>7</v>
      </c>
      <c r="E2185">
        <v>39</v>
      </c>
      <c r="F2185" t="s">
        <v>6</v>
      </c>
      <c r="G2185" t="str">
        <f t="shared" si="74"/>
        <v>Active</v>
      </c>
      <c r="H2185" s="1" t="str">
        <f t="shared" si="75"/>
        <v>Monday</v>
      </c>
    </row>
    <row r="2186" spans="1:8" x14ac:dyDescent="0.3">
      <c r="A2186">
        <v>216845223</v>
      </c>
      <c r="B2186" s="1">
        <v>45082</v>
      </c>
      <c r="C2186" t="s">
        <v>19</v>
      </c>
      <c r="D2186" t="s">
        <v>7</v>
      </c>
      <c r="E2186">
        <v>39</v>
      </c>
      <c r="F2186" t="s">
        <v>6</v>
      </c>
      <c r="G2186" t="str">
        <f t="shared" si="74"/>
        <v>Active</v>
      </c>
      <c r="H2186" s="1" t="str">
        <f t="shared" si="75"/>
        <v>Monday</v>
      </c>
    </row>
    <row r="2187" spans="1:8" x14ac:dyDescent="0.3">
      <c r="A2187">
        <v>124876382</v>
      </c>
      <c r="B2187" s="1">
        <v>45082</v>
      </c>
      <c r="C2187" s="1">
        <v>45150</v>
      </c>
      <c r="D2187" t="s">
        <v>7</v>
      </c>
      <c r="E2187">
        <v>39</v>
      </c>
      <c r="F2187" t="s">
        <v>6</v>
      </c>
      <c r="G2187">
        <f t="shared" si="74"/>
        <v>68</v>
      </c>
      <c r="H2187" s="1" t="str">
        <f t="shared" si="75"/>
        <v>Monday</v>
      </c>
    </row>
    <row r="2188" spans="1:8" x14ac:dyDescent="0.3">
      <c r="A2188">
        <v>168485609</v>
      </c>
      <c r="B2188" s="1">
        <v>45082</v>
      </c>
      <c r="C2188" s="1">
        <v>45158</v>
      </c>
      <c r="D2188" t="s">
        <v>7</v>
      </c>
      <c r="E2188">
        <v>39</v>
      </c>
      <c r="F2188" t="s">
        <v>6</v>
      </c>
      <c r="G2188">
        <f t="shared" si="74"/>
        <v>76</v>
      </c>
      <c r="H2188" s="1" t="str">
        <f t="shared" si="75"/>
        <v>Monday</v>
      </c>
    </row>
    <row r="2189" spans="1:8" x14ac:dyDescent="0.3">
      <c r="A2189">
        <v>216888206</v>
      </c>
      <c r="B2189" s="1">
        <v>45082</v>
      </c>
      <c r="C2189" s="1">
        <v>45172</v>
      </c>
      <c r="D2189" t="s">
        <v>7</v>
      </c>
      <c r="E2189">
        <v>39</v>
      </c>
      <c r="F2189" t="s">
        <v>6</v>
      </c>
      <c r="G2189">
        <f t="shared" si="74"/>
        <v>90</v>
      </c>
      <c r="H2189" s="1" t="str">
        <f t="shared" si="75"/>
        <v>Monday</v>
      </c>
    </row>
    <row r="2190" spans="1:8" x14ac:dyDescent="0.3">
      <c r="A2190">
        <v>216957502</v>
      </c>
      <c r="B2190" s="1">
        <v>45083</v>
      </c>
      <c r="C2190" t="s">
        <v>19</v>
      </c>
      <c r="D2190" t="s">
        <v>7</v>
      </c>
      <c r="E2190">
        <v>39</v>
      </c>
      <c r="F2190" t="s">
        <v>6</v>
      </c>
      <c r="G2190" t="str">
        <f t="shared" si="74"/>
        <v>Active</v>
      </c>
      <c r="H2190" s="1" t="str">
        <f t="shared" si="75"/>
        <v>Tuesday</v>
      </c>
    </row>
    <row r="2191" spans="1:8" x14ac:dyDescent="0.3">
      <c r="A2191">
        <v>215840282</v>
      </c>
      <c r="B2191" s="1">
        <v>45083</v>
      </c>
      <c r="C2191" t="s">
        <v>19</v>
      </c>
      <c r="D2191" t="s">
        <v>7</v>
      </c>
      <c r="E2191">
        <v>39</v>
      </c>
      <c r="F2191" t="s">
        <v>6</v>
      </c>
      <c r="G2191" t="str">
        <f t="shared" si="74"/>
        <v>Active</v>
      </c>
      <c r="H2191" s="1" t="str">
        <f t="shared" si="75"/>
        <v>Tuesday</v>
      </c>
    </row>
    <row r="2192" spans="1:8" x14ac:dyDescent="0.3">
      <c r="A2192">
        <v>216311456</v>
      </c>
      <c r="B2192" s="1">
        <v>45083</v>
      </c>
      <c r="C2192" t="s">
        <v>19</v>
      </c>
      <c r="D2192" t="s">
        <v>7</v>
      </c>
      <c r="E2192">
        <v>39</v>
      </c>
      <c r="F2192" t="s">
        <v>6</v>
      </c>
      <c r="G2192" t="str">
        <f t="shared" si="74"/>
        <v>Active</v>
      </c>
      <c r="H2192" s="1" t="str">
        <f t="shared" si="75"/>
        <v>Tuesday</v>
      </c>
    </row>
    <row r="2193" spans="1:8" x14ac:dyDescent="0.3">
      <c r="A2193">
        <v>155088727</v>
      </c>
      <c r="B2193" s="1">
        <v>45083</v>
      </c>
      <c r="C2193" t="s">
        <v>19</v>
      </c>
      <c r="D2193" t="s">
        <v>7</v>
      </c>
      <c r="E2193">
        <v>39</v>
      </c>
      <c r="F2193" t="s">
        <v>6</v>
      </c>
      <c r="G2193" t="str">
        <f t="shared" si="74"/>
        <v>Active</v>
      </c>
      <c r="H2193" s="1" t="str">
        <f t="shared" si="75"/>
        <v>Tuesday</v>
      </c>
    </row>
    <row r="2194" spans="1:8" x14ac:dyDescent="0.3">
      <c r="A2194">
        <v>216925191</v>
      </c>
      <c r="B2194" s="1">
        <v>45083</v>
      </c>
      <c r="C2194" s="1">
        <v>45090</v>
      </c>
      <c r="D2194" t="s">
        <v>7</v>
      </c>
      <c r="E2194">
        <v>39</v>
      </c>
      <c r="F2194" t="s">
        <v>6</v>
      </c>
      <c r="G2194">
        <f t="shared" si="74"/>
        <v>7</v>
      </c>
      <c r="H2194" s="1" t="str">
        <f t="shared" si="75"/>
        <v>Tuesday</v>
      </c>
    </row>
    <row r="2195" spans="1:8" x14ac:dyDescent="0.3">
      <c r="A2195">
        <v>216924741</v>
      </c>
      <c r="B2195" s="1">
        <v>45083</v>
      </c>
      <c r="C2195" s="1">
        <v>45160</v>
      </c>
      <c r="D2195" t="s">
        <v>7</v>
      </c>
      <c r="E2195">
        <v>39</v>
      </c>
      <c r="F2195" t="s">
        <v>6</v>
      </c>
      <c r="G2195">
        <f t="shared" si="74"/>
        <v>77</v>
      </c>
      <c r="H2195" s="1" t="str">
        <f t="shared" si="75"/>
        <v>Tuesday</v>
      </c>
    </row>
    <row r="2196" spans="1:8" x14ac:dyDescent="0.3">
      <c r="A2196">
        <v>194347007</v>
      </c>
      <c r="B2196" s="1">
        <v>45083</v>
      </c>
      <c r="C2196" s="1">
        <v>45120</v>
      </c>
      <c r="D2196" t="s">
        <v>7</v>
      </c>
      <c r="E2196">
        <v>39</v>
      </c>
      <c r="F2196" t="s">
        <v>6</v>
      </c>
      <c r="G2196">
        <f t="shared" si="74"/>
        <v>37</v>
      </c>
      <c r="H2196" s="1" t="str">
        <f t="shared" si="75"/>
        <v>Tuesday</v>
      </c>
    </row>
    <row r="2197" spans="1:8" x14ac:dyDescent="0.3">
      <c r="A2197">
        <v>217067696</v>
      </c>
      <c r="B2197" s="1">
        <v>45084</v>
      </c>
      <c r="C2197" t="s">
        <v>19</v>
      </c>
      <c r="D2197" t="s">
        <v>7</v>
      </c>
      <c r="E2197">
        <v>39</v>
      </c>
      <c r="F2197" t="s">
        <v>6</v>
      </c>
      <c r="G2197" t="str">
        <f t="shared" si="74"/>
        <v>Active</v>
      </c>
      <c r="H2197" s="1" t="str">
        <f t="shared" si="75"/>
        <v>Wednesday</v>
      </c>
    </row>
    <row r="2198" spans="1:8" x14ac:dyDescent="0.3">
      <c r="A2198">
        <v>217012406</v>
      </c>
      <c r="B2198" s="1">
        <v>45084</v>
      </c>
      <c r="C2198" t="s">
        <v>19</v>
      </c>
      <c r="D2198" t="s">
        <v>7</v>
      </c>
      <c r="E2198">
        <v>39</v>
      </c>
      <c r="F2198" t="s">
        <v>6</v>
      </c>
      <c r="G2198" t="str">
        <f t="shared" si="74"/>
        <v>Active</v>
      </c>
      <c r="H2198" s="1" t="str">
        <f t="shared" si="75"/>
        <v>Wednesday</v>
      </c>
    </row>
    <row r="2199" spans="1:8" x14ac:dyDescent="0.3">
      <c r="A2199">
        <v>216345770</v>
      </c>
      <c r="B2199" s="1">
        <v>45084</v>
      </c>
      <c r="C2199" t="s">
        <v>19</v>
      </c>
      <c r="D2199" t="s">
        <v>7</v>
      </c>
      <c r="E2199">
        <v>39</v>
      </c>
      <c r="F2199" t="s">
        <v>6</v>
      </c>
      <c r="G2199" t="str">
        <f t="shared" si="74"/>
        <v>Active</v>
      </c>
      <c r="H2199" s="1" t="str">
        <f t="shared" si="75"/>
        <v>Wednesday</v>
      </c>
    </row>
    <row r="2200" spans="1:8" x14ac:dyDescent="0.3">
      <c r="A2200">
        <v>215654770</v>
      </c>
      <c r="B2200" s="1">
        <v>45084</v>
      </c>
      <c r="C2200" t="s">
        <v>19</v>
      </c>
      <c r="D2200" t="s">
        <v>7</v>
      </c>
      <c r="E2200">
        <v>39</v>
      </c>
      <c r="F2200" t="s">
        <v>6</v>
      </c>
      <c r="G2200" t="str">
        <f t="shared" si="74"/>
        <v>Active</v>
      </c>
      <c r="H2200" s="1" t="str">
        <f t="shared" si="75"/>
        <v>Wednesday</v>
      </c>
    </row>
    <row r="2201" spans="1:8" x14ac:dyDescent="0.3">
      <c r="A2201">
        <v>217044528</v>
      </c>
      <c r="B2201" s="1">
        <v>45084</v>
      </c>
      <c r="C2201" t="s">
        <v>19</v>
      </c>
      <c r="D2201" t="s">
        <v>7</v>
      </c>
      <c r="E2201">
        <v>39</v>
      </c>
      <c r="F2201" t="s">
        <v>6</v>
      </c>
      <c r="G2201" t="str">
        <f t="shared" si="74"/>
        <v>Active</v>
      </c>
      <c r="H2201" s="1" t="str">
        <f t="shared" si="75"/>
        <v>Wednesday</v>
      </c>
    </row>
    <row r="2202" spans="1:8" x14ac:dyDescent="0.3">
      <c r="A2202">
        <v>217031352</v>
      </c>
      <c r="B2202" s="1">
        <v>45084</v>
      </c>
      <c r="C2202" t="s">
        <v>19</v>
      </c>
      <c r="D2202" t="s">
        <v>7</v>
      </c>
      <c r="E2202">
        <v>39</v>
      </c>
      <c r="F2202" t="s">
        <v>6</v>
      </c>
      <c r="G2202" t="str">
        <f t="shared" si="74"/>
        <v>Active</v>
      </c>
      <c r="H2202" s="1" t="str">
        <f t="shared" si="75"/>
        <v>Wednesday</v>
      </c>
    </row>
    <row r="2203" spans="1:8" x14ac:dyDescent="0.3">
      <c r="A2203">
        <v>146450388</v>
      </c>
      <c r="B2203" s="1">
        <v>45084</v>
      </c>
      <c r="C2203" t="s">
        <v>19</v>
      </c>
      <c r="D2203" t="s">
        <v>7</v>
      </c>
      <c r="E2203">
        <v>39</v>
      </c>
      <c r="F2203" t="s">
        <v>6</v>
      </c>
      <c r="G2203" t="str">
        <f t="shared" si="74"/>
        <v>Active</v>
      </c>
      <c r="H2203" s="1" t="str">
        <f t="shared" si="75"/>
        <v>Wednesday</v>
      </c>
    </row>
    <row r="2204" spans="1:8" x14ac:dyDescent="0.3">
      <c r="A2204">
        <v>153374748</v>
      </c>
      <c r="B2204" s="1">
        <v>45084</v>
      </c>
      <c r="C2204" s="1">
        <v>45169</v>
      </c>
      <c r="D2204" t="s">
        <v>7</v>
      </c>
      <c r="E2204">
        <v>39</v>
      </c>
      <c r="F2204" t="s">
        <v>6</v>
      </c>
      <c r="G2204">
        <f t="shared" si="74"/>
        <v>85</v>
      </c>
      <c r="H2204" s="1" t="str">
        <f t="shared" si="75"/>
        <v>Wednesday</v>
      </c>
    </row>
    <row r="2205" spans="1:8" x14ac:dyDescent="0.3">
      <c r="A2205">
        <v>217065874</v>
      </c>
      <c r="B2205" s="1">
        <v>45084</v>
      </c>
      <c r="C2205" s="1">
        <v>45106</v>
      </c>
      <c r="D2205" t="s">
        <v>7</v>
      </c>
      <c r="E2205">
        <v>39</v>
      </c>
      <c r="F2205" t="s">
        <v>6</v>
      </c>
      <c r="G2205">
        <f t="shared" si="74"/>
        <v>22</v>
      </c>
      <c r="H2205" s="1" t="str">
        <f t="shared" si="75"/>
        <v>Wednesday</v>
      </c>
    </row>
    <row r="2206" spans="1:8" x14ac:dyDescent="0.3">
      <c r="A2206">
        <v>216622895</v>
      </c>
      <c r="B2206" s="1">
        <v>45084</v>
      </c>
      <c r="C2206" s="1">
        <v>45152</v>
      </c>
      <c r="D2206" t="s">
        <v>7</v>
      </c>
      <c r="E2206">
        <v>39</v>
      </c>
      <c r="F2206" t="s">
        <v>6</v>
      </c>
      <c r="G2206">
        <f t="shared" si="74"/>
        <v>68</v>
      </c>
      <c r="H2206" s="1" t="str">
        <f t="shared" si="75"/>
        <v>Wednesday</v>
      </c>
    </row>
    <row r="2207" spans="1:8" x14ac:dyDescent="0.3">
      <c r="A2207">
        <v>216907852</v>
      </c>
      <c r="B2207" s="1">
        <v>45084</v>
      </c>
      <c r="C2207" s="1">
        <v>45116</v>
      </c>
      <c r="D2207" t="s">
        <v>7</v>
      </c>
      <c r="E2207">
        <v>39</v>
      </c>
      <c r="F2207" t="s">
        <v>6</v>
      </c>
      <c r="G2207">
        <f t="shared" si="74"/>
        <v>32</v>
      </c>
      <c r="H2207" s="1" t="str">
        <f t="shared" si="75"/>
        <v>Wednesday</v>
      </c>
    </row>
    <row r="2208" spans="1:8" x14ac:dyDescent="0.3">
      <c r="A2208">
        <v>217054126</v>
      </c>
      <c r="B2208" s="1">
        <v>45085</v>
      </c>
      <c r="C2208" t="s">
        <v>19</v>
      </c>
      <c r="D2208" t="s">
        <v>7</v>
      </c>
      <c r="E2208">
        <v>39</v>
      </c>
      <c r="F2208" t="s">
        <v>6</v>
      </c>
      <c r="G2208" t="str">
        <f t="shared" si="74"/>
        <v>Active</v>
      </c>
      <c r="H2208" s="1" t="str">
        <f t="shared" si="75"/>
        <v>Thursday</v>
      </c>
    </row>
    <row r="2209" spans="1:8" x14ac:dyDescent="0.3">
      <c r="A2209">
        <v>206001231</v>
      </c>
      <c r="B2209" s="1">
        <v>45085</v>
      </c>
      <c r="C2209" t="s">
        <v>19</v>
      </c>
      <c r="D2209" t="s">
        <v>7</v>
      </c>
      <c r="E2209">
        <v>39</v>
      </c>
      <c r="F2209" t="s">
        <v>6</v>
      </c>
      <c r="G2209" t="str">
        <f t="shared" si="74"/>
        <v>Active</v>
      </c>
      <c r="H2209" s="1" t="str">
        <f t="shared" si="75"/>
        <v>Thursday</v>
      </c>
    </row>
    <row r="2210" spans="1:8" x14ac:dyDescent="0.3">
      <c r="A2210">
        <v>216925136</v>
      </c>
      <c r="B2210" s="1">
        <v>45085</v>
      </c>
      <c r="C2210" t="s">
        <v>19</v>
      </c>
      <c r="D2210" t="s">
        <v>7</v>
      </c>
      <c r="E2210">
        <v>39</v>
      </c>
      <c r="F2210" t="s">
        <v>6</v>
      </c>
      <c r="G2210" t="str">
        <f t="shared" si="74"/>
        <v>Active</v>
      </c>
      <c r="H2210" s="1" t="str">
        <f t="shared" si="75"/>
        <v>Thursday</v>
      </c>
    </row>
    <row r="2211" spans="1:8" x14ac:dyDescent="0.3">
      <c r="A2211">
        <v>217094352</v>
      </c>
      <c r="B2211" s="1">
        <v>45085</v>
      </c>
      <c r="C2211" s="1">
        <v>45109</v>
      </c>
      <c r="D2211" t="s">
        <v>7</v>
      </c>
      <c r="E2211">
        <v>39</v>
      </c>
      <c r="F2211" t="s">
        <v>6</v>
      </c>
      <c r="G2211">
        <f t="shared" si="74"/>
        <v>24</v>
      </c>
      <c r="H2211" s="1" t="str">
        <f t="shared" si="75"/>
        <v>Thursday</v>
      </c>
    </row>
    <row r="2212" spans="1:8" x14ac:dyDescent="0.3">
      <c r="A2212">
        <v>206891818</v>
      </c>
      <c r="B2212" s="1">
        <v>45085</v>
      </c>
      <c r="C2212" s="1">
        <v>45105</v>
      </c>
      <c r="D2212" t="s">
        <v>7</v>
      </c>
      <c r="E2212">
        <v>39</v>
      </c>
      <c r="F2212" t="s">
        <v>6</v>
      </c>
      <c r="G2212">
        <f t="shared" si="74"/>
        <v>20</v>
      </c>
      <c r="H2212" s="1" t="str">
        <f t="shared" si="75"/>
        <v>Thursday</v>
      </c>
    </row>
    <row r="2213" spans="1:8" x14ac:dyDescent="0.3">
      <c r="A2213">
        <v>217084888</v>
      </c>
      <c r="B2213" s="1">
        <v>45085</v>
      </c>
      <c r="C2213" s="1">
        <v>45085</v>
      </c>
      <c r="D2213" t="s">
        <v>7</v>
      </c>
      <c r="E2213">
        <v>39</v>
      </c>
      <c r="F2213" t="s">
        <v>6</v>
      </c>
      <c r="G2213">
        <f t="shared" si="74"/>
        <v>0</v>
      </c>
      <c r="H2213" s="1" t="str">
        <f t="shared" si="75"/>
        <v>Thursday</v>
      </c>
    </row>
    <row r="2214" spans="1:8" x14ac:dyDescent="0.3">
      <c r="A2214">
        <v>216624401</v>
      </c>
      <c r="B2214" s="1">
        <v>45085</v>
      </c>
      <c r="C2214" s="1">
        <v>45105</v>
      </c>
      <c r="D2214" t="s">
        <v>7</v>
      </c>
      <c r="E2214">
        <v>39</v>
      </c>
      <c r="F2214" t="s">
        <v>6</v>
      </c>
      <c r="G2214">
        <f t="shared" si="74"/>
        <v>20</v>
      </c>
      <c r="H2214" s="1" t="str">
        <f t="shared" si="75"/>
        <v>Thursday</v>
      </c>
    </row>
    <row r="2215" spans="1:8" x14ac:dyDescent="0.3">
      <c r="A2215">
        <v>216795282</v>
      </c>
      <c r="B2215" s="1">
        <v>45085</v>
      </c>
      <c r="C2215" s="1">
        <v>45130</v>
      </c>
      <c r="D2215" t="s">
        <v>7</v>
      </c>
      <c r="E2215">
        <v>39</v>
      </c>
      <c r="F2215" t="s">
        <v>6</v>
      </c>
      <c r="G2215">
        <f t="shared" si="74"/>
        <v>45</v>
      </c>
      <c r="H2215" s="1" t="str">
        <f t="shared" si="75"/>
        <v>Thursday</v>
      </c>
    </row>
    <row r="2216" spans="1:8" x14ac:dyDescent="0.3">
      <c r="A2216">
        <v>174646924</v>
      </c>
      <c r="B2216" s="1">
        <v>45086</v>
      </c>
      <c r="C2216" t="s">
        <v>19</v>
      </c>
      <c r="D2216" t="s">
        <v>7</v>
      </c>
      <c r="E2216">
        <v>39</v>
      </c>
      <c r="F2216" t="s">
        <v>6</v>
      </c>
      <c r="G2216" t="str">
        <f t="shared" si="74"/>
        <v>Active</v>
      </c>
      <c r="H2216" s="1" t="str">
        <f t="shared" si="75"/>
        <v>Friday</v>
      </c>
    </row>
    <row r="2217" spans="1:8" x14ac:dyDescent="0.3">
      <c r="A2217">
        <v>217123644</v>
      </c>
      <c r="B2217" s="1">
        <v>45086</v>
      </c>
      <c r="C2217" t="s">
        <v>19</v>
      </c>
      <c r="D2217" t="s">
        <v>7</v>
      </c>
      <c r="E2217">
        <v>39</v>
      </c>
      <c r="F2217" t="s">
        <v>6</v>
      </c>
      <c r="G2217" t="str">
        <f t="shared" si="74"/>
        <v>Active</v>
      </c>
      <c r="H2217" s="1" t="str">
        <f t="shared" si="75"/>
        <v>Friday</v>
      </c>
    </row>
    <row r="2218" spans="1:8" x14ac:dyDescent="0.3">
      <c r="A2218">
        <v>217104490</v>
      </c>
      <c r="B2218" s="1">
        <v>45086</v>
      </c>
      <c r="C2218" t="s">
        <v>19</v>
      </c>
      <c r="D2218" t="s">
        <v>7</v>
      </c>
      <c r="E2218">
        <v>39</v>
      </c>
      <c r="F2218" t="s">
        <v>6</v>
      </c>
      <c r="G2218" t="str">
        <f t="shared" si="74"/>
        <v>Active</v>
      </c>
      <c r="H2218" s="1" t="str">
        <f t="shared" si="75"/>
        <v>Friday</v>
      </c>
    </row>
    <row r="2219" spans="1:8" x14ac:dyDescent="0.3">
      <c r="A2219">
        <v>153349708</v>
      </c>
      <c r="B2219" s="1">
        <v>45086</v>
      </c>
      <c r="C2219" t="s">
        <v>19</v>
      </c>
      <c r="D2219" t="s">
        <v>7</v>
      </c>
      <c r="E2219">
        <v>39</v>
      </c>
      <c r="F2219" t="s">
        <v>6</v>
      </c>
      <c r="G2219" t="str">
        <f t="shared" si="74"/>
        <v>Active</v>
      </c>
      <c r="H2219" s="1" t="str">
        <f t="shared" si="75"/>
        <v>Friday</v>
      </c>
    </row>
    <row r="2220" spans="1:8" x14ac:dyDescent="0.3">
      <c r="A2220">
        <v>153876204</v>
      </c>
      <c r="B2220" s="1">
        <v>45086</v>
      </c>
      <c r="C2220" s="1">
        <v>45087</v>
      </c>
      <c r="D2220" t="s">
        <v>7</v>
      </c>
      <c r="E2220">
        <v>39</v>
      </c>
      <c r="F2220" t="s">
        <v>6</v>
      </c>
      <c r="G2220">
        <f t="shared" si="74"/>
        <v>1</v>
      </c>
      <c r="H2220" s="1" t="str">
        <f t="shared" si="75"/>
        <v>Friday</v>
      </c>
    </row>
    <row r="2221" spans="1:8" x14ac:dyDescent="0.3">
      <c r="A2221">
        <v>132442956</v>
      </c>
      <c r="B2221" s="1">
        <v>45086</v>
      </c>
      <c r="C2221" s="1">
        <v>45135</v>
      </c>
      <c r="D2221" t="s">
        <v>7</v>
      </c>
      <c r="E2221">
        <v>39</v>
      </c>
      <c r="F2221" t="s">
        <v>6</v>
      </c>
      <c r="G2221">
        <f t="shared" si="74"/>
        <v>49</v>
      </c>
      <c r="H2221" s="1" t="str">
        <f t="shared" si="75"/>
        <v>Friday</v>
      </c>
    </row>
    <row r="2222" spans="1:8" x14ac:dyDescent="0.3">
      <c r="A2222">
        <v>130331160</v>
      </c>
      <c r="B2222" s="1">
        <v>45086</v>
      </c>
      <c r="C2222" s="1">
        <v>45109</v>
      </c>
      <c r="D2222" t="s">
        <v>7</v>
      </c>
      <c r="E2222">
        <v>39</v>
      </c>
      <c r="F2222" t="s">
        <v>6</v>
      </c>
      <c r="G2222">
        <f t="shared" si="74"/>
        <v>23</v>
      </c>
      <c r="H2222" s="1" t="str">
        <f t="shared" si="75"/>
        <v>Friday</v>
      </c>
    </row>
    <row r="2223" spans="1:8" x14ac:dyDescent="0.3">
      <c r="A2223">
        <v>216225148</v>
      </c>
      <c r="B2223" s="1">
        <v>45086</v>
      </c>
      <c r="C2223" s="1">
        <v>45086</v>
      </c>
      <c r="D2223" t="s">
        <v>7</v>
      </c>
      <c r="E2223">
        <v>39</v>
      </c>
      <c r="F2223" t="s">
        <v>6</v>
      </c>
      <c r="G2223">
        <f t="shared" si="74"/>
        <v>0</v>
      </c>
      <c r="H2223" s="1" t="str">
        <f t="shared" si="75"/>
        <v>Friday</v>
      </c>
    </row>
    <row r="2224" spans="1:8" x14ac:dyDescent="0.3">
      <c r="A2224">
        <v>161187748</v>
      </c>
      <c r="B2224" s="1">
        <v>45086</v>
      </c>
      <c r="C2224" s="1">
        <v>45131</v>
      </c>
      <c r="D2224" t="s">
        <v>7</v>
      </c>
      <c r="E2224">
        <v>39</v>
      </c>
      <c r="F2224" t="s">
        <v>6</v>
      </c>
      <c r="G2224">
        <f t="shared" si="74"/>
        <v>45</v>
      </c>
      <c r="H2224" s="1" t="str">
        <f t="shared" si="75"/>
        <v>Friday</v>
      </c>
    </row>
    <row r="2225" spans="1:8" x14ac:dyDescent="0.3">
      <c r="A2225">
        <v>217137211</v>
      </c>
      <c r="B2225" s="1">
        <v>45086</v>
      </c>
      <c r="C2225" s="1">
        <v>45123</v>
      </c>
      <c r="D2225" t="s">
        <v>7</v>
      </c>
      <c r="E2225">
        <v>39</v>
      </c>
      <c r="F2225" t="s">
        <v>6</v>
      </c>
      <c r="G2225">
        <f t="shared" si="74"/>
        <v>37</v>
      </c>
      <c r="H2225" s="1" t="str">
        <f t="shared" si="75"/>
        <v>Friday</v>
      </c>
    </row>
    <row r="2226" spans="1:8" x14ac:dyDescent="0.3">
      <c r="A2226">
        <v>180796559</v>
      </c>
      <c r="B2226" s="1">
        <v>45086</v>
      </c>
      <c r="C2226" s="1">
        <v>45123</v>
      </c>
      <c r="D2226" t="s">
        <v>7</v>
      </c>
      <c r="E2226">
        <v>39</v>
      </c>
      <c r="F2226" t="s">
        <v>6</v>
      </c>
      <c r="G2226">
        <f t="shared" si="74"/>
        <v>37</v>
      </c>
      <c r="H2226" s="1" t="str">
        <f t="shared" si="75"/>
        <v>Friday</v>
      </c>
    </row>
    <row r="2227" spans="1:8" x14ac:dyDescent="0.3">
      <c r="A2227">
        <v>168200039</v>
      </c>
      <c r="B2227" s="1">
        <v>45087</v>
      </c>
      <c r="C2227" s="1">
        <v>45088</v>
      </c>
      <c r="D2227" t="s">
        <v>7</v>
      </c>
      <c r="E2227">
        <v>39</v>
      </c>
      <c r="F2227" t="s">
        <v>6</v>
      </c>
      <c r="G2227">
        <f t="shared" si="74"/>
        <v>1</v>
      </c>
      <c r="H2227" s="1" t="str">
        <f t="shared" si="75"/>
        <v>Saturday</v>
      </c>
    </row>
    <row r="2228" spans="1:8" x14ac:dyDescent="0.3">
      <c r="A2228">
        <v>217110396</v>
      </c>
      <c r="B2228" s="1">
        <v>45087</v>
      </c>
      <c r="C2228" s="1">
        <v>45101</v>
      </c>
      <c r="D2228" t="s">
        <v>7</v>
      </c>
      <c r="E2228">
        <v>39</v>
      </c>
      <c r="F2228" t="s">
        <v>6</v>
      </c>
      <c r="G2228">
        <f t="shared" si="74"/>
        <v>14</v>
      </c>
      <c r="H2228" s="1" t="str">
        <f t="shared" si="75"/>
        <v>Saturday</v>
      </c>
    </row>
    <row r="2229" spans="1:8" x14ac:dyDescent="0.3">
      <c r="A2229">
        <v>217159016</v>
      </c>
      <c r="B2229" s="1">
        <v>45087</v>
      </c>
      <c r="C2229" s="1">
        <v>45149</v>
      </c>
      <c r="D2229" t="s">
        <v>7</v>
      </c>
      <c r="E2229">
        <v>39</v>
      </c>
      <c r="F2229" t="s">
        <v>6</v>
      </c>
      <c r="G2229">
        <f t="shared" si="74"/>
        <v>62</v>
      </c>
      <c r="H2229" s="1" t="str">
        <f t="shared" si="75"/>
        <v>Saturday</v>
      </c>
    </row>
    <row r="2230" spans="1:8" x14ac:dyDescent="0.3">
      <c r="A2230">
        <v>217215106</v>
      </c>
      <c r="B2230" s="1">
        <v>45088</v>
      </c>
      <c r="C2230" t="s">
        <v>19</v>
      </c>
      <c r="D2230" t="s">
        <v>7</v>
      </c>
      <c r="E2230">
        <v>39</v>
      </c>
      <c r="F2230" t="s">
        <v>6</v>
      </c>
      <c r="G2230" t="str">
        <f t="shared" si="74"/>
        <v>Active</v>
      </c>
      <c r="H2230" s="1" t="str">
        <f t="shared" si="75"/>
        <v>Sunday</v>
      </c>
    </row>
    <row r="2231" spans="1:8" x14ac:dyDescent="0.3">
      <c r="A2231">
        <v>129819604</v>
      </c>
      <c r="B2231" s="1">
        <v>45088</v>
      </c>
      <c r="C2231" s="1">
        <v>45125</v>
      </c>
      <c r="D2231" t="s">
        <v>7</v>
      </c>
      <c r="E2231">
        <v>39</v>
      </c>
      <c r="F2231" t="s">
        <v>6</v>
      </c>
      <c r="G2231">
        <f t="shared" si="74"/>
        <v>37</v>
      </c>
      <c r="H2231" s="1" t="str">
        <f t="shared" si="75"/>
        <v>Sunday</v>
      </c>
    </row>
    <row r="2232" spans="1:8" x14ac:dyDescent="0.3">
      <c r="A2232">
        <v>217208086</v>
      </c>
      <c r="B2232" s="1">
        <v>45088</v>
      </c>
      <c r="C2232" s="1">
        <v>45133</v>
      </c>
      <c r="D2232" t="s">
        <v>7</v>
      </c>
      <c r="E2232">
        <v>39</v>
      </c>
      <c r="F2232" t="s">
        <v>6</v>
      </c>
      <c r="G2232">
        <f t="shared" si="74"/>
        <v>45</v>
      </c>
      <c r="H2232" s="1" t="str">
        <f t="shared" si="75"/>
        <v>Sunday</v>
      </c>
    </row>
    <row r="2233" spans="1:8" x14ac:dyDescent="0.3">
      <c r="A2233">
        <v>215534470</v>
      </c>
      <c r="B2233" s="1">
        <v>45088</v>
      </c>
      <c r="C2233" s="1">
        <v>45125</v>
      </c>
      <c r="D2233" t="s">
        <v>7</v>
      </c>
      <c r="E2233">
        <v>39</v>
      </c>
      <c r="F2233" t="s">
        <v>6</v>
      </c>
      <c r="G2233">
        <f t="shared" si="74"/>
        <v>37</v>
      </c>
      <c r="H2233" s="1" t="str">
        <f t="shared" si="75"/>
        <v>Sunday</v>
      </c>
    </row>
    <row r="2234" spans="1:8" x14ac:dyDescent="0.3">
      <c r="A2234">
        <v>217277033</v>
      </c>
      <c r="B2234" s="1">
        <v>45089</v>
      </c>
      <c r="C2234" t="s">
        <v>19</v>
      </c>
      <c r="D2234" t="s">
        <v>7</v>
      </c>
      <c r="E2234">
        <v>39</v>
      </c>
      <c r="F2234" t="s">
        <v>6</v>
      </c>
      <c r="G2234" t="str">
        <f t="shared" si="74"/>
        <v>Active</v>
      </c>
      <c r="H2234" s="1" t="str">
        <f t="shared" si="75"/>
        <v>Monday</v>
      </c>
    </row>
    <row r="2235" spans="1:8" x14ac:dyDescent="0.3">
      <c r="A2235">
        <v>136199071</v>
      </c>
      <c r="B2235" s="1">
        <v>45089</v>
      </c>
      <c r="C2235" t="s">
        <v>19</v>
      </c>
      <c r="D2235" t="s">
        <v>7</v>
      </c>
      <c r="E2235">
        <v>39</v>
      </c>
      <c r="F2235" t="s">
        <v>6</v>
      </c>
      <c r="G2235" t="str">
        <f t="shared" si="74"/>
        <v>Active</v>
      </c>
      <c r="H2235" s="1" t="str">
        <f t="shared" si="75"/>
        <v>Monday</v>
      </c>
    </row>
    <row r="2236" spans="1:8" x14ac:dyDescent="0.3">
      <c r="A2236">
        <v>217102618</v>
      </c>
      <c r="B2236" s="1">
        <v>45089</v>
      </c>
      <c r="C2236" t="s">
        <v>19</v>
      </c>
      <c r="D2236" t="s">
        <v>7</v>
      </c>
      <c r="E2236">
        <v>39</v>
      </c>
      <c r="F2236" t="s">
        <v>6</v>
      </c>
      <c r="G2236" t="str">
        <f t="shared" si="74"/>
        <v>Active</v>
      </c>
      <c r="H2236" s="1" t="str">
        <f t="shared" si="75"/>
        <v>Monday</v>
      </c>
    </row>
    <row r="2237" spans="1:8" x14ac:dyDescent="0.3">
      <c r="A2237">
        <v>217252136</v>
      </c>
      <c r="B2237" s="1">
        <v>45089</v>
      </c>
      <c r="C2237" t="s">
        <v>19</v>
      </c>
      <c r="D2237" t="s">
        <v>7</v>
      </c>
      <c r="E2237">
        <v>39</v>
      </c>
      <c r="F2237" t="s">
        <v>6</v>
      </c>
      <c r="G2237" t="str">
        <f t="shared" si="74"/>
        <v>Active</v>
      </c>
      <c r="H2237" s="1" t="str">
        <f t="shared" si="75"/>
        <v>Monday</v>
      </c>
    </row>
    <row r="2238" spans="1:8" x14ac:dyDescent="0.3">
      <c r="A2238">
        <v>215856743</v>
      </c>
      <c r="B2238" s="1">
        <v>45089</v>
      </c>
      <c r="C2238" t="s">
        <v>19</v>
      </c>
      <c r="D2238" t="s">
        <v>7</v>
      </c>
      <c r="E2238">
        <v>39</v>
      </c>
      <c r="F2238" t="s">
        <v>6</v>
      </c>
      <c r="G2238" t="str">
        <f t="shared" si="74"/>
        <v>Active</v>
      </c>
      <c r="H2238" s="1" t="str">
        <f t="shared" si="75"/>
        <v>Monday</v>
      </c>
    </row>
    <row r="2239" spans="1:8" x14ac:dyDescent="0.3">
      <c r="A2239">
        <v>217260184</v>
      </c>
      <c r="B2239" s="1">
        <v>45089</v>
      </c>
      <c r="C2239" s="1">
        <v>45090</v>
      </c>
      <c r="D2239" t="s">
        <v>8</v>
      </c>
      <c r="E2239">
        <v>39</v>
      </c>
      <c r="F2239" t="s">
        <v>6</v>
      </c>
      <c r="G2239">
        <f t="shared" si="74"/>
        <v>1</v>
      </c>
      <c r="H2239" s="1" t="str">
        <f t="shared" si="75"/>
        <v>Monday</v>
      </c>
    </row>
    <row r="2240" spans="1:8" x14ac:dyDescent="0.3">
      <c r="A2240">
        <v>140371292</v>
      </c>
      <c r="B2240" s="1">
        <v>45089</v>
      </c>
      <c r="C2240" s="1">
        <v>45117</v>
      </c>
      <c r="D2240" t="s">
        <v>7</v>
      </c>
      <c r="E2240">
        <v>39</v>
      </c>
      <c r="F2240" t="s">
        <v>6</v>
      </c>
      <c r="G2240">
        <f t="shared" si="74"/>
        <v>28</v>
      </c>
      <c r="H2240" s="1" t="str">
        <f t="shared" si="75"/>
        <v>Monday</v>
      </c>
    </row>
    <row r="2241" spans="1:8" x14ac:dyDescent="0.3">
      <c r="A2241">
        <v>164903790</v>
      </c>
      <c r="B2241" s="1">
        <v>45089</v>
      </c>
      <c r="C2241" s="1">
        <v>45127</v>
      </c>
      <c r="D2241" t="s">
        <v>7</v>
      </c>
      <c r="E2241">
        <v>39</v>
      </c>
      <c r="F2241" t="s">
        <v>6</v>
      </c>
      <c r="G2241">
        <f t="shared" si="74"/>
        <v>38</v>
      </c>
      <c r="H2241" s="1" t="str">
        <f t="shared" si="75"/>
        <v>Monday</v>
      </c>
    </row>
    <row r="2242" spans="1:8" x14ac:dyDescent="0.3">
      <c r="A2242">
        <v>217206158</v>
      </c>
      <c r="B2242" s="1">
        <v>45089</v>
      </c>
      <c r="C2242" s="1">
        <v>45149</v>
      </c>
      <c r="D2242" t="s">
        <v>7</v>
      </c>
      <c r="E2242">
        <v>39</v>
      </c>
      <c r="F2242" t="s">
        <v>6</v>
      </c>
      <c r="G2242">
        <f t="shared" si="74"/>
        <v>60</v>
      </c>
      <c r="H2242" s="1" t="str">
        <f t="shared" si="75"/>
        <v>Monday</v>
      </c>
    </row>
    <row r="2243" spans="1:8" x14ac:dyDescent="0.3">
      <c r="A2243">
        <v>215180470</v>
      </c>
      <c r="B2243" s="1">
        <v>45089</v>
      </c>
      <c r="C2243" s="1">
        <v>45144</v>
      </c>
      <c r="D2243" t="s">
        <v>7</v>
      </c>
      <c r="E2243">
        <v>39</v>
      </c>
      <c r="F2243" t="s">
        <v>6</v>
      </c>
      <c r="G2243">
        <f t="shared" ref="G2243:G2306" si="76">IF(C2243="Active","Active",C2243-B2243)</f>
        <v>55</v>
      </c>
      <c r="H2243" s="1" t="str">
        <f t="shared" ref="H2243:H2306" si="77">TEXT(B2243,"dddd")</f>
        <v>Monday</v>
      </c>
    </row>
    <row r="2244" spans="1:8" x14ac:dyDescent="0.3">
      <c r="A2244">
        <v>217246611</v>
      </c>
      <c r="B2244" s="1">
        <v>45089</v>
      </c>
      <c r="C2244" s="1">
        <v>45113</v>
      </c>
      <c r="D2244" t="s">
        <v>7</v>
      </c>
      <c r="E2244">
        <v>39</v>
      </c>
      <c r="F2244" t="s">
        <v>6</v>
      </c>
      <c r="G2244">
        <f t="shared" si="76"/>
        <v>24</v>
      </c>
      <c r="H2244" s="1" t="str">
        <f t="shared" si="77"/>
        <v>Monday</v>
      </c>
    </row>
    <row r="2245" spans="1:8" x14ac:dyDescent="0.3">
      <c r="A2245">
        <v>217080066</v>
      </c>
      <c r="B2245" s="1">
        <v>45089</v>
      </c>
      <c r="C2245" s="1">
        <v>45119</v>
      </c>
      <c r="D2245" t="s">
        <v>7</v>
      </c>
      <c r="E2245">
        <v>39</v>
      </c>
      <c r="F2245" t="s">
        <v>6</v>
      </c>
      <c r="G2245">
        <f t="shared" si="76"/>
        <v>30</v>
      </c>
      <c r="H2245" s="1" t="str">
        <f t="shared" si="77"/>
        <v>Monday</v>
      </c>
    </row>
    <row r="2246" spans="1:8" x14ac:dyDescent="0.3">
      <c r="A2246">
        <v>214510838</v>
      </c>
      <c r="B2246" s="1">
        <v>45090</v>
      </c>
      <c r="C2246" t="s">
        <v>19</v>
      </c>
      <c r="D2246" t="s">
        <v>7</v>
      </c>
      <c r="E2246">
        <v>39</v>
      </c>
      <c r="F2246" t="s">
        <v>6</v>
      </c>
      <c r="G2246" t="str">
        <f t="shared" si="76"/>
        <v>Active</v>
      </c>
      <c r="H2246" s="1" t="str">
        <f t="shared" si="77"/>
        <v>Tuesday</v>
      </c>
    </row>
    <row r="2247" spans="1:8" x14ac:dyDescent="0.3">
      <c r="A2247">
        <v>217241338</v>
      </c>
      <c r="B2247" s="1">
        <v>45090</v>
      </c>
      <c r="C2247" t="s">
        <v>19</v>
      </c>
      <c r="D2247" t="s">
        <v>7</v>
      </c>
      <c r="E2247">
        <v>39</v>
      </c>
      <c r="F2247" t="s">
        <v>6</v>
      </c>
      <c r="G2247" t="str">
        <f t="shared" si="76"/>
        <v>Active</v>
      </c>
      <c r="H2247" s="1" t="str">
        <f t="shared" si="77"/>
        <v>Tuesday</v>
      </c>
    </row>
    <row r="2248" spans="1:8" x14ac:dyDescent="0.3">
      <c r="A2248">
        <v>215447681</v>
      </c>
      <c r="B2248" s="1">
        <v>45090</v>
      </c>
      <c r="C2248" t="s">
        <v>19</v>
      </c>
      <c r="D2248" t="s">
        <v>7</v>
      </c>
      <c r="E2248">
        <v>39</v>
      </c>
      <c r="F2248" t="s">
        <v>6</v>
      </c>
      <c r="G2248" t="str">
        <f t="shared" si="76"/>
        <v>Active</v>
      </c>
      <c r="H2248" s="1" t="str">
        <f t="shared" si="77"/>
        <v>Tuesday</v>
      </c>
    </row>
    <row r="2249" spans="1:8" x14ac:dyDescent="0.3">
      <c r="A2249">
        <v>214746385</v>
      </c>
      <c r="B2249" s="1">
        <v>45090</v>
      </c>
      <c r="C2249" t="s">
        <v>19</v>
      </c>
      <c r="D2249" t="s">
        <v>7</v>
      </c>
      <c r="E2249">
        <v>39</v>
      </c>
      <c r="F2249" t="s">
        <v>6</v>
      </c>
      <c r="G2249" t="str">
        <f t="shared" si="76"/>
        <v>Active</v>
      </c>
      <c r="H2249" s="1" t="str">
        <f t="shared" si="77"/>
        <v>Tuesday</v>
      </c>
    </row>
    <row r="2250" spans="1:8" x14ac:dyDescent="0.3">
      <c r="A2250">
        <v>217279595</v>
      </c>
      <c r="B2250" s="1">
        <v>45090</v>
      </c>
      <c r="C2250" t="s">
        <v>19</v>
      </c>
      <c r="D2250" t="s">
        <v>7</v>
      </c>
      <c r="E2250">
        <v>39</v>
      </c>
      <c r="F2250" t="s">
        <v>6</v>
      </c>
      <c r="G2250" t="str">
        <f t="shared" si="76"/>
        <v>Active</v>
      </c>
      <c r="H2250" s="1" t="str">
        <f t="shared" si="77"/>
        <v>Tuesday</v>
      </c>
    </row>
    <row r="2251" spans="1:8" x14ac:dyDescent="0.3">
      <c r="A2251">
        <v>138725699</v>
      </c>
      <c r="B2251" s="1">
        <v>45090</v>
      </c>
      <c r="C2251" s="1">
        <v>45091</v>
      </c>
      <c r="D2251" t="s">
        <v>7</v>
      </c>
      <c r="E2251">
        <v>39</v>
      </c>
      <c r="F2251" t="s">
        <v>6</v>
      </c>
      <c r="G2251">
        <f t="shared" si="76"/>
        <v>1</v>
      </c>
      <c r="H2251" s="1" t="str">
        <f t="shared" si="77"/>
        <v>Tuesday</v>
      </c>
    </row>
    <row r="2252" spans="1:8" x14ac:dyDescent="0.3">
      <c r="A2252">
        <v>199464176</v>
      </c>
      <c r="B2252" s="1">
        <v>45090</v>
      </c>
      <c r="C2252" s="1">
        <v>45138</v>
      </c>
      <c r="D2252" t="s">
        <v>7</v>
      </c>
      <c r="E2252">
        <v>39</v>
      </c>
      <c r="F2252" t="s">
        <v>6</v>
      </c>
      <c r="G2252">
        <f t="shared" si="76"/>
        <v>48</v>
      </c>
      <c r="H2252" s="1" t="str">
        <f t="shared" si="77"/>
        <v>Tuesday</v>
      </c>
    </row>
    <row r="2253" spans="1:8" x14ac:dyDescent="0.3">
      <c r="A2253">
        <v>217269788</v>
      </c>
      <c r="B2253" s="1">
        <v>45090</v>
      </c>
      <c r="C2253" s="1">
        <v>45128</v>
      </c>
      <c r="D2253" t="s">
        <v>7</v>
      </c>
      <c r="E2253">
        <v>39</v>
      </c>
      <c r="F2253" t="s">
        <v>6</v>
      </c>
      <c r="G2253">
        <f t="shared" si="76"/>
        <v>38</v>
      </c>
      <c r="H2253" s="1" t="str">
        <f t="shared" si="77"/>
        <v>Tuesday</v>
      </c>
    </row>
    <row r="2254" spans="1:8" x14ac:dyDescent="0.3">
      <c r="A2254">
        <v>217210206</v>
      </c>
      <c r="B2254" s="1">
        <v>45090</v>
      </c>
      <c r="C2254" s="1">
        <v>45112</v>
      </c>
      <c r="D2254" t="s">
        <v>7</v>
      </c>
      <c r="E2254">
        <v>39</v>
      </c>
      <c r="F2254" t="s">
        <v>6</v>
      </c>
      <c r="G2254">
        <f t="shared" si="76"/>
        <v>22</v>
      </c>
      <c r="H2254" s="1" t="str">
        <f t="shared" si="77"/>
        <v>Tuesday</v>
      </c>
    </row>
    <row r="2255" spans="1:8" x14ac:dyDescent="0.3">
      <c r="A2255">
        <v>217276264</v>
      </c>
      <c r="B2255" s="1">
        <v>45091</v>
      </c>
      <c r="C2255" t="s">
        <v>19</v>
      </c>
      <c r="D2255" t="s">
        <v>7</v>
      </c>
      <c r="E2255">
        <v>39</v>
      </c>
      <c r="F2255" t="s">
        <v>6</v>
      </c>
      <c r="G2255" t="str">
        <f t="shared" si="76"/>
        <v>Active</v>
      </c>
      <c r="H2255" s="1" t="str">
        <f t="shared" si="77"/>
        <v>Wednesday</v>
      </c>
    </row>
    <row r="2256" spans="1:8" x14ac:dyDescent="0.3">
      <c r="A2256">
        <v>217242854</v>
      </c>
      <c r="B2256" s="1">
        <v>45091</v>
      </c>
      <c r="C2256" t="s">
        <v>19</v>
      </c>
      <c r="D2256" t="s">
        <v>7</v>
      </c>
      <c r="E2256">
        <v>39</v>
      </c>
      <c r="F2256" t="s">
        <v>6</v>
      </c>
      <c r="G2256" t="str">
        <f t="shared" si="76"/>
        <v>Active</v>
      </c>
      <c r="H2256" s="1" t="str">
        <f t="shared" si="77"/>
        <v>Wednesday</v>
      </c>
    </row>
    <row r="2257" spans="1:8" x14ac:dyDescent="0.3">
      <c r="A2257">
        <v>140062581</v>
      </c>
      <c r="B2257" s="1">
        <v>45091</v>
      </c>
      <c r="C2257" s="1">
        <v>45092</v>
      </c>
      <c r="D2257" t="s">
        <v>7</v>
      </c>
      <c r="E2257">
        <v>39</v>
      </c>
      <c r="F2257" t="s">
        <v>6</v>
      </c>
      <c r="G2257">
        <f t="shared" si="76"/>
        <v>1</v>
      </c>
      <c r="H2257" s="1" t="str">
        <f t="shared" si="77"/>
        <v>Wednesday</v>
      </c>
    </row>
    <row r="2258" spans="1:8" x14ac:dyDescent="0.3">
      <c r="A2258">
        <v>217340338</v>
      </c>
      <c r="B2258" s="1">
        <v>45091</v>
      </c>
      <c r="C2258" s="1">
        <v>45091</v>
      </c>
      <c r="D2258" t="s">
        <v>8</v>
      </c>
      <c r="E2258">
        <v>39</v>
      </c>
      <c r="F2258" t="s">
        <v>6</v>
      </c>
      <c r="G2258">
        <f t="shared" si="76"/>
        <v>0</v>
      </c>
      <c r="H2258" s="1" t="str">
        <f t="shared" si="77"/>
        <v>Wednesday</v>
      </c>
    </row>
    <row r="2259" spans="1:8" x14ac:dyDescent="0.3">
      <c r="A2259">
        <v>157435806</v>
      </c>
      <c r="B2259" s="1">
        <v>45091</v>
      </c>
      <c r="C2259" s="1">
        <v>45121</v>
      </c>
      <c r="D2259" t="s">
        <v>7</v>
      </c>
      <c r="E2259">
        <v>39</v>
      </c>
      <c r="F2259" t="s">
        <v>6</v>
      </c>
      <c r="G2259">
        <f t="shared" si="76"/>
        <v>30</v>
      </c>
      <c r="H2259" s="1" t="str">
        <f t="shared" si="77"/>
        <v>Wednesday</v>
      </c>
    </row>
    <row r="2260" spans="1:8" x14ac:dyDescent="0.3">
      <c r="A2260">
        <v>217358299</v>
      </c>
      <c r="B2260" s="1">
        <v>45091</v>
      </c>
      <c r="C2260" s="1">
        <v>45149</v>
      </c>
      <c r="D2260" t="s">
        <v>7</v>
      </c>
      <c r="E2260">
        <v>39</v>
      </c>
      <c r="F2260" t="s">
        <v>6</v>
      </c>
      <c r="G2260">
        <f t="shared" si="76"/>
        <v>58</v>
      </c>
      <c r="H2260" s="1" t="str">
        <f t="shared" si="77"/>
        <v>Wednesday</v>
      </c>
    </row>
    <row r="2261" spans="1:8" x14ac:dyDescent="0.3">
      <c r="A2261">
        <v>217330046</v>
      </c>
      <c r="B2261" s="1">
        <v>45091</v>
      </c>
      <c r="C2261" s="1">
        <v>45108</v>
      </c>
      <c r="D2261" t="s">
        <v>7</v>
      </c>
      <c r="E2261">
        <v>39</v>
      </c>
      <c r="F2261" t="s">
        <v>6</v>
      </c>
      <c r="G2261">
        <f t="shared" si="76"/>
        <v>17</v>
      </c>
      <c r="H2261" s="1" t="str">
        <f t="shared" si="77"/>
        <v>Wednesday</v>
      </c>
    </row>
    <row r="2262" spans="1:8" x14ac:dyDescent="0.3">
      <c r="A2262">
        <v>216945894</v>
      </c>
      <c r="B2262" s="1">
        <v>45092</v>
      </c>
      <c r="C2262" t="s">
        <v>19</v>
      </c>
      <c r="D2262" t="s">
        <v>7</v>
      </c>
      <c r="E2262">
        <v>39</v>
      </c>
      <c r="F2262" t="s">
        <v>6</v>
      </c>
      <c r="G2262" t="str">
        <f t="shared" si="76"/>
        <v>Active</v>
      </c>
      <c r="H2262" s="1" t="str">
        <f t="shared" si="77"/>
        <v>Thursday</v>
      </c>
    </row>
    <row r="2263" spans="1:8" x14ac:dyDescent="0.3">
      <c r="A2263">
        <v>150178354</v>
      </c>
      <c r="B2263" s="1">
        <v>45092</v>
      </c>
      <c r="C2263" t="s">
        <v>19</v>
      </c>
      <c r="D2263" t="s">
        <v>7</v>
      </c>
      <c r="E2263">
        <v>39</v>
      </c>
      <c r="F2263" t="s">
        <v>6</v>
      </c>
      <c r="G2263" t="str">
        <f t="shared" si="76"/>
        <v>Active</v>
      </c>
      <c r="H2263" s="1" t="str">
        <f t="shared" si="77"/>
        <v>Thursday</v>
      </c>
    </row>
    <row r="2264" spans="1:8" x14ac:dyDescent="0.3">
      <c r="A2264">
        <v>153942818</v>
      </c>
      <c r="B2264" s="1">
        <v>45092</v>
      </c>
      <c r="C2264" t="s">
        <v>19</v>
      </c>
      <c r="D2264" t="s">
        <v>7</v>
      </c>
      <c r="E2264">
        <v>39</v>
      </c>
      <c r="F2264" t="s">
        <v>6</v>
      </c>
      <c r="G2264" t="str">
        <f t="shared" si="76"/>
        <v>Active</v>
      </c>
      <c r="H2264" s="1" t="str">
        <f t="shared" si="77"/>
        <v>Thursday</v>
      </c>
    </row>
    <row r="2265" spans="1:8" x14ac:dyDescent="0.3">
      <c r="A2265">
        <v>150728848</v>
      </c>
      <c r="B2265" s="1">
        <v>45092</v>
      </c>
      <c r="C2265" t="s">
        <v>19</v>
      </c>
      <c r="D2265" t="s">
        <v>7</v>
      </c>
      <c r="E2265">
        <v>39</v>
      </c>
      <c r="F2265" t="s">
        <v>6</v>
      </c>
      <c r="G2265" t="str">
        <f t="shared" si="76"/>
        <v>Active</v>
      </c>
      <c r="H2265" s="1" t="str">
        <f t="shared" si="77"/>
        <v>Thursday</v>
      </c>
    </row>
    <row r="2266" spans="1:8" x14ac:dyDescent="0.3">
      <c r="A2266">
        <v>138725699</v>
      </c>
      <c r="B2266" s="1">
        <v>45092</v>
      </c>
      <c r="C2266" t="s">
        <v>19</v>
      </c>
      <c r="D2266" t="s">
        <v>7</v>
      </c>
      <c r="E2266">
        <v>39</v>
      </c>
      <c r="F2266" t="s">
        <v>6</v>
      </c>
      <c r="G2266" t="str">
        <f t="shared" si="76"/>
        <v>Active</v>
      </c>
      <c r="H2266" s="1" t="str">
        <f t="shared" si="77"/>
        <v>Thursday</v>
      </c>
    </row>
    <row r="2267" spans="1:8" x14ac:dyDescent="0.3">
      <c r="A2267">
        <v>217207926</v>
      </c>
      <c r="B2267" s="1">
        <v>45092</v>
      </c>
      <c r="C2267" t="s">
        <v>19</v>
      </c>
      <c r="D2267" t="s">
        <v>7</v>
      </c>
      <c r="E2267">
        <v>39</v>
      </c>
      <c r="F2267" t="s">
        <v>6</v>
      </c>
      <c r="G2267" t="str">
        <f t="shared" si="76"/>
        <v>Active</v>
      </c>
      <c r="H2267" s="1" t="str">
        <f t="shared" si="77"/>
        <v>Thursday</v>
      </c>
    </row>
    <row r="2268" spans="1:8" x14ac:dyDescent="0.3">
      <c r="A2268">
        <v>217370233</v>
      </c>
      <c r="B2268" s="1">
        <v>45092</v>
      </c>
      <c r="C2268" t="s">
        <v>19</v>
      </c>
      <c r="D2268" t="s">
        <v>7</v>
      </c>
      <c r="E2268">
        <v>39</v>
      </c>
      <c r="F2268" t="s">
        <v>6</v>
      </c>
      <c r="G2268" t="str">
        <f t="shared" si="76"/>
        <v>Active</v>
      </c>
      <c r="H2268" s="1" t="str">
        <f t="shared" si="77"/>
        <v>Thursday</v>
      </c>
    </row>
    <row r="2269" spans="1:8" x14ac:dyDescent="0.3">
      <c r="A2269">
        <v>205464540</v>
      </c>
      <c r="B2269" s="1">
        <v>45092</v>
      </c>
      <c r="C2269" s="1">
        <v>45129</v>
      </c>
      <c r="D2269" t="s">
        <v>7</v>
      </c>
      <c r="E2269">
        <v>39</v>
      </c>
      <c r="F2269" t="s">
        <v>6</v>
      </c>
      <c r="G2269">
        <f t="shared" si="76"/>
        <v>37</v>
      </c>
      <c r="H2269" s="1" t="str">
        <f t="shared" si="77"/>
        <v>Thursday</v>
      </c>
    </row>
    <row r="2270" spans="1:8" x14ac:dyDescent="0.3">
      <c r="A2270">
        <v>167403892</v>
      </c>
      <c r="B2270" s="1">
        <v>45092</v>
      </c>
      <c r="C2270" s="1">
        <v>45160</v>
      </c>
      <c r="D2270" t="s">
        <v>7</v>
      </c>
      <c r="E2270">
        <v>39</v>
      </c>
      <c r="F2270" t="s">
        <v>6</v>
      </c>
      <c r="G2270">
        <f t="shared" si="76"/>
        <v>68</v>
      </c>
      <c r="H2270" s="1" t="str">
        <f t="shared" si="77"/>
        <v>Thursday</v>
      </c>
    </row>
    <row r="2271" spans="1:8" x14ac:dyDescent="0.3">
      <c r="A2271">
        <v>217326821</v>
      </c>
      <c r="B2271" s="1">
        <v>45092</v>
      </c>
      <c r="C2271" s="1">
        <v>45160</v>
      </c>
      <c r="D2271" t="s">
        <v>7</v>
      </c>
      <c r="E2271">
        <v>39</v>
      </c>
      <c r="F2271" t="s">
        <v>6</v>
      </c>
      <c r="G2271">
        <f t="shared" si="76"/>
        <v>68</v>
      </c>
      <c r="H2271" s="1" t="str">
        <f t="shared" si="77"/>
        <v>Thursday</v>
      </c>
    </row>
    <row r="2272" spans="1:8" x14ac:dyDescent="0.3">
      <c r="A2272">
        <v>214918906</v>
      </c>
      <c r="B2272" s="1">
        <v>45092</v>
      </c>
      <c r="C2272" s="1">
        <v>45129</v>
      </c>
      <c r="D2272" t="s">
        <v>7</v>
      </c>
      <c r="E2272">
        <v>39</v>
      </c>
      <c r="F2272" t="s">
        <v>6</v>
      </c>
      <c r="G2272">
        <f t="shared" si="76"/>
        <v>37</v>
      </c>
      <c r="H2272" s="1" t="str">
        <f t="shared" si="77"/>
        <v>Thursday</v>
      </c>
    </row>
    <row r="2273" spans="1:8" x14ac:dyDescent="0.3">
      <c r="A2273">
        <v>216983668</v>
      </c>
      <c r="B2273" s="1">
        <v>45092</v>
      </c>
      <c r="C2273" s="1">
        <v>45122</v>
      </c>
      <c r="D2273" t="s">
        <v>7</v>
      </c>
      <c r="E2273">
        <v>39</v>
      </c>
      <c r="F2273" t="s">
        <v>6</v>
      </c>
      <c r="G2273">
        <f t="shared" si="76"/>
        <v>30</v>
      </c>
      <c r="H2273" s="1" t="str">
        <f t="shared" si="77"/>
        <v>Thursday</v>
      </c>
    </row>
    <row r="2274" spans="1:8" x14ac:dyDescent="0.3">
      <c r="A2274">
        <v>217454204</v>
      </c>
      <c r="B2274" s="1">
        <v>45093</v>
      </c>
      <c r="C2274" t="s">
        <v>19</v>
      </c>
      <c r="D2274" t="s">
        <v>7</v>
      </c>
      <c r="E2274">
        <v>39</v>
      </c>
      <c r="F2274" t="s">
        <v>6</v>
      </c>
      <c r="G2274" t="str">
        <f t="shared" si="76"/>
        <v>Active</v>
      </c>
      <c r="H2274" s="1" t="str">
        <f t="shared" si="77"/>
        <v>Friday</v>
      </c>
    </row>
    <row r="2275" spans="1:8" x14ac:dyDescent="0.3">
      <c r="A2275">
        <v>206049284</v>
      </c>
      <c r="B2275" s="1">
        <v>45093</v>
      </c>
      <c r="C2275" t="s">
        <v>19</v>
      </c>
      <c r="D2275" t="s">
        <v>7</v>
      </c>
      <c r="E2275">
        <v>39</v>
      </c>
      <c r="F2275" t="s">
        <v>6</v>
      </c>
      <c r="G2275" t="str">
        <f t="shared" si="76"/>
        <v>Active</v>
      </c>
      <c r="H2275" s="1" t="str">
        <f t="shared" si="77"/>
        <v>Friday</v>
      </c>
    </row>
    <row r="2276" spans="1:8" x14ac:dyDescent="0.3">
      <c r="A2276">
        <v>132852439</v>
      </c>
      <c r="B2276" s="1">
        <v>45093</v>
      </c>
      <c r="C2276" t="s">
        <v>19</v>
      </c>
      <c r="D2276" t="s">
        <v>7</v>
      </c>
      <c r="E2276">
        <v>39</v>
      </c>
      <c r="F2276" t="s">
        <v>6</v>
      </c>
      <c r="G2276" t="str">
        <f t="shared" si="76"/>
        <v>Active</v>
      </c>
      <c r="H2276" s="1" t="str">
        <f t="shared" si="77"/>
        <v>Friday</v>
      </c>
    </row>
    <row r="2277" spans="1:8" x14ac:dyDescent="0.3">
      <c r="A2277">
        <v>217233198</v>
      </c>
      <c r="B2277" s="1">
        <v>45093</v>
      </c>
      <c r="C2277" t="s">
        <v>19</v>
      </c>
      <c r="D2277" t="s">
        <v>7</v>
      </c>
      <c r="E2277">
        <v>39</v>
      </c>
      <c r="F2277" t="s">
        <v>6</v>
      </c>
      <c r="G2277" t="str">
        <f t="shared" si="76"/>
        <v>Active</v>
      </c>
      <c r="H2277" s="1" t="str">
        <f t="shared" si="77"/>
        <v>Friday</v>
      </c>
    </row>
    <row r="2278" spans="1:8" x14ac:dyDescent="0.3">
      <c r="A2278">
        <v>188197564</v>
      </c>
      <c r="B2278" s="1">
        <v>45093</v>
      </c>
      <c r="C2278" s="1">
        <v>45094</v>
      </c>
      <c r="D2278" t="s">
        <v>7</v>
      </c>
      <c r="E2278">
        <v>39</v>
      </c>
      <c r="F2278" t="s">
        <v>6</v>
      </c>
      <c r="G2278">
        <f t="shared" si="76"/>
        <v>1</v>
      </c>
      <c r="H2278" s="1" t="str">
        <f t="shared" si="77"/>
        <v>Friday</v>
      </c>
    </row>
    <row r="2279" spans="1:8" x14ac:dyDescent="0.3">
      <c r="A2279">
        <v>146952862</v>
      </c>
      <c r="B2279" s="1">
        <v>45093</v>
      </c>
      <c r="C2279" s="1">
        <v>45119</v>
      </c>
      <c r="D2279" t="s">
        <v>7</v>
      </c>
      <c r="E2279">
        <v>39</v>
      </c>
      <c r="F2279" t="s">
        <v>6</v>
      </c>
      <c r="G2279">
        <f t="shared" si="76"/>
        <v>26</v>
      </c>
      <c r="H2279" s="1" t="str">
        <f t="shared" si="77"/>
        <v>Friday</v>
      </c>
    </row>
    <row r="2280" spans="1:8" x14ac:dyDescent="0.3">
      <c r="A2280">
        <v>152846561</v>
      </c>
      <c r="B2280" s="1">
        <v>45093</v>
      </c>
      <c r="C2280" s="1">
        <v>45130</v>
      </c>
      <c r="D2280" t="s">
        <v>7</v>
      </c>
      <c r="E2280">
        <v>39</v>
      </c>
      <c r="F2280" t="s">
        <v>6</v>
      </c>
      <c r="G2280">
        <f t="shared" si="76"/>
        <v>37</v>
      </c>
      <c r="H2280" s="1" t="str">
        <f t="shared" si="77"/>
        <v>Friday</v>
      </c>
    </row>
    <row r="2281" spans="1:8" x14ac:dyDescent="0.3">
      <c r="A2281">
        <v>132867770</v>
      </c>
      <c r="B2281" s="1">
        <v>45093</v>
      </c>
      <c r="C2281" s="1">
        <v>45131</v>
      </c>
      <c r="D2281" t="s">
        <v>7</v>
      </c>
      <c r="E2281">
        <v>39</v>
      </c>
      <c r="F2281" t="s">
        <v>6</v>
      </c>
      <c r="G2281">
        <f t="shared" si="76"/>
        <v>38</v>
      </c>
      <c r="H2281" s="1" t="str">
        <f t="shared" si="77"/>
        <v>Friday</v>
      </c>
    </row>
    <row r="2282" spans="1:8" x14ac:dyDescent="0.3">
      <c r="A2282">
        <v>206370330</v>
      </c>
      <c r="B2282" s="1">
        <v>45093</v>
      </c>
      <c r="C2282" s="1">
        <v>45153</v>
      </c>
      <c r="D2282" t="s">
        <v>7</v>
      </c>
      <c r="E2282">
        <v>39</v>
      </c>
      <c r="F2282" t="s">
        <v>6</v>
      </c>
      <c r="G2282">
        <f t="shared" si="76"/>
        <v>60</v>
      </c>
      <c r="H2282" s="1" t="str">
        <f t="shared" si="77"/>
        <v>Friday</v>
      </c>
    </row>
    <row r="2283" spans="1:8" x14ac:dyDescent="0.3">
      <c r="A2283">
        <v>217438230</v>
      </c>
      <c r="B2283" s="1">
        <v>45093</v>
      </c>
      <c r="C2283" s="1">
        <v>45120</v>
      </c>
      <c r="D2283" t="s">
        <v>7</v>
      </c>
      <c r="E2283">
        <v>39</v>
      </c>
      <c r="F2283" t="s">
        <v>6</v>
      </c>
      <c r="G2283">
        <f t="shared" si="76"/>
        <v>27</v>
      </c>
      <c r="H2283" s="1" t="str">
        <f t="shared" si="77"/>
        <v>Friday</v>
      </c>
    </row>
    <row r="2284" spans="1:8" x14ac:dyDescent="0.3">
      <c r="A2284">
        <v>217426939</v>
      </c>
      <c r="B2284" s="1">
        <v>45093</v>
      </c>
      <c r="C2284" s="1">
        <v>45123</v>
      </c>
      <c r="D2284" t="s">
        <v>7</v>
      </c>
      <c r="E2284">
        <v>39</v>
      </c>
      <c r="F2284" t="s">
        <v>6</v>
      </c>
      <c r="G2284">
        <f t="shared" si="76"/>
        <v>30</v>
      </c>
      <c r="H2284" s="1" t="str">
        <f t="shared" si="77"/>
        <v>Friday</v>
      </c>
    </row>
    <row r="2285" spans="1:8" x14ac:dyDescent="0.3">
      <c r="A2285">
        <v>205785520</v>
      </c>
      <c r="B2285" s="1">
        <v>45094</v>
      </c>
      <c r="C2285" t="s">
        <v>19</v>
      </c>
      <c r="D2285" t="s">
        <v>7</v>
      </c>
      <c r="E2285">
        <v>39</v>
      </c>
      <c r="F2285" t="s">
        <v>6</v>
      </c>
      <c r="G2285" t="str">
        <f t="shared" si="76"/>
        <v>Active</v>
      </c>
      <c r="H2285" s="1" t="str">
        <f t="shared" si="77"/>
        <v>Saturday</v>
      </c>
    </row>
    <row r="2286" spans="1:8" x14ac:dyDescent="0.3">
      <c r="A2286">
        <v>154284527</v>
      </c>
      <c r="B2286" s="1">
        <v>45094</v>
      </c>
      <c r="C2286" s="1">
        <v>45131</v>
      </c>
      <c r="D2286" t="s">
        <v>7</v>
      </c>
      <c r="E2286">
        <v>39</v>
      </c>
      <c r="F2286" t="s">
        <v>6</v>
      </c>
      <c r="G2286">
        <f t="shared" si="76"/>
        <v>37</v>
      </c>
      <c r="H2286" s="1" t="str">
        <f t="shared" si="77"/>
        <v>Saturday</v>
      </c>
    </row>
    <row r="2287" spans="1:8" x14ac:dyDescent="0.3">
      <c r="A2287">
        <v>214105912</v>
      </c>
      <c r="B2287" s="1">
        <v>45094</v>
      </c>
      <c r="C2287" s="1">
        <v>45131</v>
      </c>
      <c r="D2287" t="s">
        <v>7</v>
      </c>
      <c r="E2287">
        <v>39</v>
      </c>
      <c r="F2287" t="s">
        <v>6</v>
      </c>
      <c r="G2287">
        <f t="shared" si="76"/>
        <v>37</v>
      </c>
      <c r="H2287" s="1" t="str">
        <f t="shared" si="77"/>
        <v>Saturday</v>
      </c>
    </row>
    <row r="2288" spans="1:8" x14ac:dyDescent="0.3">
      <c r="A2288">
        <v>200909190</v>
      </c>
      <c r="B2288" s="1">
        <v>45094</v>
      </c>
      <c r="C2288" s="1">
        <v>45162</v>
      </c>
      <c r="D2288" t="s">
        <v>7</v>
      </c>
      <c r="E2288">
        <v>39</v>
      </c>
      <c r="F2288" t="s">
        <v>6</v>
      </c>
      <c r="G2288">
        <f t="shared" si="76"/>
        <v>68</v>
      </c>
      <c r="H2288" s="1" t="str">
        <f t="shared" si="77"/>
        <v>Saturday</v>
      </c>
    </row>
    <row r="2289" spans="1:8" x14ac:dyDescent="0.3">
      <c r="A2289">
        <v>151633468</v>
      </c>
      <c r="B2289" s="1">
        <v>45094</v>
      </c>
      <c r="C2289" s="1">
        <v>45139</v>
      </c>
      <c r="D2289" t="s">
        <v>7</v>
      </c>
      <c r="E2289">
        <v>39</v>
      </c>
      <c r="F2289" t="s">
        <v>6</v>
      </c>
      <c r="G2289">
        <f t="shared" si="76"/>
        <v>45</v>
      </c>
      <c r="H2289" s="1" t="str">
        <f t="shared" si="77"/>
        <v>Saturday</v>
      </c>
    </row>
    <row r="2290" spans="1:8" x14ac:dyDescent="0.3">
      <c r="A2290">
        <v>207010976</v>
      </c>
      <c r="B2290" s="1">
        <v>45094</v>
      </c>
      <c r="C2290" s="1">
        <v>45162</v>
      </c>
      <c r="D2290" t="s">
        <v>7</v>
      </c>
      <c r="E2290">
        <v>39</v>
      </c>
      <c r="F2290" t="s">
        <v>6</v>
      </c>
      <c r="G2290">
        <f t="shared" si="76"/>
        <v>68</v>
      </c>
      <c r="H2290" s="1" t="str">
        <f t="shared" si="77"/>
        <v>Saturday</v>
      </c>
    </row>
    <row r="2291" spans="1:8" x14ac:dyDescent="0.3">
      <c r="A2291">
        <v>217487776</v>
      </c>
      <c r="B2291" s="1">
        <v>45094</v>
      </c>
      <c r="C2291" s="1">
        <v>45127</v>
      </c>
      <c r="D2291" t="s">
        <v>7</v>
      </c>
      <c r="E2291">
        <v>39</v>
      </c>
      <c r="F2291" t="s">
        <v>6</v>
      </c>
      <c r="G2291">
        <f t="shared" si="76"/>
        <v>33</v>
      </c>
      <c r="H2291" s="1" t="str">
        <f t="shared" si="77"/>
        <v>Saturday</v>
      </c>
    </row>
    <row r="2292" spans="1:8" x14ac:dyDescent="0.3">
      <c r="A2292">
        <v>217484551</v>
      </c>
      <c r="B2292" s="1">
        <v>45094</v>
      </c>
      <c r="C2292" s="1">
        <v>45131</v>
      </c>
      <c r="D2292" t="s">
        <v>7</v>
      </c>
      <c r="E2292">
        <v>39</v>
      </c>
      <c r="F2292" t="s">
        <v>6</v>
      </c>
      <c r="G2292">
        <f t="shared" si="76"/>
        <v>37</v>
      </c>
      <c r="H2292" s="1" t="str">
        <f t="shared" si="77"/>
        <v>Saturday</v>
      </c>
    </row>
    <row r="2293" spans="1:8" x14ac:dyDescent="0.3">
      <c r="A2293">
        <v>217498202</v>
      </c>
      <c r="B2293" s="1">
        <v>45095</v>
      </c>
      <c r="C2293" t="s">
        <v>19</v>
      </c>
      <c r="D2293" t="s">
        <v>7</v>
      </c>
      <c r="E2293">
        <v>39</v>
      </c>
      <c r="F2293" t="s">
        <v>6</v>
      </c>
      <c r="G2293" t="str">
        <f t="shared" si="76"/>
        <v>Active</v>
      </c>
      <c r="H2293" s="1" t="str">
        <f t="shared" si="77"/>
        <v>Sunday</v>
      </c>
    </row>
    <row r="2294" spans="1:8" x14ac:dyDescent="0.3">
      <c r="A2294">
        <v>217234603</v>
      </c>
      <c r="B2294" s="1">
        <v>45095</v>
      </c>
      <c r="C2294" t="s">
        <v>19</v>
      </c>
      <c r="D2294" t="s">
        <v>7</v>
      </c>
      <c r="E2294">
        <v>39</v>
      </c>
      <c r="F2294" t="s">
        <v>6</v>
      </c>
      <c r="G2294" t="str">
        <f t="shared" si="76"/>
        <v>Active</v>
      </c>
      <c r="H2294" s="1" t="str">
        <f t="shared" si="77"/>
        <v>Sunday</v>
      </c>
    </row>
    <row r="2295" spans="1:8" x14ac:dyDescent="0.3">
      <c r="A2295">
        <v>217264148</v>
      </c>
      <c r="B2295" s="1">
        <v>45095</v>
      </c>
      <c r="C2295" t="s">
        <v>19</v>
      </c>
      <c r="D2295" t="s">
        <v>7</v>
      </c>
      <c r="E2295">
        <v>39</v>
      </c>
      <c r="F2295" t="s">
        <v>6</v>
      </c>
      <c r="G2295" t="str">
        <f t="shared" si="76"/>
        <v>Active</v>
      </c>
      <c r="H2295" s="1" t="str">
        <f t="shared" si="77"/>
        <v>Sunday</v>
      </c>
    </row>
    <row r="2296" spans="1:8" x14ac:dyDescent="0.3">
      <c r="A2296">
        <v>217513366</v>
      </c>
      <c r="B2296" s="1">
        <v>45095</v>
      </c>
      <c r="C2296" t="s">
        <v>19</v>
      </c>
      <c r="D2296" t="s">
        <v>7</v>
      </c>
      <c r="E2296">
        <v>39</v>
      </c>
      <c r="F2296" t="s">
        <v>6</v>
      </c>
      <c r="G2296" t="str">
        <f t="shared" si="76"/>
        <v>Active</v>
      </c>
      <c r="H2296" s="1" t="str">
        <f t="shared" si="77"/>
        <v>Sunday</v>
      </c>
    </row>
    <row r="2297" spans="1:8" x14ac:dyDescent="0.3">
      <c r="A2297">
        <v>217503737</v>
      </c>
      <c r="B2297" s="1">
        <v>45095</v>
      </c>
      <c r="C2297" t="s">
        <v>19</v>
      </c>
      <c r="D2297" t="s">
        <v>7</v>
      </c>
      <c r="E2297">
        <v>39</v>
      </c>
      <c r="F2297" t="s">
        <v>6</v>
      </c>
      <c r="G2297" t="str">
        <f t="shared" si="76"/>
        <v>Active</v>
      </c>
      <c r="H2297" s="1" t="str">
        <f t="shared" si="77"/>
        <v>Sunday</v>
      </c>
    </row>
    <row r="2298" spans="1:8" x14ac:dyDescent="0.3">
      <c r="A2298">
        <v>151540809</v>
      </c>
      <c r="B2298" s="1">
        <v>45095</v>
      </c>
      <c r="C2298" t="s">
        <v>19</v>
      </c>
      <c r="D2298" t="s">
        <v>7</v>
      </c>
      <c r="E2298">
        <v>39</v>
      </c>
      <c r="F2298" t="s">
        <v>6</v>
      </c>
      <c r="G2298" t="str">
        <f t="shared" si="76"/>
        <v>Active</v>
      </c>
      <c r="H2298" s="1" t="str">
        <f t="shared" si="77"/>
        <v>Sunday</v>
      </c>
    </row>
    <row r="2299" spans="1:8" x14ac:dyDescent="0.3">
      <c r="A2299">
        <v>217526421</v>
      </c>
      <c r="B2299" s="1">
        <v>45095</v>
      </c>
      <c r="C2299" s="1">
        <v>45164</v>
      </c>
      <c r="D2299" t="s">
        <v>7</v>
      </c>
      <c r="E2299">
        <v>39</v>
      </c>
      <c r="F2299" t="s">
        <v>6</v>
      </c>
      <c r="G2299">
        <f t="shared" si="76"/>
        <v>69</v>
      </c>
      <c r="H2299" s="1" t="str">
        <f t="shared" si="77"/>
        <v>Sunday</v>
      </c>
    </row>
    <row r="2300" spans="1:8" x14ac:dyDescent="0.3">
      <c r="A2300">
        <v>217418580</v>
      </c>
      <c r="B2300" s="1">
        <v>45095</v>
      </c>
      <c r="C2300" s="1">
        <v>45121</v>
      </c>
      <c r="D2300" t="s">
        <v>7</v>
      </c>
      <c r="E2300">
        <v>39</v>
      </c>
      <c r="F2300" t="s">
        <v>6</v>
      </c>
      <c r="G2300">
        <f t="shared" si="76"/>
        <v>26</v>
      </c>
      <c r="H2300" s="1" t="str">
        <f t="shared" si="77"/>
        <v>Sunday</v>
      </c>
    </row>
    <row r="2301" spans="1:8" x14ac:dyDescent="0.3">
      <c r="A2301">
        <v>217426015</v>
      </c>
      <c r="B2301" s="1">
        <v>45096</v>
      </c>
      <c r="C2301" t="s">
        <v>19</v>
      </c>
      <c r="D2301" t="s">
        <v>7</v>
      </c>
      <c r="E2301">
        <v>39</v>
      </c>
      <c r="F2301" t="s">
        <v>6</v>
      </c>
      <c r="G2301" t="str">
        <f t="shared" si="76"/>
        <v>Active</v>
      </c>
      <c r="H2301" s="1" t="str">
        <f t="shared" si="77"/>
        <v>Monday</v>
      </c>
    </row>
    <row r="2302" spans="1:8" x14ac:dyDescent="0.3">
      <c r="A2302">
        <v>217557584</v>
      </c>
      <c r="B2302" s="1">
        <v>45096</v>
      </c>
      <c r="C2302" t="s">
        <v>19</v>
      </c>
      <c r="D2302" t="s">
        <v>7</v>
      </c>
      <c r="E2302">
        <v>39</v>
      </c>
      <c r="F2302" t="s">
        <v>6</v>
      </c>
      <c r="G2302" t="str">
        <f t="shared" si="76"/>
        <v>Active</v>
      </c>
      <c r="H2302" s="1" t="str">
        <f t="shared" si="77"/>
        <v>Monday</v>
      </c>
    </row>
    <row r="2303" spans="1:8" x14ac:dyDescent="0.3">
      <c r="A2303">
        <v>217406489</v>
      </c>
      <c r="B2303" s="1">
        <v>45096</v>
      </c>
      <c r="C2303" t="s">
        <v>19</v>
      </c>
      <c r="D2303" t="s">
        <v>7</v>
      </c>
      <c r="E2303">
        <v>39</v>
      </c>
      <c r="F2303" t="s">
        <v>6</v>
      </c>
      <c r="G2303" t="str">
        <f t="shared" si="76"/>
        <v>Active</v>
      </c>
      <c r="H2303" s="1" t="str">
        <f t="shared" si="77"/>
        <v>Monday</v>
      </c>
    </row>
    <row r="2304" spans="1:8" x14ac:dyDescent="0.3">
      <c r="A2304">
        <v>217536534</v>
      </c>
      <c r="B2304" s="1">
        <v>45096</v>
      </c>
      <c r="C2304" t="s">
        <v>19</v>
      </c>
      <c r="D2304" t="s">
        <v>7</v>
      </c>
      <c r="E2304">
        <v>39</v>
      </c>
      <c r="F2304" t="s">
        <v>6</v>
      </c>
      <c r="G2304" t="str">
        <f t="shared" si="76"/>
        <v>Active</v>
      </c>
      <c r="H2304" s="1" t="str">
        <f t="shared" si="77"/>
        <v>Monday</v>
      </c>
    </row>
    <row r="2305" spans="1:8" x14ac:dyDescent="0.3">
      <c r="A2305">
        <v>217557082</v>
      </c>
      <c r="B2305" s="1">
        <v>45096</v>
      </c>
      <c r="C2305" t="s">
        <v>19</v>
      </c>
      <c r="D2305" t="s">
        <v>7</v>
      </c>
      <c r="E2305">
        <v>39</v>
      </c>
      <c r="F2305" t="s">
        <v>6</v>
      </c>
      <c r="G2305" t="str">
        <f t="shared" si="76"/>
        <v>Active</v>
      </c>
      <c r="H2305" s="1" t="str">
        <f t="shared" si="77"/>
        <v>Monday</v>
      </c>
    </row>
    <row r="2306" spans="1:8" x14ac:dyDescent="0.3">
      <c r="A2306">
        <v>176024207</v>
      </c>
      <c r="B2306" s="1">
        <v>45096</v>
      </c>
      <c r="C2306" s="1">
        <v>45145</v>
      </c>
      <c r="D2306" t="s">
        <v>7</v>
      </c>
      <c r="E2306">
        <v>39</v>
      </c>
      <c r="F2306" t="s">
        <v>6</v>
      </c>
      <c r="G2306">
        <f t="shared" si="76"/>
        <v>49</v>
      </c>
      <c r="H2306" s="1" t="str">
        <f t="shared" si="77"/>
        <v>Monday</v>
      </c>
    </row>
    <row r="2307" spans="1:8" x14ac:dyDescent="0.3">
      <c r="A2307">
        <v>160598122</v>
      </c>
      <c r="B2307" s="1">
        <v>45096</v>
      </c>
      <c r="C2307" s="1">
        <v>45133</v>
      </c>
      <c r="D2307" t="s">
        <v>7</v>
      </c>
      <c r="E2307">
        <v>39</v>
      </c>
      <c r="F2307" t="s">
        <v>6</v>
      </c>
      <c r="G2307">
        <f t="shared" ref="G2307:G2370" si="78">IF(C2307="Active","Active",C2307-B2307)</f>
        <v>37</v>
      </c>
      <c r="H2307" s="1" t="str">
        <f t="shared" ref="H2307:H2370" si="79">TEXT(B2307,"dddd")</f>
        <v>Monday</v>
      </c>
    </row>
    <row r="2308" spans="1:8" x14ac:dyDescent="0.3">
      <c r="A2308">
        <v>217378430</v>
      </c>
      <c r="B2308" s="1">
        <v>45096</v>
      </c>
      <c r="C2308" s="1">
        <v>45144</v>
      </c>
      <c r="D2308" t="s">
        <v>7</v>
      </c>
      <c r="E2308">
        <v>39</v>
      </c>
      <c r="F2308" t="s">
        <v>6</v>
      </c>
      <c r="G2308">
        <f t="shared" si="78"/>
        <v>48</v>
      </c>
      <c r="H2308" s="1" t="str">
        <f t="shared" si="79"/>
        <v>Monday</v>
      </c>
    </row>
    <row r="2309" spans="1:8" x14ac:dyDescent="0.3">
      <c r="A2309">
        <v>193680187</v>
      </c>
      <c r="B2309" s="1">
        <v>45096</v>
      </c>
      <c r="C2309" s="1">
        <v>45097</v>
      </c>
      <c r="D2309" t="s">
        <v>7</v>
      </c>
      <c r="E2309">
        <v>39</v>
      </c>
      <c r="F2309" t="s">
        <v>6</v>
      </c>
      <c r="G2309">
        <f t="shared" si="78"/>
        <v>1</v>
      </c>
      <c r="H2309" s="1" t="str">
        <f t="shared" si="79"/>
        <v>Monday</v>
      </c>
    </row>
    <row r="2310" spans="1:8" x14ac:dyDescent="0.3">
      <c r="A2310">
        <v>180424442</v>
      </c>
      <c r="B2310" s="1">
        <v>45096</v>
      </c>
      <c r="C2310" s="1">
        <v>45133</v>
      </c>
      <c r="D2310" t="s">
        <v>7</v>
      </c>
      <c r="E2310">
        <v>39</v>
      </c>
      <c r="F2310" t="s">
        <v>6</v>
      </c>
      <c r="G2310">
        <f t="shared" si="78"/>
        <v>37</v>
      </c>
      <c r="H2310" s="1" t="str">
        <f t="shared" si="79"/>
        <v>Monday</v>
      </c>
    </row>
    <row r="2311" spans="1:8" x14ac:dyDescent="0.3">
      <c r="A2311">
        <v>217612796</v>
      </c>
      <c r="B2311" s="1">
        <v>45097</v>
      </c>
      <c r="C2311" t="s">
        <v>19</v>
      </c>
      <c r="D2311" t="s">
        <v>7</v>
      </c>
      <c r="E2311">
        <v>39</v>
      </c>
      <c r="F2311" t="s">
        <v>6</v>
      </c>
      <c r="G2311" t="str">
        <f t="shared" si="78"/>
        <v>Active</v>
      </c>
      <c r="H2311" s="1" t="str">
        <f t="shared" si="79"/>
        <v>Tuesday</v>
      </c>
    </row>
    <row r="2312" spans="1:8" x14ac:dyDescent="0.3">
      <c r="A2312">
        <v>217601263</v>
      </c>
      <c r="B2312" s="1">
        <v>45097</v>
      </c>
      <c r="C2312" t="s">
        <v>19</v>
      </c>
      <c r="D2312" t="s">
        <v>7</v>
      </c>
      <c r="E2312">
        <v>39</v>
      </c>
      <c r="F2312" t="s">
        <v>6</v>
      </c>
      <c r="G2312" t="str">
        <f t="shared" si="78"/>
        <v>Active</v>
      </c>
      <c r="H2312" s="1" t="str">
        <f t="shared" si="79"/>
        <v>Tuesday</v>
      </c>
    </row>
    <row r="2313" spans="1:8" x14ac:dyDescent="0.3">
      <c r="A2313">
        <v>217594148</v>
      </c>
      <c r="B2313" s="1">
        <v>45097</v>
      </c>
      <c r="C2313" t="s">
        <v>19</v>
      </c>
      <c r="D2313" t="s">
        <v>7</v>
      </c>
      <c r="E2313">
        <v>39</v>
      </c>
      <c r="F2313" t="s">
        <v>6</v>
      </c>
      <c r="G2313" t="str">
        <f t="shared" si="78"/>
        <v>Active</v>
      </c>
      <c r="H2313" s="1" t="str">
        <f t="shared" si="79"/>
        <v>Tuesday</v>
      </c>
    </row>
    <row r="2314" spans="1:8" x14ac:dyDescent="0.3">
      <c r="A2314">
        <v>217598396</v>
      </c>
      <c r="B2314" s="1">
        <v>45097</v>
      </c>
      <c r="C2314" t="s">
        <v>19</v>
      </c>
      <c r="D2314" t="s">
        <v>7</v>
      </c>
      <c r="E2314">
        <v>39</v>
      </c>
      <c r="F2314" t="s">
        <v>6</v>
      </c>
      <c r="G2314" t="str">
        <f t="shared" si="78"/>
        <v>Active</v>
      </c>
      <c r="H2314" s="1" t="str">
        <f t="shared" si="79"/>
        <v>Tuesday</v>
      </c>
    </row>
    <row r="2315" spans="1:8" x14ac:dyDescent="0.3">
      <c r="A2315">
        <v>206647130</v>
      </c>
      <c r="B2315" s="1">
        <v>45097</v>
      </c>
      <c r="C2315" t="s">
        <v>19</v>
      </c>
      <c r="D2315" t="s">
        <v>7</v>
      </c>
      <c r="E2315">
        <v>39</v>
      </c>
      <c r="F2315" t="s">
        <v>6</v>
      </c>
      <c r="G2315" t="str">
        <f t="shared" si="78"/>
        <v>Active</v>
      </c>
      <c r="H2315" s="1" t="str">
        <f t="shared" si="79"/>
        <v>Tuesday</v>
      </c>
    </row>
    <row r="2316" spans="1:8" x14ac:dyDescent="0.3">
      <c r="A2316">
        <v>207099222</v>
      </c>
      <c r="B2316" s="1">
        <v>45097</v>
      </c>
      <c r="C2316" t="s">
        <v>19</v>
      </c>
      <c r="D2316" t="s">
        <v>7</v>
      </c>
      <c r="E2316">
        <v>39</v>
      </c>
      <c r="F2316" t="s">
        <v>6</v>
      </c>
      <c r="G2316" t="str">
        <f t="shared" si="78"/>
        <v>Active</v>
      </c>
      <c r="H2316" s="1" t="str">
        <f t="shared" si="79"/>
        <v>Tuesday</v>
      </c>
    </row>
    <row r="2317" spans="1:8" x14ac:dyDescent="0.3">
      <c r="A2317">
        <v>207079318</v>
      </c>
      <c r="B2317" s="1">
        <v>45097</v>
      </c>
      <c r="C2317" t="s">
        <v>19</v>
      </c>
      <c r="D2317" t="s">
        <v>7</v>
      </c>
      <c r="E2317">
        <v>39</v>
      </c>
      <c r="F2317" t="s">
        <v>6</v>
      </c>
      <c r="G2317" t="str">
        <f t="shared" si="78"/>
        <v>Active</v>
      </c>
      <c r="H2317" s="1" t="str">
        <f t="shared" si="79"/>
        <v>Tuesday</v>
      </c>
    </row>
    <row r="2318" spans="1:8" x14ac:dyDescent="0.3">
      <c r="A2318">
        <v>217580362</v>
      </c>
      <c r="B2318" s="1">
        <v>45097</v>
      </c>
      <c r="C2318" t="s">
        <v>19</v>
      </c>
      <c r="D2318" t="s">
        <v>7</v>
      </c>
      <c r="E2318">
        <v>39</v>
      </c>
      <c r="F2318" t="s">
        <v>6</v>
      </c>
      <c r="G2318" t="str">
        <f t="shared" si="78"/>
        <v>Active</v>
      </c>
      <c r="H2318" s="1" t="str">
        <f t="shared" si="79"/>
        <v>Tuesday</v>
      </c>
    </row>
    <row r="2319" spans="1:8" x14ac:dyDescent="0.3">
      <c r="A2319">
        <v>217438678</v>
      </c>
      <c r="B2319" s="1">
        <v>45097</v>
      </c>
      <c r="C2319" t="s">
        <v>19</v>
      </c>
      <c r="D2319" t="s">
        <v>7</v>
      </c>
      <c r="E2319">
        <v>39</v>
      </c>
      <c r="F2319" t="s">
        <v>6</v>
      </c>
      <c r="G2319" t="str">
        <f t="shared" si="78"/>
        <v>Active</v>
      </c>
      <c r="H2319" s="1" t="str">
        <f t="shared" si="79"/>
        <v>Tuesday</v>
      </c>
    </row>
    <row r="2320" spans="1:8" x14ac:dyDescent="0.3">
      <c r="A2320">
        <v>215963364</v>
      </c>
      <c r="B2320" s="1">
        <v>45097</v>
      </c>
      <c r="C2320" s="1">
        <v>45098</v>
      </c>
      <c r="D2320" t="s">
        <v>7</v>
      </c>
      <c r="E2320">
        <v>39</v>
      </c>
      <c r="F2320" t="s">
        <v>6</v>
      </c>
      <c r="G2320">
        <f t="shared" si="78"/>
        <v>1</v>
      </c>
      <c r="H2320" s="1" t="str">
        <f t="shared" si="79"/>
        <v>Tuesday</v>
      </c>
    </row>
    <row r="2321" spans="1:8" x14ac:dyDescent="0.3">
      <c r="A2321">
        <v>153876204</v>
      </c>
      <c r="B2321" s="1">
        <v>45097</v>
      </c>
      <c r="C2321" s="1">
        <v>45130</v>
      </c>
      <c r="D2321" t="s">
        <v>7</v>
      </c>
      <c r="E2321">
        <v>39</v>
      </c>
      <c r="F2321" t="s">
        <v>6</v>
      </c>
      <c r="G2321">
        <f t="shared" si="78"/>
        <v>33</v>
      </c>
      <c r="H2321" s="1" t="str">
        <f t="shared" si="79"/>
        <v>Tuesday</v>
      </c>
    </row>
    <row r="2322" spans="1:8" x14ac:dyDescent="0.3">
      <c r="A2322">
        <v>153828803</v>
      </c>
      <c r="B2322" s="1">
        <v>45097</v>
      </c>
      <c r="C2322" s="1">
        <v>45099</v>
      </c>
      <c r="D2322" t="s">
        <v>7</v>
      </c>
      <c r="E2322">
        <v>39</v>
      </c>
      <c r="F2322" t="s">
        <v>6</v>
      </c>
      <c r="G2322">
        <f t="shared" si="78"/>
        <v>2</v>
      </c>
      <c r="H2322" s="1" t="str">
        <f t="shared" si="79"/>
        <v>Tuesday</v>
      </c>
    </row>
    <row r="2323" spans="1:8" x14ac:dyDescent="0.3">
      <c r="A2323">
        <v>217595865</v>
      </c>
      <c r="B2323" s="1">
        <v>45097</v>
      </c>
      <c r="C2323" s="1">
        <v>45134</v>
      </c>
      <c r="D2323" t="s">
        <v>7</v>
      </c>
      <c r="E2323">
        <v>39</v>
      </c>
      <c r="F2323" t="s">
        <v>6</v>
      </c>
      <c r="G2323">
        <f t="shared" si="78"/>
        <v>37</v>
      </c>
      <c r="H2323" s="1" t="str">
        <f t="shared" si="79"/>
        <v>Tuesday</v>
      </c>
    </row>
    <row r="2324" spans="1:8" x14ac:dyDescent="0.3">
      <c r="A2324">
        <v>216158153</v>
      </c>
      <c r="B2324" s="1">
        <v>45097</v>
      </c>
      <c r="C2324" s="1">
        <v>45131</v>
      </c>
      <c r="D2324" t="s">
        <v>7</v>
      </c>
      <c r="E2324">
        <v>39</v>
      </c>
      <c r="F2324" t="s">
        <v>6</v>
      </c>
      <c r="G2324">
        <f t="shared" si="78"/>
        <v>34</v>
      </c>
      <c r="H2324" s="1" t="str">
        <f t="shared" si="79"/>
        <v>Tuesday</v>
      </c>
    </row>
    <row r="2325" spans="1:8" x14ac:dyDescent="0.3">
      <c r="A2325">
        <v>217548173</v>
      </c>
      <c r="B2325" s="1">
        <v>45097</v>
      </c>
      <c r="C2325" s="1">
        <v>45126</v>
      </c>
      <c r="D2325" t="s">
        <v>7</v>
      </c>
      <c r="E2325">
        <v>39</v>
      </c>
      <c r="F2325" t="s">
        <v>6</v>
      </c>
      <c r="G2325">
        <f t="shared" si="78"/>
        <v>29</v>
      </c>
      <c r="H2325" s="1" t="str">
        <f t="shared" si="79"/>
        <v>Tuesday</v>
      </c>
    </row>
    <row r="2326" spans="1:8" x14ac:dyDescent="0.3">
      <c r="A2326">
        <v>217533118</v>
      </c>
      <c r="B2326" s="1">
        <v>45098</v>
      </c>
      <c r="C2326" t="s">
        <v>19</v>
      </c>
      <c r="D2326" t="s">
        <v>7</v>
      </c>
      <c r="E2326">
        <v>39</v>
      </c>
      <c r="F2326" t="s">
        <v>6</v>
      </c>
      <c r="G2326" t="str">
        <f t="shared" si="78"/>
        <v>Active</v>
      </c>
      <c r="H2326" s="1" t="str">
        <f t="shared" si="79"/>
        <v>Wednesday</v>
      </c>
    </row>
    <row r="2327" spans="1:8" x14ac:dyDescent="0.3">
      <c r="A2327">
        <v>205128906</v>
      </c>
      <c r="B2327" s="1">
        <v>45098</v>
      </c>
      <c r="C2327" t="s">
        <v>19</v>
      </c>
      <c r="D2327" t="s">
        <v>7</v>
      </c>
      <c r="E2327">
        <v>39</v>
      </c>
      <c r="F2327" t="s">
        <v>6</v>
      </c>
      <c r="G2327" t="str">
        <f t="shared" si="78"/>
        <v>Active</v>
      </c>
      <c r="H2327" s="1" t="str">
        <f t="shared" si="79"/>
        <v>Wednesday</v>
      </c>
    </row>
    <row r="2328" spans="1:8" x14ac:dyDescent="0.3">
      <c r="A2328">
        <v>205812132</v>
      </c>
      <c r="B2328" s="1">
        <v>45098</v>
      </c>
      <c r="C2328" t="s">
        <v>19</v>
      </c>
      <c r="D2328" t="s">
        <v>7</v>
      </c>
      <c r="E2328">
        <v>39</v>
      </c>
      <c r="F2328" t="s">
        <v>6</v>
      </c>
      <c r="G2328" t="str">
        <f t="shared" si="78"/>
        <v>Active</v>
      </c>
      <c r="H2328" s="1" t="str">
        <f t="shared" si="79"/>
        <v>Wednesday</v>
      </c>
    </row>
    <row r="2329" spans="1:8" x14ac:dyDescent="0.3">
      <c r="A2329">
        <v>216907554</v>
      </c>
      <c r="B2329" s="1">
        <v>45098</v>
      </c>
      <c r="C2329" t="s">
        <v>19</v>
      </c>
      <c r="D2329" t="s">
        <v>7</v>
      </c>
      <c r="E2329">
        <v>39</v>
      </c>
      <c r="F2329" t="s">
        <v>6</v>
      </c>
      <c r="G2329" t="str">
        <f t="shared" si="78"/>
        <v>Active</v>
      </c>
      <c r="H2329" s="1" t="str">
        <f t="shared" si="79"/>
        <v>Wednesday</v>
      </c>
    </row>
    <row r="2330" spans="1:8" x14ac:dyDescent="0.3">
      <c r="A2330">
        <v>215113542</v>
      </c>
      <c r="B2330" s="1">
        <v>45098</v>
      </c>
      <c r="C2330" t="s">
        <v>19</v>
      </c>
      <c r="D2330" t="s">
        <v>7</v>
      </c>
      <c r="E2330">
        <v>39</v>
      </c>
      <c r="F2330" t="s">
        <v>6</v>
      </c>
      <c r="G2330" t="str">
        <f t="shared" si="78"/>
        <v>Active</v>
      </c>
      <c r="H2330" s="1" t="str">
        <f t="shared" si="79"/>
        <v>Wednesday</v>
      </c>
    </row>
    <row r="2331" spans="1:8" x14ac:dyDescent="0.3">
      <c r="A2331">
        <v>204772797</v>
      </c>
      <c r="B2331" s="1">
        <v>45098</v>
      </c>
      <c r="C2331" t="s">
        <v>19</v>
      </c>
      <c r="D2331" t="s">
        <v>7</v>
      </c>
      <c r="E2331">
        <v>39</v>
      </c>
      <c r="F2331" t="s">
        <v>6</v>
      </c>
      <c r="G2331" t="str">
        <f t="shared" si="78"/>
        <v>Active</v>
      </c>
      <c r="H2331" s="1" t="str">
        <f t="shared" si="79"/>
        <v>Wednesday</v>
      </c>
    </row>
    <row r="2332" spans="1:8" x14ac:dyDescent="0.3">
      <c r="A2332">
        <v>217627630</v>
      </c>
      <c r="B2332" s="1">
        <v>45098</v>
      </c>
      <c r="C2332" t="s">
        <v>19</v>
      </c>
      <c r="D2332" t="s">
        <v>7</v>
      </c>
      <c r="E2332">
        <v>39</v>
      </c>
      <c r="F2332" t="s">
        <v>6</v>
      </c>
      <c r="G2332" t="str">
        <f t="shared" si="78"/>
        <v>Active</v>
      </c>
      <c r="H2332" s="1" t="str">
        <f t="shared" si="79"/>
        <v>Wednesday</v>
      </c>
    </row>
    <row r="2333" spans="1:8" x14ac:dyDescent="0.3">
      <c r="A2333">
        <v>217635272</v>
      </c>
      <c r="B2333" s="1">
        <v>45098</v>
      </c>
      <c r="C2333" t="s">
        <v>19</v>
      </c>
      <c r="D2333" t="s">
        <v>7</v>
      </c>
      <c r="E2333">
        <v>39</v>
      </c>
      <c r="F2333" t="s">
        <v>6</v>
      </c>
      <c r="G2333" t="str">
        <f t="shared" si="78"/>
        <v>Active</v>
      </c>
      <c r="H2333" s="1" t="str">
        <f t="shared" si="79"/>
        <v>Wednesday</v>
      </c>
    </row>
    <row r="2334" spans="1:8" x14ac:dyDescent="0.3">
      <c r="A2334">
        <v>217543308</v>
      </c>
      <c r="B2334" s="1">
        <v>45098</v>
      </c>
      <c r="C2334" s="1">
        <v>45099</v>
      </c>
      <c r="D2334" t="s">
        <v>7</v>
      </c>
      <c r="E2334">
        <v>39</v>
      </c>
      <c r="F2334" t="s">
        <v>6</v>
      </c>
      <c r="G2334">
        <f t="shared" si="78"/>
        <v>1</v>
      </c>
      <c r="H2334" s="1" t="str">
        <f t="shared" si="79"/>
        <v>Wednesday</v>
      </c>
    </row>
    <row r="2335" spans="1:8" x14ac:dyDescent="0.3">
      <c r="A2335">
        <v>217626870</v>
      </c>
      <c r="B2335" s="1">
        <v>45098</v>
      </c>
      <c r="C2335" s="1">
        <v>45099</v>
      </c>
      <c r="D2335" t="s">
        <v>8</v>
      </c>
      <c r="E2335">
        <v>39</v>
      </c>
      <c r="F2335" t="s">
        <v>6</v>
      </c>
      <c r="G2335">
        <f t="shared" si="78"/>
        <v>1</v>
      </c>
      <c r="H2335" s="1" t="str">
        <f t="shared" si="79"/>
        <v>Wednesday</v>
      </c>
    </row>
    <row r="2336" spans="1:8" x14ac:dyDescent="0.3">
      <c r="A2336">
        <v>217246912</v>
      </c>
      <c r="B2336" s="1">
        <v>45098</v>
      </c>
      <c r="C2336" s="1">
        <v>45099</v>
      </c>
      <c r="D2336" t="s">
        <v>8</v>
      </c>
      <c r="E2336">
        <v>39</v>
      </c>
      <c r="F2336" t="s">
        <v>6</v>
      </c>
      <c r="G2336">
        <f t="shared" si="78"/>
        <v>1</v>
      </c>
      <c r="H2336" s="1" t="str">
        <f t="shared" si="79"/>
        <v>Wednesday</v>
      </c>
    </row>
    <row r="2337" spans="1:8" x14ac:dyDescent="0.3">
      <c r="A2337">
        <v>217223132</v>
      </c>
      <c r="B2337" s="1">
        <v>45098</v>
      </c>
      <c r="C2337" s="1">
        <v>45156</v>
      </c>
      <c r="D2337" t="s">
        <v>7</v>
      </c>
      <c r="E2337">
        <v>39</v>
      </c>
      <c r="F2337" t="s">
        <v>6</v>
      </c>
      <c r="G2337">
        <f t="shared" si="78"/>
        <v>58</v>
      </c>
      <c r="H2337" s="1" t="str">
        <f t="shared" si="79"/>
        <v>Wednesday</v>
      </c>
    </row>
    <row r="2338" spans="1:8" x14ac:dyDescent="0.3">
      <c r="A2338">
        <v>217650160</v>
      </c>
      <c r="B2338" s="1">
        <v>45098</v>
      </c>
      <c r="C2338" s="1">
        <v>45148</v>
      </c>
      <c r="D2338" t="s">
        <v>7</v>
      </c>
      <c r="E2338">
        <v>39</v>
      </c>
      <c r="F2338" t="s">
        <v>6</v>
      </c>
      <c r="G2338">
        <f t="shared" si="78"/>
        <v>50</v>
      </c>
      <c r="H2338" s="1" t="str">
        <f t="shared" si="79"/>
        <v>Wednesday</v>
      </c>
    </row>
    <row r="2339" spans="1:8" x14ac:dyDescent="0.3">
      <c r="A2339">
        <v>149856123</v>
      </c>
      <c r="B2339" s="1">
        <v>45098</v>
      </c>
      <c r="C2339" s="1">
        <v>45124</v>
      </c>
      <c r="D2339" t="s">
        <v>7</v>
      </c>
      <c r="E2339">
        <v>39</v>
      </c>
      <c r="F2339" t="s">
        <v>6</v>
      </c>
      <c r="G2339">
        <f t="shared" si="78"/>
        <v>26</v>
      </c>
      <c r="H2339" s="1" t="str">
        <f t="shared" si="79"/>
        <v>Wednesday</v>
      </c>
    </row>
    <row r="2340" spans="1:8" x14ac:dyDescent="0.3">
      <c r="A2340">
        <v>217657148</v>
      </c>
      <c r="B2340" s="1">
        <v>45098</v>
      </c>
      <c r="C2340" s="1">
        <v>45107</v>
      </c>
      <c r="D2340" t="s">
        <v>7</v>
      </c>
      <c r="E2340">
        <v>39</v>
      </c>
      <c r="F2340" t="s">
        <v>6</v>
      </c>
      <c r="G2340">
        <f t="shared" si="78"/>
        <v>9</v>
      </c>
      <c r="H2340" s="1" t="str">
        <f t="shared" si="79"/>
        <v>Wednesday</v>
      </c>
    </row>
    <row r="2341" spans="1:8" x14ac:dyDescent="0.3">
      <c r="A2341">
        <v>217386658</v>
      </c>
      <c r="B2341" s="1">
        <v>45098</v>
      </c>
      <c r="C2341" s="1">
        <v>45132</v>
      </c>
      <c r="D2341" t="s">
        <v>7</v>
      </c>
      <c r="E2341">
        <v>39</v>
      </c>
      <c r="F2341" t="s">
        <v>6</v>
      </c>
      <c r="G2341">
        <f t="shared" si="78"/>
        <v>34</v>
      </c>
      <c r="H2341" s="1" t="str">
        <f t="shared" si="79"/>
        <v>Wednesday</v>
      </c>
    </row>
    <row r="2342" spans="1:8" x14ac:dyDescent="0.3">
      <c r="A2342">
        <v>202563999</v>
      </c>
      <c r="B2342" s="1">
        <v>45099</v>
      </c>
      <c r="C2342" t="s">
        <v>19</v>
      </c>
      <c r="D2342" t="s">
        <v>7</v>
      </c>
      <c r="E2342">
        <v>39</v>
      </c>
      <c r="F2342" t="s">
        <v>6</v>
      </c>
      <c r="G2342" t="str">
        <f t="shared" si="78"/>
        <v>Active</v>
      </c>
      <c r="H2342" s="1" t="str">
        <f t="shared" si="79"/>
        <v>Thursday</v>
      </c>
    </row>
    <row r="2343" spans="1:8" x14ac:dyDescent="0.3">
      <c r="A2343">
        <v>137195650</v>
      </c>
      <c r="B2343" s="1">
        <v>45099</v>
      </c>
      <c r="C2343" t="s">
        <v>19</v>
      </c>
      <c r="D2343" t="s">
        <v>7</v>
      </c>
      <c r="E2343">
        <v>39</v>
      </c>
      <c r="F2343" t="s">
        <v>6</v>
      </c>
      <c r="G2343" t="str">
        <f t="shared" si="78"/>
        <v>Active</v>
      </c>
      <c r="H2343" s="1" t="str">
        <f t="shared" si="79"/>
        <v>Thursday</v>
      </c>
    </row>
    <row r="2344" spans="1:8" x14ac:dyDescent="0.3">
      <c r="A2344">
        <v>138372112</v>
      </c>
      <c r="B2344" s="1">
        <v>45099</v>
      </c>
      <c r="C2344" t="s">
        <v>19</v>
      </c>
      <c r="D2344" t="s">
        <v>7</v>
      </c>
      <c r="E2344">
        <v>39</v>
      </c>
      <c r="F2344" t="s">
        <v>6</v>
      </c>
      <c r="G2344" t="str">
        <f t="shared" si="78"/>
        <v>Active</v>
      </c>
      <c r="H2344" s="1" t="str">
        <f t="shared" si="79"/>
        <v>Thursday</v>
      </c>
    </row>
    <row r="2345" spans="1:8" x14ac:dyDescent="0.3">
      <c r="A2345">
        <v>217692419</v>
      </c>
      <c r="B2345" s="1">
        <v>45099</v>
      </c>
      <c r="C2345" t="s">
        <v>19</v>
      </c>
      <c r="D2345" t="s">
        <v>7</v>
      </c>
      <c r="E2345">
        <v>39</v>
      </c>
      <c r="F2345" t="s">
        <v>6</v>
      </c>
      <c r="G2345" t="str">
        <f t="shared" si="78"/>
        <v>Active</v>
      </c>
      <c r="H2345" s="1" t="str">
        <f t="shared" si="79"/>
        <v>Thursday</v>
      </c>
    </row>
    <row r="2346" spans="1:8" x14ac:dyDescent="0.3">
      <c r="A2346">
        <v>217610905</v>
      </c>
      <c r="B2346" s="1">
        <v>45099</v>
      </c>
      <c r="C2346" t="s">
        <v>19</v>
      </c>
      <c r="D2346" t="s">
        <v>7</v>
      </c>
      <c r="E2346">
        <v>39</v>
      </c>
      <c r="F2346" t="s">
        <v>6</v>
      </c>
      <c r="G2346" t="str">
        <f t="shared" si="78"/>
        <v>Active</v>
      </c>
      <c r="H2346" s="1" t="str">
        <f t="shared" si="79"/>
        <v>Thursday</v>
      </c>
    </row>
    <row r="2347" spans="1:8" x14ac:dyDescent="0.3">
      <c r="A2347">
        <v>217618558</v>
      </c>
      <c r="B2347" s="1">
        <v>45099</v>
      </c>
      <c r="C2347" t="s">
        <v>19</v>
      </c>
      <c r="D2347" t="s">
        <v>7</v>
      </c>
      <c r="E2347">
        <v>39</v>
      </c>
      <c r="F2347" t="s">
        <v>6</v>
      </c>
      <c r="G2347" t="str">
        <f t="shared" si="78"/>
        <v>Active</v>
      </c>
      <c r="H2347" s="1" t="str">
        <f t="shared" si="79"/>
        <v>Thursday</v>
      </c>
    </row>
    <row r="2348" spans="1:8" x14ac:dyDescent="0.3">
      <c r="A2348">
        <v>190490555</v>
      </c>
      <c r="B2348" s="1">
        <v>45099</v>
      </c>
      <c r="C2348" t="s">
        <v>19</v>
      </c>
      <c r="D2348" t="s">
        <v>7</v>
      </c>
      <c r="E2348">
        <v>39</v>
      </c>
      <c r="F2348" t="s">
        <v>6</v>
      </c>
      <c r="G2348" t="str">
        <f t="shared" si="78"/>
        <v>Active</v>
      </c>
      <c r="H2348" s="1" t="str">
        <f t="shared" si="79"/>
        <v>Thursday</v>
      </c>
    </row>
    <row r="2349" spans="1:8" x14ac:dyDescent="0.3">
      <c r="A2349">
        <v>122169020</v>
      </c>
      <c r="B2349" s="1">
        <v>45099</v>
      </c>
      <c r="C2349" s="1">
        <v>45100</v>
      </c>
      <c r="D2349" t="s">
        <v>7</v>
      </c>
      <c r="E2349">
        <v>39</v>
      </c>
      <c r="F2349" t="s">
        <v>6</v>
      </c>
      <c r="G2349">
        <f t="shared" si="78"/>
        <v>1</v>
      </c>
      <c r="H2349" s="1" t="str">
        <f t="shared" si="79"/>
        <v>Thursday</v>
      </c>
    </row>
    <row r="2350" spans="1:8" x14ac:dyDescent="0.3">
      <c r="A2350">
        <v>217628239</v>
      </c>
      <c r="B2350" s="1">
        <v>45099</v>
      </c>
      <c r="C2350" s="1">
        <v>45100</v>
      </c>
      <c r="D2350" t="s">
        <v>8</v>
      </c>
      <c r="E2350">
        <v>39</v>
      </c>
      <c r="F2350" t="s">
        <v>6</v>
      </c>
      <c r="G2350">
        <f t="shared" si="78"/>
        <v>1</v>
      </c>
      <c r="H2350" s="1" t="str">
        <f t="shared" si="79"/>
        <v>Thursday</v>
      </c>
    </row>
    <row r="2351" spans="1:8" x14ac:dyDescent="0.3">
      <c r="A2351">
        <v>148062219</v>
      </c>
      <c r="B2351" s="1">
        <v>45099</v>
      </c>
      <c r="C2351" s="1">
        <v>45126</v>
      </c>
      <c r="D2351" t="s">
        <v>7</v>
      </c>
      <c r="E2351">
        <v>39</v>
      </c>
      <c r="F2351" t="s">
        <v>6</v>
      </c>
      <c r="G2351">
        <f t="shared" si="78"/>
        <v>27</v>
      </c>
      <c r="H2351" s="1" t="str">
        <f t="shared" si="79"/>
        <v>Thursday</v>
      </c>
    </row>
    <row r="2352" spans="1:8" x14ac:dyDescent="0.3">
      <c r="A2352">
        <v>131505988</v>
      </c>
      <c r="B2352" s="1">
        <v>45099</v>
      </c>
      <c r="C2352" s="1">
        <v>45113</v>
      </c>
      <c r="D2352" t="s">
        <v>7</v>
      </c>
      <c r="E2352">
        <v>39</v>
      </c>
      <c r="F2352" t="s">
        <v>6</v>
      </c>
      <c r="G2352">
        <f t="shared" si="78"/>
        <v>14</v>
      </c>
      <c r="H2352" s="1" t="str">
        <f t="shared" si="79"/>
        <v>Thursday</v>
      </c>
    </row>
    <row r="2353" spans="1:8" x14ac:dyDescent="0.3">
      <c r="A2353">
        <v>215489398</v>
      </c>
      <c r="B2353" s="1">
        <v>45099</v>
      </c>
      <c r="C2353" s="1">
        <v>45099</v>
      </c>
      <c r="D2353" t="s">
        <v>7</v>
      </c>
      <c r="E2353">
        <v>39</v>
      </c>
      <c r="F2353" t="s">
        <v>6</v>
      </c>
      <c r="G2353">
        <f t="shared" si="78"/>
        <v>0</v>
      </c>
      <c r="H2353" s="1" t="str">
        <f t="shared" si="79"/>
        <v>Thursday</v>
      </c>
    </row>
    <row r="2354" spans="1:8" x14ac:dyDescent="0.3">
      <c r="A2354">
        <v>195285936</v>
      </c>
      <c r="B2354" s="1">
        <v>45099</v>
      </c>
      <c r="C2354" s="1">
        <v>45156</v>
      </c>
      <c r="D2354" t="s">
        <v>7</v>
      </c>
      <c r="E2354">
        <v>39</v>
      </c>
      <c r="F2354" t="s">
        <v>6</v>
      </c>
      <c r="G2354">
        <f t="shared" si="78"/>
        <v>57</v>
      </c>
      <c r="H2354" s="1" t="str">
        <f t="shared" si="79"/>
        <v>Thursday</v>
      </c>
    </row>
    <row r="2355" spans="1:8" x14ac:dyDescent="0.3">
      <c r="A2355">
        <v>217725764</v>
      </c>
      <c r="B2355" s="1">
        <v>45099</v>
      </c>
      <c r="C2355" s="1">
        <v>45104</v>
      </c>
      <c r="D2355" t="s">
        <v>7</v>
      </c>
      <c r="E2355">
        <v>39</v>
      </c>
      <c r="F2355" t="s">
        <v>6</v>
      </c>
      <c r="G2355">
        <f t="shared" si="78"/>
        <v>5</v>
      </c>
      <c r="H2355" s="1" t="str">
        <f t="shared" si="79"/>
        <v>Thursday</v>
      </c>
    </row>
    <row r="2356" spans="1:8" x14ac:dyDescent="0.3">
      <c r="A2356">
        <v>217730944</v>
      </c>
      <c r="B2356" s="1">
        <v>45099</v>
      </c>
      <c r="C2356" s="1">
        <v>45113</v>
      </c>
      <c r="D2356" t="s">
        <v>7</v>
      </c>
      <c r="E2356">
        <v>39</v>
      </c>
      <c r="F2356" t="s">
        <v>6</v>
      </c>
      <c r="G2356">
        <f t="shared" si="78"/>
        <v>14</v>
      </c>
      <c r="H2356" s="1" t="str">
        <f t="shared" si="79"/>
        <v>Thursday</v>
      </c>
    </row>
    <row r="2357" spans="1:8" x14ac:dyDescent="0.3">
      <c r="A2357">
        <v>205548571</v>
      </c>
      <c r="B2357" s="1">
        <v>45100</v>
      </c>
      <c r="C2357" t="s">
        <v>19</v>
      </c>
      <c r="D2357" t="s">
        <v>7</v>
      </c>
      <c r="E2357">
        <v>39</v>
      </c>
      <c r="F2357" t="s">
        <v>6</v>
      </c>
      <c r="G2357" t="str">
        <f t="shared" si="78"/>
        <v>Active</v>
      </c>
      <c r="H2357" s="1" t="str">
        <f t="shared" si="79"/>
        <v>Friday</v>
      </c>
    </row>
    <row r="2358" spans="1:8" x14ac:dyDescent="0.3">
      <c r="A2358">
        <v>188085249</v>
      </c>
      <c r="B2358" s="1">
        <v>45100</v>
      </c>
      <c r="C2358" t="s">
        <v>19</v>
      </c>
      <c r="D2358" t="s">
        <v>7</v>
      </c>
      <c r="E2358">
        <v>39</v>
      </c>
      <c r="F2358" t="s">
        <v>6</v>
      </c>
      <c r="G2358" t="str">
        <f t="shared" si="78"/>
        <v>Active</v>
      </c>
      <c r="H2358" s="1" t="str">
        <f t="shared" si="79"/>
        <v>Friday</v>
      </c>
    </row>
    <row r="2359" spans="1:8" x14ac:dyDescent="0.3">
      <c r="A2359">
        <v>206697535</v>
      </c>
      <c r="B2359" s="1">
        <v>45100</v>
      </c>
      <c r="C2359" t="s">
        <v>19</v>
      </c>
      <c r="D2359" t="s">
        <v>7</v>
      </c>
      <c r="E2359">
        <v>39</v>
      </c>
      <c r="F2359" t="s">
        <v>6</v>
      </c>
      <c r="G2359" t="str">
        <f t="shared" si="78"/>
        <v>Active</v>
      </c>
      <c r="H2359" s="1" t="str">
        <f t="shared" si="79"/>
        <v>Friday</v>
      </c>
    </row>
    <row r="2360" spans="1:8" x14ac:dyDescent="0.3">
      <c r="A2360">
        <v>152705871</v>
      </c>
      <c r="B2360" s="1">
        <v>45100</v>
      </c>
      <c r="C2360" t="s">
        <v>19</v>
      </c>
      <c r="D2360" t="s">
        <v>7</v>
      </c>
      <c r="E2360">
        <v>39</v>
      </c>
      <c r="F2360" t="s">
        <v>6</v>
      </c>
      <c r="G2360" t="str">
        <f t="shared" si="78"/>
        <v>Active</v>
      </c>
      <c r="H2360" s="1" t="str">
        <f t="shared" si="79"/>
        <v>Friday</v>
      </c>
    </row>
    <row r="2361" spans="1:8" x14ac:dyDescent="0.3">
      <c r="A2361">
        <v>216139584</v>
      </c>
      <c r="B2361" s="1">
        <v>45100</v>
      </c>
      <c r="C2361" t="s">
        <v>19</v>
      </c>
      <c r="D2361" t="s">
        <v>7</v>
      </c>
      <c r="E2361">
        <v>39</v>
      </c>
      <c r="F2361" t="s">
        <v>6</v>
      </c>
      <c r="G2361" t="str">
        <f t="shared" si="78"/>
        <v>Active</v>
      </c>
      <c r="H2361" s="1" t="str">
        <f t="shared" si="79"/>
        <v>Friday</v>
      </c>
    </row>
    <row r="2362" spans="1:8" x14ac:dyDescent="0.3">
      <c r="A2362">
        <v>127716285</v>
      </c>
      <c r="B2362" s="1">
        <v>45100</v>
      </c>
      <c r="C2362" t="s">
        <v>19</v>
      </c>
      <c r="D2362" t="s">
        <v>7</v>
      </c>
      <c r="E2362">
        <v>39</v>
      </c>
      <c r="F2362" t="s">
        <v>6</v>
      </c>
      <c r="G2362" t="str">
        <f t="shared" si="78"/>
        <v>Active</v>
      </c>
      <c r="H2362" s="1" t="str">
        <f t="shared" si="79"/>
        <v>Friday</v>
      </c>
    </row>
    <row r="2363" spans="1:8" x14ac:dyDescent="0.3">
      <c r="A2363">
        <v>138535334</v>
      </c>
      <c r="B2363" s="1">
        <v>45100</v>
      </c>
      <c r="C2363" s="1">
        <v>45161</v>
      </c>
      <c r="D2363" t="s">
        <v>7</v>
      </c>
      <c r="E2363">
        <v>39</v>
      </c>
      <c r="F2363" t="s">
        <v>6</v>
      </c>
      <c r="G2363">
        <f t="shared" si="78"/>
        <v>61</v>
      </c>
      <c r="H2363" s="1" t="str">
        <f t="shared" si="79"/>
        <v>Friday</v>
      </c>
    </row>
    <row r="2364" spans="1:8" x14ac:dyDescent="0.3">
      <c r="A2364">
        <v>205869717</v>
      </c>
      <c r="B2364" s="1">
        <v>45100</v>
      </c>
      <c r="C2364" s="1">
        <v>45168</v>
      </c>
      <c r="D2364" t="s">
        <v>7</v>
      </c>
      <c r="E2364">
        <v>39</v>
      </c>
      <c r="F2364" t="s">
        <v>6</v>
      </c>
      <c r="G2364">
        <f t="shared" si="78"/>
        <v>68</v>
      </c>
      <c r="H2364" s="1" t="str">
        <f t="shared" si="79"/>
        <v>Friday</v>
      </c>
    </row>
    <row r="2365" spans="1:8" x14ac:dyDescent="0.3">
      <c r="A2365">
        <v>204985013</v>
      </c>
      <c r="B2365" s="1">
        <v>45100</v>
      </c>
      <c r="C2365" s="1">
        <v>45150</v>
      </c>
      <c r="D2365" t="s">
        <v>7</v>
      </c>
      <c r="E2365">
        <v>39</v>
      </c>
      <c r="F2365" t="s">
        <v>6</v>
      </c>
      <c r="G2365">
        <f t="shared" si="78"/>
        <v>50</v>
      </c>
      <c r="H2365" s="1" t="str">
        <f t="shared" si="79"/>
        <v>Friday</v>
      </c>
    </row>
    <row r="2366" spans="1:8" x14ac:dyDescent="0.3">
      <c r="A2366">
        <v>217763600</v>
      </c>
      <c r="B2366" s="1">
        <v>45101</v>
      </c>
      <c r="C2366" t="s">
        <v>19</v>
      </c>
      <c r="D2366" t="s">
        <v>7</v>
      </c>
      <c r="E2366">
        <v>39</v>
      </c>
      <c r="F2366" t="s">
        <v>6</v>
      </c>
      <c r="G2366" t="str">
        <f t="shared" si="78"/>
        <v>Active</v>
      </c>
      <c r="H2366" s="1" t="str">
        <f t="shared" si="79"/>
        <v>Saturday</v>
      </c>
    </row>
    <row r="2367" spans="1:8" x14ac:dyDescent="0.3">
      <c r="A2367">
        <v>217808731</v>
      </c>
      <c r="B2367" s="1">
        <v>45101</v>
      </c>
      <c r="C2367" s="1">
        <v>45102</v>
      </c>
      <c r="D2367" t="s">
        <v>8</v>
      </c>
      <c r="E2367">
        <v>39</v>
      </c>
      <c r="F2367" t="s">
        <v>6</v>
      </c>
      <c r="G2367">
        <f t="shared" si="78"/>
        <v>1</v>
      </c>
      <c r="H2367" s="1" t="str">
        <f t="shared" si="79"/>
        <v>Saturday</v>
      </c>
    </row>
    <row r="2368" spans="1:8" x14ac:dyDescent="0.3">
      <c r="A2368">
        <v>217822232</v>
      </c>
      <c r="B2368" s="1">
        <v>45101</v>
      </c>
      <c r="C2368" s="1">
        <v>45143</v>
      </c>
      <c r="D2368" t="s">
        <v>7</v>
      </c>
      <c r="E2368">
        <v>39</v>
      </c>
      <c r="F2368" t="s">
        <v>6</v>
      </c>
      <c r="G2368">
        <f t="shared" si="78"/>
        <v>42</v>
      </c>
      <c r="H2368" s="1" t="str">
        <f t="shared" si="79"/>
        <v>Saturday</v>
      </c>
    </row>
    <row r="2369" spans="1:8" x14ac:dyDescent="0.3">
      <c r="A2369">
        <v>217718093</v>
      </c>
      <c r="B2369" s="1">
        <v>45102</v>
      </c>
      <c r="C2369" t="s">
        <v>19</v>
      </c>
      <c r="D2369" t="s">
        <v>7</v>
      </c>
      <c r="E2369">
        <v>39</v>
      </c>
      <c r="F2369" t="s">
        <v>6</v>
      </c>
      <c r="G2369" t="str">
        <f t="shared" si="78"/>
        <v>Active</v>
      </c>
      <c r="H2369" s="1" t="str">
        <f t="shared" si="79"/>
        <v>Sunday</v>
      </c>
    </row>
    <row r="2370" spans="1:8" x14ac:dyDescent="0.3">
      <c r="A2370">
        <v>217555660</v>
      </c>
      <c r="B2370" s="1">
        <v>45102</v>
      </c>
      <c r="C2370" t="s">
        <v>19</v>
      </c>
      <c r="D2370" t="s">
        <v>7</v>
      </c>
      <c r="E2370">
        <v>39</v>
      </c>
      <c r="F2370" t="s">
        <v>6</v>
      </c>
      <c r="G2370" t="str">
        <f t="shared" si="78"/>
        <v>Active</v>
      </c>
      <c r="H2370" s="1" t="str">
        <f t="shared" si="79"/>
        <v>Sunday</v>
      </c>
    </row>
    <row r="2371" spans="1:8" x14ac:dyDescent="0.3">
      <c r="A2371">
        <v>154535908</v>
      </c>
      <c r="B2371" s="1">
        <v>45102</v>
      </c>
      <c r="C2371" t="s">
        <v>19</v>
      </c>
      <c r="D2371" t="s">
        <v>7</v>
      </c>
      <c r="E2371">
        <v>39</v>
      </c>
      <c r="F2371" t="s">
        <v>6</v>
      </c>
      <c r="G2371" t="str">
        <f t="shared" ref="G2371:G2434" si="80">IF(C2371="Active","Active",C2371-B2371)</f>
        <v>Active</v>
      </c>
      <c r="H2371" s="1" t="str">
        <f t="shared" ref="H2371:H2434" si="81">TEXT(B2371,"dddd")</f>
        <v>Sunday</v>
      </c>
    </row>
    <row r="2372" spans="1:8" x14ac:dyDescent="0.3">
      <c r="A2372">
        <v>217554744</v>
      </c>
      <c r="B2372" s="1">
        <v>45102</v>
      </c>
      <c r="C2372" s="1">
        <v>45139</v>
      </c>
      <c r="D2372" t="s">
        <v>7</v>
      </c>
      <c r="E2372">
        <v>39</v>
      </c>
      <c r="F2372" t="s">
        <v>6</v>
      </c>
      <c r="G2372">
        <f t="shared" si="80"/>
        <v>37</v>
      </c>
      <c r="H2372" s="1" t="str">
        <f t="shared" si="81"/>
        <v>Sunday</v>
      </c>
    </row>
    <row r="2373" spans="1:8" x14ac:dyDescent="0.3">
      <c r="A2373">
        <v>217877324</v>
      </c>
      <c r="B2373" s="1">
        <v>45102</v>
      </c>
      <c r="C2373" s="1">
        <v>45102</v>
      </c>
      <c r="D2373" t="s">
        <v>7</v>
      </c>
      <c r="E2373">
        <v>39</v>
      </c>
      <c r="F2373" t="s">
        <v>6</v>
      </c>
      <c r="G2373">
        <f t="shared" si="80"/>
        <v>0</v>
      </c>
      <c r="H2373" s="1" t="str">
        <f t="shared" si="81"/>
        <v>Sunday</v>
      </c>
    </row>
    <row r="2374" spans="1:8" x14ac:dyDescent="0.3">
      <c r="A2374">
        <v>147765298</v>
      </c>
      <c r="B2374" s="1">
        <v>45103</v>
      </c>
      <c r="C2374" t="s">
        <v>19</v>
      </c>
      <c r="D2374" t="s">
        <v>7</v>
      </c>
      <c r="E2374">
        <v>39</v>
      </c>
      <c r="F2374" t="s">
        <v>6</v>
      </c>
      <c r="G2374" t="str">
        <f t="shared" si="80"/>
        <v>Active</v>
      </c>
      <c r="H2374" s="1" t="str">
        <f t="shared" si="81"/>
        <v>Monday</v>
      </c>
    </row>
    <row r="2375" spans="1:8" x14ac:dyDescent="0.3">
      <c r="A2375">
        <v>217901196</v>
      </c>
      <c r="B2375" s="1">
        <v>45103</v>
      </c>
      <c r="C2375" t="s">
        <v>19</v>
      </c>
      <c r="D2375" t="s">
        <v>7</v>
      </c>
      <c r="E2375">
        <v>39</v>
      </c>
      <c r="F2375" t="s">
        <v>6</v>
      </c>
      <c r="G2375" t="str">
        <f t="shared" si="80"/>
        <v>Active</v>
      </c>
      <c r="H2375" s="1" t="str">
        <f t="shared" si="81"/>
        <v>Monday</v>
      </c>
    </row>
    <row r="2376" spans="1:8" x14ac:dyDescent="0.3">
      <c r="A2376">
        <v>217266939</v>
      </c>
      <c r="B2376" s="1">
        <v>45103</v>
      </c>
      <c r="C2376" t="s">
        <v>19</v>
      </c>
      <c r="D2376" t="s">
        <v>7</v>
      </c>
      <c r="E2376">
        <v>39</v>
      </c>
      <c r="F2376" t="s">
        <v>6</v>
      </c>
      <c r="G2376" t="str">
        <f t="shared" si="80"/>
        <v>Active</v>
      </c>
      <c r="H2376" s="1" t="str">
        <f t="shared" si="81"/>
        <v>Monday</v>
      </c>
    </row>
    <row r="2377" spans="1:8" x14ac:dyDescent="0.3">
      <c r="A2377">
        <v>204908076</v>
      </c>
      <c r="B2377" s="1">
        <v>45103</v>
      </c>
      <c r="C2377" t="s">
        <v>19</v>
      </c>
      <c r="D2377" t="s">
        <v>7</v>
      </c>
      <c r="E2377">
        <v>39</v>
      </c>
      <c r="F2377" t="s">
        <v>6</v>
      </c>
      <c r="G2377" t="str">
        <f t="shared" si="80"/>
        <v>Active</v>
      </c>
      <c r="H2377" s="1" t="str">
        <f t="shared" si="81"/>
        <v>Monday</v>
      </c>
    </row>
    <row r="2378" spans="1:8" x14ac:dyDescent="0.3">
      <c r="A2378">
        <v>217698784</v>
      </c>
      <c r="B2378" s="1">
        <v>45103</v>
      </c>
      <c r="C2378" t="s">
        <v>19</v>
      </c>
      <c r="D2378" t="s">
        <v>7</v>
      </c>
      <c r="E2378">
        <v>39</v>
      </c>
      <c r="F2378" t="s">
        <v>6</v>
      </c>
      <c r="G2378" t="str">
        <f t="shared" si="80"/>
        <v>Active</v>
      </c>
      <c r="H2378" s="1" t="str">
        <f t="shared" si="81"/>
        <v>Monday</v>
      </c>
    </row>
    <row r="2379" spans="1:8" x14ac:dyDescent="0.3">
      <c r="A2379">
        <v>217909024</v>
      </c>
      <c r="B2379" s="1">
        <v>45103</v>
      </c>
      <c r="C2379" t="s">
        <v>19</v>
      </c>
      <c r="D2379" t="s">
        <v>7</v>
      </c>
      <c r="E2379">
        <v>39</v>
      </c>
      <c r="F2379" t="s">
        <v>6</v>
      </c>
      <c r="G2379" t="str">
        <f t="shared" si="80"/>
        <v>Active</v>
      </c>
      <c r="H2379" s="1" t="str">
        <f t="shared" si="81"/>
        <v>Monday</v>
      </c>
    </row>
    <row r="2380" spans="1:8" x14ac:dyDescent="0.3">
      <c r="A2380">
        <v>201498671</v>
      </c>
      <c r="B2380" s="1">
        <v>45103</v>
      </c>
      <c r="C2380" t="s">
        <v>19</v>
      </c>
      <c r="D2380" t="s">
        <v>7</v>
      </c>
      <c r="E2380">
        <v>39</v>
      </c>
      <c r="F2380" t="s">
        <v>6</v>
      </c>
      <c r="G2380" t="str">
        <f t="shared" si="80"/>
        <v>Active</v>
      </c>
      <c r="H2380" s="1" t="str">
        <f t="shared" si="81"/>
        <v>Monday</v>
      </c>
    </row>
    <row r="2381" spans="1:8" x14ac:dyDescent="0.3">
      <c r="A2381">
        <v>217902650</v>
      </c>
      <c r="B2381" s="1">
        <v>45103</v>
      </c>
      <c r="C2381" t="s">
        <v>19</v>
      </c>
      <c r="D2381" t="s">
        <v>7</v>
      </c>
      <c r="E2381">
        <v>39</v>
      </c>
      <c r="F2381" t="s">
        <v>6</v>
      </c>
      <c r="G2381" t="str">
        <f t="shared" si="80"/>
        <v>Active</v>
      </c>
      <c r="H2381" s="1" t="str">
        <f t="shared" si="81"/>
        <v>Monday</v>
      </c>
    </row>
    <row r="2382" spans="1:8" x14ac:dyDescent="0.3">
      <c r="A2382">
        <v>217896282</v>
      </c>
      <c r="B2382" s="1">
        <v>45103</v>
      </c>
      <c r="C2382" t="s">
        <v>19</v>
      </c>
      <c r="D2382" t="s">
        <v>7</v>
      </c>
      <c r="E2382">
        <v>39</v>
      </c>
      <c r="F2382" t="s">
        <v>6</v>
      </c>
      <c r="G2382" t="str">
        <f t="shared" si="80"/>
        <v>Active</v>
      </c>
      <c r="H2382" s="1" t="str">
        <f t="shared" si="81"/>
        <v>Monday</v>
      </c>
    </row>
    <row r="2383" spans="1:8" x14ac:dyDescent="0.3">
      <c r="A2383">
        <v>217337901</v>
      </c>
      <c r="B2383" s="1">
        <v>45103</v>
      </c>
      <c r="C2383" t="s">
        <v>19</v>
      </c>
      <c r="D2383" t="s">
        <v>7</v>
      </c>
      <c r="E2383">
        <v>39</v>
      </c>
      <c r="F2383" t="s">
        <v>6</v>
      </c>
      <c r="G2383" t="str">
        <f t="shared" si="80"/>
        <v>Active</v>
      </c>
      <c r="H2383" s="1" t="str">
        <f t="shared" si="81"/>
        <v>Monday</v>
      </c>
    </row>
    <row r="2384" spans="1:8" x14ac:dyDescent="0.3">
      <c r="A2384">
        <v>217477535</v>
      </c>
      <c r="B2384" s="1">
        <v>45103</v>
      </c>
      <c r="C2384" t="s">
        <v>19</v>
      </c>
      <c r="D2384" t="s">
        <v>7</v>
      </c>
      <c r="E2384">
        <v>39</v>
      </c>
      <c r="F2384" t="s">
        <v>6</v>
      </c>
      <c r="G2384" t="str">
        <f t="shared" si="80"/>
        <v>Active</v>
      </c>
      <c r="H2384" s="1" t="str">
        <f t="shared" si="81"/>
        <v>Monday</v>
      </c>
    </row>
    <row r="2385" spans="1:8" x14ac:dyDescent="0.3">
      <c r="A2385">
        <v>217885621</v>
      </c>
      <c r="B2385" s="1">
        <v>45103</v>
      </c>
      <c r="C2385" t="s">
        <v>19</v>
      </c>
      <c r="D2385" t="s">
        <v>7</v>
      </c>
      <c r="E2385">
        <v>39</v>
      </c>
      <c r="F2385" t="s">
        <v>6</v>
      </c>
      <c r="G2385" t="str">
        <f t="shared" si="80"/>
        <v>Active</v>
      </c>
      <c r="H2385" s="1" t="str">
        <f t="shared" si="81"/>
        <v>Monday</v>
      </c>
    </row>
    <row r="2386" spans="1:8" x14ac:dyDescent="0.3">
      <c r="A2386">
        <v>217714764</v>
      </c>
      <c r="B2386" s="1">
        <v>45103</v>
      </c>
      <c r="C2386" t="s">
        <v>19</v>
      </c>
      <c r="D2386" t="s">
        <v>7</v>
      </c>
      <c r="E2386">
        <v>39</v>
      </c>
      <c r="F2386" t="s">
        <v>6</v>
      </c>
      <c r="G2386" t="str">
        <f t="shared" si="80"/>
        <v>Active</v>
      </c>
      <c r="H2386" s="1" t="str">
        <f t="shared" si="81"/>
        <v>Monday</v>
      </c>
    </row>
    <row r="2387" spans="1:8" x14ac:dyDescent="0.3">
      <c r="A2387">
        <v>217335548</v>
      </c>
      <c r="B2387" s="1">
        <v>45103</v>
      </c>
      <c r="C2387" s="1">
        <v>45175</v>
      </c>
      <c r="D2387" t="s">
        <v>7</v>
      </c>
      <c r="E2387">
        <v>39</v>
      </c>
      <c r="F2387" t="s">
        <v>6</v>
      </c>
      <c r="G2387">
        <f t="shared" si="80"/>
        <v>72</v>
      </c>
      <c r="H2387" s="1" t="str">
        <f t="shared" si="81"/>
        <v>Monday</v>
      </c>
    </row>
    <row r="2388" spans="1:8" x14ac:dyDescent="0.3">
      <c r="A2388">
        <v>129747676</v>
      </c>
      <c r="B2388" s="1">
        <v>45103</v>
      </c>
      <c r="C2388" s="1">
        <v>45104</v>
      </c>
      <c r="D2388" t="s">
        <v>7</v>
      </c>
      <c r="E2388">
        <v>39</v>
      </c>
      <c r="F2388" t="s">
        <v>6</v>
      </c>
      <c r="G2388">
        <f t="shared" si="80"/>
        <v>1</v>
      </c>
      <c r="H2388" s="1" t="str">
        <f t="shared" si="81"/>
        <v>Monday</v>
      </c>
    </row>
    <row r="2389" spans="1:8" x14ac:dyDescent="0.3">
      <c r="A2389">
        <v>217846698</v>
      </c>
      <c r="B2389" s="1">
        <v>45103</v>
      </c>
      <c r="C2389" s="1">
        <v>45104</v>
      </c>
      <c r="D2389" t="s">
        <v>8</v>
      </c>
      <c r="E2389">
        <v>39</v>
      </c>
      <c r="F2389" t="s">
        <v>6</v>
      </c>
      <c r="G2389">
        <f t="shared" si="80"/>
        <v>1</v>
      </c>
      <c r="H2389" s="1" t="str">
        <f t="shared" si="81"/>
        <v>Monday</v>
      </c>
    </row>
    <row r="2390" spans="1:8" x14ac:dyDescent="0.3">
      <c r="A2390">
        <v>217965791</v>
      </c>
      <c r="B2390" s="1">
        <v>45104</v>
      </c>
      <c r="C2390" t="s">
        <v>19</v>
      </c>
      <c r="D2390" t="s">
        <v>7</v>
      </c>
      <c r="E2390">
        <v>39</v>
      </c>
      <c r="F2390" t="s">
        <v>6</v>
      </c>
      <c r="G2390" t="str">
        <f t="shared" si="80"/>
        <v>Active</v>
      </c>
      <c r="H2390" s="1" t="str">
        <f t="shared" si="81"/>
        <v>Tuesday</v>
      </c>
    </row>
    <row r="2391" spans="1:8" x14ac:dyDescent="0.3">
      <c r="A2391">
        <v>217851124</v>
      </c>
      <c r="B2391" s="1">
        <v>45104</v>
      </c>
      <c r="C2391" t="s">
        <v>19</v>
      </c>
      <c r="D2391" t="s">
        <v>7</v>
      </c>
      <c r="E2391">
        <v>39</v>
      </c>
      <c r="F2391" t="s">
        <v>6</v>
      </c>
      <c r="G2391" t="str">
        <f t="shared" si="80"/>
        <v>Active</v>
      </c>
      <c r="H2391" s="1" t="str">
        <f t="shared" si="81"/>
        <v>Tuesday</v>
      </c>
    </row>
    <row r="2392" spans="1:8" x14ac:dyDescent="0.3">
      <c r="A2392">
        <v>217861903</v>
      </c>
      <c r="B2392" s="1">
        <v>45104</v>
      </c>
      <c r="C2392" t="s">
        <v>19</v>
      </c>
      <c r="D2392" t="s">
        <v>7</v>
      </c>
      <c r="E2392">
        <v>39</v>
      </c>
      <c r="F2392" t="s">
        <v>6</v>
      </c>
      <c r="G2392" t="str">
        <f t="shared" si="80"/>
        <v>Active</v>
      </c>
      <c r="H2392" s="1" t="str">
        <f t="shared" si="81"/>
        <v>Tuesday</v>
      </c>
    </row>
    <row r="2393" spans="1:8" x14ac:dyDescent="0.3">
      <c r="A2393">
        <v>217660423</v>
      </c>
      <c r="B2393" s="1">
        <v>45104</v>
      </c>
      <c r="C2393" t="s">
        <v>19</v>
      </c>
      <c r="D2393" t="s">
        <v>7</v>
      </c>
      <c r="E2393">
        <v>39</v>
      </c>
      <c r="F2393" t="s">
        <v>6</v>
      </c>
      <c r="G2393" t="str">
        <f t="shared" si="80"/>
        <v>Active</v>
      </c>
      <c r="H2393" s="1" t="str">
        <f t="shared" si="81"/>
        <v>Tuesday</v>
      </c>
    </row>
    <row r="2394" spans="1:8" x14ac:dyDescent="0.3">
      <c r="A2394">
        <v>217814342</v>
      </c>
      <c r="B2394" s="1">
        <v>45104</v>
      </c>
      <c r="C2394" t="s">
        <v>19</v>
      </c>
      <c r="D2394" t="s">
        <v>7</v>
      </c>
      <c r="E2394">
        <v>39</v>
      </c>
      <c r="F2394" t="s">
        <v>6</v>
      </c>
      <c r="G2394" t="str">
        <f t="shared" si="80"/>
        <v>Active</v>
      </c>
      <c r="H2394" s="1" t="str">
        <f t="shared" si="81"/>
        <v>Tuesday</v>
      </c>
    </row>
    <row r="2395" spans="1:8" x14ac:dyDescent="0.3">
      <c r="A2395">
        <v>157548765</v>
      </c>
      <c r="B2395" s="1">
        <v>45104</v>
      </c>
      <c r="C2395" s="1">
        <v>45105</v>
      </c>
      <c r="D2395" t="s">
        <v>8</v>
      </c>
      <c r="E2395">
        <v>39</v>
      </c>
      <c r="F2395" t="s">
        <v>6</v>
      </c>
      <c r="G2395">
        <f t="shared" si="80"/>
        <v>1</v>
      </c>
      <c r="H2395" s="1" t="str">
        <f t="shared" si="81"/>
        <v>Tuesday</v>
      </c>
    </row>
    <row r="2396" spans="1:8" x14ac:dyDescent="0.3">
      <c r="A2396">
        <v>217934288</v>
      </c>
      <c r="B2396" s="1">
        <v>45104</v>
      </c>
      <c r="C2396" s="1">
        <v>45105</v>
      </c>
      <c r="D2396" t="s">
        <v>8</v>
      </c>
      <c r="E2396">
        <v>39</v>
      </c>
      <c r="F2396" t="s">
        <v>6</v>
      </c>
      <c r="G2396">
        <f t="shared" si="80"/>
        <v>1</v>
      </c>
      <c r="H2396" s="1" t="str">
        <f t="shared" si="81"/>
        <v>Tuesday</v>
      </c>
    </row>
    <row r="2397" spans="1:8" x14ac:dyDescent="0.3">
      <c r="A2397">
        <v>217855786</v>
      </c>
      <c r="B2397" s="1">
        <v>45104</v>
      </c>
      <c r="C2397" s="1">
        <v>45105</v>
      </c>
      <c r="D2397" t="s">
        <v>8</v>
      </c>
      <c r="E2397">
        <v>39</v>
      </c>
      <c r="F2397" t="s">
        <v>6</v>
      </c>
      <c r="G2397">
        <f t="shared" si="80"/>
        <v>1</v>
      </c>
      <c r="H2397" s="1" t="str">
        <f t="shared" si="81"/>
        <v>Tuesday</v>
      </c>
    </row>
    <row r="2398" spans="1:8" x14ac:dyDescent="0.3">
      <c r="A2398">
        <v>131753677</v>
      </c>
      <c r="B2398" s="1">
        <v>45104</v>
      </c>
      <c r="C2398" s="1">
        <v>45153</v>
      </c>
      <c r="D2398" t="s">
        <v>7</v>
      </c>
      <c r="E2398">
        <v>39</v>
      </c>
      <c r="F2398" t="s">
        <v>6</v>
      </c>
      <c r="G2398">
        <f t="shared" si="80"/>
        <v>49</v>
      </c>
      <c r="H2398" s="1" t="str">
        <f t="shared" si="81"/>
        <v>Tuesday</v>
      </c>
    </row>
    <row r="2399" spans="1:8" x14ac:dyDescent="0.3">
      <c r="A2399">
        <v>215963364</v>
      </c>
      <c r="B2399" s="1">
        <v>45104</v>
      </c>
      <c r="C2399" s="1">
        <v>45172</v>
      </c>
      <c r="D2399" t="s">
        <v>7</v>
      </c>
      <c r="E2399">
        <v>39</v>
      </c>
      <c r="F2399" t="s">
        <v>6</v>
      </c>
      <c r="G2399">
        <f t="shared" si="80"/>
        <v>68</v>
      </c>
      <c r="H2399" s="1" t="str">
        <f t="shared" si="81"/>
        <v>Tuesday</v>
      </c>
    </row>
    <row r="2400" spans="1:8" x14ac:dyDescent="0.3">
      <c r="A2400">
        <v>217971206</v>
      </c>
      <c r="B2400" s="1">
        <v>45104</v>
      </c>
      <c r="C2400" s="1">
        <v>45125</v>
      </c>
      <c r="D2400" t="s">
        <v>7</v>
      </c>
      <c r="E2400">
        <v>39</v>
      </c>
      <c r="F2400" t="s">
        <v>6</v>
      </c>
      <c r="G2400">
        <f t="shared" si="80"/>
        <v>21</v>
      </c>
      <c r="H2400" s="1" t="str">
        <f t="shared" si="81"/>
        <v>Tuesday</v>
      </c>
    </row>
    <row r="2401" spans="1:8" x14ac:dyDescent="0.3">
      <c r="A2401">
        <v>217943053</v>
      </c>
      <c r="B2401" s="1">
        <v>45104</v>
      </c>
      <c r="C2401" s="1">
        <v>45124</v>
      </c>
      <c r="D2401" t="s">
        <v>7</v>
      </c>
      <c r="E2401">
        <v>39</v>
      </c>
      <c r="F2401" t="s">
        <v>6</v>
      </c>
      <c r="G2401">
        <f t="shared" si="80"/>
        <v>20</v>
      </c>
      <c r="H2401" s="1" t="str">
        <f t="shared" si="81"/>
        <v>Tuesday</v>
      </c>
    </row>
    <row r="2402" spans="1:8" x14ac:dyDescent="0.3">
      <c r="A2402">
        <v>218004764</v>
      </c>
      <c r="B2402" s="1">
        <v>45105</v>
      </c>
      <c r="C2402" t="s">
        <v>19</v>
      </c>
      <c r="D2402" t="s">
        <v>7</v>
      </c>
      <c r="E2402">
        <v>39</v>
      </c>
      <c r="F2402" t="s">
        <v>6</v>
      </c>
      <c r="G2402" t="str">
        <f t="shared" si="80"/>
        <v>Active</v>
      </c>
      <c r="H2402" s="1" t="str">
        <f t="shared" si="81"/>
        <v>Wednesday</v>
      </c>
    </row>
    <row r="2403" spans="1:8" x14ac:dyDescent="0.3">
      <c r="A2403">
        <v>217768772</v>
      </c>
      <c r="B2403" s="1">
        <v>45105</v>
      </c>
      <c r="C2403" t="s">
        <v>19</v>
      </c>
      <c r="D2403" t="s">
        <v>7</v>
      </c>
      <c r="E2403">
        <v>39</v>
      </c>
      <c r="F2403" t="s">
        <v>6</v>
      </c>
      <c r="G2403" t="str">
        <f t="shared" si="80"/>
        <v>Active</v>
      </c>
      <c r="H2403" s="1" t="str">
        <f t="shared" si="81"/>
        <v>Wednesday</v>
      </c>
    </row>
    <row r="2404" spans="1:8" x14ac:dyDescent="0.3">
      <c r="A2404">
        <v>216775344</v>
      </c>
      <c r="B2404" s="1">
        <v>45105</v>
      </c>
      <c r="C2404" t="s">
        <v>19</v>
      </c>
      <c r="D2404" t="s">
        <v>7</v>
      </c>
      <c r="E2404">
        <v>39</v>
      </c>
      <c r="F2404" t="s">
        <v>6</v>
      </c>
      <c r="G2404" t="str">
        <f t="shared" si="80"/>
        <v>Active</v>
      </c>
      <c r="H2404" s="1" t="str">
        <f t="shared" si="81"/>
        <v>Wednesday</v>
      </c>
    </row>
    <row r="2405" spans="1:8" x14ac:dyDescent="0.3">
      <c r="A2405">
        <v>135364787</v>
      </c>
      <c r="B2405" s="1">
        <v>45105</v>
      </c>
      <c r="C2405" t="s">
        <v>19</v>
      </c>
      <c r="D2405" t="s">
        <v>7</v>
      </c>
      <c r="E2405">
        <v>39</v>
      </c>
      <c r="F2405" t="s">
        <v>6</v>
      </c>
      <c r="G2405" t="str">
        <f t="shared" si="80"/>
        <v>Active</v>
      </c>
      <c r="H2405" s="1" t="str">
        <f t="shared" si="81"/>
        <v>Wednesday</v>
      </c>
    </row>
    <row r="2406" spans="1:8" x14ac:dyDescent="0.3">
      <c r="A2406">
        <v>148107179</v>
      </c>
      <c r="B2406" s="1">
        <v>45105</v>
      </c>
      <c r="C2406" s="1">
        <v>45142</v>
      </c>
      <c r="D2406" t="s">
        <v>7</v>
      </c>
      <c r="E2406">
        <v>39</v>
      </c>
      <c r="F2406" t="s">
        <v>6</v>
      </c>
      <c r="G2406">
        <f t="shared" si="80"/>
        <v>37</v>
      </c>
      <c r="H2406" s="1" t="str">
        <f t="shared" si="81"/>
        <v>Wednesday</v>
      </c>
    </row>
    <row r="2407" spans="1:8" x14ac:dyDescent="0.3">
      <c r="A2407">
        <v>215904194</v>
      </c>
      <c r="B2407" s="1">
        <v>45105</v>
      </c>
      <c r="C2407" s="1">
        <v>45129</v>
      </c>
      <c r="D2407" t="s">
        <v>7</v>
      </c>
      <c r="E2407">
        <v>39</v>
      </c>
      <c r="F2407" t="s">
        <v>6</v>
      </c>
      <c r="G2407">
        <f t="shared" si="80"/>
        <v>24</v>
      </c>
      <c r="H2407" s="1" t="str">
        <f t="shared" si="81"/>
        <v>Wednesday</v>
      </c>
    </row>
    <row r="2408" spans="1:8" x14ac:dyDescent="0.3">
      <c r="A2408">
        <v>217988577</v>
      </c>
      <c r="B2408" s="1">
        <v>45105</v>
      </c>
      <c r="C2408" s="1">
        <v>45133</v>
      </c>
      <c r="D2408" t="s">
        <v>7</v>
      </c>
      <c r="E2408">
        <v>39</v>
      </c>
      <c r="F2408" t="s">
        <v>6</v>
      </c>
      <c r="G2408">
        <f t="shared" si="80"/>
        <v>28</v>
      </c>
      <c r="H2408" s="1" t="str">
        <f t="shared" si="81"/>
        <v>Wednesday</v>
      </c>
    </row>
    <row r="2409" spans="1:8" x14ac:dyDescent="0.3">
      <c r="A2409">
        <v>146124679</v>
      </c>
      <c r="B2409" s="1">
        <v>45105</v>
      </c>
      <c r="C2409" s="1">
        <v>45135</v>
      </c>
      <c r="D2409" t="s">
        <v>7</v>
      </c>
      <c r="E2409">
        <v>39</v>
      </c>
      <c r="F2409" t="s">
        <v>6</v>
      </c>
      <c r="G2409">
        <f t="shared" si="80"/>
        <v>30</v>
      </c>
      <c r="H2409" s="1" t="str">
        <f t="shared" si="81"/>
        <v>Wednesday</v>
      </c>
    </row>
    <row r="2410" spans="1:8" x14ac:dyDescent="0.3">
      <c r="A2410">
        <v>217819772</v>
      </c>
      <c r="B2410" s="1">
        <v>45106</v>
      </c>
      <c r="C2410" t="s">
        <v>19</v>
      </c>
      <c r="D2410" t="s">
        <v>7</v>
      </c>
      <c r="E2410">
        <v>39</v>
      </c>
      <c r="F2410" t="s">
        <v>6</v>
      </c>
      <c r="G2410" t="str">
        <f t="shared" si="80"/>
        <v>Active</v>
      </c>
      <c r="H2410" s="1" t="str">
        <f t="shared" si="81"/>
        <v>Thursday</v>
      </c>
    </row>
    <row r="2411" spans="1:8" x14ac:dyDescent="0.3">
      <c r="A2411">
        <v>217996629</v>
      </c>
      <c r="B2411" s="1">
        <v>45106</v>
      </c>
      <c r="C2411" t="s">
        <v>19</v>
      </c>
      <c r="D2411" t="s">
        <v>7</v>
      </c>
      <c r="E2411">
        <v>39</v>
      </c>
      <c r="F2411" t="s">
        <v>6</v>
      </c>
      <c r="G2411" t="str">
        <f t="shared" si="80"/>
        <v>Active</v>
      </c>
      <c r="H2411" s="1" t="str">
        <f t="shared" si="81"/>
        <v>Thursday</v>
      </c>
    </row>
    <row r="2412" spans="1:8" x14ac:dyDescent="0.3">
      <c r="A2412">
        <v>152621756</v>
      </c>
      <c r="B2412" s="1">
        <v>45106</v>
      </c>
      <c r="C2412" t="s">
        <v>19</v>
      </c>
      <c r="D2412" t="s">
        <v>7</v>
      </c>
      <c r="E2412">
        <v>39</v>
      </c>
      <c r="F2412" t="s">
        <v>6</v>
      </c>
      <c r="G2412" t="str">
        <f t="shared" si="80"/>
        <v>Active</v>
      </c>
      <c r="H2412" s="1" t="str">
        <f t="shared" si="81"/>
        <v>Thursday</v>
      </c>
    </row>
    <row r="2413" spans="1:8" x14ac:dyDescent="0.3">
      <c r="A2413">
        <v>218006807</v>
      </c>
      <c r="B2413" s="1">
        <v>45106</v>
      </c>
      <c r="C2413" t="s">
        <v>19</v>
      </c>
      <c r="D2413" t="s">
        <v>7</v>
      </c>
      <c r="E2413">
        <v>39</v>
      </c>
      <c r="F2413" t="s">
        <v>6</v>
      </c>
      <c r="G2413" t="str">
        <f t="shared" si="80"/>
        <v>Active</v>
      </c>
      <c r="H2413" s="1" t="str">
        <f t="shared" si="81"/>
        <v>Thursday</v>
      </c>
    </row>
    <row r="2414" spans="1:8" x14ac:dyDescent="0.3">
      <c r="A2414">
        <v>218045202</v>
      </c>
      <c r="B2414" s="1">
        <v>45106</v>
      </c>
      <c r="C2414" s="1">
        <v>45167</v>
      </c>
      <c r="D2414" t="s">
        <v>7</v>
      </c>
      <c r="E2414">
        <v>39</v>
      </c>
      <c r="F2414" t="s">
        <v>6</v>
      </c>
      <c r="G2414">
        <f t="shared" si="80"/>
        <v>61</v>
      </c>
      <c r="H2414" s="1" t="str">
        <f t="shared" si="81"/>
        <v>Thursday</v>
      </c>
    </row>
    <row r="2415" spans="1:8" x14ac:dyDescent="0.3">
      <c r="A2415">
        <v>122215146</v>
      </c>
      <c r="B2415" s="1">
        <v>45106</v>
      </c>
      <c r="C2415" s="1">
        <v>45151</v>
      </c>
      <c r="D2415" t="s">
        <v>7</v>
      </c>
      <c r="E2415">
        <v>39</v>
      </c>
      <c r="F2415" t="s">
        <v>6</v>
      </c>
      <c r="G2415">
        <f t="shared" si="80"/>
        <v>45</v>
      </c>
      <c r="H2415" s="1" t="str">
        <f t="shared" si="81"/>
        <v>Thursday</v>
      </c>
    </row>
    <row r="2416" spans="1:8" x14ac:dyDescent="0.3">
      <c r="A2416">
        <v>218003864</v>
      </c>
      <c r="B2416" s="1">
        <v>45106</v>
      </c>
      <c r="C2416" s="1">
        <v>45135</v>
      </c>
      <c r="D2416" t="s">
        <v>7</v>
      </c>
      <c r="E2416">
        <v>39</v>
      </c>
      <c r="F2416" t="s">
        <v>6</v>
      </c>
      <c r="G2416">
        <f t="shared" si="80"/>
        <v>29</v>
      </c>
      <c r="H2416" s="1" t="str">
        <f t="shared" si="81"/>
        <v>Thursday</v>
      </c>
    </row>
    <row r="2417" spans="1:8" x14ac:dyDescent="0.3">
      <c r="A2417">
        <v>218088770</v>
      </c>
      <c r="B2417" s="1">
        <v>45107</v>
      </c>
      <c r="C2417" t="s">
        <v>19</v>
      </c>
      <c r="D2417" t="s">
        <v>7</v>
      </c>
      <c r="E2417">
        <v>39</v>
      </c>
      <c r="F2417" t="s">
        <v>6</v>
      </c>
      <c r="G2417" t="str">
        <f t="shared" si="80"/>
        <v>Active</v>
      </c>
      <c r="H2417" s="1" t="str">
        <f t="shared" si="81"/>
        <v>Friday</v>
      </c>
    </row>
    <row r="2418" spans="1:8" x14ac:dyDescent="0.3">
      <c r="A2418">
        <v>217856893</v>
      </c>
      <c r="B2418" s="1">
        <v>45107</v>
      </c>
      <c r="C2418" t="s">
        <v>19</v>
      </c>
      <c r="D2418" t="s">
        <v>7</v>
      </c>
      <c r="E2418">
        <v>39</v>
      </c>
      <c r="F2418" t="s">
        <v>6</v>
      </c>
      <c r="G2418" t="str">
        <f t="shared" si="80"/>
        <v>Active</v>
      </c>
      <c r="H2418" s="1" t="str">
        <f t="shared" si="81"/>
        <v>Friday</v>
      </c>
    </row>
    <row r="2419" spans="1:8" x14ac:dyDescent="0.3">
      <c r="A2419">
        <v>156054912</v>
      </c>
      <c r="B2419" s="1">
        <v>45107</v>
      </c>
      <c r="C2419" t="s">
        <v>19</v>
      </c>
      <c r="D2419" t="s">
        <v>7</v>
      </c>
      <c r="E2419">
        <v>39</v>
      </c>
      <c r="F2419" t="s">
        <v>6</v>
      </c>
      <c r="G2419" t="str">
        <f t="shared" si="80"/>
        <v>Active</v>
      </c>
      <c r="H2419" s="1" t="str">
        <f t="shared" si="81"/>
        <v>Friday</v>
      </c>
    </row>
    <row r="2420" spans="1:8" x14ac:dyDescent="0.3">
      <c r="A2420">
        <v>218059054</v>
      </c>
      <c r="B2420" s="1">
        <v>45107</v>
      </c>
      <c r="C2420" t="s">
        <v>19</v>
      </c>
      <c r="D2420" t="s">
        <v>7</v>
      </c>
      <c r="E2420">
        <v>39</v>
      </c>
      <c r="F2420" t="s">
        <v>6</v>
      </c>
      <c r="G2420" t="str">
        <f t="shared" si="80"/>
        <v>Active</v>
      </c>
      <c r="H2420" s="1" t="str">
        <f t="shared" si="81"/>
        <v>Friday</v>
      </c>
    </row>
    <row r="2421" spans="1:8" x14ac:dyDescent="0.3">
      <c r="A2421">
        <v>218074245</v>
      </c>
      <c r="B2421" s="1">
        <v>45107</v>
      </c>
      <c r="C2421" t="s">
        <v>19</v>
      </c>
      <c r="D2421" t="s">
        <v>7</v>
      </c>
      <c r="E2421">
        <v>39</v>
      </c>
      <c r="F2421" t="s">
        <v>6</v>
      </c>
      <c r="G2421" t="str">
        <f t="shared" si="80"/>
        <v>Active</v>
      </c>
      <c r="H2421" s="1" t="str">
        <f t="shared" si="81"/>
        <v>Friday</v>
      </c>
    </row>
    <row r="2422" spans="1:8" x14ac:dyDescent="0.3">
      <c r="A2422">
        <v>204774586</v>
      </c>
      <c r="B2422" s="1">
        <v>45107</v>
      </c>
      <c r="C2422" t="s">
        <v>19</v>
      </c>
      <c r="D2422" t="s">
        <v>7</v>
      </c>
      <c r="E2422">
        <v>39</v>
      </c>
      <c r="F2422" t="s">
        <v>6</v>
      </c>
      <c r="G2422" t="str">
        <f t="shared" si="80"/>
        <v>Active</v>
      </c>
      <c r="H2422" s="1" t="str">
        <f t="shared" si="81"/>
        <v>Friday</v>
      </c>
    </row>
    <row r="2423" spans="1:8" x14ac:dyDescent="0.3">
      <c r="A2423">
        <v>215941440</v>
      </c>
      <c r="B2423" s="1">
        <v>45107</v>
      </c>
      <c r="C2423" t="s">
        <v>19</v>
      </c>
      <c r="D2423" t="s">
        <v>7</v>
      </c>
      <c r="E2423">
        <v>39</v>
      </c>
      <c r="F2423" t="s">
        <v>6</v>
      </c>
      <c r="G2423" t="str">
        <f t="shared" si="80"/>
        <v>Active</v>
      </c>
      <c r="H2423" s="1" t="str">
        <f t="shared" si="81"/>
        <v>Friday</v>
      </c>
    </row>
    <row r="2424" spans="1:8" x14ac:dyDescent="0.3">
      <c r="A2424">
        <v>205547323</v>
      </c>
      <c r="B2424" s="1">
        <v>45107</v>
      </c>
      <c r="C2424" t="s">
        <v>19</v>
      </c>
      <c r="D2424" t="s">
        <v>8</v>
      </c>
      <c r="E2424">
        <v>39</v>
      </c>
      <c r="F2424" t="s">
        <v>6</v>
      </c>
      <c r="G2424" t="str">
        <f t="shared" si="80"/>
        <v>Active</v>
      </c>
      <c r="H2424" s="1" t="str">
        <f t="shared" si="81"/>
        <v>Friday</v>
      </c>
    </row>
    <row r="2425" spans="1:8" x14ac:dyDescent="0.3">
      <c r="A2425">
        <v>140062581</v>
      </c>
      <c r="B2425" s="1">
        <v>45107</v>
      </c>
      <c r="C2425" t="s">
        <v>19</v>
      </c>
      <c r="D2425" t="s">
        <v>7</v>
      </c>
      <c r="E2425">
        <v>39</v>
      </c>
      <c r="F2425" t="s">
        <v>6</v>
      </c>
      <c r="G2425" t="str">
        <f t="shared" si="80"/>
        <v>Active</v>
      </c>
      <c r="H2425" s="1" t="str">
        <f t="shared" si="81"/>
        <v>Friday</v>
      </c>
    </row>
    <row r="2426" spans="1:8" x14ac:dyDescent="0.3">
      <c r="A2426">
        <v>217932519</v>
      </c>
      <c r="B2426" s="1">
        <v>45107</v>
      </c>
      <c r="C2426" s="1">
        <v>45108</v>
      </c>
      <c r="D2426" t="s">
        <v>7</v>
      </c>
      <c r="E2426">
        <v>39</v>
      </c>
      <c r="F2426" t="s">
        <v>6</v>
      </c>
      <c r="G2426">
        <f t="shared" si="80"/>
        <v>1</v>
      </c>
      <c r="H2426" s="1" t="str">
        <f t="shared" si="81"/>
        <v>Friday</v>
      </c>
    </row>
    <row r="2427" spans="1:8" x14ac:dyDescent="0.3">
      <c r="A2427">
        <v>217982048</v>
      </c>
      <c r="B2427" s="1">
        <v>45107</v>
      </c>
      <c r="C2427" s="1">
        <v>45108</v>
      </c>
      <c r="D2427" t="s">
        <v>8</v>
      </c>
      <c r="E2427">
        <v>39</v>
      </c>
      <c r="F2427" t="s">
        <v>6</v>
      </c>
      <c r="G2427">
        <f t="shared" si="80"/>
        <v>1</v>
      </c>
      <c r="H2427" s="1" t="str">
        <f t="shared" si="81"/>
        <v>Friday</v>
      </c>
    </row>
    <row r="2428" spans="1:8" x14ac:dyDescent="0.3">
      <c r="A2428">
        <v>218066467</v>
      </c>
      <c r="B2428" s="1">
        <v>45107</v>
      </c>
      <c r="C2428" s="1">
        <v>45169</v>
      </c>
      <c r="D2428" t="s">
        <v>7</v>
      </c>
      <c r="E2428">
        <v>39</v>
      </c>
      <c r="F2428" t="s">
        <v>6</v>
      </c>
      <c r="G2428">
        <f t="shared" si="80"/>
        <v>62</v>
      </c>
      <c r="H2428" s="1" t="str">
        <f t="shared" si="81"/>
        <v>Friday</v>
      </c>
    </row>
    <row r="2429" spans="1:8" x14ac:dyDescent="0.3">
      <c r="A2429">
        <v>218046034</v>
      </c>
      <c r="B2429" s="1">
        <v>45107</v>
      </c>
      <c r="C2429" s="1">
        <v>45175</v>
      </c>
      <c r="D2429" t="s">
        <v>7</v>
      </c>
      <c r="E2429">
        <v>39</v>
      </c>
      <c r="F2429" t="s">
        <v>6</v>
      </c>
      <c r="G2429">
        <f t="shared" si="80"/>
        <v>68</v>
      </c>
      <c r="H2429" s="1" t="str">
        <f t="shared" si="81"/>
        <v>Friday</v>
      </c>
    </row>
    <row r="2430" spans="1:8" x14ac:dyDescent="0.3">
      <c r="A2430">
        <v>217697744</v>
      </c>
      <c r="B2430" s="1">
        <v>45107</v>
      </c>
      <c r="C2430" s="1">
        <v>45134</v>
      </c>
      <c r="D2430" t="s">
        <v>7</v>
      </c>
      <c r="E2430">
        <v>39</v>
      </c>
      <c r="F2430" t="s">
        <v>6</v>
      </c>
      <c r="G2430">
        <f t="shared" si="80"/>
        <v>27</v>
      </c>
      <c r="H2430" s="1" t="str">
        <f t="shared" si="81"/>
        <v>Friday</v>
      </c>
    </row>
    <row r="2431" spans="1:8" x14ac:dyDescent="0.3">
      <c r="A2431">
        <v>217942738</v>
      </c>
      <c r="B2431" s="1">
        <v>45108</v>
      </c>
      <c r="C2431" t="s">
        <v>19</v>
      </c>
      <c r="D2431" t="s">
        <v>7</v>
      </c>
      <c r="E2431">
        <v>39</v>
      </c>
      <c r="F2431" t="s">
        <v>6</v>
      </c>
      <c r="G2431" t="str">
        <f t="shared" si="80"/>
        <v>Active</v>
      </c>
      <c r="H2431" s="1" t="str">
        <f t="shared" si="81"/>
        <v>Saturday</v>
      </c>
    </row>
    <row r="2432" spans="1:8" x14ac:dyDescent="0.3">
      <c r="A2432">
        <v>218133628</v>
      </c>
      <c r="B2432" s="1">
        <v>45108</v>
      </c>
      <c r="C2432" t="s">
        <v>19</v>
      </c>
      <c r="D2432" t="s">
        <v>7</v>
      </c>
      <c r="E2432">
        <v>39</v>
      </c>
      <c r="F2432" t="s">
        <v>6</v>
      </c>
      <c r="G2432" t="str">
        <f t="shared" si="80"/>
        <v>Active</v>
      </c>
      <c r="H2432" s="1" t="str">
        <f t="shared" si="81"/>
        <v>Saturday</v>
      </c>
    </row>
    <row r="2433" spans="1:8" x14ac:dyDescent="0.3">
      <c r="A2433">
        <v>118508852</v>
      </c>
      <c r="B2433" s="1">
        <v>45108</v>
      </c>
      <c r="C2433" t="s">
        <v>19</v>
      </c>
      <c r="D2433" t="s">
        <v>7</v>
      </c>
      <c r="E2433">
        <v>39</v>
      </c>
      <c r="F2433" t="s">
        <v>6</v>
      </c>
      <c r="G2433" t="str">
        <f t="shared" si="80"/>
        <v>Active</v>
      </c>
      <c r="H2433" s="1" t="str">
        <f t="shared" si="81"/>
        <v>Saturday</v>
      </c>
    </row>
    <row r="2434" spans="1:8" x14ac:dyDescent="0.3">
      <c r="A2434">
        <v>218120267</v>
      </c>
      <c r="B2434" s="1">
        <v>45108</v>
      </c>
      <c r="C2434" t="s">
        <v>19</v>
      </c>
      <c r="D2434" t="s">
        <v>7</v>
      </c>
      <c r="E2434">
        <v>39</v>
      </c>
      <c r="F2434" t="s">
        <v>6</v>
      </c>
      <c r="G2434" t="str">
        <f t="shared" si="80"/>
        <v>Active</v>
      </c>
      <c r="H2434" s="1" t="str">
        <f t="shared" si="81"/>
        <v>Saturday</v>
      </c>
    </row>
    <row r="2435" spans="1:8" x14ac:dyDescent="0.3">
      <c r="A2435">
        <v>218095541</v>
      </c>
      <c r="B2435" s="1">
        <v>45108</v>
      </c>
      <c r="C2435" t="s">
        <v>19</v>
      </c>
      <c r="D2435" t="s">
        <v>7</v>
      </c>
      <c r="E2435">
        <v>39</v>
      </c>
      <c r="F2435" t="s">
        <v>6</v>
      </c>
      <c r="G2435" t="str">
        <f t="shared" ref="G2435:G2498" si="82">IF(C2435="Active","Active",C2435-B2435)</f>
        <v>Active</v>
      </c>
      <c r="H2435" s="1" t="str">
        <f t="shared" ref="H2435:H2498" si="83">TEXT(B2435,"dddd")</f>
        <v>Saturday</v>
      </c>
    </row>
    <row r="2436" spans="1:8" x14ac:dyDescent="0.3">
      <c r="A2436">
        <v>217626801</v>
      </c>
      <c r="B2436" s="1">
        <v>45108</v>
      </c>
      <c r="C2436" t="s">
        <v>19</v>
      </c>
      <c r="D2436" t="s">
        <v>7</v>
      </c>
      <c r="E2436">
        <v>39</v>
      </c>
      <c r="F2436" t="s">
        <v>6</v>
      </c>
      <c r="G2436" t="str">
        <f t="shared" si="82"/>
        <v>Active</v>
      </c>
      <c r="H2436" s="1" t="str">
        <f t="shared" si="83"/>
        <v>Saturday</v>
      </c>
    </row>
    <row r="2437" spans="1:8" x14ac:dyDescent="0.3">
      <c r="A2437">
        <v>151555660</v>
      </c>
      <c r="B2437" s="1">
        <v>45108</v>
      </c>
      <c r="C2437" s="1">
        <v>45169</v>
      </c>
      <c r="D2437" t="s">
        <v>7</v>
      </c>
      <c r="E2437">
        <v>39</v>
      </c>
      <c r="F2437" t="s">
        <v>6</v>
      </c>
      <c r="G2437">
        <f t="shared" si="82"/>
        <v>61</v>
      </c>
      <c r="H2437" s="1" t="str">
        <f t="shared" si="83"/>
        <v>Saturday</v>
      </c>
    </row>
    <row r="2438" spans="1:8" x14ac:dyDescent="0.3">
      <c r="A2438">
        <v>217110820</v>
      </c>
      <c r="B2438" s="1">
        <v>45108</v>
      </c>
      <c r="C2438" s="1">
        <v>45142</v>
      </c>
      <c r="D2438" t="s">
        <v>7</v>
      </c>
      <c r="E2438">
        <v>39</v>
      </c>
      <c r="F2438" t="s">
        <v>6</v>
      </c>
      <c r="G2438">
        <f t="shared" si="82"/>
        <v>34</v>
      </c>
      <c r="H2438" s="1" t="str">
        <f t="shared" si="83"/>
        <v>Saturday</v>
      </c>
    </row>
    <row r="2439" spans="1:8" x14ac:dyDescent="0.3">
      <c r="A2439">
        <v>217932519</v>
      </c>
      <c r="B2439" s="1">
        <v>45108</v>
      </c>
      <c r="C2439" s="1">
        <v>45169</v>
      </c>
      <c r="D2439" t="s">
        <v>7</v>
      </c>
      <c r="E2439">
        <v>39</v>
      </c>
      <c r="F2439" t="s">
        <v>6</v>
      </c>
      <c r="G2439">
        <f t="shared" si="82"/>
        <v>61</v>
      </c>
      <c r="H2439" s="1" t="str">
        <f t="shared" si="83"/>
        <v>Saturday</v>
      </c>
    </row>
    <row r="2440" spans="1:8" x14ac:dyDescent="0.3">
      <c r="A2440">
        <v>218164848</v>
      </c>
      <c r="B2440" s="1">
        <v>45109</v>
      </c>
      <c r="C2440" t="s">
        <v>19</v>
      </c>
      <c r="D2440" t="s">
        <v>7</v>
      </c>
      <c r="E2440">
        <v>39</v>
      </c>
      <c r="F2440" t="s">
        <v>6</v>
      </c>
      <c r="G2440" t="str">
        <f t="shared" si="82"/>
        <v>Active</v>
      </c>
      <c r="H2440" s="1" t="str">
        <f t="shared" si="83"/>
        <v>Sunday</v>
      </c>
    </row>
    <row r="2441" spans="1:8" x14ac:dyDescent="0.3">
      <c r="A2441">
        <v>217526484</v>
      </c>
      <c r="B2441" s="1">
        <v>45109</v>
      </c>
      <c r="C2441" t="s">
        <v>19</v>
      </c>
      <c r="D2441" t="s">
        <v>7</v>
      </c>
      <c r="E2441">
        <v>39</v>
      </c>
      <c r="F2441" t="s">
        <v>6</v>
      </c>
      <c r="G2441" t="str">
        <f t="shared" si="82"/>
        <v>Active</v>
      </c>
      <c r="H2441" s="1" t="str">
        <f t="shared" si="83"/>
        <v>Sunday</v>
      </c>
    </row>
    <row r="2442" spans="1:8" x14ac:dyDescent="0.3">
      <c r="A2442">
        <v>214940948</v>
      </c>
      <c r="B2442" s="1">
        <v>45109</v>
      </c>
      <c r="C2442" t="s">
        <v>19</v>
      </c>
      <c r="D2442" t="s">
        <v>7</v>
      </c>
      <c r="E2442">
        <v>39</v>
      </c>
      <c r="F2442" t="s">
        <v>6</v>
      </c>
      <c r="G2442" t="str">
        <f t="shared" si="82"/>
        <v>Active</v>
      </c>
      <c r="H2442" s="1" t="str">
        <f t="shared" si="83"/>
        <v>Sunday</v>
      </c>
    </row>
    <row r="2443" spans="1:8" x14ac:dyDescent="0.3">
      <c r="A2443">
        <v>218144586</v>
      </c>
      <c r="B2443" s="1">
        <v>45109</v>
      </c>
      <c r="C2443" t="s">
        <v>19</v>
      </c>
      <c r="D2443" t="s">
        <v>7</v>
      </c>
      <c r="E2443">
        <v>39</v>
      </c>
      <c r="F2443" t="s">
        <v>6</v>
      </c>
      <c r="G2443" t="str">
        <f t="shared" si="82"/>
        <v>Active</v>
      </c>
      <c r="H2443" s="1" t="str">
        <f t="shared" si="83"/>
        <v>Sunday</v>
      </c>
    </row>
    <row r="2444" spans="1:8" x14ac:dyDescent="0.3">
      <c r="A2444">
        <v>217863596</v>
      </c>
      <c r="B2444" s="1">
        <v>45109</v>
      </c>
      <c r="C2444" s="1">
        <v>45158</v>
      </c>
      <c r="D2444" t="s">
        <v>7</v>
      </c>
      <c r="E2444">
        <v>39</v>
      </c>
      <c r="F2444" t="s">
        <v>6</v>
      </c>
      <c r="G2444">
        <f t="shared" si="82"/>
        <v>49</v>
      </c>
      <c r="H2444" s="1" t="str">
        <f t="shared" si="83"/>
        <v>Sunday</v>
      </c>
    </row>
    <row r="2445" spans="1:8" x14ac:dyDescent="0.3">
      <c r="A2445">
        <v>218098580</v>
      </c>
      <c r="B2445" s="1">
        <v>45109</v>
      </c>
      <c r="C2445" s="1">
        <v>45168</v>
      </c>
      <c r="D2445" t="s">
        <v>7</v>
      </c>
      <c r="E2445">
        <v>39</v>
      </c>
      <c r="F2445" t="s">
        <v>6</v>
      </c>
      <c r="G2445">
        <f t="shared" si="82"/>
        <v>59</v>
      </c>
      <c r="H2445" s="1" t="str">
        <f t="shared" si="83"/>
        <v>Sunday</v>
      </c>
    </row>
    <row r="2446" spans="1:8" x14ac:dyDescent="0.3">
      <c r="A2446">
        <v>215602271</v>
      </c>
      <c r="B2446" s="1">
        <v>45109</v>
      </c>
      <c r="C2446" s="1">
        <v>45134</v>
      </c>
      <c r="D2446" t="s">
        <v>7</v>
      </c>
      <c r="E2446">
        <v>39</v>
      </c>
      <c r="F2446" t="s">
        <v>6</v>
      </c>
      <c r="G2446">
        <f t="shared" si="82"/>
        <v>25</v>
      </c>
      <c r="H2446" s="1" t="str">
        <f t="shared" si="83"/>
        <v>Sunday</v>
      </c>
    </row>
    <row r="2447" spans="1:8" x14ac:dyDescent="0.3">
      <c r="A2447">
        <v>218202086</v>
      </c>
      <c r="B2447" s="1">
        <v>45110</v>
      </c>
      <c r="C2447" t="s">
        <v>19</v>
      </c>
      <c r="D2447" t="s">
        <v>7</v>
      </c>
      <c r="E2447">
        <v>39</v>
      </c>
      <c r="F2447" t="s">
        <v>6</v>
      </c>
      <c r="G2447" t="str">
        <f t="shared" si="82"/>
        <v>Active</v>
      </c>
      <c r="H2447" s="1" t="str">
        <f t="shared" si="83"/>
        <v>Monday</v>
      </c>
    </row>
    <row r="2448" spans="1:8" x14ac:dyDescent="0.3">
      <c r="A2448">
        <v>217927897</v>
      </c>
      <c r="B2448" s="1">
        <v>45110</v>
      </c>
      <c r="C2448" t="s">
        <v>19</v>
      </c>
      <c r="D2448" t="s">
        <v>7</v>
      </c>
      <c r="E2448">
        <v>39</v>
      </c>
      <c r="F2448" t="s">
        <v>6</v>
      </c>
      <c r="G2448" t="str">
        <f t="shared" si="82"/>
        <v>Active</v>
      </c>
      <c r="H2448" s="1" t="str">
        <f t="shared" si="83"/>
        <v>Monday</v>
      </c>
    </row>
    <row r="2449" spans="1:8" x14ac:dyDescent="0.3">
      <c r="A2449">
        <v>217856402</v>
      </c>
      <c r="B2449" s="1">
        <v>45110</v>
      </c>
      <c r="C2449" t="s">
        <v>19</v>
      </c>
      <c r="D2449" t="s">
        <v>7</v>
      </c>
      <c r="E2449">
        <v>39</v>
      </c>
      <c r="F2449" t="s">
        <v>6</v>
      </c>
      <c r="G2449" t="str">
        <f t="shared" si="82"/>
        <v>Active</v>
      </c>
      <c r="H2449" s="1" t="str">
        <f t="shared" si="83"/>
        <v>Monday</v>
      </c>
    </row>
    <row r="2450" spans="1:8" x14ac:dyDescent="0.3">
      <c r="A2450">
        <v>217588559</v>
      </c>
      <c r="B2450" s="1">
        <v>45110</v>
      </c>
      <c r="C2450" t="s">
        <v>19</v>
      </c>
      <c r="D2450" t="s">
        <v>7</v>
      </c>
      <c r="E2450">
        <v>39</v>
      </c>
      <c r="F2450" t="s">
        <v>6</v>
      </c>
      <c r="G2450" t="str">
        <f t="shared" si="82"/>
        <v>Active</v>
      </c>
      <c r="H2450" s="1" t="str">
        <f t="shared" si="83"/>
        <v>Monday</v>
      </c>
    </row>
    <row r="2451" spans="1:8" x14ac:dyDescent="0.3">
      <c r="A2451">
        <v>212136438</v>
      </c>
      <c r="B2451" s="1">
        <v>45110</v>
      </c>
      <c r="C2451" t="s">
        <v>19</v>
      </c>
      <c r="D2451" t="s">
        <v>7</v>
      </c>
      <c r="E2451">
        <v>39</v>
      </c>
      <c r="F2451" t="s">
        <v>6</v>
      </c>
      <c r="G2451" t="str">
        <f t="shared" si="82"/>
        <v>Active</v>
      </c>
      <c r="H2451" s="1" t="str">
        <f t="shared" si="83"/>
        <v>Monday</v>
      </c>
    </row>
    <row r="2452" spans="1:8" x14ac:dyDescent="0.3">
      <c r="A2452">
        <v>138548670</v>
      </c>
      <c r="B2452" s="1">
        <v>45110</v>
      </c>
      <c r="C2452" t="s">
        <v>19</v>
      </c>
      <c r="D2452" t="s">
        <v>7</v>
      </c>
      <c r="E2452">
        <v>39</v>
      </c>
      <c r="F2452" t="s">
        <v>6</v>
      </c>
      <c r="G2452" t="str">
        <f t="shared" si="82"/>
        <v>Active</v>
      </c>
      <c r="H2452" s="1" t="str">
        <f t="shared" si="83"/>
        <v>Monday</v>
      </c>
    </row>
    <row r="2453" spans="1:8" x14ac:dyDescent="0.3">
      <c r="A2453">
        <v>217588559</v>
      </c>
      <c r="B2453" s="1">
        <v>45110</v>
      </c>
      <c r="C2453" s="1">
        <v>45110</v>
      </c>
      <c r="D2453" t="s">
        <v>7</v>
      </c>
      <c r="E2453">
        <v>39</v>
      </c>
      <c r="F2453" t="s">
        <v>6</v>
      </c>
      <c r="G2453">
        <f t="shared" si="82"/>
        <v>0</v>
      </c>
      <c r="H2453" s="1" t="str">
        <f t="shared" si="83"/>
        <v>Monday</v>
      </c>
    </row>
    <row r="2454" spans="1:8" x14ac:dyDescent="0.3">
      <c r="A2454">
        <v>171893540</v>
      </c>
      <c r="B2454" s="1">
        <v>45110</v>
      </c>
      <c r="C2454" s="1">
        <v>45158</v>
      </c>
      <c r="D2454" t="s">
        <v>7</v>
      </c>
      <c r="E2454">
        <v>39</v>
      </c>
      <c r="F2454" t="s">
        <v>6</v>
      </c>
      <c r="G2454">
        <f t="shared" si="82"/>
        <v>48</v>
      </c>
      <c r="H2454" s="1" t="str">
        <f t="shared" si="83"/>
        <v>Monday</v>
      </c>
    </row>
    <row r="2455" spans="1:8" x14ac:dyDescent="0.3">
      <c r="A2455">
        <v>202412363</v>
      </c>
      <c r="B2455" s="1">
        <v>45110</v>
      </c>
      <c r="C2455" s="1">
        <v>45129</v>
      </c>
      <c r="D2455" t="s">
        <v>7</v>
      </c>
      <c r="E2455">
        <v>39</v>
      </c>
      <c r="F2455" t="s">
        <v>6</v>
      </c>
      <c r="G2455">
        <f t="shared" si="82"/>
        <v>19</v>
      </c>
      <c r="H2455" s="1" t="str">
        <f t="shared" si="83"/>
        <v>Monday</v>
      </c>
    </row>
    <row r="2456" spans="1:8" x14ac:dyDescent="0.3">
      <c r="A2456">
        <v>218129311</v>
      </c>
      <c r="B2456" s="1">
        <v>45110</v>
      </c>
      <c r="C2456" s="1">
        <v>45148</v>
      </c>
      <c r="D2456" t="s">
        <v>7</v>
      </c>
      <c r="E2456">
        <v>39</v>
      </c>
      <c r="F2456" t="s">
        <v>6</v>
      </c>
      <c r="G2456">
        <f t="shared" si="82"/>
        <v>38</v>
      </c>
      <c r="H2456" s="1" t="str">
        <f t="shared" si="83"/>
        <v>Monday</v>
      </c>
    </row>
    <row r="2457" spans="1:8" x14ac:dyDescent="0.3">
      <c r="A2457">
        <v>218092565</v>
      </c>
      <c r="B2457" s="1">
        <v>45110</v>
      </c>
      <c r="C2457" s="1">
        <v>45148</v>
      </c>
      <c r="D2457" t="s">
        <v>7</v>
      </c>
      <c r="E2457">
        <v>39</v>
      </c>
      <c r="F2457" t="s">
        <v>6</v>
      </c>
      <c r="G2457">
        <f t="shared" si="82"/>
        <v>38</v>
      </c>
      <c r="H2457" s="1" t="str">
        <f t="shared" si="83"/>
        <v>Monday</v>
      </c>
    </row>
    <row r="2458" spans="1:8" x14ac:dyDescent="0.3">
      <c r="A2458">
        <v>150436862</v>
      </c>
      <c r="B2458" s="1">
        <v>45111</v>
      </c>
      <c r="C2458" t="s">
        <v>19</v>
      </c>
      <c r="D2458" t="s">
        <v>7</v>
      </c>
      <c r="E2458">
        <v>39</v>
      </c>
      <c r="F2458" t="s">
        <v>6</v>
      </c>
      <c r="G2458" t="str">
        <f t="shared" si="82"/>
        <v>Active</v>
      </c>
      <c r="H2458" s="1" t="str">
        <f t="shared" si="83"/>
        <v>Tuesday</v>
      </c>
    </row>
    <row r="2459" spans="1:8" x14ac:dyDescent="0.3">
      <c r="A2459">
        <v>218211840</v>
      </c>
      <c r="B2459" s="1">
        <v>45111</v>
      </c>
      <c r="C2459" t="s">
        <v>19</v>
      </c>
      <c r="D2459" t="s">
        <v>7</v>
      </c>
      <c r="E2459">
        <v>39</v>
      </c>
      <c r="F2459" t="s">
        <v>6</v>
      </c>
      <c r="G2459" t="str">
        <f t="shared" si="82"/>
        <v>Active</v>
      </c>
      <c r="H2459" s="1" t="str">
        <f t="shared" si="83"/>
        <v>Tuesday</v>
      </c>
    </row>
    <row r="2460" spans="1:8" x14ac:dyDescent="0.3">
      <c r="A2460">
        <v>218235209</v>
      </c>
      <c r="B2460" s="1">
        <v>45111</v>
      </c>
      <c r="C2460" t="s">
        <v>19</v>
      </c>
      <c r="D2460" t="s">
        <v>7</v>
      </c>
      <c r="E2460">
        <v>39</v>
      </c>
      <c r="F2460" t="s">
        <v>6</v>
      </c>
      <c r="G2460" t="str">
        <f t="shared" si="82"/>
        <v>Active</v>
      </c>
      <c r="H2460" s="1" t="str">
        <f t="shared" si="83"/>
        <v>Tuesday</v>
      </c>
    </row>
    <row r="2461" spans="1:8" x14ac:dyDescent="0.3">
      <c r="A2461">
        <v>132631414</v>
      </c>
      <c r="B2461" s="1">
        <v>45111</v>
      </c>
      <c r="C2461" t="s">
        <v>19</v>
      </c>
      <c r="D2461" t="s">
        <v>7</v>
      </c>
      <c r="E2461">
        <v>39</v>
      </c>
      <c r="F2461" t="s">
        <v>6</v>
      </c>
      <c r="G2461" t="str">
        <f t="shared" si="82"/>
        <v>Active</v>
      </c>
      <c r="H2461" s="1" t="str">
        <f t="shared" si="83"/>
        <v>Tuesday</v>
      </c>
    </row>
    <row r="2462" spans="1:8" x14ac:dyDescent="0.3">
      <c r="A2462">
        <v>218254260</v>
      </c>
      <c r="B2462" s="1">
        <v>45111</v>
      </c>
      <c r="C2462" t="s">
        <v>19</v>
      </c>
      <c r="D2462" t="s">
        <v>7</v>
      </c>
      <c r="E2462">
        <v>39</v>
      </c>
      <c r="F2462" t="s">
        <v>6</v>
      </c>
      <c r="G2462" t="str">
        <f t="shared" si="82"/>
        <v>Active</v>
      </c>
      <c r="H2462" s="1" t="str">
        <f t="shared" si="83"/>
        <v>Tuesday</v>
      </c>
    </row>
    <row r="2463" spans="1:8" x14ac:dyDescent="0.3">
      <c r="A2463">
        <v>218095604</v>
      </c>
      <c r="B2463" s="1">
        <v>45111</v>
      </c>
      <c r="C2463" t="s">
        <v>19</v>
      </c>
      <c r="D2463" t="s">
        <v>7</v>
      </c>
      <c r="E2463">
        <v>39</v>
      </c>
      <c r="F2463" t="s">
        <v>6</v>
      </c>
      <c r="G2463" t="str">
        <f t="shared" si="82"/>
        <v>Active</v>
      </c>
      <c r="H2463" s="1" t="str">
        <f t="shared" si="83"/>
        <v>Tuesday</v>
      </c>
    </row>
    <row r="2464" spans="1:8" x14ac:dyDescent="0.3">
      <c r="A2464">
        <v>147845964</v>
      </c>
      <c r="B2464" s="1">
        <v>45111</v>
      </c>
      <c r="C2464" s="1">
        <v>45111</v>
      </c>
      <c r="D2464" t="s">
        <v>7</v>
      </c>
      <c r="E2464">
        <v>39</v>
      </c>
      <c r="F2464" t="s">
        <v>6</v>
      </c>
      <c r="G2464">
        <f t="shared" si="82"/>
        <v>0</v>
      </c>
      <c r="H2464" s="1" t="str">
        <f t="shared" si="83"/>
        <v>Tuesday</v>
      </c>
    </row>
    <row r="2465" spans="1:8" x14ac:dyDescent="0.3">
      <c r="A2465">
        <v>218242871</v>
      </c>
      <c r="B2465" s="1">
        <v>45111</v>
      </c>
      <c r="C2465" s="1">
        <v>45142</v>
      </c>
      <c r="D2465" t="s">
        <v>7</v>
      </c>
      <c r="E2465">
        <v>39</v>
      </c>
      <c r="F2465" t="s">
        <v>6</v>
      </c>
      <c r="G2465">
        <f t="shared" si="82"/>
        <v>31</v>
      </c>
      <c r="H2465" s="1" t="str">
        <f t="shared" si="83"/>
        <v>Tuesday</v>
      </c>
    </row>
    <row r="2466" spans="1:8" x14ac:dyDescent="0.3">
      <c r="A2466">
        <v>218238016</v>
      </c>
      <c r="B2466" s="1">
        <v>45111</v>
      </c>
      <c r="C2466" s="1">
        <v>45172</v>
      </c>
      <c r="D2466" t="s">
        <v>7</v>
      </c>
      <c r="E2466">
        <v>39</v>
      </c>
      <c r="F2466" t="s">
        <v>6</v>
      </c>
      <c r="G2466">
        <f t="shared" si="82"/>
        <v>61</v>
      </c>
      <c r="H2466" s="1" t="str">
        <f t="shared" si="83"/>
        <v>Tuesday</v>
      </c>
    </row>
    <row r="2467" spans="1:8" x14ac:dyDescent="0.3">
      <c r="A2467">
        <v>217387951</v>
      </c>
      <c r="B2467" s="1">
        <v>45111</v>
      </c>
      <c r="C2467" s="1">
        <v>45142</v>
      </c>
      <c r="D2467" t="s">
        <v>7</v>
      </c>
      <c r="E2467">
        <v>39</v>
      </c>
      <c r="F2467" t="s">
        <v>6</v>
      </c>
      <c r="G2467">
        <f t="shared" si="82"/>
        <v>31</v>
      </c>
      <c r="H2467" s="1" t="str">
        <f t="shared" si="83"/>
        <v>Tuesday</v>
      </c>
    </row>
    <row r="2468" spans="1:8" x14ac:dyDescent="0.3">
      <c r="A2468">
        <v>218236754</v>
      </c>
      <c r="B2468" s="1">
        <v>45111</v>
      </c>
      <c r="C2468" s="1">
        <v>45118</v>
      </c>
      <c r="D2468" t="s">
        <v>7</v>
      </c>
      <c r="E2468">
        <v>39</v>
      </c>
      <c r="F2468" t="s">
        <v>6</v>
      </c>
      <c r="G2468">
        <f t="shared" si="82"/>
        <v>7</v>
      </c>
      <c r="H2468" s="1" t="str">
        <f t="shared" si="83"/>
        <v>Tuesday</v>
      </c>
    </row>
    <row r="2469" spans="1:8" x14ac:dyDescent="0.3">
      <c r="A2469">
        <v>218307564</v>
      </c>
      <c r="B2469" s="1">
        <v>45112</v>
      </c>
      <c r="C2469" t="s">
        <v>19</v>
      </c>
      <c r="D2469" t="s">
        <v>7</v>
      </c>
      <c r="E2469">
        <v>39</v>
      </c>
      <c r="F2469" t="s">
        <v>6</v>
      </c>
      <c r="G2469" t="str">
        <f t="shared" si="82"/>
        <v>Active</v>
      </c>
      <c r="H2469" s="1" t="str">
        <f t="shared" si="83"/>
        <v>Wednesday</v>
      </c>
    </row>
    <row r="2470" spans="1:8" x14ac:dyDescent="0.3">
      <c r="A2470">
        <v>150521180</v>
      </c>
      <c r="B2470" s="1">
        <v>45112</v>
      </c>
      <c r="C2470" t="s">
        <v>19</v>
      </c>
      <c r="D2470" t="s">
        <v>7</v>
      </c>
      <c r="E2470">
        <v>39</v>
      </c>
      <c r="F2470" t="s">
        <v>6</v>
      </c>
      <c r="G2470" t="str">
        <f t="shared" si="82"/>
        <v>Active</v>
      </c>
      <c r="H2470" s="1" t="str">
        <f t="shared" si="83"/>
        <v>Wednesday</v>
      </c>
    </row>
    <row r="2471" spans="1:8" x14ac:dyDescent="0.3">
      <c r="A2471">
        <v>135240372</v>
      </c>
      <c r="B2471" s="1">
        <v>45112</v>
      </c>
      <c r="C2471" t="s">
        <v>19</v>
      </c>
      <c r="D2471" t="s">
        <v>7</v>
      </c>
      <c r="E2471">
        <v>39</v>
      </c>
      <c r="F2471" t="s">
        <v>6</v>
      </c>
      <c r="G2471" t="str">
        <f t="shared" si="82"/>
        <v>Active</v>
      </c>
      <c r="H2471" s="1" t="str">
        <f t="shared" si="83"/>
        <v>Wednesday</v>
      </c>
    </row>
    <row r="2472" spans="1:8" x14ac:dyDescent="0.3">
      <c r="A2472">
        <v>218275834</v>
      </c>
      <c r="B2472" s="1">
        <v>45112</v>
      </c>
      <c r="C2472" t="s">
        <v>19</v>
      </c>
      <c r="D2472" t="s">
        <v>7</v>
      </c>
      <c r="E2472">
        <v>39</v>
      </c>
      <c r="F2472" t="s">
        <v>6</v>
      </c>
      <c r="G2472" t="str">
        <f t="shared" si="82"/>
        <v>Active</v>
      </c>
      <c r="H2472" s="1" t="str">
        <f t="shared" si="83"/>
        <v>Wednesday</v>
      </c>
    </row>
    <row r="2473" spans="1:8" x14ac:dyDescent="0.3">
      <c r="A2473">
        <v>218028076</v>
      </c>
      <c r="B2473" s="1">
        <v>45112</v>
      </c>
      <c r="C2473" t="s">
        <v>19</v>
      </c>
      <c r="D2473" t="s">
        <v>7</v>
      </c>
      <c r="E2473">
        <v>39</v>
      </c>
      <c r="F2473" t="s">
        <v>6</v>
      </c>
      <c r="G2473" t="str">
        <f t="shared" si="82"/>
        <v>Active</v>
      </c>
      <c r="H2473" s="1" t="str">
        <f t="shared" si="83"/>
        <v>Wednesday</v>
      </c>
    </row>
    <row r="2474" spans="1:8" x14ac:dyDescent="0.3">
      <c r="A2474">
        <v>164254865</v>
      </c>
      <c r="B2474" s="1">
        <v>45112</v>
      </c>
      <c r="C2474" t="s">
        <v>19</v>
      </c>
      <c r="D2474" t="s">
        <v>7</v>
      </c>
      <c r="E2474">
        <v>39</v>
      </c>
      <c r="F2474" t="s">
        <v>6</v>
      </c>
      <c r="G2474" t="str">
        <f t="shared" si="82"/>
        <v>Active</v>
      </c>
      <c r="H2474" s="1" t="str">
        <f t="shared" si="83"/>
        <v>Wednesday</v>
      </c>
    </row>
    <row r="2475" spans="1:8" x14ac:dyDescent="0.3">
      <c r="A2475">
        <v>218274904</v>
      </c>
      <c r="B2475" s="1">
        <v>45112</v>
      </c>
      <c r="C2475" s="1">
        <v>45113</v>
      </c>
      <c r="D2475" t="s">
        <v>8</v>
      </c>
      <c r="E2475">
        <v>39</v>
      </c>
      <c r="F2475" t="s">
        <v>6</v>
      </c>
      <c r="G2475">
        <f t="shared" si="82"/>
        <v>1</v>
      </c>
      <c r="H2475" s="1" t="str">
        <f t="shared" si="83"/>
        <v>Wednesday</v>
      </c>
    </row>
    <row r="2476" spans="1:8" x14ac:dyDescent="0.3">
      <c r="A2476">
        <v>208473540</v>
      </c>
      <c r="B2476" s="1">
        <v>45112</v>
      </c>
      <c r="C2476" s="1">
        <v>45177</v>
      </c>
      <c r="D2476" t="s">
        <v>7</v>
      </c>
      <c r="E2476">
        <v>39</v>
      </c>
      <c r="F2476" t="s">
        <v>6</v>
      </c>
      <c r="G2476">
        <f t="shared" si="82"/>
        <v>65</v>
      </c>
      <c r="H2476" s="1" t="str">
        <f t="shared" si="83"/>
        <v>Wednesday</v>
      </c>
    </row>
    <row r="2477" spans="1:8" x14ac:dyDescent="0.3">
      <c r="A2477">
        <v>218233516</v>
      </c>
      <c r="B2477" s="1">
        <v>45112</v>
      </c>
      <c r="C2477" s="1">
        <v>45146</v>
      </c>
      <c r="D2477" t="s">
        <v>7</v>
      </c>
      <c r="E2477">
        <v>39</v>
      </c>
      <c r="F2477" t="s">
        <v>6</v>
      </c>
      <c r="G2477">
        <f t="shared" si="82"/>
        <v>34</v>
      </c>
      <c r="H2477" s="1" t="str">
        <f t="shared" si="83"/>
        <v>Wednesday</v>
      </c>
    </row>
    <row r="2478" spans="1:8" x14ac:dyDescent="0.3">
      <c r="A2478">
        <v>218261606</v>
      </c>
      <c r="B2478" s="1">
        <v>45112</v>
      </c>
      <c r="C2478" s="1">
        <v>45155</v>
      </c>
      <c r="D2478" t="s">
        <v>7</v>
      </c>
      <c r="E2478">
        <v>39</v>
      </c>
      <c r="F2478" t="s">
        <v>6</v>
      </c>
      <c r="G2478">
        <f t="shared" si="82"/>
        <v>43</v>
      </c>
      <c r="H2478" s="1" t="str">
        <f t="shared" si="83"/>
        <v>Wednesday</v>
      </c>
    </row>
    <row r="2479" spans="1:8" x14ac:dyDescent="0.3">
      <c r="A2479">
        <v>218289472</v>
      </c>
      <c r="B2479" s="1">
        <v>45112</v>
      </c>
      <c r="C2479" s="1">
        <v>45113</v>
      </c>
      <c r="D2479" t="s">
        <v>7</v>
      </c>
      <c r="E2479">
        <v>39</v>
      </c>
      <c r="F2479" t="s">
        <v>6</v>
      </c>
      <c r="G2479">
        <f t="shared" si="82"/>
        <v>1</v>
      </c>
      <c r="H2479" s="1" t="str">
        <f t="shared" si="83"/>
        <v>Wednesday</v>
      </c>
    </row>
    <row r="2480" spans="1:8" x14ac:dyDescent="0.3">
      <c r="A2480">
        <v>215946425</v>
      </c>
      <c r="B2480" s="1">
        <v>45112</v>
      </c>
      <c r="C2480" s="1">
        <v>45136</v>
      </c>
      <c r="D2480" t="s">
        <v>7</v>
      </c>
      <c r="E2480">
        <v>39</v>
      </c>
      <c r="F2480" t="s">
        <v>6</v>
      </c>
      <c r="G2480">
        <f t="shared" si="82"/>
        <v>24</v>
      </c>
      <c r="H2480" s="1" t="str">
        <f t="shared" si="83"/>
        <v>Wednesday</v>
      </c>
    </row>
    <row r="2481" spans="1:8" x14ac:dyDescent="0.3">
      <c r="A2481">
        <v>218284850</v>
      </c>
      <c r="B2481" s="1">
        <v>45112</v>
      </c>
      <c r="C2481" s="1">
        <v>45136</v>
      </c>
      <c r="D2481" t="s">
        <v>7</v>
      </c>
      <c r="E2481">
        <v>39</v>
      </c>
      <c r="F2481" t="s">
        <v>6</v>
      </c>
      <c r="G2481">
        <f t="shared" si="82"/>
        <v>24</v>
      </c>
      <c r="H2481" s="1" t="str">
        <f t="shared" si="83"/>
        <v>Wednesday</v>
      </c>
    </row>
    <row r="2482" spans="1:8" x14ac:dyDescent="0.3">
      <c r="A2482">
        <v>202151053</v>
      </c>
      <c r="B2482" s="1">
        <v>45113</v>
      </c>
      <c r="C2482" t="s">
        <v>19</v>
      </c>
      <c r="D2482" t="s">
        <v>7</v>
      </c>
      <c r="E2482">
        <v>39</v>
      </c>
      <c r="F2482" t="s">
        <v>6</v>
      </c>
      <c r="G2482" t="str">
        <f t="shared" si="82"/>
        <v>Active</v>
      </c>
      <c r="H2482" s="1" t="str">
        <f t="shared" si="83"/>
        <v>Thursday</v>
      </c>
    </row>
    <row r="2483" spans="1:8" x14ac:dyDescent="0.3">
      <c r="A2483">
        <v>112301350</v>
      </c>
      <c r="B2483" s="1">
        <v>45113</v>
      </c>
      <c r="C2483" t="s">
        <v>19</v>
      </c>
      <c r="D2483" t="s">
        <v>7</v>
      </c>
      <c r="E2483">
        <v>39</v>
      </c>
      <c r="F2483" t="s">
        <v>6</v>
      </c>
      <c r="G2483" t="str">
        <f t="shared" si="82"/>
        <v>Active</v>
      </c>
      <c r="H2483" s="1" t="str">
        <f t="shared" si="83"/>
        <v>Thursday</v>
      </c>
    </row>
    <row r="2484" spans="1:8" x14ac:dyDescent="0.3">
      <c r="A2484">
        <v>218300918</v>
      </c>
      <c r="B2484" s="1">
        <v>45113</v>
      </c>
      <c r="C2484" t="s">
        <v>19</v>
      </c>
      <c r="D2484" t="s">
        <v>7</v>
      </c>
      <c r="E2484">
        <v>39</v>
      </c>
      <c r="F2484" t="s">
        <v>6</v>
      </c>
      <c r="G2484" t="str">
        <f t="shared" si="82"/>
        <v>Active</v>
      </c>
      <c r="H2484" s="1" t="str">
        <f t="shared" si="83"/>
        <v>Thursday</v>
      </c>
    </row>
    <row r="2485" spans="1:8" x14ac:dyDescent="0.3">
      <c r="A2485">
        <v>205452800</v>
      </c>
      <c r="B2485" s="1">
        <v>45113</v>
      </c>
      <c r="C2485" t="s">
        <v>19</v>
      </c>
      <c r="D2485" t="s">
        <v>7</v>
      </c>
      <c r="E2485">
        <v>39</v>
      </c>
      <c r="F2485" t="s">
        <v>6</v>
      </c>
      <c r="G2485" t="str">
        <f t="shared" si="82"/>
        <v>Active</v>
      </c>
      <c r="H2485" s="1" t="str">
        <f t="shared" si="83"/>
        <v>Thursday</v>
      </c>
    </row>
    <row r="2486" spans="1:8" x14ac:dyDescent="0.3">
      <c r="A2486">
        <v>218278300</v>
      </c>
      <c r="B2486" s="1">
        <v>45113</v>
      </c>
      <c r="C2486" t="s">
        <v>19</v>
      </c>
      <c r="D2486" t="s">
        <v>7</v>
      </c>
      <c r="E2486">
        <v>39</v>
      </c>
      <c r="F2486" t="s">
        <v>6</v>
      </c>
      <c r="G2486" t="str">
        <f t="shared" si="82"/>
        <v>Active</v>
      </c>
      <c r="H2486" s="1" t="str">
        <f t="shared" si="83"/>
        <v>Thursday</v>
      </c>
    </row>
    <row r="2487" spans="1:8" x14ac:dyDescent="0.3">
      <c r="A2487">
        <v>216920844</v>
      </c>
      <c r="B2487" s="1">
        <v>45113</v>
      </c>
      <c r="C2487" t="s">
        <v>19</v>
      </c>
      <c r="D2487" t="s">
        <v>7</v>
      </c>
      <c r="E2487">
        <v>39</v>
      </c>
      <c r="F2487" t="s">
        <v>6</v>
      </c>
      <c r="G2487" t="str">
        <f t="shared" si="82"/>
        <v>Active</v>
      </c>
      <c r="H2487" s="1" t="str">
        <f t="shared" si="83"/>
        <v>Thursday</v>
      </c>
    </row>
    <row r="2488" spans="1:8" x14ac:dyDescent="0.3">
      <c r="A2488">
        <v>127100688</v>
      </c>
      <c r="B2488" s="1">
        <v>45113</v>
      </c>
      <c r="C2488" s="1">
        <v>45140</v>
      </c>
      <c r="D2488" t="s">
        <v>7</v>
      </c>
      <c r="E2488">
        <v>39</v>
      </c>
      <c r="F2488" t="s">
        <v>6</v>
      </c>
      <c r="G2488">
        <f t="shared" si="82"/>
        <v>27</v>
      </c>
      <c r="H2488" s="1" t="str">
        <f t="shared" si="83"/>
        <v>Thursday</v>
      </c>
    </row>
    <row r="2489" spans="1:8" x14ac:dyDescent="0.3">
      <c r="A2489">
        <v>218345379</v>
      </c>
      <c r="B2489" s="1">
        <v>45113</v>
      </c>
      <c r="C2489" s="1">
        <v>45151</v>
      </c>
      <c r="D2489" t="s">
        <v>7</v>
      </c>
      <c r="E2489">
        <v>39</v>
      </c>
      <c r="F2489" t="s">
        <v>6</v>
      </c>
      <c r="G2489">
        <f t="shared" si="82"/>
        <v>38</v>
      </c>
      <c r="H2489" s="1" t="str">
        <f t="shared" si="83"/>
        <v>Thursday</v>
      </c>
    </row>
    <row r="2490" spans="1:8" x14ac:dyDescent="0.3">
      <c r="A2490">
        <v>183507186</v>
      </c>
      <c r="B2490" s="1">
        <v>45113</v>
      </c>
      <c r="C2490" s="1">
        <v>45144</v>
      </c>
      <c r="D2490" t="s">
        <v>7</v>
      </c>
      <c r="E2490">
        <v>39</v>
      </c>
      <c r="F2490" t="s">
        <v>6</v>
      </c>
      <c r="G2490">
        <f t="shared" si="82"/>
        <v>31</v>
      </c>
      <c r="H2490" s="1" t="str">
        <f t="shared" si="83"/>
        <v>Thursday</v>
      </c>
    </row>
    <row r="2491" spans="1:8" x14ac:dyDescent="0.3">
      <c r="A2491">
        <v>218133430</v>
      </c>
      <c r="B2491" s="1">
        <v>45114</v>
      </c>
      <c r="C2491" t="s">
        <v>19</v>
      </c>
      <c r="D2491" t="s">
        <v>7</v>
      </c>
      <c r="E2491">
        <v>39</v>
      </c>
      <c r="F2491" t="s">
        <v>6</v>
      </c>
      <c r="G2491" t="str">
        <f t="shared" si="82"/>
        <v>Active</v>
      </c>
      <c r="H2491" s="1" t="str">
        <f t="shared" si="83"/>
        <v>Friday</v>
      </c>
    </row>
    <row r="2492" spans="1:8" x14ac:dyDescent="0.3">
      <c r="A2492">
        <v>147813476</v>
      </c>
      <c r="B2492" s="1">
        <v>45114</v>
      </c>
      <c r="C2492" t="s">
        <v>19</v>
      </c>
      <c r="D2492" t="s">
        <v>7</v>
      </c>
      <c r="E2492">
        <v>39</v>
      </c>
      <c r="F2492" t="s">
        <v>6</v>
      </c>
      <c r="G2492" t="str">
        <f t="shared" si="82"/>
        <v>Active</v>
      </c>
      <c r="H2492" s="1" t="str">
        <f t="shared" si="83"/>
        <v>Friday</v>
      </c>
    </row>
    <row r="2493" spans="1:8" x14ac:dyDescent="0.3">
      <c r="A2493">
        <v>218375754</v>
      </c>
      <c r="B2493" s="1">
        <v>45114</v>
      </c>
      <c r="C2493" t="s">
        <v>19</v>
      </c>
      <c r="D2493" t="s">
        <v>7</v>
      </c>
      <c r="E2493">
        <v>39</v>
      </c>
      <c r="F2493" t="s">
        <v>6</v>
      </c>
      <c r="G2493" t="str">
        <f t="shared" si="82"/>
        <v>Active</v>
      </c>
      <c r="H2493" s="1" t="str">
        <f t="shared" si="83"/>
        <v>Friday</v>
      </c>
    </row>
    <row r="2494" spans="1:8" x14ac:dyDescent="0.3">
      <c r="A2494">
        <v>216000482</v>
      </c>
      <c r="B2494" s="1">
        <v>45114</v>
      </c>
      <c r="C2494" t="s">
        <v>19</v>
      </c>
      <c r="D2494" t="s">
        <v>7</v>
      </c>
      <c r="E2494">
        <v>39</v>
      </c>
      <c r="F2494" t="s">
        <v>6</v>
      </c>
      <c r="G2494" t="str">
        <f t="shared" si="82"/>
        <v>Active</v>
      </c>
      <c r="H2494" s="1" t="str">
        <f t="shared" si="83"/>
        <v>Friday</v>
      </c>
    </row>
    <row r="2495" spans="1:8" x14ac:dyDescent="0.3">
      <c r="A2495">
        <v>161549477</v>
      </c>
      <c r="B2495" s="1">
        <v>45114</v>
      </c>
      <c r="C2495" t="s">
        <v>19</v>
      </c>
      <c r="D2495" t="s">
        <v>7</v>
      </c>
      <c r="E2495">
        <v>39</v>
      </c>
      <c r="F2495" t="s">
        <v>6</v>
      </c>
      <c r="G2495" t="str">
        <f t="shared" si="82"/>
        <v>Active</v>
      </c>
      <c r="H2495" s="1" t="str">
        <f t="shared" si="83"/>
        <v>Friday</v>
      </c>
    </row>
    <row r="2496" spans="1:8" x14ac:dyDescent="0.3">
      <c r="A2496">
        <v>133444654</v>
      </c>
      <c r="B2496" s="1">
        <v>45114</v>
      </c>
      <c r="C2496" s="1">
        <v>45117</v>
      </c>
      <c r="D2496" t="s">
        <v>7</v>
      </c>
      <c r="E2496">
        <v>39</v>
      </c>
      <c r="F2496" t="s">
        <v>6</v>
      </c>
      <c r="G2496">
        <f t="shared" si="82"/>
        <v>3</v>
      </c>
      <c r="H2496" s="1" t="str">
        <f t="shared" si="83"/>
        <v>Friday</v>
      </c>
    </row>
    <row r="2497" spans="1:8" x14ac:dyDescent="0.3">
      <c r="A2497">
        <v>217883594</v>
      </c>
      <c r="B2497" s="1">
        <v>45114</v>
      </c>
      <c r="C2497" s="1">
        <v>45134</v>
      </c>
      <c r="D2497" t="s">
        <v>7</v>
      </c>
      <c r="E2497">
        <v>39</v>
      </c>
      <c r="F2497" t="s">
        <v>6</v>
      </c>
      <c r="G2497">
        <f t="shared" si="82"/>
        <v>20</v>
      </c>
      <c r="H2497" s="1" t="str">
        <f t="shared" si="83"/>
        <v>Friday</v>
      </c>
    </row>
    <row r="2498" spans="1:8" x14ac:dyDescent="0.3">
      <c r="A2498">
        <v>197752733</v>
      </c>
      <c r="B2498" s="1">
        <v>45115</v>
      </c>
      <c r="C2498" t="s">
        <v>19</v>
      </c>
      <c r="D2498" t="s">
        <v>7</v>
      </c>
      <c r="E2498">
        <v>39</v>
      </c>
      <c r="F2498" t="s">
        <v>6</v>
      </c>
      <c r="G2498" t="str">
        <f t="shared" si="82"/>
        <v>Active</v>
      </c>
      <c r="H2498" s="1" t="str">
        <f t="shared" si="83"/>
        <v>Saturday</v>
      </c>
    </row>
    <row r="2499" spans="1:8" x14ac:dyDescent="0.3">
      <c r="A2499">
        <v>175884318</v>
      </c>
      <c r="B2499" s="1">
        <v>45115</v>
      </c>
      <c r="C2499" t="s">
        <v>19</v>
      </c>
      <c r="D2499" t="s">
        <v>7</v>
      </c>
      <c r="E2499">
        <v>39</v>
      </c>
      <c r="F2499" t="s">
        <v>6</v>
      </c>
      <c r="G2499" t="str">
        <f t="shared" ref="G2499:G2562" si="84">IF(C2499="Active","Active",C2499-B2499)</f>
        <v>Active</v>
      </c>
      <c r="H2499" s="1" t="str">
        <f t="shared" ref="H2499:H2562" si="85">TEXT(B2499,"dddd")</f>
        <v>Saturday</v>
      </c>
    </row>
    <row r="2500" spans="1:8" x14ac:dyDescent="0.3">
      <c r="A2500">
        <v>218413958</v>
      </c>
      <c r="B2500" s="1">
        <v>45115</v>
      </c>
      <c r="C2500" t="s">
        <v>19</v>
      </c>
      <c r="D2500" t="s">
        <v>7</v>
      </c>
      <c r="E2500">
        <v>39</v>
      </c>
      <c r="F2500" t="s">
        <v>6</v>
      </c>
      <c r="G2500" t="str">
        <f t="shared" si="84"/>
        <v>Active</v>
      </c>
      <c r="H2500" s="1" t="str">
        <f t="shared" si="85"/>
        <v>Saturday</v>
      </c>
    </row>
    <row r="2501" spans="1:8" x14ac:dyDescent="0.3">
      <c r="A2501">
        <v>218434925</v>
      </c>
      <c r="B2501" s="1">
        <v>45115</v>
      </c>
      <c r="C2501" t="s">
        <v>19</v>
      </c>
      <c r="D2501" t="s">
        <v>7</v>
      </c>
      <c r="E2501">
        <v>39</v>
      </c>
      <c r="F2501" t="s">
        <v>6</v>
      </c>
      <c r="G2501" t="str">
        <f t="shared" si="84"/>
        <v>Active</v>
      </c>
      <c r="H2501" s="1" t="str">
        <f t="shared" si="85"/>
        <v>Saturday</v>
      </c>
    </row>
    <row r="2502" spans="1:8" x14ac:dyDescent="0.3">
      <c r="A2502">
        <v>156817946</v>
      </c>
      <c r="B2502" s="1">
        <v>45115</v>
      </c>
      <c r="C2502" t="s">
        <v>19</v>
      </c>
      <c r="D2502" t="s">
        <v>7</v>
      </c>
      <c r="E2502">
        <v>39</v>
      </c>
      <c r="F2502" t="s">
        <v>6</v>
      </c>
      <c r="G2502" t="str">
        <f t="shared" si="84"/>
        <v>Active</v>
      </c>
      <c r="H2502" s="1" t="str">
        <f t="shared" si="85"/>
        <v>Saturday</v>
      </c>
    </row>
    <row r="2503" spans="1:8" x14ac:dyDescent="0.3">
      <c r="A2503">
        <v>218427268</v>
      </c>
      <c r="B2503" s="1">
        <v>45115</v>
      </c>
      <c r="C2503" t="s">
        <v>19</v>
      </c>
      <c r="D2503" t="s">
        <v>7</v>
      </c>
      <c r="E2503">
        <v>39</v>
      </c>
      <c r="F2503" t="s">
        <v>6</v>
      </c>
      <c r="G2503" t="str">
        <f t="shared" si="84"/>
        <v>Active</v>
      </c>
      <c r="H2503" s="1" t="str">
        <f t="shared" si="85"/>
        <v>Saturday</v>
      </c>
    </row>
    <row r="2504" spans="1:8" x14ac:dyDescent="0.3">
      <c r="A2504">
        <v>208492287</v>
      </c>
      <c r="B2504" s="1">
        <v>45115</v>
      </c>
      <c r="C2504" t="s">
        <v>19</v>
      </c>
      <c r="D2504" t="s">
        <v>7</v>
      </c>
      <c r="E2504">
        <v>39</v>
      </c>
      <c r="F2504" t="s">
        <v>6</v>
      </c>
      <c r="G2504" t="str">
        <f t="shared" si="84"/>
        <v>Active</v>
      </c>
      <c r="H2504" s="1" t="str">
        <f t="shared" si="85"/>
        <v>Saturday</v>
      </c>
    </row>
    <row r="2505" spans="1:8" x14ac:dyDescent="0.3">
      <c r="A2505">
        <v>217499098</v>
      </c>
      <c r="B2505" s="1">
        <v>45115</v>
      </c>
      <c r="C2505" s="1">
        <v>45116</v>
      </c>
      <c r="D2505" t="s">
        <v>7</v>
      </c>
      <c r="E2505">
        <v>39</v>
      </c>
      <c r="F2505" t="s">
        <v>6</v>
      </c>
      <c r="G2505">
        <f t="shared" si="84"/>
        <v>1</v>
      </c>
      <c r="H2505" s="1" t="str">
        <f t="shared" si="85"/>
        <v>Saturday</v>
      </c>
    </row>
    <row r="2506" spans="1:8" x14ac:dyDescent="0.3">
      <c r="A2506">
        <v>215723331</v>
      </c>
      <c r="B2506" s="1">
        <v>45115</v>
      </c>
      <c r="C2506" s="1">
        <v>45153</v>
      </c>
      <c r="D2506" t="s">
        <v>7</v>
      </c>
      <c r="E2506">
        <v>39</v>
      </c>
      <c r="F2506" t="s">
        <v>6</v>
      </c>
      <c r="G2506">
        <f t="shared" si="84"/>
        <v>38</v>
      </c>
      <c r="H2506" s="1" t="str">
        <f t="shared" si="85"/>
        <v>Saturday</v>
      </c>
    </row>
    <row r="2507" spans="1:8" x14ac:dyDescent="0.3">
      <c r="A2507">
        <v>122616074</v>
      </c>
      <c r="B2507" s="1">
        <v>45116</v>
      </c>
      <c r="C2507" t="s">
        <v>19</v>
      </c>
      <c r="D2507" t="s">
        <v>7</v>
      </c>
      <c r="E2507">
        <v>39</v>
      </c>
      <c r="F2507" t="s">
        <v>6</v>
      </c>
      <c r="G2507" t="str">
        <f t="shared" si="84"/>
        <v>Active</v>
      </c>
      <c r="H2507" s="1" t="str">
        <f t="shared" si="85"/>
        <v>Sunday</v>
      </c>
    </row>
    <row r="2508" spans="1:8" x14ac:dyDescent="0.3">
      <c r="A2508">
        <v>218367490</v>
      </c>
      <c r="B2508" s="1">
        <v>45116</v>
      </c>
      <c r="C2508" t="s">
        <v>19</v>
      </c>
      <c r="D2508" t="s">
        <v>7</v>
      </c>
      <c r="E2508">
        <v>39</v>
      </c>
      <c r="F2508" t="s">
        <v>6</v>
      </c>
      <c r="G2508" t="str">
        <f t="shared" si="84"/>
        <v>Active</v>
      </c>
      <c r="H2508" s="1" t="str">
        <f t="shared" si="85"/>
        <v>Sunday</v>
      </c>
    </row>
    <row r="2509" spans="1:8" x14ac:dyDescent="0.3">
      <c r="A2509">
        <v>218415420</v>
      </c>
      <c r="B2509" s="1">
        <v>45116</v>
      </c>
      <c r="C2509" t="s">
        <v>19</v>
      </c>
      <c r="D2509" t="s">
        <v>7</v>
      </c>
      <c r="E2509">
        <v>39</v>
      </c>
      <c r="F2509" t="s">
        <v>6</v>
      </c>
      <c r="G2509" t="str">
        <f t="shared" si="84"/>
        <v>Active</v>
      </c>
      <c r="H2509" s="1" t="str">
        <f t="shared" si="85"/>
        <v>Sunday</v>
      </c>
    </row>
    <row r="2510" spans="1:8" x14ac:dyDescent="0.3">
      <c r="A2510">
        <v>135785962</v>
      </c>
      <c r="B2510" s="1">
        <v>45116</v>
      </c>
      <c r="C2510" t="s">
        <v>19</v>
      </c>
      <c r="D2510" t="s">
        <v>7</v>
      </c>
      <c r="E2510">
        <v>39</v>
      </c>
      <c r="F2510" t="s">
        <v>6</v>
      </c>
      <c r="G2510" t="str">
        <f t="shared" si="84"/>
        <v>Active</v>
      </c>
      <c r="H2510" s="1" t="str">
        <f t="shared" si="85"/>
        <v>Sunday</v>
      </c>
    </row>
    <row r="2511" spans="1:8" x14ac:dyDescent="0.3">
      <c r="A2511">
        <v>206121650</v>
      </c>
      <c r="B2511" s="1">
        <v>45116</v>
      </c>
      <c r="C2511" s="1">
        <v>45117</v>
      </c>
      <c r="D2511" t="s">
        <v>7</v>
      </c>
      <c r="E2511">
        <v>39</v>
      </c>
      <c r="F2511" t="s">
        <v>6</v>
      </c>
      <c r="G2511">
        <f t="shared" si="84"/>
        <v>1</v>
      </c>
      <c r="H2511" s="1" t="str">
        <f t="shared" si="85"/>
        <v>Sunday</v>
      </c>
    </row>
    <row r="2512" spans="1:8" x14ac:dyDescent="0.3">
      <c r="A2512">
        <v>218129819</v>
      </c>
      <c r="B2512" s="1">
        <v>45116</v>
      </c>
      <c r="C2512" s="1">
        <v>45141</v>
      </c>
      <c r="D2512" t="s">
        <v>7</v>
      </c>
      <c r="E2512">
        <v>39</v>
      </c>
      <c r="F2512" t="s">
        <v>6</v>
      </c>
      <c r="G2512">
        <f t="shared" si="84"/>
        <v>25</v>
      </c>
      <c r="H2512" s="1" t="str">
        <f t="shared" si="85"/>
        <v>Sunday</v>
      </c>
    </row>
    <row r="2513" spans="1:8" x14ac:dyDescent="0.3">
      <c r="A2513">
        <v>217766676</v>
      </c>
      <c r="B2513" s="1">
        <v>45116</v>
      </c>
      <c r="C2513" s="1">
        <v>45134</v>
      </c>
      <c r="D2513" t="s">
        <v>7</v>
      </c>
      <c r="E2513">
        <v>39</v>
      </c>
      <c r="F2513" t="s">
        <v>6</v>
      </c>
      <c r="G2513">
        <f t="shared" si="84"/>
        <v>18</v>
      </c>
      <c r="H2513" s="1" t="str">
        <f t="shared" si="85"/>
        <v>Sunday</v>
      </c>
    </row>
    <row r="2514" spans="1:8" x14ac:dyDescent="0.3">
      <c r="A2514">
        <v>216886336</v>
      </c>
      <c r="B2514" s="1">
        <v>45117</v>
      </c>
      <c r="C2514" t="s">
        <v>19</v>
      </c>
      <c r="D2514" t="s">
        <v>7</v>
      </c>
      <c r="E2514">
        <v>39</v>
      </c>
      <c r="F2514" t="s">
        <v>6</v>
      </c>
      <c r="G2514" t="str">
        <f t="shared" si="84"/>
        <v>Active</v>
      </c>
      <c r="H2514" s="1" t="str">
        <f t="shared" si="85"/>
        <v>Monday</v>
      </c>
    </row>
    <row r="2515" spans="1:8" x14ac:dyDescent="0.3">
      <c r="A2515">
        <v>217991032</v>
      </c>
      <c r="B2515" s="1">
        <v>45117</v>
      </c>
      <c r="C2515" t="s">
        <v>19</v>
      </c>
      <c r="D2515" t="s">
        <v>7</v>
      </c>
      <c r="E2515">
        <v>39</v>
      </c>
      <c r="F2515" t="s">
        <v>6</v>
      </c>
      <c r="G2515" t="str">
        <f t="shared" si="84"/>
        <v>Active</v>
      </c>
      <c r="H2515" s="1" t="str">
        <f t="shared" si="85"/>
        <v>Monday</v>
      </c>
    </row>
    <row r="2516" spans="1:8" x14ac:dyDescent="0.3">
      <c r="A2516">
        <v>145797162</v>
      </c>
      <c r="B2516" s="1">
        <v>45117</v>
      </c>
      <c r="C2516" t="s">
        <v>19</v>
      </c>
      <c r="D2516" t="s">
        <v>7</v>
      </c>
      <c r="E2516">
        <v>39</v>
      </c>
      <c r="F2516" t="s">
        <v>6</v>
      </c>
      <c r="G2516" t="str">
        <f t="shared" si="84"/>
        <v>Active</v>
      </c>
      <c r="H2516" s="1" t="str">
        <f t="shared" si="85"/>
        <v>Monday</v>
      </c>
    </row>
    <row r="2517" spans="1:8" x14ac:dyDescent="0.3">
      <c r="A2517">
        <v>217581606</v>
      </c>
      <c r="B2517" s="1">
        <v>45117</v>
      </c>
      <c r="C2517" t="s">
        <v>19</v>
      </c>
      <c r="D2517" t="s">
        <v>7</v>
      </c>
      <c r="E2517">
        <v>39</v>
      </c>
      <c r="F2517" t="s">
        <v>6</v>
      </c>
      <c r="G2517" t="str">
        <f t="shared" si="84"/>
        <v>Active</v>
      </c>
      <c r="H2517" s="1" t="str">
        <f t="shared" si="85"/>
        <v>Monday</v>
      </c>
    </row>
    <row r="2518" spans="1:8" x14ac:dyDescent="0.3">
      <c r="A2518">
        <v>218459038</v>
      </c>
      <c r="B2518" s="1">
        <v>45117</v>
      </c>
      <c r="C2518" s="1">
        <v>45118</v>
      </c>
      <c r="D2518" t="s">
        <v>7</v>
      </c>
      <c r="E2518">
        <v>39</v>
      </c>
      <c r="F2518" t="s">
        <v>6</v>
      </c>
      <c r="G2518">
        <f t="shared" si="84"/>
        <v>1</v>
      </c>
      <c r="H2518" s="1" t="str">
        <f t="shared" si="85"/>
        <v>Monday</v>
      </c>
    </row>
    <row r="2519" spans="1:8" x14ac:dyDescent="0.3">
      <c r="A2519">
        <v>218526124</v>
      </c>
      <c r="B2519" s="1">
        <v>45117</v>
      </c>
      <c r="C2519" s="1">
        <v>45118</v>
      </c>
      <c r="D2519" t="s">
        <v>8</v>
      </c>
      <c r="E2519">
        <v>39</v>
      </c>
      <c r="F2519" t="s">
        <v>6</v>
      </c>
      <c r="G2519">
        <f t="shared" si="84"/>
        <v>1</v>
      </c>
      <c r="H2519" s="1" t="str">
        <f t="shared" si="85"/>
        <v>Monday</v>
      </c>
    </row>
    <row r="2520" spans="1:8" x14ac:dyDescent="0.3">
      <c r="A2520">
        <v>216335430</v>
      </c>
      <c r="B2520" s="1">
        <v>45117</v>
      </c>
      <c r="C2520" s="1">
        <v>45117</v>
      </c>
      <c r="D2520" t="s">
        <v>8</v>
      </c>
      <c r="E2520">
        <v>39</v>
      </c>
      <c r="F2520" t="s">
        <v>6</v>
      </c>
      <c r="G2520">
        <f t="shared" si="84"/>
        <v>0</v>
      </c>
      <c r="H2520" s="1" t="str">
        <f t="shared" si="85"/>
        <v>Monday</v>
      </c>
    </row>
    <row r="2521" spans="1:8" x14ac:dyDescent="0.3">
      <c r="A2521">
        <v>218519862</v>
      </c>
      <c r="B2521" s="1">
        <v>45117</v>
      </c>
      <c r="C2521" s="1">
        <v>45118</v>
      </c>
      <c r="D2521" t="s">
        <v>8</v>
      </c>
      <c r="E2521">
        <v>39</v>
      </c>
      <c r="F2521" t="s">
        <v>6</v>
      </c>
      <c r="G2521">
        <f t="shared" si="84"/>
        <v>1</v>
      </c>
      <c r="H2521" s="1" t="str">
        <f t="shared" si="85"/>
        <v>Monday</v>
      </c>
    </row>
    <row r="2522" spans="1:8" x14ac:dyDescent="0.3">
      <c r="A2522">
        <v>218496811</v>
      </c>
      <c r="B2522" s="1">
        <v>45117</v>
      </c>
      <c r="C2522" s="1">
        <v>45117</v>
      </c>
      <c r="D2522" t="s">
        <v>8</v>
      </c>
      <c r="E2522">
        <v>39</v>
      </c>
      <c r="F2522" t="s">
        <v>6</v>
      </c>
      <c r="G2522">
        <f t="shared" si="84"/>
        <v>0</v>
      </c>
      <c r="H2522" s="1" t="str">
        <f t="shared" si="85"/>
        <v>Monday</v>
      </c>
    </row>
    <row r="2523" spans="1:8" x14ac:dyDescent="0.3">
      <c r="A2523">
        <v>218490122</v>
      </c>
      <c r="B2523" s="1">
        <v>45117</v>
      </c>
      <c r="C2523" s="1">
        <v>45118</v>
      </c>
      <c r="D2523" t="s">
        <v>8</v>
      </c>
      <c r="E2523">
        <v>39</v>
      </c>
      <c r="F2523" t="s">
        <v>6</v>
      </c>
      <c r="G2523">
        <f t="shared" si="84"/>
        <v>1</v>
      </c>
      <c r="H2523" s="1" t="str">
        <f t="shared" si="85"/>
        <v>Monday</v>
      </c>
    </row>
    <row r="2524" spans="1:8" x14ac:dyDescent="0.3">
      <c r="A2524">
        <v>216337502</v>
      </c>
      <c r="B2524" s="1">
        <v>45117</v>
      </c>
      <c r="C2524" s="1">
        <v>45117</v>
      </c>
      <c r="D2524" t="s">
        <v>8</v>
      </c>
      <c r="E2524">
        <v>39</v>
      </c>
      <c r="F2524" t="s">
        <v>6</v>
      </c>
      <c r="G2524">
        <f t="shared" si="84"/>
        <v>0</v>
      </c>
      <c r="H2524" s="1" t="str">
        <f t="shared" si="85"/>
        <v>Monday</v>
      </c>
    </row>
    <row r="2525" spans="1:8" x14ac:dyDescent="0.3">
      <c r="A2525">
        <v>143111905</v>
      </c>
      <c r="B2525" s="1">
        <v>45117</v>
      </c>
      <c r="C2525" s="1">
        <v>45155</v>
      </c>
      <c r="D2525" t="s">
        <v>7</v>
      </c>
      <c r="E2525">
        <v>39</v>
      </c>
      <c r="F2525" t="s">
        <v>6</v>
      </c>
      <c r="G2525">
        <f t="shared" si="84"/>
        <v>38</v>
      </c>
      <c r="H2525" s="1" t="str">
        <f t="shared" si="85"/>
        <v>Monday</v>
      </c>
    </row>
    <row r="2526" spans="1:8" x14ac:dyDescent="0.3">
      <c r="A2526">
        <v>217709772</v>
      </c>
      <c r="B2526" s="1">
        <v>45117</v>
      </c>
      <c r="C2526" s="1">
        <v>45150</v>
      </c>
      <c r="D2526" t="s">
        <v>7</v>
      </c>
      <c r="E2526">
        <v>39</v>
      </c>
      <c r="F2526" t="s">
        <v>6</v>
      </c>
      <c r="G2526">
        <f t="shared" si="84"/>
        <v>33</v>
      </c>
      <c r="H2526" s="1" t="str">
        <f t="shared" si="85"/>
        <v>Monday</v>
      </c>
    </row>
    <row r="2527" spans="1:8" x14ac:dyDescent="0.3">
      <c r="A2527">
        <v>214924190</v>
      </c>
      <c r="B2527" s="1">
        <v>45117</v>
      </c>
      <c r="C2527" s="1">
        <v>45148</v>
      </c>
      <c r="D2527" t="s">
        <v>7</v>
      </c>
      <c r="E2527">
        <v>39</v>
      </c>
      <c r="F2527" t="s">
        <v>6</v>
      </c>
      <c r="G2527">
        <f t="shared" si="84"/>
        <v>31</v>
      </c>
      <c r="H2527" s="1" t="str">
        <f t="shared" si="85"/>
        <v>Monday</v>
      </c>
    </row>
    <row r="2528" spans="1:8" x14ac:dyDescent="0.3">
      <c r="A2528">
        <v>217914198</v>
      </c>
      <c r="B2528" s="1">
        <v>45117</v>
      </c>
      <c r="C2528" s="1">
        <v>45137</v>
      </c>
      <c r="D2528" t="s">
        <v>7</v>
      </c>
      <c r="E2528">
        <v>39</v>
      </c>
      <c r="F2528" t="s">
        <v>6</v>
      </c>
      <c r="G2528">
        <f t="shared" si="84"/>
        <v>20</v>
      </c>
      <c r="H2528" s="1" t="str">
        <f t="shared" si="85"/>
        <v>Monday</v>
      </c>
    </row>
    <row r="2529" spans="1:8" x14ac:dyDescent="0.3">
      <c r="A2529">
        <v>217773501</v>
      </c>
      <c r="B2529" s="1">
        <v>45117</v>
      </c>
      <c r="C2529" s="1">
        <v>45117</v>
      </c>
      <c r="D2529" t="s">
        <v>7</v>
      </c>
      <c r="E2529">
        <v>39</v>
      </c>
      <c r="F2529" t="s">
        <v>6</v>
      </c>
      <c r="G2529">
        <f t="shared" si="84"/>
        <v>0</v>
      </c>
      <c r="H2529" s="1" t="str">
        <f t="shared" si="85"/>
        <v>Monday</v>
      </c>
    </row>
    <row r="2530" spans="1:8" x14ac:dyDescent="0.3">
      <c r="A2530">
        <v>215311765</v>
      </c>
      <c r="B2530" s="1">
        <v>45118</v>
      </c>
      <c r="C2530" t="s">
        <v>19</v>
      </c>
      <c r="D2530" t="s">
        <v>7</v>
      </c>
      <c r="E2530">
        <v>39</v>
      </c>
      <c r="F2530" t="s">
        <v>6</v>
      </c>
      <c r="G2530" t="str">
        <f t="shared" si="84"/>
        <v>Active</v>
      </c>
      <c r="H2530" s="1" t="str">
        <f t="shared" si="85"/>
        <v>Tuesday</v>
      </c>
    </row>
    <row r="2531" spans="1:8" x14ac:dyDescent="0.3">
      <c r="A2531">
        <v>218554220</v>
      </c>
      <c r="B2531" s="1">
        <v>45118</v>
      </c>
      <c r="C2531" t="s">
        <v>19</v>
      </c>
      <c r="D2531" t="s">
        <v>7</v>
      </c>
      <c r="E2531">
        <v>39</v>
      </c>
      <c r="F2531" t="s">
        <v>6</v>
      </c>
      <c r="G2531" t="str">
        <f t="shared" si="84"/>
        <v>Active</v>
      </c>
      <c r="H2531" s="1" t="str">
        <f t="shared" si="85"/>
        <v>Tuesday</v>
      </c>
    </row>
    <row r="2532" spans="1:8" x14ac:dyDescent="0.3">
      <c r="A2532">
        <v>209743418</v>
      </c>
      <c r="B2532" s="1">
        <v>45118</v>
      </c>
      <c r="C2532" t="s">
        <v>19</v>
      </c>
      <c r="D2532" t="s">
        <v>7</v>
      </c>
      <c r="E2532">
        <v>39</v>
      </c>
      <c r="F2532" t="s">
        <v>6</v>
      </c>
      <c r="G2532" t="str">
        <f t="shared" si="84"/>
        <v>Active</v>
      </c>
      <c r="H2532" s="1" t="str">
        <f t="shared" si="85"/>
        <v>Tuesday</v>
      </c>
    </row>
    <row r="2533" spans="1:8" x14ac:dyDescent="0.3">
      <c r="A2533">
        <v>218553244</v>
      </c>
      <c r="B2533" s="1">
        <v>45118</v>
      </c>
      <c r="C2533" t="s">
        <v>19</v>
      </c>
      <c r="D2533" t="s">
        <v>7</v>
      </c>
      <c r="E2533">
        <v>39</v>
      </c>
      <c r="F2533" t="s">
        <v>6</v>
      </c>
      <c r="G2533" t="str">
        <f t="shared" si="84"/>
        <v>Active</v>
      </c>
      <c r="H2533" s="1" t="str">
        <f t="shared" si="85"/>
        <v>Tuesday</v>
      </c>
    </row>
    <row r="2534" spans="1:8" x14ac:dyDescent="0.3">
      <c r="A2534">
        <v>218548492</v>
      </c>
      <c r="B2534" s="1">
        <v>45118</v>
      </c>
      <c r="C2534" t="s">
        <v>19</v>
      </c>
      <c r="D2534" t="s">
        <v>7</v>
      </c>
      <c r="E2534">
        <v>39</v>
      </c>
      <c r="F2534" t="s">
        <v>6</v>
      </c>
      <c r="G2534" t="str">
        <f t="shared" si="84"/>
        <v>Active</v>
      </c>
      <c r="H2534" s="1" t="str">
        <f t="shared" si="85"/>
        <v>Tuesday</v>
      </c>
    </row>
    <row r="2535" spans="1:8" x14ac:dyDescent="0.3">
      <c r="A2535">
        <v>217958138</v>
      </c>
      <c r="B2535" s="1">
        <v>45118</v>
      </c>
      <c r="C2535" t="s">
        <v>19</v>
      </c>
      <c r="D2535" t="s">
        <v>7</v>
      </c>
      <c r="E2535">
        <v>39</v>
      </c>
      <c r="F2535" t="s">
        <v>6</v>
      </c>
      <c r="G2535" t="str">
        <f t="shared" si="84"/>
        <v>Active</v>
      </c>
      <c r="H2535" s="1" t="str">
        <f t="shared" si="85"/>
        <v>Tuesday</v>
      </c>
    </row>
    <row r="2536" spans="1:8" x14ac:dyDescent="0.3">
      <c r="A2536">
        <v>218365623</v>
      </c>
      <c r="B2536" s="1">
        <v>45118</v>
      </c>
      <c r="C2536" t="s">
        <v>19</v>
      </c>
      <c r="D2536" t="s">
        <v>7</v>
      </c>
      <c r="E2536">
        <v>39</v>
      </c>
      <c r="F2536" t="s">
        <v>6</v>
      </c>
      <c r="G2536" t="str">
        <f t="shared" si="84"/>
        <v>Active</v>
      </c>
      <c r="H2536" s="1" t="str">
        <f t="shared" si="85"/>
        <v>Tuesday</v>
      </c>
    </row>
    <row r="2537" spans="1:8" x14ac:dyDescent="0.3">
      <c r="A2537">
        <v>218512642</v>
      </c>
      <c r="B2537" s="1">
        <v>45118</v>
      </c>
      <c r="C2537" t="s">
        <v>19</v>
      </c>
      <c r="D2537" t="s">
        <v>7</v>
      </c>
      <c r="E2537">
        <v>39</v>
      </c>
      <c r="F2537" t="s">
        <v>6</v>
      </c>
      <c r="G2537" t="str">
        <f t="shared" si="84"/>
        <v>Active</v>
      </c>
      <c r="H2537" s="1" t="str">
        <f t="shared" si="85"/>
        <v>Tuesday</v>
      </c>
    </row>
    <row r="2538" spans="1:8" x14ac:dyDescent="0.3">
      <c r="A2538">
        <v>218569099</v>
      </c>
      <c r="B2538" s="1">
        <v>45118</v>
      </c>
      <c r="C2538" s="1">
        <v>45174</v>
      </c>
      <c r="D2538" t="s">
        <v>7</v>
      </c>
      <c r="E2538">
        <v>39</v>
      </c>
      <c r="F2538" t="s">
        <v>6</v>
      </c>
      <c r="G2538">
        <f t="shared" si="84"/>
        <v>56</v>
      </c>
      <c r="H2538" s="1" t="str">
        <f t="shared" si="85"/>
        <v>Tuesday</v>
      </c>
    </row>
    <row r="2539" spans="1:8" x14ac:dyDescent="0.3">
      <c r="A2539">
        <v>218304590</v>
      </c>
      <c r="B2539" s="1">
        <v>45118</v>
      </c>
      <c r="C2539" s="1">
        <v>45168</v>
      </c>
      <c r="D2539" t="s">
        <v>7</v>
      </c>
      <c r="E2539">
        <v>39</v>
      </c>
      <c r="F2539" t="s">
        <v>6</v>
      </c>
      <c r="G2539">
        <f t="shared" si="84"/>
        <v>50</v>
      </c>
      <c r="H2539" s="1" t="str">
        <f t="shared" si="85"/>
        <v>Tuesday</v>
      </c>
    </row>
    <row r="2540" spans="1:8" x14ac:dyDescent="0.3">
      <c r="A2540">
        <v>215390636</v>
      </c>
      <c r="B2540" s="1">
        <v>45118</v>
      </c>
      <c r="C2540" s="1">
        <v>45176</v>
      </c>
      <c r="D2540" t="s">
        <v>7</v>
      </c>
      <c r="E2540">
        <v>39</v>
      </c>
      <c r="F2540" t="s">
        <v>6</v>
      </c>
      <c r="G2540">
        <f t="shared" si="84"/>
        <v>58</v>
      </c>
      <c r="H2540" s="1" t="str">
        <f t="shared" si="85"/>
        <v>Tuesday</v>
      </c>
    </row>
    <row r="2541" spans="1:8" x14ac:dyDescent="0.3">
      <c r="A2541">
        <v>218538760</v>
      </c>
      <c r="B2541" s="1">
        <v>45118</v>
      </c>
      <c r="C2541" s="1">
        <v>45156</v>
      </c>
      <c r="D2541" t="s">
        <v>7</v>
      </c>
      <c r="E2541">
        <v>39</v>
      </c>
      <c r="F2541" t="s">
        <v>6</v>
      </c>
      <c r="G2541">
        <f t="shared" si="84"/>
        <v>38</v>
      </c>
      <c r="H2541" s="1" t="str">
        <f t="shared" si="85"/>
        <v>Tuesday</v>
      </c>
    </row>
    <row r="2542" spans="1:8" x14ac:dyDescent="0.3">
      <c r="A2542">
        <v>218544489</v>
      </c>
      <c r="B2542" s="1">
        <v>45118</v>
      </c>
      <c r="C2542" s="1">
        <v>45149</v>
      </c>
      <c r="D2542" t="s">
        <v>7</v>
      </c>
      <c r="E2542">
        <v>39</v>
      </c>
      <c r="F2542" t="s">
        <v>6</v>
      </c>
      <c r="G2542">
        <f t="shared" si="84"/>
        <v>31</v>
      </c>
      <c r="H2542" s="1" t="str">
        <f t="shared" si="85"/>
        <v>Tuesday</v>
      </c>
    </row>
    <row r="2543" spans="1:8" x14ac:dyDescent="0.3">
      <c r="A2543">
        <v>180161087</v>
      </c>
      <c r="B2543" s="1">
        <v>45118</v>
      </c>
      <c r="C2543" s="1">
        <v>45148</v>
      </c>
      <c r="D2543" t="s">
        <v>7</v>
      </c>
      <c r="E2543">
        <v>39</v>
      </c>
      <c r="F2543" t="s">
        <v>6</v>
      </c>
      <c r="G2543">
        <f t="shared" si="84"/>
        <v>30</v>
      </c>
      <c r="H2543" s="1" t="str">
        <f t="shared" si="85"/>
        <v>Tuesday</v>
      </c>
    </row>
    <row r="2544" spans="1:8" x14ac:dyDescent="0.3">
      <c r="A2544">
        <v>218484551</v>
      </c>
      <c r="B2544" s="1">
        <v>45118</v>
      </c>
      <c r="C2544" s="1">
        <v>45156</v>
      </c>
      <c r="D2544" t="s">
        <v>7</v>
      </c>
      <c r="E2544">
        <v>39</v>
      </c>
      <c r="F2544" t="s">
        <v>6</v>
      </c>
      <c r="G2544">
        <f t="shared" si="84"/>
        <v>38</v>
      </c>
      <c r="H2544" s="1" t="str">
        <f t="shared" si="85"/>
        <v>Tuesday</v>
      </c>
    </row>
    <row r="2545" spans="1:8" x14ac:dyDescent="0.3">
      <c r="A2545">
        <v>218570737</v>
      </c>
      <c r="B2545" s="1">
        <v>45118</v>
      </c>
      <c r="C2545" s="1">
        <v>45119</v>
      </c>
      <c r="D2545" t="s">
        <v>7</v>
      </c>
      <c r="E2545">
        <v>39</v>
      </c>
      <c r="F2545" t="s">
        <v>6</v>
      </c>
      <c r="G2545">
        <f t="shared" si="84"/>
        <v>1</v>
      </c>
      <c r="H2545" s="1" t="str">
        <f t="shared" si="85"/>
        <v>Tuesday</v>
      </c>
    </row>
    <row r="2546" spans="1:8" x14ac:dyDescent="0.3">
      <c r="A2546">
        <v>218526607</v>
      </c>
      <c r="B2546" s="1">
        <v>45119</v>
      </c>
      <c r="C2546" t="s">
        <v>19</v>
      </c>
      <c r="D2546" t="s">
        <v>7</v>
      </c>
      <c r="E2546">
        <v>39</v>
      </c>
      <c r="F2546" t="s">
        <v>6</v>
      </c>
      <c r="G2546" t="str">
        <f t="shared" si="84"/>
        <v>Active</v>
      </c>
      <c r="H2546" s="1" t="str">
        <f t="shared" si="85"/>
        <v>Wednesday</v>
      </c>
    </row>
    <row r="2547" spans="1:8" x14ac:dyDescent="0.3">
      <c r="A2547">
        <v>211011508</v>
      </c>
      <c r="B2547" s="1">
        <v>45119</v>
      </c>
      <c r="C2547" t="s">
        <v>19</v>
      </c>
      <c r="D2547" t="s">
        <v>7</v>
      </c>
      <c r="E2547">
        <v>39</v>
      </c>
      <c r="F2547" t="s">
        <v>6</v>
      </c>
      <c r="G2547" t="str">
        <f t="shared" si="84"/>
        <v>Active</v>
      </c>
      <c r="H2547" s="1" t="str">
        <f t="shared" si="85"/>
        <v>Wednesday</v>
      </c>
    </row>
    <row r="2548" spans="1:8" x14ac:dyDescent="0.3">
      <c r="A2548">
        <v>218610100</v>
      </c>
      <c r="B2548" s="1">
        <v>45119</v>
      </c>
      <c r="C2548" t="s">
        <v>19</v>
      </c>
      <c r="D2548" t="s">
        <v>7</v>
      </c>
      <c r="E2548">
        <v>39</v>
      </c>
      <c r="F2548" t="s">
        <v>6</v>
      </c>
      <c r="G2548" t="str">
        <f t="shared" si="84"/>
        <v>Active</v>
      </c>
      <c r="H2548" s="1" t="str">
        <f t="shared" si="85"/>
        <v>Wednesday</v>
      </c>
    </row>
    <row r="2549" spans="1:8" x14ac:dyDescent="0.3">
      <c r="A2549">
        <v>206055148</v>
      </c>
      <c r="B2549" s="1">
        <v>45119</v>
      </c>
      <c r="C2549" t="s">
        <v>19</v>
      </c>
      <c r="D2549" t="s">
        <v>7</v>
      </c>
      <c r="E2549">
        <v>39</v>
      </c>
      <c r="F2549" t="s">
        <v>6</v>
      </c>
      <c r="G2549" t="str">
        <f t="shared" si="84"/>
        <v>Active</v>
      </c>
      <c r="H2549" s="1" t="str">
        <f t="shared" si="85"/>
        <v>Wednesday</v>
      </c>
    </row>
    <row r="2550" spans="1:8" x14ac:dyDescent="0.3">
      <c r="A2550">
        <v>150509877</v>
      </c>
      <c r="B2550" s="1">
        <v>45119</v>
      </c>
      <c r="C2550" t="s">
        <v>19</v>
      </c>
      <c r="D2550" t="s">
        <v>7</v>
      </c>
      <c r="E2550">
        <v>39</v>
      </c>
      <c r="F2550" t="s">
        <v>6</v>
      </c>
      <c r="G2550" t="str">
        <f t="shared" si="84"/>
        <v>Active</v>
      </c>
      <c r="H2550" s="1" t="str">
        <f t="shared" si="85"/>
        <v>Wednesday</v>
      </c>
    </row>
    <row r="2551" spans="1:8" x14ac:dyDescent="0.3">
      <c r="A2551">
        <v>218498112</v>
      </c>
      <c r="B2551" s="1">
        <v>45119</v>
      </c>
      <c r="C2551" t="s">
        <v>19</v>
      </c>
      <c r="D2551" t="s">
        <v>7</v>
      </c>
      <c r="E2551">
        <v>39</v>
      </c>
      <c r="F2551" t="s">
        <v>6</v>
      </c>
      <c r="G2551" t="str">
        <f t="shared" si="84"/>
        <v>Active</v>
      </c>
      <c r="H2551" s="1" t="str">
        <f t="shared" si="85"/>
        <v>Wednesday</v>
      </c>
    </row>
    <row r="2552" spans="1:8" x14ac:dyDescent="0.3">
      <c r="A2552">
        <v>218624538</v>
      </c>
      <c r="B2552" s="1">
        <v>45119</v>
      </c>
      <c r="C2552" s="1">
        <v>45160</v>
      </c>
      <c r="D2552" t="s">
        <v>7</v>
      </c>
      <c r="E2552">
        <v>39</v>
      </c>
      <c r="F2552" t="s">
        <v>6</v>
      </c>
      <c r="G2552">
        <f t="shared" si="84"/>
        <v>41</v>
      </c>
      <c r="H2552" s="1" t="str">
        <f t="shared" si="85"/>
        <v>Wednesday</v>
      </c>
    </row>
    <row r="2553" spans="1:8" x14ac:dyDescent="0.3">
      <c r="A2553">
        <v>218467300</v>
      </c>
      <c r="B2553" s="1">
        <v>45119</v>
      </c>
      <c r="C2553" s="1">
        <v>45151</v>
      </c>
      <c r="D2553" t="s">
        <v>7</v>
      </c>
      <c r="E2553">
        <v>39</v>
      </c>
      <c r="F2553" t="s">
        <v>6</v>
      </c>
      <c r="G2553">
        <f t="shared" si="84"/>
        <v>32</v>
      </c>
      <c r="H2553" s="1" t="str">
        <f t="shared" si="85"/>
        <v>Wednesday</v>
      </c>
    </row>
    <row r="2554" spans="1:8" x14ac:dyDescent="0.3">
      <c r="A2554">
        <v>218509554</v>
      </c>
      <c r="B2554" s="1">
        <v>45119</v>
      </c>
      <c r="C2554" s="1">
        <v>45129</v>
      </c>
      <c r="D2554" t="s">
        <v>7</v>
      </c>
      <c r="E2554">
        <v>39</v>
      </c>
      <c r="F2554" t="s">
        <v>6</v>
      </c>
      <c r="G2554">
        <f t="shared" si="84"/>
        <v>10</v>
      </c>
      <c r="H2554" s="1" t="str">
        <f t="shared" si="85"/>
        <v>Wednesday</v>
      </c>
    </row>
    <row r="2555" spans="1:8" x14ac:dyDescent="0.3">
      <c r="A2555">
        <v>218257588</v>
      </c>
      <c r="B2555" s="1">
        <v>45120</v>
      </c>
      <c r="C2555" t="s">
        <v>19</v>
      </c>
      <c r="D2555" t="s">
        <v>7</v>
      </c>
      <c r="E2555">
        <v>39</v>
      </c>
      <c r="F2555" t="s">
        <v>6</v>
      </c>
      <c r="G2555" t="str">
        <f t="shared" si="84"/>
        <v>Active</v>
      </c>
      <c r="H2555" s="1" t="str">
        <f t="shared" si="85"/>
        <v>Thursday</v>
      </c>
    </row>
    <row r="2556" spans="1:8" x14ac:dyDescent="0.3">
      <c r="A2556">
        <v>218114325</v>
      </c>
      <c r="B2556" s="1">
        <v>45120</v>
      </c>
      <c r="C2556" t="s">
        <v>19</v>
      </c>
      <c r="D2556" t="s">
        <v>7</v>
      </c>
      <c r="E2556">
        <v>39</v>
      </c>
      <c r="F2556" t="s">
        <v>6</v>
      </c>
      <c r="G2556" t="str">
        <f t="shared" si="84"/>
        <v>Active</v>
      </c>
      <c r="H2556" s="1" t="str">
        <f t="shared" si="85"/>
        <v>Thursday</v>
      </c>
    </row>
    <row r="2557" spans="1:8" x14ac:dyDescent="0.3">
      <c r="A2557">
        <v>218325441</v>
      </c>
      <c r="B2557" s="1">
        <v>45120</v>
      </c>
      <c r="C2557" t="s">
        <v>19</v>
      </c>
      <c r="D2557" t="s">
        <v>7</v>
      </c>
      <c r="E2557">
        <v>39</v>
      </c>
      <c r="F2557" t="s">
        <v>6</v>
      </c>
      <c r="G2557" t="str">
        <f t="shared" si="84"/>
        <v>Active</v>
      </c>
      <c r="H2557" s="1" t="str">
        <f t="shared" si="85"/>
        <v>Thursday</v>
      </c>
    </row>
    <row r="2558" spans="1:8" x14ac:dyDescent="0.3">
      <c r="A2558">
        <v>218235047</v>
      </c>
      <c r="B2558" s="1">
        <v>45120</v>
      </c>
      <c r="C2558" t="s">
        <v>19</v>
      </c>
      <c r="D2558" t="s">
        <v>7</v>
      </c>
      <c r="E2558">
        <v>39</v>
      </c>
      <c r="F2558" t="s">
        <v>6</v>
      </c>
      <c r="G2558" t="str">
        <f t="shared" si="84"/>
        <v>Active</v>
      </c>
      <c r="H2558" s="1" t="str">
        <f t="shared" si="85"/>
        <v>Thursday</v>
      </c>
    </row>
    <row r="2559" spans="1:8" x14ac:dyDescent="0.3">
      <c r="A2559">
        <v>218598866</v>
      </c>
      <c r="B2559" s="1">
        <v>45120</v>
      </c>
      <c r="C2559" t="s">
        <v>19</v>
      </c>
      <c r="D2559" t="s">
        <v>7</v>
      </c>
      <c r="E2559">
        <v>39</v>
      </c>
      <c r="F2559" t="s">
        <v>6</v>
      </c>
      <c r="G2559" t="str">
        <f t="shared" si="84"/>
        <v>Active</v>
      </c>
      <c r="H2559" s="1" t="str">
        <f t="shared" si="85"/>
        <v>Thursday</v>
      </c>
    </row>
    <row r="2560" spans="1:8" x14ac:dyDescent="0.3">
      <c r="A2560">
        <v>218644881</v>
      </c>
      <c r="B2560" s="1">
        <v>45120</v>
      </c>
      <c r="C2560" s="1">
        <v>45154</v>
      </c>
      <c r="D2560" t="s">
        <v>7</v>
      </c>
      <c r="E2560">
        <v>39</v>
      </c>
      <c r="F2560" t="s">
        <v>6</v>
      </c>
      <c r="G2560">
        <f t="shared" si="84"/>
        <v>34</v>
      </c>
      <c r="H2560" s="1" t="str">
        <f t="shared" si="85"/>
        <v>Thursday</v>
      </c>
    </row>
    <row r="2561" spans="1:8" x14ac:dyDescent="0.3">
      <c r="A2561">
        <v>218509727</v>
      </c>
      <c r="B2561" s="1">
        <v>45120</v>
      </c>
      <c r="C2561" s="1">
        <v>45147</v>
      </c>
      <c r="D2561" t="s">
        <v>7</v>
      </c>
      <c r="E2561">
        <v>39</v>
      </c>
      <c r="F2561" t="s">
        <v>6</v>
      </c>
      <c r="G2561">
        <f t="shared" si="84"/>
        <v>27</v>
      </c>
      <c r="H2561" s="1" t="str">
        <f t="shared" si="85"/>
        <v>Thursday</v>
      </c>
    </row>
    <row r="2562" spans="1:8" x14ac:dyDescent="0.3">
      <c r="A2562">
        <v>150623785</v>
      </c>
      <c r="B2562" s="1">
        <v>45120</v>
      </c>
      <c r="C2562" s="1">
        <v>45152</v>
      </c>
      <c r="D2562" t="s">
        <v>7</v>
      </c>
      <c r="E2562">
        <v>39</v>
      </c>
      <c r="F2562" t="s">
        <v>6</v>
      </c>
      <c r="G2562">
        <f t="shared" si="84"/>
        <v>32</v>
      </c>
      <c r="H2562" s="1" t="str">
        <f t="shared" si="85"/>
        <v>Thursday</v>
      </c>
    </row>
    <row r="2563" spans="1:8" x14ac:dyDescent="0.3">
      <c r="A2563">
        <v>218586552</v>
      </c>
      <c r="B2563" s="1">
        <v>45120</v>
      </c>
      <c r="C2563" s="1">
        <v>45152</v>
      </c>
      <c r="D2563" t="s">
        <v>7</v>
      </c>
      <c r="E2563">
        <v>39</v>
      </c>
      <c r="F2563" t="s">
        <v>6</v>
      </c>
      <c r="G2563">
        <f t="shared" ref="G2563:G2626" si="86">IF(C2563="Active","Active",C2563-B2563)</f>
        <v>32</v>
      </c>
      <c r="H2563" s="1" t="str">
        <f t="shared" ref="H2563:H2626" si="87">TEXT(B2563,"dddd")</f>
        <v>Thursday</v>
      </c>
    </row>
    <row r="2564" spans="1:8" x14ac:dyDescent="0.3">
      <c r="A2564">
        <v>218514844</v>
      </c>
      <c r="B2564" s="1">
        <v>45120</v>
      </c>
      <c r="C2564" s="1">
        <v>45124</v>
      </c>
      <c r="D2564" t="s">
        <v>7</v>
      </c>
      <c r="E2564">
        <v>39</v>
      </c>
      <c r="F2564" t="s">
        <v>6</v>
      </c>
      <c r="G2564">
        <f t="shared" si="86"/>
        <v>4</v>
      </c>
      <c r="H2564" s="1" t="str">
        <f t="shared" si="87"/>
        <v>Thursday</v>
      </c>
    </row>
    <row r="2565" spans="1:8" x14ac:dyDescent="0.3">
      <c r="A2565">
        <v>218694806</v>
      </c>
      <c r="B2565" s="1">
        <v>45121</v>
      </c>
      <c r="C2565" t="s">
        <v>19</v>
      </c>
      <c r="D2565" t="s">
        <v>7</v>
      </c>
      <c r="E2565">
        <v>39</v>
      </c>
      <c r="F2565" t="s">
        <v>6</v>
      </c>
      <c r="G2565" t="str">
        <f t="shared" si="86"/>
        <v>Active</v>
      </c>
      <c r="H2565" s="1" t="str">
        <f t="shared" si="87"/>
        <v>Friday</v>
      </c>
    </row>
    <row r="2566" spans="1:8" x14ac:dyDescent="0.3">
      <c r="A2566">
        <v>218678174</v>
      </c>
      <c r="B2566" s="1">
        <v>45121</v>
      </c>
      <c r="C2566" t="s">
        <v>19</v>
      </c>
      <c r="D2566" t="s">
        <v>7</v>
      </c>
      <c r="E2566">
        <v>39</v>
      </c>
      <c r="F2566" t="s">
        <v>6</v>
      </c>
      <c r="G2566" t="str">
        <f t="shared" si="86"/>
        <v>Active</v>
      </c>
      <c r="H2566" s="1" t="str">
        <f t="shared" si="87"/>
        <v>Friday</v>
      </c>
    </row>
    <row r="2567" spans="1:8" x14ac:dyDescent="0.3">
      <c r="A2567">
        <v>218695487</v>
      </c>
      <c r="B2567" s="1">
        <v>45121</v>
      </c>
      <c r="C2567" s="1">
        <v>45177</v>
      </c>
      <c r="D2567" t="s">
        <v>7</v>
      </c>
      <c r="E2567">
        <v>39</v>
      </c>
      <c r="F2567" t="s">
        <v>6</v>
      </c>
      <c r="G2567">
        <f t="shared" si="86"/>
        <v>56</v>
      </c>
      <c r="H2567" s="1" t="str">
        <f t="shared" si="87"/>
        <v>Friday</v>
      </c>
    </row>
    <row r="2568" spans="1:8" x14ac:dyDescent="0.3">
      <c r="A2568">
        <v>218678790</v>
      </c>
      <c r="B2568" s="1">
        <v>45121</v>
      </c>
      <c r="C2568" s="1">
        <v>45159</v>
      </c>
      <c r="D2568" t="s">
        <v>7</v>
      </c>
      <c r="E2568">
        <v>39</v>
      </c>
      <c r="F2568" t="s">
        <v>6</v>
      </c>
      <c r="G2568">
        <f t="shared" si="86"/>
        <v>38</v>
      </c>
      <c r="H2568" s="1" t="str">
        <f t="shared" si="87"/>
        <v>Friday</v>
      </c>
    </row>
    <row r="2569" spans="1:8" x14ac:dyDescent="0.3">
      <c r="A2569">
        <v>217499098</v>
      </c>
      <c r="B2569" s="1">
        <v>45121</v>
      </c>
      <c r="C2569" s="1">
        <v>45159</v>
      </c>
      <c r="D2569" t="s">
        <v>7</v>
      </c>
      <c r="E2569">
        <v>39</v>
      </c>
      <c r="F2569" t="s">
        <v>6</v>
      </c>
      <c r="G2569">
        <f t="shared" si="86"/>
        <v>38</v>
      </c>
      <c r="H2569" s="1" t="str">
        <f t="shared" si="87"/>
        <v>Friday</v>
      </c>
    </row>
    <row r="2570" spans="1:8" x14ac:dyDescent="0.3">
      <c r="A2570">
        <v>217976753</v>
      </c>
      <c r="B2570" s="1">
        <v>45121</v>
      </c>
      <c r="C2570" s="1">
        <v>45159</v>
      </c>
      <c r="D2570" t="s">
        <v>7</v>
      </c>
      <c r="E2570">
        <v>39</v>
      </c>
      <c r="F2570" t="s">
        <v>6</v>
      </c>
      <c r="G2570">
        <f t="shared" si="86"/>
        <v>38</v>
      </c>
      <c r="H2570" s="1" t="str">
        <f t="shared" si="87"/>
        <v>Friday</v>
      </c>
    </row>
    <row r="2571" spans="1:8" x14ac:dyDescent="0.3">
      <c r="A2571">
        <v>199359226</v>
      </c>
      <c r="B2571" s="1">
        <v>45121</v>
      </c>
      <c r="C2571" s="1">
        <v>45122</v>
      </c>
      <c r="D2571" t="s">
        <v>7</v>
      </c>
      <c r="E2571">
        <v>39</v>
      </c>
      <c r="F2571" t="s">
        <v>6</v>
      </c>
      <c r="G2571">
        <f t="shared" si="86"/>
        <v>1</v>
      </c>
      <c r="H2571" s="1" t="str">
        <f t="shared" si="87"/>
        <v>Friday</v>
      </c>
    </row>
    <row r="2572" spans="1:8" x14ac:dyDescent="0.3">
      <c r="A2572">
        <v>121814098</v>
      </c>
      <c r="B2572" s="1">
        <v>45122</v>
      </c>
      <c r="C2572" t="s">
        <v>19</v>
      </c>
      <c r="D2572" t="s">
        <v>7</v>
      </c>
      <c r="E2572">
        <v>39</v>
      </c>
      <c r="F2572" t="s">
        <v>6</v>
      </c>
      <c r="G2572" t="str">
        <f t="shared" si="86"/>
        <v>Active</v>
      </c>
      <c r="H2572" s="1" t="str">
        <f t="shared" si="87"/>
        <v>Saturday</v>
      </c>
    </row>
    <row r="2573" spans="1:8" x14ac:dyDescent="0.3">
      <c r="A2573">
        <v>215605718</v>
      </c>
      <c r="B2573" s="1">
        <v>45122</v>
      </c>
      <c r="C2573" t="s">
        <v>19</v>
      </c>
      <c r="D2573" t="s">
        <v>7</v>
      </c>
      <c r="E2573">
        <v>39</v>
      </c>
      <c r="F2573" t="s">
        <v>6</v>
      </c>
      <c r="G2573" t="str">
        <f t="shared" si="86"/>
        <v>Active</v>
      </c>
      <c r="H2573" s="1" t="str">
        <f t="shared" si="87"/>
        <v>Saturday</v>
      </c>
    </row>
    <row r="2574" spans="1:8" x14ac:dyDescent="0.3">
      <c r="A2574">
        <v>218325705</v>
      </c>
      <c r="B2574" s="1">
        <v>45122</v>
      </c>
      <c r="C2574" t="s">
        <v>19</v>
      </c>
      <c r="D2574" t="s">
        <v>7</v>
      </c>
      <c r="E2574">
        <v>39</v>
      </c>
      <c r="F2574" t="s">
        <v>6</v>
      </c>
      <c r="G2574" t="str">
        <f t="shared" si="86"/>
        <v>Active</v>
      </c>
      <c r="H2574" s="1" t="str">
        <f t="shared" si="87"/>
        <v>Saturday</v>
      </c>
    </row>
    <row r="2575" spans="1:8" x14ac:dyDescent="0.3">
      <c r="A2575">
        <v>208598253</v>
      </c>
      <c r="B2575" s="1">
        <v>45122</v>
      </c>
      <c r="C2575" t="s">
        <v>19</v>
      </c>
      <c r="D2575" t="s">
        <v>7</v>
      </c>
      <c r="E2575">
        <v>39</v>
      </c>
      <c r="F2575" t="s">
        <v>6</v>
      </c>
      <c r="G2575" t="str">
        <f t="shared" si="86"/>
        <v>Active</v>
      </c>
      <c r="H2575" s="1" t="str">
        <f t="shared" si="87"/>
        <v>Saturday</v>
      </c>
    </row>
    <row r="2576" spans="1:8" x14ac:dyDescent="0.3">
      <c r="A2576">
        <v>218655628</v>
      </c>
      <c r="B2576" s="1">
        <v>45122</v>
      </c>
      <c r="C2576" t="s">
        <v>19</v>
      </c>
      <c r="D2576" t="s">
        <v>7</v>
      </c>
      <c r="E2576">
        <v>39</v>
      </c>
      <c r="F2576" t="s">
        <v>6</v>
      </c>
      <c r="G2576" t="str">
        <f t="shared" si="86"/>
        <v>Active</v>
      </c>
      <c r="H2576" s="1" t="str">
        <f t="shared" si="87"/>
        <v>Saturday</v>
      </c>
    </row>
    <row r="2577" spans="1:8" x14ac:dyDescent="0.3">
      <c r="A2577">
        <v>185602413</v>
      </c>
      <c r="B2577" s="1">
        <v>45122</v>
      </c>
      <c r="C2577" s="1">
        <v>45123</v>
      </c>
      <c r="D2577" t="s">
        <v>7</v>
      </c>
      <c r="E2577">
        <v>39</v>
      </c>
      <c r="F2577" t="s">
        <v>6</v>
      </c>
      <c r="G2577">
        <f t="shared" si="86"/>
        <v>1</v>
      </c>
      <c r="H2577" s="1" t="str">
        <f t="shared" si="87"/>
        <v>Saturday</v>
      </c>
    </row>
    <row r="2578" spans="1:8" x14ac:dyDescent="0.3">
      <c r="A2578">
        <v>154082747</v>
      </c>
      <c r="B2578" s="1">
        <v>45122</v>
      </c>
      <c r="C2578" s="1">
        <v>45130</v>
      </c>
      <c r="D2578" t="s">
        <v>7</v>
      </c>
      <c r="E2578">
        <v>39</v>
      </c>
      <c r="F2578" t="s">
        <v>6</v>
      </c>
      <c r="G2578">
        <f t="shared" si="86"/>
        <v>8</v>
      </c>
      <c r="H2578" s="1" t="str">
        <f t="shared" si="87"/>
        <v>Saturday</v>
      </c>
    </row>
    <row r="2579" spans="1:8" x14ac:dyDescent="0.3">
      <c r="A2579">
        <v>218017402</v>
      </c>
      <c r="B2579" s="1">
        <v>45122</v>
      </c>
      <c r="C2579" s="1">
        <v>45160</v>
      </c>
      <c r="D2579" t="s">
        <v>7</v>
      </c>
      <c r="E2579">
        <v>39</v>
      </c>
      <c r="F2579" t="s">
        <v>6</v>
      </c>
      <c r="G2579">
        <f t="shared" si="86"/>
        <v>38</v>
      </c>
      <c r="H2579" s="1" t="str">
        <f t="shared" si="87"/>
        <v>Saturday</v>
      </c>
    </row>
    <row r="2580" spans="1:8" x14ac:dyDescent="0.3">
      <c r="A2580">
        <v>218792880</v>
      </c>
      <c r="B2580" s="1">
        <v>45123</v>
      </c>
      <c r="C2580" t="s">
        <v>19</v>
      </c>
      <c r="D2580" t="s">
        <v>7</v>
      </c>
      <c r="E2580">
        <v>39</v>
      </c>
      <c r="F2580" t="s">
        <v>6</v>
      </c>
      <c r="G2580" t="str">
        <f t="shared" si="86"/>
        <v>Active</v>
      </c>
      <c r="H2580" s="1" t="str">
        <f t="shared" si="87"/>
        <v>Sunday</v>
      </c>
    </row>
    <row r="2581" spans="1:8" x14ac:dyDescent="0.3">
      <c r="A2581">
        <v>218761808</v>
      </c>
      <c r="B2581" s="1">
        <v>45123</v>
      </c>
      <c r="C2581" t="s">
        <v>19</v>
      </c>
      <c r="D2581" t="s">
        <v>7</v>
      </c>
      <c r="E2581">
        <v>39</v>
      </c>
      <c r="F2581" t="s">
        <v>6</v>
      </c>
      <c r="G2581" t="str">
        <f t="shared" si="86"/>
        <v>Active</v>
      </c>
      <c r="H2581" s="1" t="str">
        <f t="shared" si="87"/>
        <v>Sunday</v>
      </c>
    </row>
    <row r="2582" spans="1:8" x14ac:dyDescent="0.3">
      <c r="A2582">
        <v>149303812</v>
      </c>
      <c r="B2582" s="1">
        <v>45123</v>
      </c>
      <c r="C2582" t="s">
        <v>19</v>
      </c>
      <c r="D2582" t="s">
        <v>7</v>
      </c>
      <c r="E2582">
        <v>39</v>
      </c>
      <c r="F2582" t="s">
        <v>6</v>
      </c>
      <c r="G2582" t="str">
        <f t="shared" si="86"/>
        <v>Active</v>
      </c>
      <c r="H2582" s="1" t="str">
        <f t="shared" si="87"/>
        <v>Sunday</v>
      </c>
    </row>
    <row r="2583" spans="1:8" x14ac:dyDescent="0.3">
      <c r="A2583">
        <v>216144261</v>
      </c>
      <c r="B2583" s="1">
        <v>45123</v>
      </c>
      <c r="C2583" t="s">
        <v>19</v>
      </c>
      <c r="D2583" t="s">
        <v>7</v>
      </c>
      <c r="E2583">
        <v>39</v>
      </c>
      <c r="F2583" t="s">
        <v>6</v>
      </c>
      <c r="G2583" t="str">
        <f t="shared" si="86"/>
        <v>Active</v>
      </c>
      <c r="H2583" s="1" t="str">
        <f t="shared" si="87"/>
        <v>Sunday</v>
      </c>
    </row>
    <row r="2584" spans="1:8" x14ac:dyDescent="0.3">
      <c r="A2584">
        <v>215976742</v>
      </c>
      <c r="B2584" s="1">
        <v>45123</v>
      </c>
      <c r="C2584" t="s">
        <v>19</v>
      </c>
      <c r="D2584" t="s">
        <v>7</v>
      </c>
      <c r="E2584">
        <v>39</v>
      </c>
      <c r="F2584" t="s">
        <v>6</v>
      </c>
      <c r="G2584" t="str">
        <f t="shared" si="86"/>
        <v>Active</v>
      </c>
      <c r="H2584" s="1" t="str">
        <f t="shared" si="87"/>
        <v>Sunday</v>
      </c>
    </row>
    <row r="2585" spans="1:8" x14ac:dyDescent="0.3">
      <c r="A2585">
        <v>218617631</v>
      </c>
      <c r="B2585" s="1">
        <v>45123</v>
      </c>
      <c r="C2585" s="1">
        <v>45161</v>
      </c>
      <c r="D2585" t="s">
        <v>7</v>
      </c>
      <c r="E2585">
        <v>39</v>
      </c>
      <c r="F2585" t="s">
        <v>6</v>
      </c>
      <c r="G2585">
        <f t="shared" si="86"/>
        <v>38</v>
      </c>
      <c r="H2585" s="1" t="str">
        <f t="shared" si="87"/>
        <v>Sunday</v>
      </c>
    </row>
    <row r="2586" spans="1:8" x14ac:dyDescent="0.3">
      <c r="A2586">
        <v>218770458</v>
      </c>
      <c r="B2586" s="1">
        <v>45123</v>
      </c>
      <c r="C2586" s="1">
        <v>45141</v>
      </c>
      <c r="D2586" t="s">
        <v>7</v>
      </c>
      <c r="E2586">
        <v>39</v>
      </c>
      <c r="F2586" t="s">
        <v>6</v>
      </c>
      <c r="G2586">
        <f t="shared" si="86"/>
        <v>18</v>
      </c>
      <c r="H2586" s="1" t="str">
        <f t="shared" si="87"/>
        <v>Sunday</v>
      </c>
    </row>
    <row r="2587" spans="1:8" x14ac:dyDescent="0.3">
      <c r="A2587">
        <v>218720472</v>
      </c>
      <c r="B2587" s="1">
        <v>45123</v>
      </c>
      <c r="C2587" s="1">
        <v>45157</v>
      </c>
      <c r="D2587" t="s">
        <v>7</v>
      </c>
      <c r="E2587">
        <v>39</v>
      </c>
      <c r="F2587" t="s">
        <v>6</v>
      </c>
      <c r="G2587">
        <f t="shared" si="86"/>
        <v>34</v>
      </c>
      <c r="H2587" s="1" t="str">
        <f t="shared" si="87"/>
        <v>Sunday</v>
      </c>
    </row>
    <row r="2588" spans="1:8" x14ac:dyDescent="0.3">
      <c r="A2588">
        <v>218846909</v>
      </c>
      <c r="B2588" s="1">
        <v>45124</v>
      </c>
      <c r="C2588" t="s">
        <v>19</v>
      </c>
      <c r="D2588" t="s">
        <v>7</v>
      </c>
      <c r="E2588">
        <v>39</v>
      </c>
      <c r="F2588" t="s">
        <v>6</v>
      </c>
      <c r="G2588" t="str">
        <f t="shared" si="86"/>
        <v>Active</v>
      </c>
      <c r="H2588" s="1" t="str">
        <f t="shared" si="87"/>
        <v>Monday</v>
      </c>
    </row>
    <row r="2589" spans="1:8" x14ac:dyDescent="0.3">
      <c r="A2589">
        <v>214714278</v>
      </c>
      <c r="B2589" s="1">
        <v>45124</v>
      </c>
      <c r="C2589" t="s">
        <v>19</v>
      </c>
      <c r="D2589" t="s">
        <v>7</v>
      </c>
      <c r="E2589">
        <v>39</v>
      </c>
      <c r="F2589" t="s">
        <v>6</v>
      </c>
      <c r="G2589" t="str">
        <f t="shared" si="86"/>
        <v>Active</v>
      </c>
      <c r="H2589" s="1" t="str">
        <f t="shared" si="87"/>
        <v>Monday</v>
      </c>
    </row>
    <row r="2590" spans="1:8" x14ac:dyDescent="0.3">
      <c r="A2590">
        <v>218529158</v>
      </c>
      <c r="B2590" s="1">
        <v>45124</v>
      </c>
      <c r="C2590" t="s">
        <v>19</v>
      </c>
      <c r="D2590" t="s">
        <v>7</v>
      </c>
      <c r="E2590">
        <v>39</v>
      </c>
      <c r="F2590" t="s">
        <v>6</v>
      </c>
      <c r="G2590" t="str">
        <f t="shared" si="86"/>
        <v>Active</v>
      </c>
      <c r="H2590" s="1" t="str">
        <f t="shared" si="87"/>
        <v>Monday</v>
      </c>
    </row>
    <row r="2591" spans="1:8" x14ac:dyDescent="0.3">
      <c r="A2591">
        <v>218837719</v>
      </c>
      <c r="B2591" s="1">
        <v>45124</v>
      </c>
      <c r="C2591" t="s">
        <v>19</v>
      </c>
      <c r="D2591" t="s">
        <v>7</v>
      </c>
      <c r="E2591">
        <v>39</v>
      </c>
      <c r="F2591" t="s">
        <v>6</v>
      </c>
      <c r="G2591" t="str">
        <f t="shared" si="86"/>
        <v>Active</v>
      </c>
      <c r="H2591" s="1" t="str">
        <f t="shared" si="87"/>
        <v>Monday</v>
      </c>
    </row>
    <row r="2592" spans="1:8" x14ac:dyDescent="0.3">
      <c r="A2592">
        <v>194367477</v>
      </c>
      <c r="B2592" s="1">
        <v>45124</v>
      </c>
      <c r="C2592" t="s">
        <v>19</v>
      </c>
      <c r="D2592" t="s">
        <v>7</v>
      </c>
      <c r="E2592">
        <v>39</v>
      </c>
      <c r="F2592" t="s">
        <v>6</v>
      </c>
      <c r="G2592" t="str">
        <f t="shared" si="86"/>
        <v>Active</v>
      </c>
      <c r="H2592" s="1" t="str">
        <f t="shared" si="87"/>
        <v>Monday</v>
      </c>
    </row>
    <row r="2593" spans="1:8" x14ac:dyDescent="0.3">
      <c r="A2593">
        <v>218300066</v>
      </c>
      <c r="B2593" s="1">
        <v>45124</v>
      </c>
      <c r="C2593" t="s">
        <v>19</v>
      </c>
      <c r="D2593" t="s">
        <v>7</v>
      </c>
      <c r="E2593">
        <v>39</v>
      </c>
      <c r="F2593" t="s">
        <v>6</v>
      </c>
      <c r="G2593" t="str">
        <f t="shared" si="86"/>
        <v>Active</v>
      </c>
      <c r="H2593" s="1" t="str">
        <f t="shared" si="87"/>
        <v>Monday</v>
      </c>
    </row>
    <row r="2594" spans="1:8" x14ac:dyDescent="0.3">
      <c r="A2594">
        <v>218553583</v>
      </c>
      <c r="B2594" s="1">
        <v>45124</v>
      </c>
      <c r="C2594" t="s">
        <v>19</v>
      </c>
      <c r="D2594" t="s">
        <v>7</v>
      </c>
      <c r="E2594">
        <v>39</v>
      </c>
      <c r="F2594" t="s">
        <v>6</v>
      </c>
      <c r="G2594" t="str">
        <f t="shared" si="86"/>
        <v>Active</v>
      </c>
      <c r="H2594" s="1" t="str">
        <f t="shared" si="87"/>
        <v>Monday</v>
      </c>
    </row>
    <row r="2595" spans="1:8" x14ac:dyDescent="0.3">
      <c r="A2595">
        <v>149657162</v>
      </c>
      <c r="B2595" s="1">
        <v>45124</v>
      </c>
      <c r="C2595" s="1">
        <v>45125</v>
      </c>
      <c r="D2595" t="s">
        <v>7</v>
      </c>
      <c r="E2595">
        <v>39</v>
      </c>
      <c r="F2595" t="s">
        <v>6</v>
      </c>
      <c r="G2595">
        <f t="shared" si="86"/>
        <v>1</v>
      </c>
      <c r="H2595" s="1" t="str">
        <f t="shared" si="87"/>
        <v>Monday</v>
      </c>
    </row>
    <row r="2596" spans="1:8" x14ac:dyDescent="0.3">
      <c r="A2596">
        <v>125920876</v>
      </c>
      <c r="B2596" s="1">
        <v>45124</v>
      </c>
      <c r="C2596" s="1">
        <v>45162</v>
      </c>
      <c r="D2596" t="s">
        <v>7</v>
      </c>
      <c r="E2596">
        <v>39</v>
      </c>
      <c r="F2596" t="s">
        <v>6</v>
      </c>
      <c r="G2596">
        <f t="shared" si="86"/>
        <v>38</v>
      </c>
      <c r="H2596" s="1" t="str">
        <f t="shared" si="87"/>
        <v>Monday</v>
      </c>
    </row>
    <row r="2597" spans="1:8" x14ac:dyDescent="0.3">
      <c r="A2597">
        <v>217403566</v>
      </c>
      <c r="B2597" s="1">
        <v>45124</v>
      </c>
      <c r="C2597" s="1">
        <v>45152</v>
      </c>
      <c r="D2597" t="s">
        <v>7</v>
      </c>
      <c r="E2597">
        <v>39</v>
      </c>
      <c r="F2597" t="s">
        <v>6</v>
      </c>
      <c r="G2597">
        <f t="shared" si="86"/>
        <v>28</v>
      </c>
      <c r="H2597" s="1" t="str">
        <f t="shared" si="87"/>
        <v>Monday</v>
      </c>
    </row>
    <row r="2598" spans="1:8" x14ac:dyDescent="0.3">
      <c r="A2598">
        <v>218677370</v>
      </c>
      <c r="B2598" s="1">
        <v>45124</v>
      </c>
      <c r="C2598" s="1">
        <v>45153</v>
      </c>
      <c r="D2598" t="s">
        <v>7</v>
      </c>
      <c r="E2598">
        <v>39</v>
      </c>
      <c r="F2598" t="s">
        <v>6</v>
      </c>
      <c r="G2598">
        <f t="shared" si="86"/>
        <v>29</v>
      </c>
      <c r="H2598" s="1" t="str">
        <f t="shared" si="87"/>
        <v>Monday</v>
      </c>
    </row>
    <row r="2599" spans="1:8" x14ac:dyDescent="0.3">
      <c r="A2599">
        <v>218598875</v>
      </c>
      <c r="B2599" s="1">
        <v>45124</v>
      </c>
      <c r="C2599" s="1">
        <v>45162</v>
      </c>
      <c r="D2599" t="s">
        <v>7</v>
      </c>
      <c r="E2599">
        <v>39</v>
      </c>
      <c r="F2599" t="s">
        <v>6</v>
      </c>
      <c r="G2599">
        <f t="shared" si="86"/>
        <v>38</v>
      </c>
      <c r="H2599" s="1" t="str">
        <f t="shared" si="87"/>
        <v>Monday</v>
      </c>
    </row>
    <row r="2600" spans="1:8" x14ac:dyDescent="0.3">
      <c r="A2600">
        <v>203116529</v>
      </c>
      <c r="B2600" s="1">
        <v>45124</v>
      </c>
      <c r="C2600" s="1">
        <v>45124</v>
      </c>
      <c r="D2600" t="s">
        <v>7</v>
      </c>
      <c r="E2600">
        <v>39</v>
      </c>
      <c r="F2600" t="s">
        <v>6</v>
      </c>
      <c r="G2600">
        <f t="shared" si="86"/>
        <v>0</v>
      </c>
      <c r="H2600" s="1" t="str">
        <f t="shared" si="87"/>
        <v>Monday</v>
      </c>
    </row>
    <row r="2601" spans="1:8" x14ac:dyDescent="0.3">
      <c r="A2601">
        <v>218808831</v>
      </c>
      <c r="B2601" s="1">
        <v>45124</v>
      </c>
      <c r="C2601" s="1">
        <v>45170</v>
      </c>
      <c r="D2601" t="s">
        <v>7</v>
      </c>
      <c r="E2601">
        <v>39</v>
      </c>
      <c r="F2601" t="s">
        <v>6</v>
      </c>
      <c r="G2601">
        <f t="shared" si="86"/>
        <v>46</v>
      </c>
      <c r="H2601" s="1" t="str">
        <f t="shared" si="87"/>
        <v>Monday</v>
      </c>
    </row>
    <row r="2602" spans="1:8" x14ac:dyDescent="0.3">
      <c r="A2602">
        <v>218844240</v>
      </c>
      <c r="B2602" s="1">
        <v>45125</v>
      </c>
      <c r="C2602" t="s">
        <v>19</v>
      </c>
      <c r="D2602" t="s">
        <v>7</v>
      </c>
      <c r="E2602">
        <v>39</v>
      </c>
      <c r="F2602" t="s">
        <v>6</v>
      </c>
      <c r="G2602" t="str">
        <f t="shared" si="86"/>
        <v>Active</v>
      </c>
      <c r="H2602" s="1" t="str">
        <f t="shared" si="87"/>
        <v>Tuesday</v>
      </c>
    </row>
    <row r="2603" spans="1:8" x14ac:dyDescent="0.3">
      <c r="A2603">
        <v>218863419</v>
      </c>
      <c r="B2603" s="1">
        <v>45125</v>
      </c>
      <c r="C2603" t="s">
        <v>19</v>
      </c>
      <c r="D2603" t="s">
        <v>7</v>
      </c>
      <c r="E2603">
        <v>39</v>
      </c>
      <c r="F2603" t="s">
        <v>6</v>
      </c>
      <c r="G2603" t="str">
        <f t="shared" si="86"/>
        <v>Active</v>
      </c>
      <c r="H2603" s="1" t="str">
        <f t="shared" si="87"/>
        <v>Tuesday</v>
      </c>
    </row>
    <row r="2604" spans="1:8" x14ac:dyDescent="0.3">
      <c r="A2604">
        <v>218445704</v>
      </c>
      <c r="B2604" s="1">
        <v>45125</v>
      </c>
      <c r="C2604" t="s">
        <v>19</v>
      </c>
      <c r="D2604" t="s">
        <v>7</v>
      </c>
      <c r="E2604">
        <v>39</v>
      </c>
      <c r="F2604" t="s">
        <v>6</v>
      </c>
      <c r="G2604" t="str">
        <f t="shared" si="86"/>
        <v>Active</v>
      </c>
      <c r="H2604" s="1" t="str">
        <f t="shared" si="87"/>
        <v>Tuesday</v>
      </c>
    </row>
    <row r="2605" spans="1:8" x14ac:dyDescent="0.3">
      <c r="A2605">
        <v>149411976</v>
      </c>
      <c r="B2605" s="1">
        <v>45125</v>
      </c>
      <c r="C2605" t="s">
        <v>19</v>
      </c>
      <c r="D2605" t="s">
        <v>7</v>
      </c>
      <c r="E2605">
        <v>39</v>
      </c>
      <c r="F2605" t="s">
        <v>6</v>
      </c>
      <c r="G2605" t="str">
        <f t="shared" si="86"/>
        <v>Active</v>
      </c>
      <c r="H2605" s="1" t="str">
        <f t="shared" si="87"/>
        <v>Tuesday</v>
      </c>
    </row>
    <row r="2606" spans="1:8" x14ac:dyDescent="0.3">
      <c r="A2606">
        <v>218862674</v>
      </c>
      <c r="B2606" s="1">
        <v>45125</v>
      </c>
      <c r="C2606" t="s">
        <v>19</v>
      </c>
      <c r="D2606" t="s">
        <v>7</v>
      </c>
      <c r="E2606">
        <v>39</v>
      </c>
      <c r="F2606" t="s">
        <v>6</v>
      </c>
      <c r="G2606" t="str">
        <f t="shared" si="86"/>
        <v>Active</v>
      </c>
      <c r="H2606" s="1" t="str">
        <f t="shared" si="87"/>
        <v>Tuesday</v>
      </c>
    </row>
    <row r="2607" spans="1:8" x14ac:dyDescent="0.3">
      <c r="A2607">
        <v>218851122</v>
      </c>
      <c r="B2607" s="1">
        <v>45125</v>
      </c>
      <c r="C2607" t="s">
        <v>19</v>
      </c>
      <c r="D2607" t="s">
        <v>7</v>
      </c>
      <c r="E2607">
        <v>39</v>
      </c>
      <c r="F2607" t="s">
        <v>6</v>
      </c>
      <c r="G2607" t="str">
        <f t="shared" si="86"/>
        <v>Active</v>
      </c>
      <c r="H2607" s="1" t="str">
        <f t="shared" si="87"/>
        <v>Tuesday</v>
      </c>
    </row>
    <row r="2608" spans="1:8" x14ac:dyDescent="0.3">
      <c r="A2608">
        <v>153402484</v>
      </c>
      <c r="B2608" s="1">
        <v>45125</v>
      </c>
      <c r="C2608" s="1">
        <v>45170</v>
      </c>
      <c r="D2608" t="s">
        <v>7</v>
      </c>
      <c r="E2608">
        <v>39</v>
      </c>
      <c r="F2608" t="s">
        <v>6</v>
      </c>
      <c r="G2608">
        <f t="shared" si="86"/>
        <v>45</v>
      </c>
      <c r="H2608" s="1" t="str">
        <f t="shared" si="87"/>
        <v>Tuesday</v>
      </c>
    </row>
    <row r="2609" spans="1:8" x14ac:dyDescent="0.3">
      <c r="A2609">
        <v>218848831</v>
      </c>
      <c r="B2609" s="1">
        <v>45125</v>
      </c>
      <c r="C2609" s="1">
        <v>45164</v>
      </c>
      <c r="D2609" t="s">
        <v>7</v>
      </c>
      <c r="E2609">
        <v>39</v>
      </c>
      <c r="F2609" t="s">
        <v>6</v>
      </c>
      <c r="G2609">
        <f t="shared" si="86"/>
        <v>39</v>
      </c>
      <c r="H2609" s="1" t="str">
        <f t="shared" si="87"/>
        <v>Tuesday</v>
      </c>
    </row>
    <row r="2610" spans="1:8" x14ac:dyDescent="0.3">
      <c r="A2610">
        <v>159639128</v>
      </c>
      <c r="B2610" s="1">
        <v>45125</v>
      </c>
      <c r="C2610" s="1">
        <v>45125</v>
      </c>
      <c r="D2610" t="s">
        <v>7</v>
      </c>
      <c r="E2610">
        <v>39</v>
      </c>
      <c r="F2610" t="s">
        <v>6</v>
      </c>
      <c r="G2610">
        <f t="shared" si="86"/>
        <v>0</v>
      </c>
      <c r="H2610" s="1" t="str">
        <f t="shared" si="87"/>
        <v>Tuesday</v>
      </c>
    </row>
    <row r="2611" spans="1:8" x14ac:dyDescent="0.3">
      <c r="A2611">
        <v>214638700</v>
      </c>
      <c r="B2611" s="1">
        <v>45125</v>
      </c>
      <c r="C2611" s="1">
        <v>45126</v>
      </c>
      <c r="D2611" t="s">
        <v>8</v>
      </c>
      <c r="E2611">
        <v>39</v>
      </c>
      <c r="F2611" t="s">
        <v>6</v>
      </c>
      <c r="G2611">
        <f t="shared" si="86"/>
        <v>1</v>
      </c>
      <c r="H2611" s="1" t="str">
        <f t="shared" si="87"/>
        <v>Tuesday</v>
      </c>
    </row>
    <row r="2612" spans="1:8" x14ac:dyDescent="0.3">
      <c r="A2612">
        <v>218850789</v>
      </c>
      <c r="B2612" s="1">
        <v>45125</v>
      </c>
      <c r="C2612" s="1">
        <v>45156</v>
      </c>
      <c r="D2612" t="s">
        <v>7</v>
      </c>
      <c r="E2612">
        <v>39</v>
      </c>
      <c r="F2612" t="s">
        <v>6</v>
      </c>
      <c r="G2612">
        <f t="shared" si="86"/>
        <v>31</v>
      </c>
      <c r="H2612" s="1" t="str">
        <f t="shared" si="87"/>
        <v>Tuesday</v>
      </c>
    </row>
    <row r="2613" spans="1:8" x14ac:dyDescent="0.3">
      <c r="A2613">
        <v>155510287</v>
      </c>
      <c r="B2613" s="1">
        <v>45125</v>
      </c>
      <c r="C2613" s="1">
        <v>45150</v>
      </c>
      <c r="D2613" t="s">
        <v>7</v>
      </c>
      <c r="E2613">
        <v>39</v>
      </c>
      <c r="F2613" t="s">
        <v>6</v>
      </c>
      <c r="G2613">
        <f t="shared" si="86"/>
        <v>25</v>
      </c>
      <c r="H2613" s="1" t="str">
        <f t="shared" si="87"/>
        <v>Tuesday</v>
      </c>
    </row>
    <row r="2614" spans="1:8" x14ac:dyDescent="0.3">
      <c r="A2614">
        <v>218677703</v>
      </c>
      <c r="B2614" s="1">
        <v>45125</v>
      </c>
      <c r="C2614" s="1">
        <v>45131</v>
      </c>
      <c r="D2614" t="s">
        <v>7</v>
      </c>
      <c r="E2614">
        <v>39</v>
      </c>
      <c r="F2614" t="s">
        <v>6</v>
      </c>
      <c r="G2614">
        <f t="shared" si="86"/>
        <v>6</v>
      </c>
      <c r="H2614" s="1" t="str">
        <f t="shared" si="87"/>
        <v>Tuesday</v>
      </c>
    </row>
    <row r="2615" spans="1:8" x14ac:dyDescent="0.3">
      <c r="A2615">
        <v>218878930</v>
      </c>
      <c r="B2615" s="1">
        <v>45125</v>
      </c>
      <c r="C2615" s="1">
        <v>45127</v>
      </c>
      <c r="D2615" t="s">
        <v>7</v>
      </c>
      <c r="E2615">
        <v>39</v>
      </c>
      <c r="F2615" t="s">
        <v>6</v>
      </c>
      <c r="G2615">
        <f t="shared" si="86"/>
        <v>2</v>
      </c>
      <c r="H2615" s="1" t="str">
        <f t="shared" si="87"/>
        <v>Tuesday</v>
      </c>
    </row>
    <row r="2616" spans="1:8" x14ac:dyDescent="0.3">
      <c r="A2616">
        <v>218935022</v>
      </c>
      <c r="B2616" s="1">
        <v>45126</v>
      </c>
      <c r="C2616" t="s">
        <v>19</v>
      </c>
      <c r="D2616" t="s">
        <v>7</v>
      </c>
      <c r="E2616">
        <v>39</v>
      </c>
      <c r="F2616" t="s">
        <v>6</v>
      </c>
      <c r="G2616" t="str">
        <f t="shared" si="86"/>
        <v>Active</v>
      </c>
      <c r="H2616" s="1" t="str">
        <f t="shared" si="87"/>
        <v>Wednesday</v>
      </c>
    </row>
    <row r="2617" spans="1:8" x14ac:dyDescent="0.3">
      <c r="A2617">
        <v>218925198</v>
      </c>
      <c r="B2617" s="1">
        <v>45126</v>
      </c>
      <c r="C2617" t="s">
        <v>19</v>
      </c>
      <c r="D2617" t="s">
        <v>7</v>
      </c>
      <c r="E2617">
        <v>39</v>
      </c>
      <c r="F2617" t="s">
        <v>6</v>
      </c>
      <c r="G2617" t="str">
        <f t="shared" si="86"/>
        <v>Active</v>
      </c>
      <c r="H2617" s="1" t="str">
        <f t="shared" si="87"/>
        <v>Wednesday</v>
      </c>
    </row>
    <row r="2618" spans="1:8" x14ac:dyDescent="0.3">
      <c r="A2618">
        <v>218927120</v>
      </c>
      <c r="B2618" s="1">
        <v>45126</v>
      </c>
      <c r="C2618" t="s">
        <v>19</v>
      </c>
      <c r="D2618" t="s">
        <v>7</v>
      </c>
      <c r="E2618">
        <v>39</v>
      </c>
      <c r="F2618" t="s">
        <v>6</v>
      </c>
      <c r="G2618" t="str">
        <f t="shared" si="86"/>
        <v>Active</v>
      </c>
      <c r="H2618" s="1" t="str">
        <f t="shared" si="87"/>
        <v>Wednesday</v>
      </c>
    </row>
    <row r="2619" spans="1:8" x14ac:dyDescent="0.3">
      <c r="A2619">
        <v>218930176</v>
      </c>
      <c r="B2619" s="1">
        <v>45126</v>
      </c>
      <c r="C2619" t="s">
        <v>19</v>
      </c>
      <c r="D2619" t="s">
        <v>7</v>
      </c>
      <c r="E2619">
        <v>39</v>
      </c>
      <c r="F2619" t="s">
        <v>6</v>
      </c>
      <c r="G2619" t="str">
        <f t="shared" si="86"/>
        <v>Active</v>
      </c>
      <c r="H2619" s="1" t="str">
        <f t="shared" si="87"/>
        <v>Wednesday</v>
      </c>
    </row>
    <row r="2620" spans="1:8" x14ac:dyDescent="0.3">
      <c r="A2620">
        <v>216185482</v>
      </c>
      <c r="B2620" s="1">
        <v>45126</v>
      </c>
      <c r="C2620" t="s">
        <v>19</v>
      </c>
      <c r="D2620" t="s">
        <v>7</v>
      </c>
      <c r="E2620">
        <v>39</v>
      </c>
      <c r="F2620" t="s">
        <v>6</v>
      </c>
      <c r="G2620" t="str">
        <f t="shared" si="86"/>
        <v>Active</v>
      </c>
      <c r="H2620" s="1" t="str">
        <f t="shared" si="87"/>
        <v>Wednesday</v>
      </c>
    </row>
    <row r="2621" spans="1:8" x14ac:dyDescent="0.3">
      <c r="A2621">
        <v>218814342</v>
      </c>
      <c r="B2621" s="1">
        <v>45126</v>
      </c>
      <c r="C2621" t="s">
        <v>19</v>
      </c>
      <c r="D2621" t="s">
        <v>7</v>
      </c>
      <c r="E2621">
        <v>39</v>
      </c>
      <c r="F2621" t="s">
        <v>6</v>
      </c>
      <c r="G2621" t="str">
        <f t="shared" si="86"/>
        <v>Active</v>
      </c>
      <c r="H2621" s="1" t="str">
        <f t="shared" si="87"/>
        <v>Wednesday</v>
      </c>
    </row>
    <row r="2622" spans="1:8" x14ac:dyDescent="0.3">
      <c r="A2622">
        <v>218764310</v>
      </c>
      <c r="B2622" s="1">
        <v>45126</v>
      </c>
      <c r="C2622" t="s">
        <v>19</v>
      </c>
      <c r="D2622" t="s">
        <v>7</v>
      </c>
      <c r="E2622">
        <v>39</v>
      </c>
      <c r="F2622" t="s">
        <v>6</v>
      </c>
      <c r="G2622" t="str">
        <f t="shared" si="86"/>
        <v>Active</v>
      </c>
      <c r="H2622" s="1" t="str">
        <f t="shared" si="87"/>
        <v>Wednesday</v>
      </c>
    </row>
    <row r="2623" spans="1:8" x14ac:dyDescent="0.3">
      <c r="A2623">
        <v>218814328</v>
      </c>
      <c r="B2623" s="1">
        <v>45126</v>
      </c>
      <c r="C2623" t="s">
        <v>19</v>
      </c>
      <c r="D2623" t="s">
        <v>7</v>
      </c>
      <c r="E2623">
        <v>39</v>
      </c>
      <c r="F2623" t="s">
        <v>6</v>
      </c>
      <c r="G2623" t="str">
        <f t="shared" si="86"/>
        <v>Active</v>
      </c>
      <c r="H2623" s="1" t="str">
        <f t="shared" si="87"/>
        <v>Wednesday</v>
      </c>
    </row>
    <row r="2624" spans="1:8" x14ac:dyDescent="0.3">
      <c r="A2624">
        <v>149144586</v>
      </c>
      <c r="B2624" s="1">
        <v>45126</v>
      </c>
      <c r="C2624" t="s">
        <v>19</v>
      </c>
      <c r="D2624" t="s">
        <v>7</v>
      </c>
      <c r="E2624">
        <v>39</v>
      </c>
      <c r="F2624" t="s">
        <v>6</v>
      </c>
      <c r="G2624" t="str">
        <f t="shared" si="86"/>
        <v>Active</v>
      </c>
      <c r="H2624" s="1" t="str">
        <f t="shared" si="87"/>
        <v>Wednesday</v>
      </c>
    </row>
    <row r="2625" spans="1:8" x14ac:dyDescent="0.3">
      <c r="A2625">
        <v>217635511</v>
      </c>
      <c r="B2625" s="1">
        <v>45126</v>
      </c>
      <c r="C2625" t="s">
        <v>19</v>
      </c>
      <c r="D2625" t="s">
        <v>7</v>
      </c>
      <c r="E2625">
        <v>39</v>
      </c>
      <c r="F2625" t="s">
        <v>6</v>
      </c>
      <c r="G2625" t="str">
        <f t="shared" si="86"/>
        <v>Active</v>
      </c>
      <c r="H2625" s="1" t="str">
        <f t="shared" si="87"/>
        <v>Wednesday</v>
      </c>
    </row>
    <row r="2626" spans="1:8" x14ac:dyDescent="0.3">
      <c r="A2626">
        <v>218924256</v>
      </c>
      <c r="B2626" s="1">
        <v>45126</v>
      </c>
      <c r="C2626" s="1">
        <v>45152</v>
      </c>
      <c r="D2626" t="s">
        <v>7</v>
      </c>
      <c r="E2626">
        <v>39</v>
      </c>
      <c r="F2626" t="s">
        <v>6</v>
      </c>
      <c r="G2626">
        <f t="shared" si="86"/>
        <v>26</v>
      </c>
      <c r="H2626" s="1" t="str">
        <f t="shared" si="87"/>
        <v>Wednesday</v>
      </c>
    </row>
    <row r="2627" spans="1:8" x14ac:dyDescent="0.3">
      <c r="A2627">
        <v>218898552</v>
      </c>
      <c r="B2627" s="1">
        <v>45126</v>
      </c>
      <c r="C2627" s="1">
        <v>45155</v>
      </c>
      <c r="D2627" t="s">
        <v>7</v>
      </c>
      <c r="E2627">
        <v>39</v>
      </c>
      <c r="F2627" t="s">
        <v>6</v>
      </c>
      <c r="G2627">
        <f t="shared" ref="G2627:G2690" si="88">IF(C2627="Active","Active",C2627-B2627)</f>
        <v>29</v>
      </c>
      <c r="H2627" s="1" t="str">
        <f t="shared" ref="H2627:H2690" si="89">TEXT(B2627,"dddd")</f>
        <v>Wednesday</v>
      </c>
    </row>
    <row r="2628" spans="1:8" x14ac:dyDescent="0.3">
      <c r="A2628">
        <v>149657162</v>
      </c>
      <c r="B2628" s="1">
        <v>45126</v>
      </c>
      <c r="C2628" s="1">
        <v>45172</v>
      </c>
      <c r="D2628" t="s">
        <v>7</v>
      </c>
      <c r="E2628">
        <v>39</v>
      </c>
      <c r="F2628" t="s">
        <v>6</v>
      </c>
      <c r="G2628">
        <f t="shared" si="88"/>
        <v>46</v>
      </c>
      <c r="H2628" s="1" t="str">
        <f t="shared" si="89"/>
        <v>Wednesday</v>
      </c>
    </row>
    <row r="2629" spans="1:8" x14ac:dyDescent="0.3">
      <c r="A2629">
        <v>218581958</v>
      </c>
      <c r="B2629" s="1">
        <v>45126</v>
      </c>
      <c r="C2629" s="1">
        <v>45133</v>
      </c>
      <c r="D2629" t="s">
        <v>7</v>
      </c>
      <c r="E2629">
        <v>39</v>
      </c>
      <c r="F2629" t="s">
        <v>6</v>
      </c>
      <c r="G2629">
        <f t="shared" si="88"/>
        <v>7</v>
      </c>
      <c r="H2629" s="1" t="str">
        <f t="shared" si="89"/>
        <v>Wednesday</v>
      </c>
    </row>
    <row r="2630" spans="1:8" x14ac:dyDescent="0.3">
      <c r="A2630">
        <v>214943384</v>
      </c>
      <c r="B2630" s="1">
        <v>45127</v>
      </c>
      <c r="C2630" t="s">
        <v>19</v>
      </c>
      <c r="D2630" t="s">
        <v>7</v>
      </c>
      <c r="E2630">
        <v>39</v>
      </c>
      <c r="F2630" t="s">
        <v>6</v>
      </c>
      <c r="G2630" t="str">
        <f t="shared" si="88"/>
        <v>Active</v>
      </c>
      <c r="H2630" s="1" t="str">
        <f t="shared" si="89"/>
        <v>Thursday</v>
      </c>
    </row>
    <row r="2631" spans="1:8" x14ac:dyDescent="0.3">
      <c r="A2631">
        <v>147832373</v>
      </c>
      <c r="B2631" s="1">
        <v>45127</v>
      </c>
      <c r="C2631" t="s">
        <v>19</v>
      </c>
      <c r="D2631" t="s">
        <v>7</v>
      </c>
      <c r="E2631">
        <v>39</v>
      </c>
      <c r="F2631" t="s">
        <v>6</v>
      </c>
      <c r="G2631" t="str">
        <f t="shared" si="88"/>
        <v>Active</v>
      </c>
      <c r="H2631" s="1" t="str">
        <f t="shared" si="89"/>
        <v>Thursday</v>
      </c>
    </row>
    <row r="2632" spans="1:8" x14ac:dyDescent="0.3">
      <c r="A2632">
        <v>204362311</v>
      </c>
      <c r="B2632" s="1">
        <v>45127</v>
      </c>
      <c r="C2632" t="s">
        <v>19</v>
      </c>
      <c r="D2632" t="s">
        <v>7</v>
      </c>
      <c r="E2632">
        <v>39</v>
      </c>
      <c r="F2632" t="s">
        <v>6</v>
      </c>
      <c r="G2632" t="str">
        <f t="shared" si="88"/>
        <v>Active</v>
      </c>
      <c r="H2632" s="1" t="str">
        <f t="shared" si="89"/>
        <v>Thursday</v>
      </c>
    </row>
    <row r="2633" spans="1:8" x14ac:dyDescent="0.3">
      <c r="A2633">
        <v>217137211</v>
      </c>
      <c r="B2633" s="1">
        <v>45127</v>
      </c>
      <c r="C2633" t="s">
        <v>19</v>
      </c>
      <c r="D2633" t="s">
        <v>7</v>
      </c>
      <c r="E2633">
        <v>39</v>
      </c>
      <c r="F2633" t="s">
        <v>6</v>
      </c>
      <c r="G2633" t="str">
        <f t="shared" si="88"/>
        <v>Active</v>
      </c>
      <c r="H2633" s="1" t="str">
        <f t="shared" si="89"/>
        <v>Thursday</v>
      </c>
    </row>
    <row r="2634" spans="1:8" x14ac:dyDescent="0.3">
      <c r="A2634">
        <v>218942852</v>
      </c>
      <c r="B2634" s="1">
        <v>45127</v>
      </c>
      <c r="C2634" t="s">
        <v>19</v>
      </c>
      <c r="D2634" t="s">
        <v>7</v>
      </c>
      <c r="E2634">
        <v>39</v>
      </c>
      <c r="F2634" t="s">
        <v>6</v>
      </c>
      <c r="G2634" t="str">
        <f t="shared" si="88"/>
        <v>Active</v>
      </c>
      <c r="H2634" s="1" t="str">
        <f t="shared" si="89"/>
        <v>Thursday</v>
      </c>
    </row>
    <row r="2635" spans="1:8" x14ac:dyDescent="0.3">
      <c r="A2635">
        <v>218715020</v>
      </c>
      <c r="B2635" s="1">
        <v>45127</v>
      </c>
      <c r="C2635" s="1">
        <v>45174</v>
      </c>
      <c r="D2635" t="s">
        <v>7</v>
      </c>
      <c r="E2635">
        <v>39</v>
      </c>
      <c r="F2635" t="s">
        <v>6</v>
      </c>
      <c r="G2635">
        <f t="shared" si="88"/>
        <v>47</v>
      </c>
      <c r="H2635" s="1" t="str">
        <f t="shared" si="89"/>
        <v>Thursday</v>
      </c>
    </row>
    <row r="2636" spans="1:8" x14ac:dyDescent="0.3">
      <c r="A2636">
        <v>218701308</v>
      </c>
      <c r="B2636" s="1">
        <v>45127</v>
      </c>
      <c r="C2636" s="1">
        <v>45128</v>
      </c>
      <c r="D2636" t="s">
        <v>7</v>
      </c>
      <c r="E2636">
        <v>39</v>
      </c>
      <c r="F2636" t="s">
        <v>6</v>
      </c>
      <c r="G2636">
        <f t="shared" si="88"/>
        <v>1</v>
      </c>
      <c r="H2636" s="1" t="str">
        <f t="shared" si="89"/>
        <v>Thursday</v>
      </c>
    </row>
    <row r="2637" spans="1:8" x14ac:dyDescent="0.3">
      <c r="A2637">
        <v>218979443</v>
      </c>
      <c r="B2637" s="1">
        <v>45127</v>
      </c>
      <c r="C2637" s="1">
        <v>45153</v>
      </c>
      <c r="D2637" t="s">
        <v>7</v>
      </c>
      <c r="E2637">
        <v>39</v>
      </c>
      <c r="F2637" t="s">
        <v>6</v>
      </c>
      <c r="G2637">
        <f t="shared" si="88"/>
        <v>26</v>
      </c>
      <c r="H2637" s="1" t="str">
        <f t="shared" si="89"/>
        <v>Thursday</v>
      </c>
    </row>
    <row r="2638" spans="1:8" x14ac:dyDescent="0.3">
      <c r="A2638">
        <v>218543315</v>
      </c>
      <c r="B2638" s="1">
        <v>45127</v>
      </c>
      <c r="C2638" s="1">
        <v>45173</v>
      </c>
      <c r="D2638" t="s">
        <v>7</v>
      </c>
      <c r="E2638">
        <v>39</v>
      </c>
      <c r="F2638" t="s">
        <v>6</v>
      </c>
      <c r="G2638">
        <f t="shared" si="88"/>
        <v>46</v>
      </c>
      <c r="H2638" s="1" t="str">
        <f t="shared" si="89"/>
        <v>Thursday</v>
      </c>
    </row>
    <row r="2639" spans="1:8" x14ac:dyDescent="0.3">
      <c r="A2639">
        <v>218281726</v>
      </c>
      <c r="B2639" s="1">
        <v>45128</v>
      </c>
      <c r="C2639" t="s">
        <v>19</v>
      </c>
      <c r="D2639" t="s">
        <v>7</v>
      </c>
      <c r="E2639">
        <v>39</v>
      </c>
      <c r="F2639" t="s">
        <v>6</v>
      </c>
      <c r="G2639" t="str">
        <f t="shared" si="88"/>
        <v>Active</v>
      </c>
      <c r="H2639" s="1" t="str">
        <f t="shared" si="89"/>
        <v>Friday</v>
      </c>
    </row>
    <row r="2640" spans="1:8" x14ac:dyDescent="0.3">
      <c r="A2640">
        <v>144972422</v>
      </c>
      <c r="B2640" s="1">
        <v>45128</v>
      </c>
      <c r="C2640" t="s">
        <v>19</v>
      </c>
      <c r="D2640" t="s">
        <v>7</v>
      </c>
      <c r="E2640">
        <v>39</v>
      </c>
      <c r="F2640" t="s">
        <v>6</v>
      </c>
      <c r="G2640" t="str">
        <f t="shared" si="88"/>
        <v>Active</v>
      </c>
      <c r="H2640" s="1" t="str">
        <f t="shared" si="89"/>
        <v>Friday</v>
      </c>
    </row>
    <row r="2641" spans="1:8" x14ac:dyDescent="0.3">
      <c r="A2641">
        <v>219017513</v>
      </c>
      <c r="B2641" s="1">
        <v>45128</v>
      </c>
      <c r="C2641" t="s">
        <v>19</v>
      </c>
      <c r="D2641" t="s">
        <v>7</v>
      </c>
      <c r="E2641">
        <v>39</v>
      </c>
      <c r="F2641" t="s">
        <v>6</v>
      </c>
      <c r="G2641" t="str">
        <f t="shared" si="88"/>
        <v>Active</v>
      </c>
      <c r="H2641" s="1" t="str">
        <f t="shared" si="89"/>
        <v>Friday</v>
      </c>
    </row>
    <row r="2642" spans="1:8" x14ac:dyDescent="0.3">
      <c r="A2642">
        <v>218096762</v>
      </c>
      <c r="B2642" s="1">
        <v>45128</v>
      </c>
      <c r="C2642" t="s">
        <v>19</v>
      </c>
      <c r="D2642" t="s">
        <v>7</v>
      </c>
      <c r="E2642">
        <v>39</v>
      </c>
      <c r="F2642" t="s">
        <v>6</v>
      </c>
      <c r="G2642" t="str">
        <f t="shared" si="88"/>
        <v>Active</v>
      </c>
      <c r="H2642" s="1" t="str">
        <f t="shared" si="89"/>
        <v>Friday</v>
      </c>
    </row>
    <row r="2643" spans="1:8" x14ac:dyDescent="0.3">
      <c r="A2643">
        <v>134289850</v>
      </c>
      <c r="B2643" s="1">
        <v>45128</v>
      </c>
      <c r="C2643" t="s">
        <v>19</v>
      </c>
      <c r="D2643" t="s">
        <v>7</v>
      </c>
      <c r="E2643">
        <v>39</v>
      </c>
      <c r="F2643" t="s">
        <v>6</v>
      </c>
      <c r="G2643" t="str">
        <f t="shared" si="88"/>
        <v>Active</v>
      </c>
      <c r="H2643" s="1" t="str">
        <f t="shared" si="89"/>
        <v>Friday</v>
      </c>
    </row>
    <row r="2644" spans="1:8" x14ac:dyDescent="0.3">
      <c r="A2644">
        <v>205210815</v>
      </c>
      <c r="B2644" s="1">
        <v>45128</v>
      </c>
      <c r="C2644" s="1">
        <v>45129</v>
      </c>
      <c r="D2644" t="s">
        <v>7</v>
      </c>
      <c r="E2644">
        <v>39</v>
      </c>
      <c r="F2644" t="s">
        <v>6</v>
      </c>
      <c r="G2644">
        <f t="shared" si="88"/>
        <v>1</v>
      </c>
      <c r="H2644" s="1" t="str">
        <f t="shared" si="89"/>
        <v>Friday</v>
      </c>
    </row>
    <row r="2645" spans="1:8" x14ac:dyDescent="0.3">
      <c r="A2645">
        <v>218684970</v>
      </c>
      <c r="B2645" s="1">
        <v>45128</v>
      </c>
      <c r="C2645" s="1">
        <v>45166</v>
      </c>
      <c r="D2645" t="s">
        <v>7</v>
      </c>
      <c r="E2645">
        <v>39</v>
      </c>
      <c r="F2645" t="s">
        <v>6</v>
      </c>
      <c r="G2645">
        <f t="shared" si="88"/>
        <v>38</v>
      </c>
      <c r="H2645" s="1" t="str">
        <f t="shared" si="89"/>
        <v>Friday</v>
      </c>
    </row>
    <row r="2646" spans="1:8" x14ac:dyDescent="0.3">
      <c r="A2646">
        <v>219045318</v>
      </c>
      <c r="B2646" s="1">
        <v>45129</v>
      </c>
      <c r="C2646" t="s">
        <v>19</v>
      </c>
      <c r="D2646" t="s">
        <v>7</v>
      </c>
      <c r="E2646">
        <v>39</v>
      </c>
      <c r="F2646" t="s">
        <v>6</v>
      </c>
      <c r="G2646" t="str">
        <f t="shared" si="88"/>
        <v>Active</v>
      </c>
      <c r="H2646" s="1" t="str">
        <f t="shared" si="89"/>
        <v>Saturday</v>
      </c>
    </row>
    <row r="2647" spans="1:8" x14ac:dyDescent="0.3">
      <c r="A2647">
        <v>218428977</v>
      </c>
      <c r="B2647" s="1">
        <v>45129</v>
      </c>
      <c r="C2647" t="s">
        <v>19</v>
      </c>
      <c r="D2647" t="s">
        <v>7</v>
      </c>
      <c r="E2647">
        <v>39</v>
      </c>
      <c r="F2647" t="s">
        <v>6</v>
      </c>
      <c r="G2647" t="str">
        <f t="shared" si="88"/>
        <v>Active</v>
      </c>
      <c r="H2647" s="1" t="str">
        <f t="shared" si="89"/>
        <v>Saturday</v>
      </c>
    </row>
    <row r="2648" spans="1:8" x14ac:dyDescent="0.3">
      <c r="A2648">
        <v>156587706</v>
      </c>
      <c r="B2648" s="1">
        <v>45129</v>
      </c>
      <c r="C2648" s="1">
        <v>45130</v>
      </c>
      <c r="D2648" t="s">
        <v>8</v>
      </c>
      <c r="E2648">
        <v>39</v>
      </c>
      <c r="F2648" t="s">
        <v>6</v>
      </c>
      <c r="G2648">
        <f t="shared" si="88"/>
        <v>1</v>
      </c>
      <c r="H2648" s="1" t="str">
        <f t="shared" si="89"/>
        <v>Saturday</v>
      </c>
    </row>
    <row r="2649" spans="1:8" x14ac:dyDescent="0.3">
      <c r="A2649">
        <v>219034826</v>
      </c>
      <c r="B2649" s="1">
        <v>45129</v>
      </c>
      <c r="C2649" s="1">
        <v>45130</v>
      </c>
      <c r="D2649" t="s">
        <v>8</v>
      </c>
      <c r="E2649">
        <v>39</v>
      </c>
      <c r="F2649" t="s">
        <v>6</v>
      </c>
      <c r="G2649">
        <f t="shared" si="88"/>
        <v>1</v>
      </c>
      <c r="H2649" s="1" t="str">
        <f t="shared" si="89"/>
        <v>Saturday</v>
      </c>
    </row>
    <row r="2650" spans="1:8" x14ac:dyDescent="0.3">
      <c r="A2650">
        <v>204380751</v>
      </c>
      <c r="B2650" s="1">
        <v>45129</v>
      </c>
      <c r="C2650" s="1">
        <v>45159</v>
      </c>
      <c r="D2650" t="s">
        <v>7</v>
      </c>
      <c r="E2650">
        <v>39</v>
      </c>
      <c r="F2650" t="s">
        <v>6</v>
      </c>
      <c r="G2650">
        <f t="shared" si="88"/>
        <v>30</v>
      </c>
      <c r="H2650" s="1" t="str">
        <f t="shared" si="89"/>
        <v>Saturday</v>
      </c>
    </row>
    <row r="2651" spans="1:8" x14ac:dyDescent="0.3">
      <c r="A2651">
        <v>215315438</v>
      </c>
      <c r="B2651" s="1">
        <v>45129</v>
      </c>
      <c r="C2651" s="1">
        <v>45160</v>
      </c>
      <c r="D2651" t="s">
        <v>7</v>
      </c>
      <c r="E2651">
        <v>39</v>
      </c>
      <c r="F2651" t="s">
        <v>6</v>
      </c>
      <c r="G2651">
        <f t="shared" si="88"/>
        <v>31</v>
      </c>
      <c r="H2651" s="1" t="str">
        <f t="shared" si="89"/>
        <v>Saturday</v>
      </c>
    </row>
    <row r="2652" spans="1:8" x14ac:dyDescent="0.3">
      <c r="A2652">
        <v>213774184</v>
      </c>
      <c r="B2652" s="1">
        <v>45129</v>
      </c>
      <c r="C2652" s="1">
        <v>45167</v>
      </c>
      <c r="D2652" t="s">
        <v>7</v>
      </c>
      <c r="E2652">
        <v>39</v>
      </c>
      <c r="F2652" t="s">
        <v>6</v>
      </c>
      <c r="G2652">
        <f t="shared" si="88"/>
        <v>38</v>
      </c>
      <c r="H2652" s="1" t="str">
        <f t="shared" si="89"/>
        <v>Saturday</v>
      </c>
    </row>
    <row r="2653" spans="1:8" x14ac:dyDescent="0.3">
      <c r="A2653">
        <v>206121650</v>
      </c>
      <c r="B2653" s="1">
        <v>45130</v>
      </c>
      <c r="C2653" t="s">
        <v>19</v>
      </c>
      <c r="D2653" t="s">
        <v>7</v>
      </c>
      <c r="E2653">
        <v>39</v>
      </c>
      <c r="F2653" t="s">
        <v>6</v>
      </c>
      <c r="G2653" t="str">
        <f t="shared" si="88"/>
        <v>Active</v>
      </c>
      <c r="H2653" s="1" t="str">
        <f t="shared" si="89"/>
        <v>Sunday</v>
      </c>
    </row>
    <row r="2654" spans="1:8" x14ac:dyDescent="0.3">
      <c r="A2654">
        <v>219059958</v>
      </c>
      <c r="B2654" s="1">
        <v>45130</v>
      </c>
      <c r="C2654" t="s">
        <v>19</v>
      </c>
      <c r="D2654" t="s">
        <v>7</v>
      </c>
      <c r="E2654">
        <v>39</v>
      </c>
      <c r="F2654" t="s">
        <v>6</v>
      </c>
      <c r="G2654" t="str">
        <f t="shared" si="88"/>
        <v>Active</v>
      </c>
      <c r="H2654" s="1" t="str">
        <f t="shared" si="89"/>
        <v>Sunday</v>
      </c>
    </row>
    <row r="2655" spans="1:8" x14ac:dyDescent="0.3">
      <c r="A2655">
        <v>204639997</v>
      </c>
      <c r="B2655" s="1">
        <v>45130</v>
      </c>
      <c r="C2655" s="1">
        <v>45130</v>
      </c>
      <c r="D2655" t="s">
        <v>7</v>
      </c>
      <c r="E2655">
        <v>39</v>
      </c>
      <c r="F2655" t="s">
        <v>6</v>
      </c>
      <c r="G2655">
        <f t="shared" si="88"/>
        <v>0</v>
      </c>
      <c r="H2655" s="1" t="str">
        <f t="shared" si="89"/>
        <v>Sunday</v>
      </c>
    </row>
    <row r="2656" spans="1:8" x14ac:dyDescent="0.3">
      <c r="A2656">
        <v>201817514</v>
      </c>
      <c r="B2656" s="1">
        <v>45130</v>
      </c>
      <c r="C2656" s="1">
        <v>45160</v>
      </c>
      <c r="D2656" t="s">
        <v>7</v>
      </c>
      <c r="E2656">
        <v>39</v>
      </c>
      <c r="F2656" t="s">
        <v>6</v>
      </c>
      <c r="G2656">
        <f t="shared" si="88"/>
        <v>30</v>
      </c>
      <c r="H2656" s="1" t="str">
        <f t="shared" si="89"/>
        <v>Sunday</v>
      </c>
    </row>
    <row r="2657" spans="1:8" x14ac:dyDescent="0.3">
      <c r="A2657">
        <v>219065931</v>
      </c>
      <c r="B2657" s="1">
        <v>45130</v>
      </c>
      <c r="C2657" s="1">
        <v>45168</v>
      </c>
      <c r="D2657" t="s">
        <v>7</v>
      </c>
      <c r="E2657">
        <v>39</v>
      </c>
      <c r="F2657" t="s">
        <v>6</v>
      </c>
      <c r="G2657">
        <f t="shared" si="88"/>
        <v>38</v>
      </c>
      <c r="H2657" s="1" t="str">
        <f t="shared" si="89"/>
        <v>Sunday</v>
      </c>
    </row>
    <row r="2658" spans="1:8" x14ac:dyDescent="0.3">
      <c r="A2658">
        <v>143627373</v>
      </c>
      <c r="B2658" s="1">
        <v>45131</v>
      </c>
      <c r="C2658" t="s">
        <v>19</v>
      </c>
      <c r="D2658" t="s">
        <v>7</v>
      </c>
      <c r="E2658">
        <v>39</v>
      </c>
      <c r="F2658" t="s">
        <v>6</v>
      </c>
      <c r="G2658" t="str">
        <f t="shared" si="88"/>
        <v>Active</v>
      </c>
      <c r="H2658" s="1" t="str">
        <f t="shared" si="89"/>
        <v>Monday</v>
      </c>
    </row>
    <row r="2659" spans="1:8" x14ac:dyDescent="0.3">
      <c r="A2659">
        <v>218675428</v>
      </c>
      <c r="B2659" s="1">
        <v>45131</v>
      </c>
      <c r="C2659" t="s">
        <v>19</v>
      </c>
      <c r="D2659" t="s">
        <v>7</v>
      </c>
      <c r="E2659">
        <v>39</v>
      </c>
      <c r="F2659" t="s">
        <v>6</v>
      </c>
      <c r="G2659" t="str">
        <f t="shared" si="88"/>
        <v>Active</v>
      </c>
      <c r="H2659" s="1" t="str">
        <f t="shared" si="89"/>
        <v>Monday</v>
      </c>
    </row>
    <row r="2660" spans="1:8" x14ac:dyDescent="0.3">
      <c r="A2660">
        <v>219057820</v>
      </c>
      <c r="B2660" s="1">
        <v>45131</v>
      </c>
      <c r="C2660" t="s">
        <v>19</v>
      </c>
      <c r="D2660" t="s">
        <v>7</v>
      </c>
      <c r="E2660">
        <v>39</v>
      </c>
      <c r="F2660" t="s">
        <v>6</v>
      </c>
      <c r="G2660" t="str">
        <f t="shared" si="88"/>
        <v>Active</v>
      </c>
      <c r="H2660" s="1" t="str">
        <f t="shared" si="89"/>
        <v>Monday</v>
      </c>
    </row>
    <row r="2661" spans="1:8" x14ac:dyDescent="0.3">
      <c r="A2661">
        <v>219115854</v>
      </c>
      <c r="B2661" s="1">
        <v>45131</v>
      </c>
      <c r="C2661" t="s">
        <v>19</v>
      </c>
      <c r="D2661" t="s">
        <v>7</v>
      </c>
      <c r="E2661">
        <v>39</v>
      </c>
      <c r="F2661" t="s">
        <v>6</v>
      </c>
      <c r="G2661" t="str">
        <f t="shared" si="88"/>
        <v>Active</v>
      </c>
      <c r="H2661" s="1" t="str">
        <f t="shared" si="89"/>
        <v>Monday</v>
      </c>
    </row>
    <row r="2662" spans="1:8" x14ac:dyDescent="0.3">
      <c r="A2662">
        <v>204826054</v>
      </c>
      <c r="B2662" s="1">
        <v>45131</v>
      </c>
      <c r="C2662" t="s">
        <v>19</v>
      </c>
      <c r="D2662" t="s">
        <v>7</v>
      </c>
      <c r="E2662">
        <v>39</v>
      </c>
      <c r="F2662" t="s">
        <v>6</v>
      </c>
      <c r="G2662" t="str">
        <f t="shared" si="88"/>
        <v>Active</v>
      </c>
      <c r="H2662" s="1" t="str">
        <f t="shared" si="89"/>
        <v>Monday</v>
      </c>
    </row>
    <row r="2663" spans="1:8" x14ac:dyDescent="0.3">
      <c r="A2663">
        <v>219072554</v>
      </c>
      <c r="B2663" s="1">
        <v>45131</v>
      </c>
      <c r="C2663" t="s">
        <v>19</v>
      </c>
      <c r="D2663" t="s">
        <v>7</v>
      </c>
      <c r="E2663">
        <v>39</v>
      </c>
      <c r="F2663" t="s">
        <v>6</v>
      </c>
      <c r="G2663" t="str">
        <f t="shared" si="88"/>
        <v>Active</v>
      </c>
      <c r="H2663" s="1" t="str">
        <f t="shared" si="89"/>
        <v>Monday</v>
      </c>
    </row>
    <row r="2664" spans="1:8" x14ac:dyDescent="0.3">
      <c r="A2664">
        <v>219088631</v>
      </c>
      <c r="B2664" s="1">
        <v>45131</v>
      </c>
      <c r="C2664" t="s">
        <v>19</v>
      </c>
      <c r="D2664" t="s">
        <v>7</v>
      </c>
      <c r="E2664">
        <v>39</v>
      </c>
      <c r="F2664" t="s">
        <v>6</v>
      </c>
      <c r="G2664" t="str">
        <f t="shared" si="88"/>
        <v>Active</v>
      </c>
      <c r="H2664" s="1" t="str">
        <f t="shared" si="89"/>
        <v>Monday</v>
      </c>
    </row>
    <row r="2665" spans="1:8" x14ac:dyDescent="0.3">
      <c r="A2665">
        <v>218861750</v>
      </c>
      <c r="B2665" s="1">
        <v>45131</v>
      </c>
      <c r="C2665" s="1">
        <v>45169</v>
      </c>
      <c r="D2665" t="s">
        <v>7</v>
      </c>
      <c r="E2665">
        <v>39</v>
      </c>
      <c r="F2665" t="s">
        <v>6</v>
      </c>
      <c r="G2665">
        <f t="shared" si="88"/>
        <v>38</v>
      </c>
      <c r="H2665" s="1" t="str">
        <f t="shared" si="89"/>
        <v>Monday</v>
      </c>
    </row>
    <row r="2666" spans="1:8" x14ac:dyDescent="0.3">
      <c r="A2666">
        <v>217513777</v>
      </c>
      <c r="B2666" s="1">
        <v>45131</v>
      </c>
      <c r="C2666" s="1">
        <v>45140</v>
      </c>
      <c r="D2666" t="s">
        <v>7</v>
      </c>
      <c r="E2666">
        <v>39</v>
      </c>
      <c r="F2666" t="s">
        <v>6</v>
      </c>
      <c r="G2666">
        <f t="shared" si="88"/>
        <v>9</v>
      </c>
      <c r="H2666" s="1" t="str">
        <f t="shared" si="89"/>
        <v>Monday</v>
      </c>
    </row>
    <row r="2667" spans="1:8" x14ac:dyDescent="0.3">
      <c r="A2667">
        <v>218805370</v>
      </c>
      <c r="B2667" s="1">
        <v>45131</v>
      </c>
      <c r="C2667" s="1">
        <v>45146</v>
      </c>
      <c r="D2667" t="s">
        <v>7</v>
      </c>
      <c r="E2667">
        <v>39</v>
      </c>
      <c r="F2667" t="s">
        <v>6</v>
      </c>
      <c r="G2667">
        <f t="shared" si="88"/>
        <v>15</v>
      </c>
      <c r="H2667" s="1" t="str">
        <f t="shared" si="89"/>
        <v>Monday</v>
      </c>
    </row>
    <row r="2668" spans="1:8" x14ac:dyDescent="0.3">
      <c r="A2668">
        <v>219128709</v>
      </c>
      <c r="B2668" s="1">
        <v>45132</v>
      </c>
      <c r="C2668" t="s">
        <v>19</v>
      </c>
      <c r="D2668" t="s">
        <v>7</v>
      </c>
      <c r="E2668">
        <v>39</v>
      </c>
      <c r="F2668" t="s">
        <v>6</v>
      </c>
      <c r="G2668" t="str">
        <f t="shared" si="88"/>
        <v>Active</v>
      </c>
      <c r="H2668" s="1" t="str">
        <f t="shared" si="89"/>
        <v>Tuesday</v>
      </c>
    </row>
    <row r="2669" spans="1:8" x14ac:dyDescent="0.3">
      <c r="A2669">
        <v>217998036</v>
      </c>
      <c r="B2669" s="1">
        <v>45132</v>
      </c>
      <c r="C2669" t="s">
        <v>19</v>
      </c>
      <c r="D2669" t="s">
        <v>7</v>
      </c>
      <c r="E2669">
        <v>39</v>
      </c>
      <c r="F2669" t="s">
        <v>6</v>
      </c>
      <c r="G2669" t="str">
        <f t="shared" si="88"/>
        <v>Active</v>
      </c>
      <c r="H2669" s="1" t="str">
        <f t="shared" si="89"/>
        <v>Tuesday</v>
      </c>
    </row>
    <row r="2670" spans="1:8" x14ac:dyDescent="0.3">
      <c r="A2670">
        <v>219100886</v>
      </c>
      <c r="B2670" s="1">
        <v>45132</v>
      </c>
      <c r="C2670" t="s">
        <v>19</v>
      </c>
      <c r="D2670" t="s">
        <v>7</v>
      </c>
      <c r="E2670">
        <v>39</v>
      </c>
      <c r="F2670" t="s">
        <v>6</v>
      </c>
      <c r="G2670" t="str">
        <f t="shared" si="88"/>
        <v>Active</v>
      </c>
      <c r="H2670" s="1" t="str">
        <f t="shared" si="89"/>
        <v>Tuesday</v>
      </c>
    </row>
    <row r="2671" spans="1:8" x14ac:dyDescent="0.3">
      <c r="A2671">
        <v>214586480</v>
      </c>
      <c r="B2671" s="1">
        <v>45132</v>
      </c>
      <c r="C2671" t="s">
        <v>19</v>
      </c>
      <c r="D2671" t="s">
        <v>7</v>
      </c>
      <c r="E2671">
        <v>39</v>
      </c>
      <c r="F2671" t="s">
        <v>6</v>
      </c>
      <c r="G2671" t="str">
        <f t="shared" si="88"/>
        <v>Active</v>
      </c>
      <c r="H2671" s="1" t="str">
        <f t="shared" si="89"/>
        <v>Tuesday</v>
      </c>
    </row>
    <row r="2672" spans="1:8" x14ac:dyDescent="0.3">
      <c r="A2672">
        <v>219110064</v>
      </c>
      <c r="B2672" s="1">
        <v>45132</v>
      </c>
      <c r="C2672" t="s">
        <v>19</v>
      </c>
      <c r="D2672" t="s">
        <v>7</v>
      </c>
      <c r="E2672">
        <v>39</v>
      </c>
      <c r="F2672" t="s">
        <v>6</v>
      </c>
      <c r="G2672" t="str">
        <f t="shared" si="88"/>
        <v>Active</v>
      </c>
      <c r="H2672" s="1" t="str">
        <f t="shared" si="89"/>
        <v>Tuesday</v>
      </c>
    </row>
    <row r="2673" spans="1:8" x14ac:dyDescent="0.3">
      <c r="A2673">
        <v>157374056</v>
      </c>
      <c r="B2673" s="1">
        <v>45132</v>
      </c>
      <c r="C2673" t="s">
        <v>19</v>
      </c>
      <c r="D2673" t="s">
        <v>7</v>
      </c>
      <c r="E2673">
        <v>39</v>
      </c>
      <c r="F2673" t="s">
        <v>6</v>
      </c>
      <c r="G2673" t="str">
        <f t="shared" si="88"/>
        <v>Active</v>
      </c>
      <c r="H2673" s="1" t="str">
        <f t="shared" si="89"/>
        <v>Tuesday</v>
      </c>
    </row>
    <row r="2674" spans="1:8" x14ac:dyDescent="0.3">
      <c r="A2674">
        <v>219058076</v>
      </c>
      <c r="B2674" s="1">
        <v>45132</v>
      </c>
      <c r="C2674" t="s">
        <v>19</v>
      </c>
      <c r="D2674" t="s">
        <v>7</v>
      </c>
      <c r="E2674">
        <v>39</v>
      </c>
      <c r="F2674" t="s">
        <v>6</v>
      </c>
      <c r="G2674" t="str">
        <f t="shared" si="88"/>
        <v>Active</v>
      </c>
      <c r="H2674" s="1" t="str">
        <f t="shared" si="89"/>
        <v>Tuesday</v>
      </c>
    </row>
    <row r="2675" spans="1:8" x14ac:dyDescent="0.3">
      <c r="A2675">
        <v>218011483</v>
      </c>
      <c r="B2675" s="1">
        <v>45132</v>
      </c>
      <c r="C2675" t="s">
        <v>19</v>
      </c>
      <c r="D2675" t="s">
        <v>7</v>
      </c>
      <c r="E2675">
        <v>39</v>
      </c>
      <c r="F2675" t="s">
        <v>6</v>
      </c>
      <c r="G2675" t="str">
        <f t="shared" si="88"/>
        <v>Active</v>
      </c>
      <c r="H2675" s="1" t="str">
        <f t="shared" si="89"/>
        <v>Tuesday</v>
      </c>
    </row>
    <row r="2676" spans="1:8" x14ac:dyDescent="0.3">
      <c r="A2676">
        <v>216543186</v>
      </c>
      <c r="B2676" s="1">
        <v>45132</v>
      </c>
      <c r="C2676" t="s">
        <v>19</v>
      </c>
      <c r="D2676" t="s">
        <v>7</v>
      </c>
      <c r="E2676">
        <v>39</v>
      </c>
      <c r="F2676" t="s">
        <v>6</v>
      </c>
      <c r="G2676" t="str">
        <f t="shared" si="88"/>
        <v>Active</v>
      </c>
      <c r="H2676" s="1" t="str">
        <f t="shared" si="89"/>
        <v>Tuesday</v>
      </c>
    </row>
    <row r="2677" spans="1:8" x14ac:dyDescent="0.3">
      <c r="A2677">
        <v>151239214</v>
      </c>
      <c r="B2677" s="1">
        <v>45132</v>
      </c>
      <c r="C2677" t="s">
        <v>19</v>
      </c>
      <c r="D2677" t="s">
        <v>7</v>
      </c>
      <c r="E2677">
        <v>39</v>
      </c>
      <c r="F2677" t="s">
        <v>6</v>
      </c>
      <c r="G2677" t="str">
        <f t="shared" si="88"/>
        <v>Active</v>
      </c>
      <c r="H2677" s="1" t="str">
        <f t="shared" si="89"/>
        <v>Tuesday</v>
      </c>
    </row>
    <row r="2678" spans="1:8" x14ac:dyDescent="0.3">
      <c r="A2678">
        <v>152760748</v>
      </c>
      <c r="B2678" s="1">
        <v>45132</v>
      </c>
      <c r="C2678" s="1">
        <v>45158</v>
      </c>
      <c r="D2678" t="s">
        <v>7</v>
      </c>
      <c r="E2678">
        <v>39</v>
      </c>
      <c r="F2678" t="s">
        <v>6</v>
      </c>
      <c r="G2678">
        <f t="shared" si="88"/>
        <v>26</v>
      </c>
      <c r="H2678" s="1" t="str">
        <f t="shared" si="89"/>
        <v>Tuesday</v>
      </c>
    </row>
    <row r="2679" spans="1:8" x14ac:dyDescent="0.3">
      <c r="A2679">
        <v>182102820</v>
      </c>
      <c r="B2679" s="1">
        <v>45132</v>
      </c>
      <c r="C2679" s="1">
        <v>45170</v>
      </c>
      <c r="D2679" t="s">
        <v>7</v>
      </c>
      <c r="E2679">
        <v>39</v>
      </c>
      <c r="F2679" t="s">
        <v>6</v>
      </c>
      <c r="G2679">
        <f t="shared" si="88"/>
        <v>38</v>
      </c>
      <c r="H2679" s="1" t="str">
        <f t="shared" si="89"/>
        <v>Tuesday</v>
      </c>
    </row>
    <row r="2680" spans="1:8" x14ac:dyDescent="0.3">
      <c r="A2680">
        <v>215005163</v>
      </c>
      <c r="B2680" s="1">
        <v>45132</v>
      </c>
      <c r="C2680" s="1">
        <v>45155</v>
      </c>
      <c r="D2680" t="s">
        <v>7</v>
      </c>
      <c r="E2680">
        <v>39</v>
      </c>
      <c r="F2680" t="s">
        <v>6</v>
      </c>
      <c r="G2680">
        <f t="shared" si="88"/>
        <v>23</v>
      </c>
      <c r="H2680" s="1" t="str">
        <f t="shared" si="89"/>
        <v>Tuesday</v>
      </c>
    </row>
    <row r="2681" spans="1:8" x14ac:dyDescent="0.3">
      <c r="A2681">
        <v>219136846</v>
      </c>
      <c r="B2681" s="1">
        <v>45132</v>
      </c>
      <c r="C2681" s="1">
        <v>45140</v>
      </c>
      <c r="D2681" t="s">
        <v>7</v>
      </c>
      <c r="E2681">
        <v>39</v>
      </c>
      <c r="F2681" t="s">
        <v>6</v>
      </c>
      <c r="G2681">
        <f t="shared" si="88"/>
        <v>8</v>
      </c>
      <c r="H2681" s="1" t="str">
        <f t="shared" si="89"/>
        <v>Tuesday</v>
      </c>
    </row>
    <row r="2682" spans="1:8" x14ac:dyDescent="0.3">
      <c r="A2682">
        <v>218795222</v>
      </c>
      <c r="B2682" s="1">
        <v>45132</v>
      </c>
      <c r="C2682" s="1">
        <v>45161</v>
      </c>
      <c r="D2682" t="s">
        <v>7</v>
      </c>
      <c r="E2682">
        <v>39</v>
      </c>
      <c r="F2682" t="s">
        <v>6</v>
      </c>
      <c r="G2682">
        <f t="shared" si="88"/>
        <v>29</v>
      </c>
      <c r="H2682" s="1" t="str">
        <f t="shared" si="89"/>
        <v>Tuesday</v>
      </c>
    </row>
    <row r="2683" spans="1:8" x14ac:dyDescent="0.3">
      <c r="A2683">
        <v>208706876</v>
      </c>
      <c r="B2683" s="1">
        <v>45132</v>
      </c>
      <c r="C2683" s="1">
        <v>45159</v>
      </c>
      <c r="D2683" t="s">
        <v>7</v>
      </c>
      <c r="E2683">
        <v>39</v>
      </c>
      <c r="F2683" t="s">
        <v>6</v>
      </c>
      <c r="G2683">
        <f t="shared" si="88"/>
        <v>27</v>
      </c>
      <c r="H2683" s="1" t="str">
        <f t="shared" si="89"/>
        <v>Tuesday</v>
      </c>
    </row>
    <row r="2684" spans="1:8" x14ac:dyDescent="0.3">
      <c r="A2684">
        <v>218701308</v>
      </c>
      <c r="B2684" s="1">
        <v>45132</v>
      </c>
      <c r="C2684" s="1">
        <v>45170</v>
      </c>
      <c r="D2684" t="s">
        <v>7</v>
      </c>
      <c r="E2684">
        <v>39</v>
      </c>
      <c r="F2684" t="s">
        <v>6</v>
      </c>
      <c r="G2684">
        <f t="shared" si="88"/>
        <v>38</v>
      </c>
      <c r="H2684" s="1" t="str">
        <f t="shared" si="89"/>
        <v>Tuesday</v>
      </c>
    </row>
    <row r="2685" spans="1:8" x14ac:dyDescent="0.3">
      <c r="A2685">
        <v>219136623</v>
      </c>
      <c r="B2685" s="1">
        <v>45132</v>
      </c>
      <c r="C2685" s="1">
        <v>45170</v>
      </c>
      <c r="D2685" t="s">
        <v>7</v>
      </c>
      <c r="E2685">
        <v>39</v>
      </c>
      <c r="F2685" t="s">
        <v>6</v>
      </c>
      <c r="G2685">
        <f t="shared" si="88"/>
        <v>38</v>
      </c>
      <c r="H2685" s="1" t="str">
        <f t="shared" si="89"/>
        <v>Tuesday</v>
      </c>
    </row>
    <row r="2686" spans="1:8" x14ac:dyDescent="0.3">
      <c r="A2686">
        <v>219153922</v>
      </c>
      <c r="B2686" s="1">
        <v>45133</v>
      </c>
      <c r="C2686" t="s">
        <v>19</v>
      </c>
      <c r="D2686" t="s">
        <v>7</v>
      </c>
      <c r="E2686">
        <v>39</v>
      </c>
      <c r="F2686" t="s">
        <v>6</v>
      </c>
      <c r="G2686" t="str">
        <f t="shared" si="88"/>
        <v>Active</v>
      </c>
      <c r="H2686" s="1" t="str">
        <f t="shared" si="89"/>
        <v>Wednesday</v>
      </c>
    </row>
    <row r="2687" spans="1:8" x14ac:dyDescent="0.3">
      <c r="A2687">
        <v>165529460</v>
      </c>
      <c r="B2687" s="1">
        <v>45133</v>
      </c>
      <c r="C2687" t="s">
        <v>19</v>
      </c>
      <c r="D2687" t="s">
        <v>7</v>
      </c>
      <c r="E2687">
        <v>39</v>
      </c>
      <c r="F2687" t="s">
        <v>6</v>
      </c>
      <c r="G2687" t="str">
        <f t="shared" si="88"/>
        <v>Active</v>
      </c>
      <c r="H2687" s="1" t="str">
        <f t="shared" si="89"/>
        <v>Wednesday</v>
      </c>
    </row>
    <row r="2688" spans="1:8" x14ac:dyDescent="0.3">
      <c r="A2688">
        <v>218715792</v>
      </c>
      <c r="B2688" s="1">
        <v>45133</v>
      </c>
      <c r="C2688" t="s">
        <v>19</v>
      </c>
      <c r="D2688" t="s">
        <v>7</v>
      </c>
      <c r="E2688">
        <v>39</v>
      </c>
      <c r="F2688" t="s">
        <v>6</v>
      </c>
      <c r="G2688" t="str">
        <f t="shared" si="88"/>
        <v>Active</v>
      </c>
      <c r="H2688" s="1" t="str">
        <f t="shared" si="89"/>
        <v>Wednesday</v>
      </c>
    </row>
    <row r="2689" spans="1:8" x14ac:dyDescent="0.3">
      <c r="A2689">
        <v>218985028</v>
      </c>
      <c r="B2689" s="1">
        <v>45133</v>
      </c>
      <c r="C2689" t="s">
        <v>19</v>
      </c>
      <c r="D2689" t="s">
        <v>7</v>
      </c>
      <c r="E2689">
        <v>39</v>
      </c>
      <c r="F2689" t="s">
        <v>6</v>
      </c>
      <c r="G2689" t="str">
        <f t="shared" si="88"/>
        <v>Active</v>
      </c>
      <c r="H2689" s="1" t="str">
        <f t="shared" si="89"/>
        <v>Wednesday</v>
      </c>
    </row>
    <row r="2690" spans="1:8" x14ac:dyDescent="0.3">
      <c r="A2690">
        <v>218986352</v>
      </c>
      <c r="B2690" s="1">
        <v>45133</v>
      </c>
      <c r="C2690" t="s">
        <v>19</v>
      </c>
      <c r="D2690" t="s">
        <v>7</v>
      </c>
      <c r="E2690">
        <v>39</v>
      </c>
      <c r="F2690" t="s">
        <v>6</v>
      </c>
      <c r="G2690" t="str">
        <f t="shared" si="88"/>
        <v>Active</v>
      </c>
      <c r="H2690" s="1" t="str">
        <f t="shared" si="89"/>
        <v>Wednesday</v>
      </c>
    </row>
    <row r="2691" spans="1:8" x14ac:dyDescent="0.3">
      <c r="A2691">
        <v>219152822</v>
      </c>
      <c r="B2691" s="1">
        <v>45133</v>
      </c>
      <c r="C2691" s="1">
        <v>45174</v>
      </c>
      <c r="D2691" t="s">
        <v>7</v>
      </c>
      <c r="E2691">
        <v>39</v>
      </c>
      <c r="F2691" t="s">
        <v>6</v>
      </c>
      <c r="G2691">
        <f t="shared" ref="G2691:G2754" si="90">IF(C2691="Active","Active",C2691-B2691)</f>
        <v>41</v>
      </c>
      <c r="H2691" s="1" t="str">
        <f t="shared" ref="H2691:H2754" si="91">TEXT(B2691,"dddd")</f>
        <v>Wednesday</v>
      </c>
    </row>
    <row r="2692" spans="1:8" x14ac:dyDescent="0.3">
      <c r="A2692">
        <v>219084587</v>
      </c>
      <c r="B2692" s="1">
        <v>45133</v>
      </c>
      <c r="C2692" s="1">
        <v>45134</v>
      </c>
      <c r="D2692" t="s">
        <v>8</v>
      </c>
      <c r="E2692">
        <v>39</v>
      </c>
      <c r="F2692" t="s">
        <v>6</v>
      </c>
      <c r="G2692">
        <f t="shared" si="90"/>
        <v>1</v>
      </c>
      <c r="H2692" s="1" t="str">
        <f t="shared" si="91"/>
        <v>Wednesday</v>
      </c>
    </row>
    <row r="2693" spans="1:8" x14ac:dyDescent="0.3">
      <c r="A2693">
        <v>219200064</v>
      </c>
      <c r="B2693" s="1">
        <v>45133</v>
      </c>
      <c r="C2693" s="1">
        <v>45171</v>
      </c>
      <c r="D2693" t="s">
        <v>7</v>
      </c>
      <c r="E2693">
        <v>39</v>
      </c>
      <c r="F2693" t="s">
        <v>6</v>
      </c>
      <c r="G2693">
        <f t="shared" si="90"/>
        <v>38</v>
      </c>
      <c r="H2693" s="1" t="str">
        <f t="shared" si="91"/>
        <v>Wednesday</v>
      </c>
    </row>
    <row r="2694" spans="1:8" x14ac:dyDescent="0.3">
      <c r="A2694">
        <v>219224963</v>
      </c>
      <c r="B2694" s="1">
        <v>45134</v>
      </c>
      <c r="C2694" t="s">
        <v>19</v>
      </c>
      <c r="D2694" t="s">
        <v>7</v>
      </c>
      <c r="E2694">
        <v>39</v>
      </c>
      <c r="F2694" t="s">
        <v>6</v>
      </c>
      <c r="G2694" t="str">
        <f t="shared" si="90"/>
        <v>Active</v>
      </c>
      <c r="H2694" s="1" t="str">
        <f t="shared" si="91"/>
        <v>Thursday</v>
      </c>
    </row>
    <row r="2695" spans="1:8" x14ac:dyDescent="0.3">
      <c r="A2695">
        <v>219172302</v>
      </c>
      <c r="B2695" s="1">
        <v>45134</v>
      </c>
      <c r="C2695" t="s">
        <v>19</v>
      </c>
      <c r="D2695" t="s">
        <v>7</v>
      </c>
      <c r="E2695">
        <v>39</v>
      </c>
      <c r="F2695" t="s">
        <v>6</v>
      </c>
      <c r="G2695" t="str">
        <f t="shared" si="90"/>
        <v>Active</v>
      </c>
      <c r="H2695" s="1" t="str">
        <f t="shared" si="91"/>
        <v>Thursday</v>
      </c>
    </row>
    <row r="2696" spans="1:8" x14ac:dyDescent="0.3">
      <c r="A2696">
        <v>219244336</v>
      </c>
      <c r="B2696" s="1">
        <v>45134</v>
      </c>
      <c r="C2696" t="s">
        <v>19</v>
      </c>
      <c r="D2696" t="s">
        <v>7</v>
      </c>
      <c r="E2696">
        <v>39</v>
      </c>
      <c r="F2696" t="s">
        <v>6</v>
      </c>
      <c r="G2696" t="str">
        <f t="shared" si="90"/>
        <v>Active</v>
      </c>
      <c r="H2696" s="1" t="str">
        <f t="shared" si="91"/>
        <v>Thursday</v>
      </c>
    </row>
    <row r="2697" spans="1:8" x14ac:dyDescent="0.3">
      <c r="A2697">
        <v>150342446</v>
      </c>
      <c r="B2697" s="1">
        <v>45134</v>
      </c>
      <c r="C2697" t="s">
        <v>19</v>
      </c>
      <c r="D2697" t="s">
        <v>7</v>
      </c>
      <c r="E2697">
        <v>39</v>
      </c>
      <c r="F2697" t="s">
        <v>6</v>
      </c>
      <c r="G2697" t="str">
        <f t="shared" si="90"/>
        <v>Active</v>
      </c>
      <c r="H2697" s="1" t="str">
        <f t="shared" si="91"/>
        <v>Thursday</v>
      </c>
    </row>
    <row r="2698" spans="1:8" x14ac:dyDescent="0.3">
      <c r="A2698">
        <v>210432172</v>
      </c>
      <c r="B2698" s="1">
        <v>45134</v>
      </c>
      <c r="C2698" t="s">
        <v>19</v>
      </c>
      <c r="D2698" t="s">
        <v>7</v>
      </c>
      <c r="E2698">
        <v>39</v>
      </c>
      <c r="F2698" t="s">
        <v>6</v>
      </c>
      <c r="G2698" t="str">
        <f t="shared" si="90"/>
        <v>Active</v>
      </c>
      <c r="H2698" s="1" t="str">
        <f t="shared" si="91"/>
        <v>Thursday</v>
      </c>
    </row>
    <row r="2699" spans="1:8" x14ac:dyDescent="0.3">
      <c r="A2699">
        <v>145614180</v>
      </c>
      <c r="B2699" s="1">
        <v>45134</v>
      </c>
      <c r="C2699" t="s">
        <v>19</v>
      </c>
      <c r="D2699" t="s">
        <v>7</v>
      </c>
      <c r="E2699">
        <v>39</v>
      </c>
      <c r="F2699" t="s">
        <v>6</v>
      </c>
      <c r="G2699" t="str">
        <f t="shared" si="90"/>
        <v>Active</v>
      </c>
      <c r="H2699" s="1" t="str">
        <f t="shared" si="91"/>
        <v>Thursday</v>
      </c>
    </row>
    <row r="2700" spans="1:8" x14ac:dyDescent="0.3">
      <c r="A2700">
        <v>218318466</v>
      </c>
      <c r="B2700" s="1">
        <v>45134</v>
      </c>
      <c r="C2700" t="s">
        <v>19</v>
      </c>
      <c r="D2700" t="s">
        <v>7</v>
      </c>
      <c r="E2700">
        <v>39</v>
      </c>
      <c r="F2700" t="s">
        <v>6</v>
      </c>
      <c r="G2700" t="str">
        <f t="shared" si="90"/>
        <v>Active</v>
      </c>
      <c r="H2700" s="1" t="str">
        <f t="shared" si="91"/>
        <v>Thursday</v>
      </c>
    </row>
    <row r="2701" spans="1:8" x14ac:dyDescent="0.3">
      <c r="A2701">
        <v>131984682</v>
      </c>
      <c r="B2701" s="1">
        <v>45134</v>
      </c>
      <c r="C2701" t="s">
        <v>19</v>
      </c>
      <c r="D2701" t="s">
        <v>7</v>
      </c>
      <c r="E2701">
        <v>39</v>
      </c>
      <c r="F2701" t="s">
        <v>6</v>
      </c>
      <c r="G2701" t="str">
        <f t="shared" si="90"/>
        <v>Active</v>
      </c>
      <c r="H2701" s="1" t="str">
        <f t="shared" si="91"/>
        <v>Thursday</v>
      </c>
    </row>
    <row r="2702" spans="1:8" x14ac:dyDescent="0.3">
      <c r="A2702">
        <v>219243156</v>
      </c>
      <c r="B2702" s="1">
        <v>45134</v>
      </c>
      <c r="C2702" s="1">
        <v>45134</v>
      </c>
      <c r="D2702" t="s">
        <v>7</v>
      </c>
      <c r="E2702">
        <v>39</v>
      </c>
      <c r="F2702" t="s">
        <v>6</v>
      </c>
      <c r="G2702">
        <f t="shared" si="90"/>
        <v>0</v>
      </c>
      <c r="H2702" s="1" t="str">
        <f t="shared" si="91"/>
        <v>Thursday</v>
      </c>
    </row>
    <row r="2703" spans="1:8" x14ac:dyDescent="0.3">
      <c r="A2703">
        <v>219301778</v>
      </c>
      <c r="B2703" s="1">
        <v>45135</v>
      </c>
      <c r="C2703" t="s">
        <v>19</v>
      </c>
      <c r="D2703" t="s">
        <v>7</v>
      </c>
      <c r="E2703">
        <v>39</v>
      </c>
      <c r="F2703" t="s">
        <v>6</v>
      </c>
      <c r="G2703" t="str">
        <f t="shared" si="90"/>
        <v>Active</v>
      </c>
      <c r="H2703" s="1" t="str">
        <f t="shared" si="91"/>
        <v>Friday</v>
      </c>
    </row>
    <row r="2704" spans="1:8" x14ac:dyDescent="0.3">
      <c r="A2704">
        <v>153004062</v>
      </c>
      <c r="B2704" s="1">
        <v>45135</v>
      </c>
      <c r="C2704" t="s">
        <v>19</v>
      </c>
      <c r="D2704" t="s">
        <v>7</v>
      </c>
      <c r="E2704">
        <v>39</v>
      </c>
      <c r="F2704" t="s">
        <v>6</v>
      </c>
      <c r="G2704" t="str">
        <f t="shared" si="90"/>
        <v>Active</v>
      </c>
      <c r="H2704" s="1" t="str">
        <f t="shared" si="91"/>
        <v>Friday</v>
      </c>
    </row>
    <row r="2705" spans="1:8" x14ac:dyDescent="0.3">
      <c r="A2705">
        <v>151015350</v>
      </c>
      <c r="B2705" s="1">
        <v>45135</v>
      </c>
      <c r="C2705" t="s">
        <v>19</v>
      </c>
      <c r="D2705" t="s">
        <v>7</v>
      </c>
      <c r="E2705">
        <v>39</v>
      </c>
      <c r="F2705" t="s">
        <v>6</v>
      </c>
      <c r="G2705" t="str">
        <f t="shared" si="90"/>
        <v>Active</v>
      </c>
      <c r="H2705" s="1" t="str">
        <f t="shared" si="91"/>
        <v>Friday</v>
      </c>
    </row>
    <row r="2706" spans="1:8" x14ac:dyDescent="0.3">
      <c r="A2706">
        <v>147696294</v>
      </c>
      <c r="B2706" s="1">
        <v>45135</v>
      </c>
      <c r="C2706" t="s">
        <v>19</v>
      </c>
      <c r="D2706" t="s">
        <v>7</v>
      </c>
      <c r="E2706">
        <v>39</v>
      </c>
      <c r="F2706" t="s">
        <v>6</v>
      </c>
      <c r="G2706" t="str">
        <f t="shared" si="90"/>
        <v>Active</v>
      </c>
      <c r="H2706" s="1" t="str">
        <f t="shared" si="91"/>
        <v>Friday</v>
      </c>
    </row>
    <row r="2707" spans="1:8" x14ac:dyDescent="0.3">
      <c r="A2707">
        <v>218255956</v>
      </c>
      <c r="B2707" s="1">
        <v>45135</v>
      </c>
      <c r="C2707" t="s">
        <v>19</v>
      </c>
      <c r="D2707" t="s">
        <v>7</v>
      </c>
      <c r="E2707">
        <v>39</v>
      </c>
      <c r="F2707" t="s">
        <v>6</v>
      </c>
      <c r="G2707" t="str">
        <f t="shared" si="90"/>
        <v>Active</v>
      </c>
      <c r="H2707" s="1" t="str">
        <f t="shared" si="91"/>
        <v>Friday</v>
      </c>
    </row>
    <row r="2708" spans="1:8" x14ac:dyDescent="0.3">
      <c r="A2708">
        <v>218510841</v>
      </c>
      <c r="B2708" s="1">
        <v>45135</v>
      </c>
      <c r="C2708" t="s">
        <v>19</v>
      </c>
      <c r="D2708" t="s">
        <v>7</v>
      </c>
      <c r="E2708">
        <v>39</v>
      </c>
      <c r="F2708" t="s">
        <v>6</v>
      </c>
      <c r="G2708" t="str">
        <f t="shared" si="90"/>
        <v>Active</v>
      </c>
      <c r="H2708" s="1" t="str">
        <f t="shared" si="91"/>
        <v>Friday</v>
      </c>
    </row>
    <row r="2709" spans="1:8" x14ac:dyDescent="0.3">
      <c r="A2709">
        <v>130864124</v>
      </c>
      <c r="B2709" s="1">
        <v>45135</v>
      </c>
      <c r="C2709" t="s">
        <v>19</v>
      </c>
      <c r="D2709" t="s">
        <v>7</v>
      </c>
      <c r="E2709">
        <v>39</v>
      </c>
      <c r="F2709" t="s">
        <v>6</v>
      </c>
      <c r="G2709" t="str">
        <f t="shared" si="90"/>
        <v>Active</v>
      </c>
      <c r="H2709" s="1" t="str">
        <f t="shared" si="91"/>
        <v>Friday</v>
      </c>
    </row>
    <row r="2710" spans="1:8" x14ac:dyDescent="0.3">
      <c r="A2710">
        <v>219194059</v>
      </c>
      <c r="B2710" s="1">
        <v>45135</v>
      </c>
      <c r="C2710" t="s">
        <v>19</v>
      </c>
      <c r="D2710" t="s">
        <v>7</v>
      </c>
      <c r="E2710">
        <v>39</v>
      </c>
      <c r="F2710" t="s">
        <v>6</v>
      </c>
      <c r="G2710" t="str">
        <f t="shared" si="90"/>
        <v>Active</v>
      </c>
      <c r="H2710" s="1" t="str">
        <f t="shared" si="91"/>
        <v>Friday</v>
      </c>
    </row>
    <row r="2711" spans="1:8" x14ac:dyDescent="0.3">
      <c r="A2711">
        <v>219254134</v>
      </c>
      <c r="B2711" s="1">
        <v>45135</v>
      </c>
      <c r="C2711" t="s">
        <v>19</v>
      </c>
      <c r="D2711" t="s">
        <v>7</v>
      </c>
      <c r="E2711">
        <v>39</v>
      </c>
      <c r="F2711" t="s">
        <v>6</v>
      </c>
      <c r="G2711" t="str">
        <f t="shared" si="90"/>
        <v>Active</v>
      </c>
      <c r="H2711" s="1" t="str">
        <f t="shared" si="91"/>
        <v>Friday</v>
      </c>
    </row>
    <row r="2712" spans="1:8" x14ac:dyDescent="0.3">
      <c r="A2712">
        <v>215881016</v>
      </c>
      <c r="B2712" s="1">
        <v>45135</v>
      </c>
      <c r="C2712" t="s">
        <v>19</v>
      </c>
      <c r="D2712" t="s">
        <v>7</v>
      </c>
      <c r="E2712">
        <v>39</v>
      </c>
      <c r="F2712" t="s">
        <v>6</v>
      </c>
      <c r="G2712" t="str">
        <f t="shared" si="90"/>
        <v>Active</v>
      </c>
      <c r="H2712" s="1" t="str">
        <f t="shared" si="91"/>
        <v>Friday</v>
      </c>
    </row>
    <row r="2713" spans="1:8" x14ac:dyDescent="0.3">
      <c r="A2713">
        <v>217361520</v>
      </c>
      <c r="B2713" s="1">
        <v>45135</v>
      </c>
      <c r="C2713" t="s">
        <v>19</v>
      </c>
      <c r="D2713" t="s">
        <v>7</v>
      </c>
      <c r="E2713">
        <v>39</v>
      </c>
      <c r="F2713" t="s">
        <v>6</v>
      </c>
      <c r="G2713" t="str">
        <f t="shared" si="90"/>
        <v>Active</v>
      </c>
      <c r="H2713" s="1" t="str">
        <f t="shared" si="91"/>
        <v>Friday</v>
      </c>
    </row>
    <row r="2714" spans="1:8" x14ac:dyDescent="0.3">
      <c r="A2714">
        <v>219265654</v>
      </c>
      <c r="B2714" s="1">
        <v>45135</v>
      </c>
      <c r="C2714" t="s">
        <v>19</v>
      </c>
      <c r="D2714" t="s">
        <v>7</v>
      </c>
      <c r="E2714">
        <v>39</v>
      </c>
      <c r="F2714" t="s">
        <v>6</v>
      </c>
      <c r="G2714" t="str">
        <f t="shared" si="90"/>
        <v>Active</v>
      </c>
      <c r="H2714" s="1" t="str">
        <f t="shared" si="91"/>
        <v>Friday</v>
      </c>
    </row>
    <row r="2715" spans="1:8" x14ac:dyDescent="0.3">
      <c r="A2715">
        <v>175491846</v>
      </c>
      <c r="B2715" s="1">
        <v>45135</v>
      </c>
      <c r="C2715" s="1">
        <v>45136</v>
      </c>
      <c r="D2715" t="s">
        <v>7</v>
      </c>
      <c r="E2715">
        <v>39</v>
      </c>
      <c r="F2715" t="s">
        <v>6</v>
      </c>
      <c r="G2715">
        <f t="shared" si="90"/>
        <v>1</v>
      </c>
      <c r="H2715" s="1" t="str">
        <f t="shared" si="91"/>
        <v>Friday</v>
      </c>
    </row>
    <row r="2716" spans="1:8" x14ac:dyDescent="0.3">
      <c r="A2716">
        <v>212603850</v>
      </c>
      <c r="B2716" s="1">
        <v>45135</v>
      </c>
      <c r="C2716" s="1">
        <v>45164</v>
      </c>
      <c r="D2716" t="s">
        <v>7</v>
      </c>
      <c r="E2716">
        <v>39</v>
      </c>
      <c r="F2716" t="s">
        <v>6</v>
      </c>
      <c r="G2716">
        <f t="shared" si="90"/>
        <v>29</v>
      </c>
      <c r="H2716" s="1" t="str">
        <f t="shared" si="91"/>
        <v>Friday</v>
      </c>
    </row>
    <row r="2717" spans="1:8" x14ac:dyDescent="0.3">
      <c r="A2717">
        <v>219307145</v>
      </c>
      <c r="B2717" s="1">
        <v>45136</v>
      </c>
      <c r="C2717" t="s">
        <v>19</v>
      </c>
      <c r="D2717" t="s">
        <v>7</v>
      </c>
      <c r="E2717">
        <v>39</v>
      </c>
      <c r="F2717" t="s">
        <v>6</v>
      </c>
      <c r="G2717" t="str">
        <f t="shared" si="90"/>
        <v>Active</v>
      </c>
      <c r="H2717" s="1" t="str">
        <f t="shared" si="91"/>
        <v>Saturday</v>
      </c>
    </row>
    <row r="2718" spans="1:8" x14ac:dyDescent="0.3">
      <c r="A2718">
        <v>212937420</v>
      </c>
      <c r="B2718" s="1">
        <v>45136</v>
      </c>
      <c r="C2718" s="1">
        <v>45174</v>
      </c>
      <c r="D2718" t="s">
        <v>7</v>
      </c>
      <c r="E2718">
        <v>39</v>
      </c>
      <c r="F2718" t="s">
        <v>6</v>
      </c>
      <c r="G2718">
        <f t="shared" si="90"/>
        <v>38</v>
      </c>
      <c r="H2718" s="1" t="str">
        <f t="shared" si="91"/>
        <v>Saturday</v>
      </c>
    </row>
    <row r="2719" spans="1:8" x14ac:dyDescent="0.3">
      <c r="A2719">
        <v>219318511</v>
      </c>
      <c r="B2719" s="1">
        <v>45136</v>
      </c>
      <c r="C2719" s="1">
        <v>45156</v>
      </c>
      <c r="D2719" t="s">
        <v>7</v>
      </c>
      <c r="E2719">
        <v>39</v>
      </c>
      <c r="F2719" t="s">
        <v>6</v>
      </c>
      <c r="G2719">
        <f t="shared" si="90"/>
        <v>20</v>
      </c>
      <c r="H2719" s="1" t="str">
        <f t="shared" si="91"/>
        <v>Saturday</v>
      </c>
    </row>
    <row r="2720" spans="1:8" x14ac:dyDescent="0.3">
      <c r="A2720">
        <v>218513479</v>
      </c>
      <c r="B2720" s="1">
        <v>45136</v>
      </c>
      <c r="C2720" s="1">
        <v>45163</v>
      </c>
      <c r="D2720" t="s">
        <v>7</v>
      </c>
      <c r="E2720">
        <v>39</v>
      </c>
      <c r="F2720" t="s">
        <v>6</v>
      </c>
      <c r="G2720">
        <f t="shared" si="90"/>
        <v>27</v>
      </c>
      <c r="H2720" s="1" t="str">
        <f t="shared" si="91"/>
        <v>Saturday</v>
      </c>
    </row>
    <row r="2721" spans="1:8" x14ac:dyDescent="0.3">
      <c r="A2721">
        <v>219301764</v>
      </c>
      <c r="B2721" s="1">
        <v>45136</v>
      </c>
      <c r="C2721" s="1">
        <v>45165</v>
      </c>
      <c r="D2721" t="s">
        <v>7</v>
      </c>
      <c r="E2721">
        <v>39</v>
      </c>
      <c r="F2721" t="s">
        <v>6</v>
      </c>
      <c r="G2721">
        <f t="shared" si="90"/>
        <v>29</v>
      </c>
      <c r="H2721" s="1" t="str">
        <f t="shared" si="91"/>
        <v>Saturday</v>
      </c>
    </row>
    <row r="2722" spans="1:8" x14ac:dyDescent="0.3">
      <c r="A2722">
        <v>125038257</v>
      </c>
      <c r="B2722" s="1">
        <v>45137</v>
      </c>
      <c r="C2722" t="s">
        <v>19</v>
      </c>
      <c r="D2722" t="s">
        <v>7</v>
      </c>
      <c r="E2722">
        <v>39</v>
      </c>
      <c r="F2722" t="s">
        <v>6</v>
      </c>
      <c r="G2722" t="str">
        <f t="shared" si="90"/>
        <v>Active</v>
      </c>
      <c r="H2722" s="1" t="str">
        <f t="shared" si="91"/>
        <v>Sunday</v>
      </c>
    </row>
    <row r="2723" spans="1:8" x14ac:dyDescent="0.3">
      <c r="A2723">
        <v>217813451</v>
      </c>
      <c r="B2723" s="1">
        <v>45137</v>
      </c>
      <c r="C2723" t="s">
        <v>19</v>
      </c>
      <c r="D2723" t="s">
        <v>7</v>
      </c>
      <c r="E2723">
        <v>39</v>
      </c>
      <c r="F2723" t="s">
        <v>6</v>
      </c>
      <c r="G2723" t="str">
        <f t="shared" si="90"/>
        <v>Active</v>
      </c>
      <c r="H2723" s="1" t="str">
        <f t="shared" si="91"/>
        <v>Sunday</v>
      </c>
    </row>
    <row r="2724" spans="1:8" x14ac:dyDescent="0.3">
      <c r="A2724">
        <v>162859352</v>
      </c>
      <c r="B2724" s="1">
        <v>45137</v>
      </c>
      <c r="C2724" s="1">
        <v>45138</v>
      </c>
      <c r="D2724" t="s">
        <v>8</v>
      </c>
      <c r="E2724">
        <v>39</v>
      </c>
      <c r="F2724" t="s">
        <v>6</v>
      </c>
      <c r="G2724">
        <f t="shared" si="90"/>
        <v>1</v>
      </c>
      <c r="H2724" s="1" t="str">
        <f t="shared" si="91"/>
        <v>Sunday</v>
      </c>
    </row>
    <row r="2725" spans="1:8" x14ac:dyDescent="0.3">
      <c r="A2725">
        <v>146923161</v>
      </c>
      <c r="B2725" s="1">
        <v>45137</v>
      </c>
      <c r="C2725" s="1">
        <v>45175</v>
      </c>
      <c r="D2725" t="s">
        <v>7</v>
      </c>
      <c r="E2725">
        <v>39</v>
      </c>
      <c r="F2725" t="s">
        <v>6</v>
      </c>
      <c r="G2725">
        <f t="shared" si="90"/>
        <v>38</v>
      </c>
      <c r="H2725" s="1" t="str">
        <f t="shared" si="91"/>
        <v>Sunday</v>
      </c>
    </row>
    <row r="2726" spans="1:8" x14ac:dyDescent="0.3">
      <c r="A2726">
        <v>206699284</v>
      </c>
      <c r="B2726" s="1">
        <v>45137</v>
      </c>
      <c r="C2726" s="1">
        <v>45166</v>
      </c>
      <c r="D2726" t="s">
        <v>7</v>
      </c>
      <c r="E2726">
        <v>39</v>
      </c>
      <c r="F2726" t="s">
        <v>6</v>
      </c>
      <c r="G2726">
        <f t="shared" si="90"/>
        <v>29</v>
      </c>
      <c r="H2726" s="1" t="str">
        <f t="shared" si="91"/>
        <v>Sunday</v>
      </c>
    </row>
    <row r="2727" spans="1:8" x14ac:dyDescent="0.3">
      <c r="A2727">
        <v>219330169</v>
      </c>
      <c r="B2727" s="1">
        <v>45137</v>
      </c>
      <c r="C2727" s="1">
        <v>45166</v>
      </c>
      <c r="D2727" t="s">
        <v>7</v>
      </c>
      <c r="E2727">
        <v>39</v>
      </c>
      <c r="F2727" t="s">
        <v>6</v>
      </c>
      <c r="G2727">
        <f t="shared" si="90"/>
        <v>29</v>
      </c>
      <c r="H2727" s="1" t="str">
        <f t="shared" si="91"/>
        <v>Sunday</v>
      </c>
    </row>
    <row r="2728" spans="1:8" x14ac:dyDescent="0.3">
      <c r="A2728">
        <v>219404710</v>
      </c>
      <c r="B2728" s="1">
        <v>45138</v>
      </c>
      <c r="C2728" t="s">
        <v>19</v>
      </c>
      <c r="D2728" t="s">
        <v>7</v>
      </c>
      <c r="E2728">
        <v>39</v>
      </c>
      <c r="F2728" t="s">
        <v>6</v>
      </c>
      <c r="G2728" t="str">
        <f t="shared" si="90"/>
        <v>Active</v>
      </c>
      <c r="H2728" s="1" t="str">
        <f t="shared" si="91"/>
        <v>Monday</v>
      </c>
    </row>
    <row r="2729" spans="1:8" x14ac:dyDescent="0.3">
      <c r="A2729">
        <v>219402896</v>
      </c>
      <c r="B2729" s="1">
        <v>45138</v>
      </c>
      <c r="C2729" t="s">
        <v>19</v>
      </c>
      <c r="D2729" t="s">
        <v>7</v>
      </c>
      <c r="E2729">
        <v>39</v>
      </c>
      <c r="F2729" t="s">
        <v>6</v>
      </c>
      <c r="G2729" t="str">
        <f t="shared" si="90"/>
        <v>Active</v>
      </c>
      <c r="H2729" s="1" t="str">
        <f t="shared" si="91"/>
        <v>Monday</v>
      </c>
    </row>
    <row r="2730" spans="1:8" x14ac:dyDescent="0.3">
      <c r="A2730">
        <v>214129448</v>
      </c>
      <c r="B2730" s="1">
        <v>45138</v>
      </c>
      <c r="C2730" t="s">
        <v>19</v>
      </c>
      <c r="D2730" t="s">
        <v>7</v>
      </c>
      <c r="E2730">
        <v>39</v>
      </c>
      <c r="F2730" t="s">
        <v>6</v>
      </c>
      <c r="G2730" t="str">
        <f t="shared" si="90"/>
        <v>Active</v>
      </c>
      <c r="H2730" s="1" t="str">
        <f t="shared" si="91"/>
        <v>Monday</v>
      </c>
    </row>
    <row r="2731" spans="1:8" x14ac:dyDescent="0.3">
      <c r="A2731">
        <v>219218929</v>
      </c>
      <c r="B2731" s="1">
        <v>45138</v>
      </c>
      <c r="C2731" t="s">
        <v>19</v>
      </c>
      <c r="D2731" t="s">
        <v>7</v>
      </c>
      <c r="E2731">
        <v>39</v>
      </c>
      <c r="F2731" t="s">
        <v>6</v>
      </c>
      <c r="G2731" t="str">
        <f t="shared" si="90"/>
        <v>Active</v>
      </c>
      <c r="H2731" s="1" t="str">
        <f t="shared" si="91"/>
        <v>Monday</v>
      </c>
    </row>
    <row r="2732" spans="1:8" x14ac:dyDescent="0.3">
      <c r="A2732">
        <v>219385880</v>
      </c>
      <c r="B2732" s="1">
        <v>45138</v>
      </c>
      <c r="C2732" t="s">
        <v>19</v>
      </c>
      <c r="D2732" t="s">
        <v>7</v>
      </c>
      <c r="E2732">
        <v>39</v>
      </c>
      <c r="F2732" t="s">
        <v>6</v>
      </c>
      <c r="G2732" t="str">
        <f t="shared" si="90"/>
        <v>Active</v>
      </c>
      <c r="H2732" s="1" t="str">
        <f t="shared" si="91"/>
        <v>Monday</v>
      </c>
    </row>
    <row r="2733" spans="1:8" x14ac:dyDescent="0.3">
      <c r="A2733">
        <v>219368039</v>
      </c>
      <c r="B2733" s="1">
        <v>45138</v>
      </c>
      <c r="C2733" t="s">
        <v>19</v>
      </c>
      <c r="D2733" t="s">
        <v>7</v>
      </c>
      <c r="E2733">
        <v>39</v>
      </c>
      <c r="F2733" t="s">
        <v>6</v>
      </c>
      <c r="G2733" t="str">
        <f t="shared" si="90"/>
        <v>Active</v>
      </c>
      <c r="H2733" s="1" t="str">
        <f t="shared" si="91"/>
        <v>Monday</v>
      </c>
    </row>
    <row r="2734" spans="1:8" x14ac:dyDescent="0.3">
      <c r="A2734">
        <v>219328313</v>
      </c>
      <c r="B2734" s="1">
        <v>45138</v>
      </c>
      <c r="C2734" t="s">
        <v>19</v>
      </c>
      <c r="D2734" t="s">
        <v>7</v>
      </c>
      <c r="E2734">
        <v>39</v>
      </c>
      <c r="F2734" t="s">
        <v>6</v>
      </c>
      <c r="G2734" t="str">
        <f t="shared" si="90"/>
        <v>Active</v>
      </c>
      <c r="H2734" s="1" t="str">
        <f t="shared" si="91"/>
        <v>Monday</v>
      </c>
    </row>
    <row r="2735" spans="1:8" x14ac:dyDescent="0.3">
      <c r="A2735">
        <v>219185386</v>
      </c>
      <c r="B2735" s="1">
        <v>45138</v>
      </c>
      <c r="C2735" s="1">
        <v>45139</v>
      </c>
      <c r="D2735" t="s">
        <v>8</v>
      </c>
      <c r="E2735">
        <v>39</v>
      </c>
      <c r="F2735" t="s">
        <v>6</v>
      </c>
      <c r="G2735">
        <f t="shared" si="90"/>
        <v>1</v>
      </c>
      <c r="H2735" s="1" t="str">
        <f t="shared" si="91"/>
        <v>Monday</v>
      </c>
    </row>
    <row r="2736" spans="1:8" x14ac:dyDescent="0.3">
      <c r="A2736">
        <v>183712256</v>
      </c>
      <c r="B2736" s="1">
        <v>45138</v>
      </c>
      <c r="C2736" s="1">
        <v>45146</v>
      </c>
      <c r="D2736" t="s">
        <v>7</v>
      </c>
      <c r="E2736">
        <v>39</v>
      </c>
      <c r="F2736" t="s">
        <v>6</v>
      </c>
      <c r="G2736">
        <f t="shared" si="90"/>
        <v>8</v>
      </c>
      <c r="H2736" s="1" t="str">
        <f t="shared" si="91"/>
        <v>Monday</v>
      </c>
    </row>
    <row r="2737" spans="1:8" x14ac:dyDescent="0.3">
      <c r="A2737">
        <v>217624207</v>
      </c>
      <c r="B2737" s="1">
        <v>45139</v>
      </c>
      <c r="C2737" t="s">
        <v>19</v>
      </c>
      <c r="D2737" t="s">
        <v>7</v>
      </c>
      <c r="E2737">
        <v>39</v>
      </c>
      <c r="F2737" t="s">
        <v>6</v>
      </c>
      <c r="G2737" t="str">
        <f t="shared" si="90"/>
        <v>Active</v>
      </c>
      <c r="H2737" s="1" t="str">
        <f t="shared" si="91"/>
        <v>Tuesday</v>
      </c>
    </row>
    <row r="2738" spans="1:8" x14ac:dyDescent="0.3">
      <c r="A2738">
        <v>218938921</v>
      </c>
      <c r="B2738" s="1">
        <v>45139</v>
      </c>
      <c r="C2738" t="s">
        <v>19</v>
      </c>
      <c r="D2738" t="s">
        <v>7</v>
      </c>
      <c r="E2738">
        <v>39</v>
      </c>
      <c r="F2738" t="s">
        <v>6</v>
      </c>
      <c r="G2738" t="str">
        <f t="shared" si="90"/>
        <v>Active</v>
      </c>
      <c r="H2738" s="1" t="str">
        <f t="shared" si="91"/>
        <v>Tuesday</v>
      </c>
    </row>
    <row r="2739" spans="1:8" x14ac:dyDescent="0.3">
      <c r="A2739">
        <v>147145693</v>
      </c>
      <c r="B2739" s="1">
        <v>45139</v>
      </c>
      <c r="C2739" t="s">
        <v>19</v>
      </c>
      <c r="D2739" t="s">
        <v>7</v>
      </c>
      <c r="E2739">
        <v>39</v>
      </c>
      <c r="F2739" t="s">
        <v>6</v>
      </c>
      <c r="G2739" t="str">
        <f t="shared" si="90"/>
        <v>Active</v>
      </c>
      <c r="H2739" s="1" t="str">
        <f t="shared" si="91"/>
        <v>Tuesday</v>
      </c>
    </row>
    <row r="2740" spans="1:8" x14ac:dyDescent="0.3">
      <c r="A2740">
        <v>218459038</v>
      </c>
      <c r="B2740" s="1">
        <v>45139</v>
      </c>
      <c r="C2740" t="s">
        <v>19</v>
      </c>
      <c r="D2740" t="s">
        <v>7</v>
      </c>
      <c r="E2740">
        <v>39</v>
      </c>
      <c r="F2740" t="s">
        <v>6</v>
      </c>
      <c r="G2740" t="str">
        <f t="shared" si="90"/>
        <v>Active</v>
      </c>
      <c r="H2740" s="1" t="str">
        <f t="shared" si="91"/>
        <v>Tuesday</v>
      </c>
    </row>
    <row r="2741" spans="1:8" x14ac:dyDescent="0.3">
      <c r="A2741">
        <v>219395734</v>
      </c>
      <c r="B2741" s="1">
        <v>45139</v>
      </c>
      <c r="C2741" t="s">
        <v>19</v>
      </c>
      <c r="D2741" t="s">
        <v>7</v>
      </c>
      <c r="E2741">
        <v>39</v>
      </c>
      <c r="F2741" t="s">
        <v>6</v>
      </c>
      <c r="G2741" t="str">
        <f t="shared" si="90"/>
        <v>Active</v>
      </c>
      <c r="H2741" s="1" t="str">
        <f t="shared" si="91"/>
        <v>Tuesday</v>
      </c>
    </row>
    <row r="2742" spans="1:8" x14ac:dyDescent="0.3">
      <c r="A2742">
        <v>219413956</v>
      </c>
      <c r="B2742" s="1">
        <v>45139</v>
      </c>
      <c r="C2742" t="s">
        <v>19</v>
      </c>
      <c r="D2742" t="s">
        <v>7</v>
      </c>
      <c r="E2742">
        <v>39</v>
      </c>
      <c r="F2742" t="s">
        <v>6</v>
      </c>
      <c r="G2742" t="str">
        <f t="shared" si="90"/>
        <v>Active</v>
      </c>
      <c r="H2742" s="1" t="str">
        <f t="shared" si="91"/>
        <v>Tuesday</v>
      </c>
    </row>
    <row r="2743" spans="1:8" x14ac:dyDescent="0.3">
      <c r="A2743">
        <v>218562434</v>
      </c>
      <c r="B2743" s="1">
        <v>45139</v>
      </c>
      <c r="C2743" s="1">
        <v>45170</v>
      </c>
      <c r="D2743" t="s">
        <v>7</v>
      </c>
      <c r="E2743">
        <v>39</v>
      </c>
      <c r="F2743" t="s">
        <v>6</v>
      </c>
      <c r="G2743">
        <f t="shared" si="90"/>
        <v>31</v>
      </c>
      <c r="H2743" s="1" t="str">
        <f t="shared" si="91"/>
        <v>Tuesday</v>
      </c>
    </row>
    <row r="2744" spans="1:8" x14ac:dyDescent="0.3">
      <c r="A2744">
        <v>135521927</v>
      </c>
      <c r="B2744" s="1">
        <v>45139</v>
      </c>
      <c r="C2744" s="1">
        <v>45171</v>
      </c>
      <c r="D2744" t="s">
        <v>7</v>
      </c>
      <c r="E2744">
        <v>39</v>
      </c>
      <c r="F2744" t="s">
        <v>6</v>
      </c>
      <c r="G2744">
        <f t="shared" si="90"/>
        <v>32</v>
      </c>
      <c r="H2744" s="1" t="str">
        <f t="shared" si="91"/>
        <v>Tuesday</v>
      </c>
    </row>
    <row r="2745" spans="1:8" x14ac:dyDescent="0.3">
      <c r="A2745">
        <v>157035378</v>
      </c>
      <c r="B2745" s="1">
        <v>45139</v>
      </c>
      <c r="C2745" s="1">
        <v>45169</v>
      </c>
      <c r="D2745" t="s">
        <v>7</v>
      </c>
      <c r="E2745">
        <v>39</v>
      </c>
      <c r="F2745" t="s">
        <v>6</v>
      </c>
      <c r="G2745">
        <f t="shared" si="90"/>
        <v>30</v>
      </c>
      <c r="H2745" s="1" t="str">
        <f t="shared" si="91"/>
        <v>Tuesday</v>
      </c>
    </row>
    <row r="2746" spans="1:8" x14ac:dyDescent="0.3">
      <c r="A2746">
        <v>219382434</v>
      </c>
      <c r="B2746" s="1">
        <v>45139</v>
      </c>
      <c r="C2746" s="1">
        <v>45169</v>
      </c>
      <c r="D2746" t="s">
        <v>7</v>
      </c>
      <c r="E2746">
        <v>39</v>
      </c>
      <c r="F2746" t="s">
        <v>6</v>
      </c>
      <c r="G2746">
        <f t="shared" si="90"/>
        <v>30</v>
      </c>
      <c r="H2746" s="1" t="str">
        <f t="shared" si="91"/>
        <v>Tuesday</v>
      </c>
    </row>
    <row r="2747" spans="1:8" x14ac:dyDescent="0.3">
      <c r="A2747">
        <v>208762353</v>
      </c>
      <c r="B2747" s="1">
        <v>45140</v>
      </c>
      <c r="C2747" t="s">
        <v>19</v>
      </c>
      <c r="D2747" t="s">
        <v>7</v>
      </c>
      <c r="E2747">
        <v>39</v>
      </c>
      <c r="F2747" t="s">
        <v>6</v>
      </c>
      <c r="G2747" t="str">
        <f t="shared" si="90"/>
        <v>Active</v>
      </c>
      <c r="H2747" s="1" t="str">
        <f t="shared" si="91"/>
        <v>Wednesday</v>
      </c>
    </row>
    <row r="2748" spans="1:8" x14ac:dyDescent="0.3">
      <c r="A2748">
        <v>218346336</v>
      </c>
      <c r="B2748" s="1">
        <v>45140</v>
      </c>
      <c r="C2748" t="s">
        <v>19</v>
      </c>
      <c r="D2748" t="s">
        <v>7</v>
      </c>
      <c r="E2748">
        <v>39</v>
      </c>
      <c r="F2748" t="s">
        <v>6</v>
      </c>
      <c r="G2748" t="str">
        <f t="shared" si="90"/>
        <v>Active</v>
      </c>
      <c r="H2748" s="1" t="str">
        <f t="shared" si="91"/>
        <v>Wednesday</v>
      </c>
    </row>
    <row r="2749" spans="1:8" x14ac:dyDescent="0.3">
      <c r="A2749">
        <v>219226230</v>
      </c>
      <c r="B2749" s="1">
        <v>45140</v>
      </c>
      <c r="C2749" t="s">
        <v>19</v>
      </c>
      <c r="D2749" t="s">
        <v>7</v>
      </c>
      <c r="E2749">
        <v>39</v>
      </c>
      <c r="F2749" t="s">
        <v>6</v>
      </c>
      <c r="G2749" t="str">
        <f t="shared" si="90"/>
        <v>Active</v>
      </c>
      <c r="H2749" s="1" t="str">
        <f t="shared" si="91"/>
        <v>Wednesday</v>
      </c>
    </row>
    <row r="2750" spans="1:8" x14ac:dyDescent="0.3">
      <c r="A2750">
        <v>219369515</v>
      </c>
      <c r="B2750" s="1">
        <v>45140</v>
      </c>
      <c r="C2750" t="s">
        <v>19</v>
      </c>
      <c r="D2750" t="s">
        <v>7</v>
      </c>
      <c r="E2750">
        <v>39</v>
      </c>
      <c r="F2750" t="s">
        <v>6</v>
      </c>
      <c r="G2750" t="str">
        <f t="shared" si="90"/>
        <v>Active</v>
      </c>
      <c r="H2750" s="1" t="str">
        <f t="shared" si="91"/>
        <v>Wednesday</v>
      </c>
    </row>
    <row r="2751" spans="1:8" x14ac:dyDescent="0.3">
      <c r="A2751">
        <v>204947361</v>
      </c>
      <c r="B2751" s="1">
        <v>45140</v>
      </c>
      <c r="C2751" t="s">
        <v>19</v>
      </c>
      <c r="D2751" t="s">
        <v>7</v>
      </c>
      <c r="E2751">
        <v>39</v>
      </c>
      <c r="F2751" t="s">
        <v>6</v>
      </c>
      <c r="G2751" t="str">
        <f t="shared" si="90"/>
        <v>Active</v>
      </c>
      <c r="H2751" s="1" t="str">
        <f t="shared" si="91"/>
        <v>Wednesday</v>
      </c>
    </row>
    <row r="2752" spans="1:8" x14ac:dyDescent="0.3">
      <c r="A2752">
        <v>212977568</v>
      </c>
      <c r="B2752" s="1">
        <v>45140</v>
      </c>
      <c r="C2752" t="s">
        <v>19</v>
      </c>
      <c r="D2752" t="s">
        <v>7</v>
      </c>
      <c r="E2752">
        <v>39</v>
      </c>
      <c r="F2752" t="s">
        <v>6</v>
      </c>
      <c r="G2752" t="str">
        <f t="shared" si="90"/>
        <v>Active</v>
      </c>
      <c r="H2752" s="1" t="str">
        <f t="shared" si="91"/>
        <v>Wednesday</v>
      </c>
    </row>
    <row r="2753" spans="1:8" x14ac:dyDescent="0.3">
      <c r="A2753">
        <v>217981717</v>
      </c>
      <c r="B2753" s="1">
        <v>45140</v>
      </c>
      <c r="C2753" t="s">
        <v>19</v>
      </c>
      <c r="D2753" t="s">
        <v>7</v>
      </c>
      <c r="E2753">
        <v>39</v>
      </c>
      <c r="F2753" t="s">
        <v>6</v>
      </c>
      <c r="G2753" t="str">
        <f t="shared" si="90"/>
        <v>Active</v>
      </c>
      <c r="H2753" s="1" t="str">
        <f t="shared" si="91"/>
        <v>Wednesday</v>
      </c>
    </row>
    <row r="2754" spans="1:8" x14ac:dyDescent="0.3">
      <c r="A2754">
        <v>219459089</v>
      </c>
      <c r="B2754" s="1">
        <v>45140</v>
      </c>
      <c r="C2754" t="s">
        <v>19</v>
      </c>
      <c r="D2754" t="s">
        <v>7</v>
      </c>
      <c r="E2754">
        <v>39</v>
      </c>
      <c r="F2754" t="s">
        <v>6</v>
      </c>
      <c r="G2754" t="str">
        <f t="shared" si="90"/>
        <v>Active</v>
      </c>
      <c r="H2754" s="1" t="str">
        <f t="shared" si="91"/>
        <v>Wednesday</v>
      </c>
    </row>
    <row r="2755" spans="1:8" x14ac:dyDescent="0.3">
      <c r="A2755">
        <v>193483420</v>
      </c>
      <c r="B2755" s="1">
        <v>45140</v>
      </c>
      <c r="C2755" t="s">
        <v>19</v>
      </c>
      <c r="D2755" t="s">
        <v>7</v>
      </c>
      <c r="E2755">
        <v>39</v>
      </c>
      <c r="F2755" t="s">
        <v>6</v>
      </c>
      <c r="G2755" t="str">
        <f t="shared" ref="G2755:G2818" si="92">IF(C2755="Active","Active",C2755-B2755)</f>
        <v>Active</v>
      </c>
      <c r="H2755" s="1" t="str">
        <f t="shared" ref="H2755:H2818" si="93">TEXT(B2755,"dddd")</f>
        <v>Wednesday</v>
      </c>
    </row>
    <row r="2756" spans="1:8" x14ac:dyDescent="0.3">
      <c r="A2756">
        <v>219496362</v>
      </c>
      <c r="B2756" s="1">
        <v>45140</v>
      </c>
      <c r="C2756" s="1">
        <v>45173</v>
      </c>
      <c r="D2756" t="s">
        <v>7</v>
      </c>
      <c r="E2756">
        <v>39</v>
      </c>
      <c r="F2756" t="s">
        <v>6</v>
      </c>
      <c r="G2756">
        <f t="shared" si="92"/>
        <v>33</v>
      </c>
      <c r="H2756" s="1" t="str">
        <f t="shared" si="93"/>
        <v>Wednesday</v>
      </c>
    </row>
    <row r="2757" spans="1:8" x14ac:dyDescent="0.3">
      <c r="A2757">
        <v>219398902</v>
      </c>
      <c r="B2757" s="1">
        <v>45140</v>
      </c>
      <c r="C2757" s="1">
        <v>45174</v>
      </c>
      <c r="D2757" t="s">
        <v>7</v>
      </c>
      <c r="E2757">
        <v>39</v>
      </c>
      <c r="F2757" t="s">
        <v>6</v>
      </c>
      <c r="G2757">
        <f t="shared" si="92"/>
        <v>34</v>
      </c>
      <c r="H2757" s="1" t="str">
        <f t="shared" si="93"/>
        <v>Wednesday</v>
      </c>
    </row>
    <row r="2758" spans="1:8" x14ac:dyDescent="0.3">
      <c r="A2758">
        <v>219497152</v>
      </c>
      <c r="B2758" s="1">
        <v>45140</v>
      </c>
      <c r="C2758" s="1">
        <v>45161</v>
      </c>
      <c r="D2758" t="s">
        <v>7</v>
      </c>
      <c r="E2758">
        <v>39</v>
      </c>
      <c r="F2758" t="s">
        <v>6</v>
      </c>
      <c r="G2758">
        <f t="shared" si="92"/>
        <v>21</v>
      </c>
      <c r="H2758" s="1" t="str">
        <f t="shared" si="93"/>
        <v>Wednesday</v>
      </c>
    </row>
    <row r="2759" spans="1:8" x14ac:dyDescent="0.3">
      <c r="A2759">
        <v>188426619</v>
      </c>
      <c r="B2759" s="1">
        <v>45140</v>
      </c>
      <c r="C2759" s="1">
        <v>45170</v>
      </c>
      <c r="D2759" t="s">
        <v>7</v>
      </c>
      <c r="E2759">
        <v>39</v>
      </c>
      <c r="F2759" t="s">
        <v>6</v>
      </c>
      <c r="G2759">
        <f t="shared" si="92"/>
        <v>30</v>
      </c>
      <c r="H2759" s="1" t="str">
        <f t="shared" si="93"/>
        <v>Wednesday</v>
      </c>
    </row>
    <row r="2760" spans="1:8" x14ac:dyDescent="0.3">
      <c r="A2760">
        <v>219470485</v>
      </c>
      <c r="B2760" s="1">
        <v>45140</v>
      </c>
      <c r="C2760" s="1">
        <v>45154</v>
      </c>
      <c r="D2760" t="s">
        <v>7</v>
      </c>
      <c r="E2760">
        <v>39</v>
      </c>
      <c r="F2760" t="s">
        <v>6</v>
      </c>
      <c r="G2760">
        <f t="shared" si="92"/>
        <v>14</v>
      </c>
      <c r="H2760" s="1" t="str">
        <f t="shared" si="93"/>
        <v>Wednesday</v>
      </c>
    </row>
    <row r="2761" spans="1:8" x14ac:dyDescent="0.3">
      <c r="A2761">
        <v>219460783</v>
      </c>
      <c r="B2761" s="1">
        <v>45140</v>
      </c>
      <c r="C2761" s="1">
        <v>45166</v>
      </c>
      <c r="D2761" t="s">
        <v>7</v>
      </c>
      <c r="E2761">
        <v>39</v>
      </c>
      <c r="F2761" t="s">
        <v>6</v>
      </c>
      <c r="G2761">
        <f t="shared" si="92"/>
        <v>26</v>
      </c>
      <c r="H2761" s="1" t="str">
        <f t="shared" si="93"/>
        <v>Wednesday</v>
      </c>
    </row>
    <row r="2762" spans="1:8" x14ac:dyDescent="0.3">
      <c r="A2762">
        <v>219512722</v>
      </c>
      <c r="B2762" s="1">
        <v>45141</v>
      </c>
      <c r="C2762" t="s">
        <v>19</v>
      </c>
      <c r="D2762" t="s">
        <v>7</v>
      </c>
      <c r="E2762">
        <v>39</v>
      </c>
      <c r="F2762" t="s">
        <v>6</v>
      </c>
      <c r="G2762" t="str">
        <f t="shared" si="92"/>
        <v>Active</v>
      </c>
      <c r="H2762" s="1" t="str">
        <f t="shared" si="93"/>
        <v>Thursday</v>
      </c>
    </row>
    <row r="2763" spans="1:8" x14ac:dyDescent="0.3">
      <c r="A2763">
        <v>199393176</v>
      </c>
      <c r="B2763" s="1">
        <v>45141</v>
      </c>
      <c r="C2763" t="s">
        <v>19</v>
      </c>
      <c r="D2763" t="s">
        <v>7</v>
      </c>
      <c r="E2763">
        <v>39</v>
      </c>
      <c r="F2763" t="s">
        <v>6</v>
      </c>
      <c r="G2763" t="str">
        <f t="shared" si="92"/>
        <v>Active</v>
      </c>
      <c r="H2763" s="1" t="str">
        <f t="shared" si="93"/>
        <v>Thursday</v>
      </c>
    </row>
    <row r="2764" spans="1:8" x14ac:dyDescent="0.3">
      <c r="A2764">
        <v>217368686</v>
      </c>
      <c r="B2764" s="1">
        <v>45141</v>
      </c>
      <c r="C2764" t="s">
        <v>19</v>
      </c>
      <c r="D2764" t="s">
        <v>7</v>
      </c>
      <c r="E2764">
        <v>39</v>
      </c>
      <c r="F2764" t="s">
        <v>6</v>
      </c>
      <c r="G2764" t="str">
        <f t="shared" si="92"/>
        <v>Active</v>
      </c>
      <c r="H2764" s="1" t="str">
        <f t="shared" si="93"/>
        <v>Thursday</v>
      </c>
    </row>
    <row r="2765" spans="1:8" x14ac:dyDescent="0.3">
      <c r="A2765">
        <v>218247056</v>
      </c>
      <c r="B2765" s="1">
        <v>45141</v>
      </c>
      <c r="C2765" t="s">
        <v>19</v>
      </c>
      <c r="D2765" t="s">
        <v>7</v>
      </c>
      <c r="E2765">
        <v>39</v>
      </c>
      <c r="F2765" t="s">
        <v>6</v>
      </c>
      <c r="G2765" t="str">
        <f t="shared" si="92"/>
        <v>Active</v>
      </c>
      <c r="H2765" s="1" t="str">
        <f t="shared" si="93"/>
        <v>Thursday</v>
      </c>
    </row>
    <row r="2766" spans="1:8" x14ac:dyDescent="0.3">
      <c r="A2766">
        <v>219439239</v>
      </c>
      <c r="B2766" s="1">
        <v>45141</v>
      </c>
      <c r="C2766" t="s">
        <v>19</v>
      </c>
      <c r="D2766" t="s">
        <v>7</v>
      </c>
      <c r="E2766">
        <v>39</v>
      </c>
      <c r="F2766" t="s">
        <v>6</v>
      </c>
      <c r="G2766" t="str">
        <f t="shared" si="92"/>
        <v>Active</v>
      </c>
      <c r="H2766" s="1" t="str">
        <f t="shared" si="93"/>
        <v>Thursday</v>
      </c>
    </row>
    <row r="2767" spans="1:8" x14ac:dyDescent="0.3">
      <c r="A2767">
        <v>188206991</v>
      </c>
      <c r="B2767" s="1">
        <v>45141</v>
      </c>
      <c r="C2767" t="s">
        <v>19</v>
      </c>
      <c r="D2767" t="s">
        <v>7</v>
      </c>
      <c r="E2767">
        <v>39</v>
      </c>
      <c r="F2767" t="s">
        <v>6</v>
      </c>
      <c r="G2767" t="str">
        <f t="shared" si="92"/>
        <v>Active</v>
      </c>
      <c r="H2767" s="1" t="str">
        <f t="shared" si="93"/>
        <v>Thursday</v>
      </c>
    </row>
    <row r="2768" spans="1:8" x14ac:dyDescent="0.3">
      <c r="A2768">
        <v>206470657</v>
      </c>
      <c r="B2768" s="1">
        <v>45141</v>
      </c>
      <c r="C2768" t="s">
        <v>19</v>
      </c>
      <c r="D2768" t="s">
        <v>7</v>
      </c>
      <c r="E2768">
        <v>39</v>
      </c>
      <c r="F2768" t="s">
        <v>6</v>
      </c>
      <c r="G2768" t="str">
        <f t="shared" si="92"/>
        <v>Active</v>
      </c>
      <c r="H2768" s="1" t="str">
        <f t="shared" si="93"/>
        <v>Thursday</v>
      </c>
    </row>
    <row r="2769" spans="1:8" x14ac:dyDescent="0.3">
      <c r="A2769">
        <v>218706730</v>
      </c>
      <c r="B2769" s="1">
        <v>45141</v>
      </c>
      <c r="C2769" t="s">
        <v>19</v>
      </c>
      <c r="D2769" t="s">
        <v>7</v>
      </c>
      <c r="E2769">
        <v>39</v>
      </c>
      <c r="F2769" t="s">
        <v>6</v>
      </c>
      <c r="G2769" t="str">
        <f t="shared" si="92"/>
        <v>Active</v>
      </c>
      <c r="H2769" s="1" t="str">
        <f t="shared" si="93"/>
        <v>Thursday</v>
      </c>
    </row>
    <row r="2770" spans="1:8" x14ac:dyDescent="0.3">
      <c r="A2770">
        <v>219512680</v>
      </c>
      <c r="B2770" s="1">
        <v>45141</v>
      </c>
      <c r="C2770" t="s">
        <v>19</v>
      </c>
      <c r="D2770" t="s">
        <v>7</v>
      </c>
      <c r="E2770">
        <v>39</v>
      </c>
      <c r="F2770" t="s">
        <v>6</v>
      </c>
      <c r="G2770" t="str">
        <f t="shared" si="92"/>
        <v>Active</v>
      </c>
      <c r="H2770" s="1" t="str">
        <f t="shared" si="93"/>
        <v>Thursday</v>
      </c>
    </row>
    <row r="2771" spans="1:8" x14ac:dyDescent="0.3">
      <c r="A2771">
        <v>125335731</v>
      </c>
      <c r="B2771" s="1">
        <v>45141</v>
      </c>
      <c r="C2771" t="s">
        <v>19</v>
      </c>
      <c r="D2771" t="s">
        <v>7</v>
      </c>
      <c r="E2771">
        <v>39</v>
      </c>
      <c r="F2771" t="s">
        <v>6</v>
      </c>
      <c r="G2771" t="str">
        <f t="shared" si="92"/>
        <v>Active</v>
      </c>
      <c r="H2771" s="1" t="str">
        <f t="shared" si="93"/>
        <v>Thursday</v>
      </c>
    </row>
    <row r="2772" spans="1:8" x14ac:dyDescent="0.3">
      <c r="A2772">
        <v>160598122</v>
      </c>
      <c r="B2772" s="1">
        <v>45141</v>
      </c>
      <c r="C2772" t="s">
        <v>19</v>
      </c>
      <c r="D2772" t="s">
        <v>7</v>
      </c>
      <c r="E2772">
        <v>39</v>
      </c>
      <c r="F2772" t="s">
        <v>6</v>
      </c>
      <c r="G2772" t="str">
        <f t="shared" si="92"/>
        <v>Active</v>
      </c>
      <c r="H2772" s="1" t="str">
        <f t="shared" si="93"/>
        <v>Thursday</v>
      </c>
    </row>
    <row r="2773" spans="1:8" x14ac:dyDescent="0.3">
      <c r="A2773">
        <v>218414156</v>
      </c>
      <c r="B2773" s="1">
        <v>45141</v>
      </c>
      <c r="C2773" t="s">
        <v>19</v>
      </c>
      <c r="D2773" t="s">
        <v>7</v>
      </c>
      <c r="E2773">
        <v>39</v>
      </c>
      <c r="F2773" t="s">
        <v>6</v>
      </c>
      <c r="G2773" t="str">
        <f t="shared" si="92"/>
        <v>Active</v>
      </c>
      <c r="H2773" s="1" t="str">
        <f t="shared" si="93"/>
        <v>Thursday</v>
      </c>
    </row>
    <row r="2774" spans="1:8" x14ac:dyDescent="0.3">
      <c r="A2774">
        <v>206455504</v>
      </c>
      <c r="B2774" s="1">
        <v>45141</v>
      </c>
      <c r="C2774" s="1">
        <v>45170</v>
      </c>
      <c r="D2774" t="s">
        <v>7</v>
      </c>
      <c r="E2774">
        <v>39</v>
      </c>
      <c r="F2774" t="s">
        <v>6</v>
      </c>
      <c r="G2774">
        <f t="shared" si="92"/>
        <v>29</v>
      </c>
      <c r="H2774" s="1" t="str">
        <f t="shared" si="93"/>
        <v>Thursday</v>
      </c>
    </row>
    <row r="2775" spans="1:8" x14ac:dyDescent="0.3">
      <c r="A2775">
        <v>202589094</v>
      </c>
      <c r="B2775" s="1">
        <v>45141</v>
      </c>
      <c r="C2775" s="1">
        <v>45172</v>
      </c>
      <c r="D2775" t="s">
        <v>7</v>
      </c>
      <c r="E2775">
        <v>39</v>
      </c>
      <c r="F2775" t="s">
        <v>6</v>
      </c>
      <c r="G2775">
        <f t="shared" si="92"/>
        <v>31</v>
      </c>
      <c r="H2775" s="1" t="str">
        <f t="shared" si="93"/>
        <v>Thursday</v>
      </c>
    </row>
    <row r="2776" spans="1:8" x14ac:dyDescent="0.3">
      <c r="A2776">
        <v>129747676</v>
      </c>
      <c r="B2776" s="1">
        <v>45141</v>
      </c>
      <c r="C2776" s="1">
        <v>45175</v>
      </c>
      <c r="D2776" t="s">
        <v>7</v>
      </c>
      <c r="E2776">
        <v>39</v>
      </c>
      <c r="F2776" t="s">
        <v>6</v>
      </c>
      <c r="G2776">
        <f t="shared" si="92"/>
        <v>34</v>
      </c>
      <c r="H2776" s="1" t="str">
        <f t="shared" si="93"/>
        <v>Thursday</v>
      </c>
    </row>
    <row r="2777" spans="1:8" x14ac:dyDescent="0.3">
      <c r="A2777">
        <v>219511614</v>
      </c>
      <c r="B2777" s="1">
        <v>45141</v>
      </c>
      <c r="C2777" s="1">
        <v>45170</v>
      </c>
      <c r="D2777" t="s">
        <v>7</v>
      </c>
      <c r="E2777">
        <v>39</v>
      </c>
      <c r="F2777" t="s">
        <v>6</v>
      </c>
      <c r="G2777">
        <f t="shared" si="92"/>
        <v>29</v>
      </c>
      <c r="H2777" s="1" t="str">
        <f t="shared" si="93"/>
        <v>Thursday</v>
      </c>
    </row>
    <row r="2778" spans="1:8" x14ac:dyDescent="0.3">
      <c r="A2778">
        <v>219491158</v>
      </c>
      <c r="B2778" s="1">
        <v>45142</v>
      </c>
      <c r="C2778" t="s">
        <v>19</v>
      </c>
      <c r="D2778" t="s">
        <v>7</v>
      </c>
      <c r="E2778">
        <v>39</v>
      </c>
      <c r="F2778" t="s">
        <v>6</v>
      </c>
      <c r="G2778" t="str">
        <f t="shared" si="92"/>
        <v>Active</v>
      </c>
      <c r="H2778" s="1" t="str">
        <f t="shared" si="93"/>
        <v>Friday</v>
      </c>
    </row>
    <row r="2779" spans="1:8" x14ac:dyDescent="0.3">
      <c r="A2779">
        <v>218790626</v>
      </c>
      <c r="B2779" s="1">
        <v>45142</v>
      </c>
      <c r="C2779" t="s">
        <v>19</v>
      </c>
      <c r="D2779" t="s">
        <v>7</v>
      </c>
      <c r="E2779">
        <v>39</v>
      </c>
      <c r="F2779" t="s">
        <v>6</v>
      </c>
      <c r="G2779" t="str">
        <f t="shared" si="92"/>
        <v>Active</v>
      </c>
      <c r="H2779" s="1" t="str">
        <f t="shared" si="93"/>
        <v>Friday</v>
      </c>
    </row>
    <row r="2780" spans="1:8" x14ac:dyDescent="0.3">
      <c r="A2780">
        <v>219476808</v>
      </c>
      <c r="B2780" s="1">
        <v>45142</v>
      </c>
      <c r="C2780" t="s">
        <v>19</v>
      </c>
      <c r="D2780" t="s">
        <v>7</v>
      </c>
      <c r="E2780">
        <v>39</v>
      </c>
      <c r="F2780" t="s">
        <v>6</v>
      </c>
      <c r="G2780" t="str">
        <f t="shared" si="92"/>
        <v>Active</v>
      </c>
      <c r="H2780" s="1" t="str">
        <f t="shared" si="93"/>
        <v>Friday</v>
      </c>
    </row>
    <row r="2781" spans="1:8" x14ac:dyDescent="0.3">
      <c r="A2781">
        <v>218585706</v>
      </c>
      <c r="B2781" s="1">
        <v>45142</v>
      </c>
      <c r="C2781" t="s">
        <v>19</v>
      </c>
      <c r="D2781" t="s">
        <v>7</v>
      </c>
      <c r="E2781">
        <v>39</v>
      </c>
      <c r="F2781" t="s">
        <v>6</v>
      </c>
      <c r="G2781" t="str">
        <f t="shared" si="92"/>
        <v>Active</v>
      </c>
      <c r="H2781" s="1" t="str">
        <f t="shared" si="93"/>
        <v>Friday</v>
      </c>
    </row>
    <row r="2782" spans="1:8" x14ac:dyDescent="0.3">
      <c r="A2782">
        <v>219316901</v>
      </c>
      <c r="B2782" s="1">
        <v>45142</v>
      </c>
      <c r="C2782" t="s">
        <v>19</v>
      </c>
      <c r="D2782" t="s">
        <v>7</v>
      </c>
      <c r="E2782">
        <v>39</v>
      </c>
      <c r="F2782" t="s">
        <v>6</v>
      </c>
      <c r="G2782" t="str">
        <f t="shared" si="92"/>
        <v>Active</v>
      </c>
      <c r="H2782" s="1" t="str">
        <f t="shared" si="93"/>
        <v>Friday</v>
      </c>
    </row>
    <row r="2783" spans="1:8" x14ac:dyDescent="0.3">
      <c r="A2783">
        <v>217724278</v>
      </c>
      <c r="B2783" s="1">
        <v>45142</v>
      </c>
      <c r="C2783" t="s">
        <v>19</v>
      </c>
      <c r="D2783" t="s">
        <v>7</v>
      </c>
      <c r="E2783">
        <v>39</v>
      </c>
      <c r="F2783" t="s">
        <v>6</v>
      </c>
      <c r="G2783" t="str">
        <f t="shared" si="92"/>
        <v>Active</v>
      </c>
      <c r="H2783" s="1" t="str">
        <f t="shared" si="93"/>
        <v>Friday</v>
      </c>
    </row>
    <row r="2784" spans="1:8" x14ac:dyDescent="0.3">
      <c r="A2784">
        <v>155869412</v>
      </c>
      <c r="B2784" s="1">
        <v>45142</v>
      </c>
      <c r="C2784" t="s">
        <v>19</v>
      </c>
      <c r="D2784" t="s">
        <v>7</v>
      </c>
      <c r="E2784">
        <v>39</v>
      </c>
      <c r="F2784" t="s">
        <v>6</v>
      </c>
      <c r="G2784" t="str">
        <f t="shared" si="92"/>
        <v>Active</v>
      </c>
      <c r="H2784" s="1" t="str">
        <f t="shared" si="93"/>
        <v>Friday</v>
      </c>
    </row>
    <row r="2785" spans="1:8" x14ac:dyDescent="0.3">
      <c r="A2785">
        <v>164535832</v>
      </c>
      <c r="B2785" s="1">
        <v>45142</v>
      </c>
      <c r="C2785" t="s">
        <v>19</v>
      </c>
      <c r="D2785" t="s">
        <v>7</v>
      </c>
      <c r="E2785">
        <v>39</v>
      </c>
      <c r="F2785" t="s">
        <v>6</v>
      </c>
      <c r="G2785" t="str">
        <f t="shared" si="92"/>
        <v>Active</v>
      </c>
      <c r="H2785" s="1" t="str">
        <f t="shared" si="93"/>
        <v>Friday</v>
      </c>
    </row>
    <row r="2786" spans="1:8" x14ac:dyDescent="0.3">
      <c r="A2786">
        <v>219388064</v>
      </c>
      <c r="B2786" s="1">
        <v>45142</v>
      </c>
      <c r="C2786" t="s">
        <v>19</v>
      </c>
      <c r="D2786" t="s">
        <v>7</v>
      </c>
      <c r="E2786">
        <v>39</v>
      </c>
      <c r="F2786" t="s">
        <v>6</v>
      </c>
      <c r="G2786" t="str">
        <f t="shared" si="92"/>
        <v>Active</v>
      </c>
      <c r="H2786" s="1" t="str">
        <f t="shared" si="93"/>
        <v>Friday</v>
      </c>
    </row>
    <row r="2787" spans="1:8" x14ac:dyDescent="0.3">
      <c r="A2787">
        <v>218884048</v>
      </c>
      <c r="B2787" s="1">
        <v>45142</v>
      </c>
      <c r="C2787" s="1">
        <v>45160</v>
      </c>
      <c r="D2787" t="s">
        <v>7</v>
      </c>
      <c r="E2787">
        <v>39</v>
      </c>
      <c r="F2787" t="s">
        <v>6</v>
      </c>
      <c r="G2787">
        <f t="shared" si="92"/>
        <v>18</v>
      </c>
      <c r="H2787" s="1" t="str">
        <f t="shared" si="93"/>
        <v>Friday</v>
      </c>
    </row>
    <row r="2788" spans="1:8" x14ac:dyDescent="0.3">
      <c r="A2788">
        <v>219603078</v>
      </c>
      <c r="B2788" s="1">
        <v>45143</v>
      </c>
      <c r="C2788" t="s">
        <v>19</v>
      </c>
      <c r="D2788" t="s">
        <v>7</v>
      </c>
      <c r="E2788">
        <v>39</v>
      </c>
      <c r="F2788" t="s">
        <v>6</v>
      </c>
      <c r="G2788" t="str">
        <f t="shared" si="92"/>
        <v>Active</v>
      </c>
      <c r="H2788" s="1" t="str">
        <f t="shared" si="93"/>
        <v>Saturday</v>
      </c>
    </row>
    <row r="2789" spans="1:8" x14ac:dyDescent="0.3">
      <c r="A2789">
        <v>219146842</v>
      </c>
      <c r="B2789" s="1">
        <v>45143</v>
      </c>
      <c r="C2789" t="s">
        <v>19</v>
      </c>
      <c r="D2789" t="s">
        <v>7</v>
      </c>
      <c r="E2789">
        <v>39</v>
      </c>
      <c r="F2789" t="s">
        <v>6</v>
      </c>
      <c r="G2789" t="str">
        <f t="shared" si="92"/>
        <v>Active</v>
      </c>
      <c r="H2789" s="1" t="str">
        <f t="shared" si="93"/>
        <v>Saturday</v>
      </c>
    </row>
    <row r="2790" spans="1:8" x14ac:dyDescent="0.3">
      <c r="A2790">
        <v>206676416</v>
      </c>
      <c r="B2790" s="1">
        <v>45143</v>
      </c>
      <c r="C2790" t="s">
        <v>19</v>
      </c>
      <c r="D2790" t="s">
        <v>7</v>
      </c>
      <c r="E2790">
        <v>39</v>
      </c>
      <c r="F2790" t="s">
        <v>6</v>
      </c>
      <c r="G2790" t="str">
        <f t="shared" si="92"/>
        <v>Active</v>
      </c>
      <c r="H2790" s="1" t="str">
        <f t="shared" si="93"/>
        <v>Saturday</v>
      </c>
    </row>
    <row r="2791" spans="1:8" x14ac:dyDescent="0.3">
      <c r="A2791">
        <v>219615770</v>
      </c>
      <c r="B2791" s="1">
        <v>45143</v>
      </c>
      <c r="C2791" t="s">
        <v>19</v>
      </c>
      <c r="D2791" t="s">
        <v>7</v>
      </c>
      <c r="E2791">
        <v>39</v>
      </c>
      <c r="F2791" t="s">
        <v>6</v>
      </c>
      <c r="G2791" t="str">
        <f t="shared" si="92"/>
        <v>Active</v>
      </c>
      <c r="H2791" s="1" t="str">
        <f t="shared" si="93"/>
        <v>Saturday</v>
      </c>
    </row>
    <row r="2792" spans="1:8" x14ac:dyDescent="0.3">
      <c r="A2792">
        <v>219630379</v>
      </c>
      <c r="B2792" s="1">
        <v>45144</v>
      </c>
      <c r="C2792" t="s">
        <v>19</v>
      </c>
      <c r="D2792" t="s">
        <v>7</v>
      </c>
      <c r="E2792">
        <v>39</v>
      </c>
      <c r="F2792" t="s">
        <v>6</v>
      </c>
      <c r="G2792" t="str">
        <f t="shared" si="92"/>
        <v>Active</v>
      </c>
      <c r="H2792" s="1" t="str">
        <f t="shared" si="93"/>
        <v>Sunday</v>
      </c>
    </row>
    <row r="2793" spans="1:8" x14ac:dyDescent="0.3">
      <c r="A2793">
        <v>145096572</v>
      </c>
      <c r="B2793" s="1">
        <v>45144</v>
      </c>
      <c r="C2793" t="s">
        <v>19</v>
      </c>
      <c r="D2793" t="s">
        <v>7</v>
      </c>
      <c r="E2793">
        <v>39</v>
      </c>
      <c r="F2793" t="s">
        <v>6</v>
      </c>
      <c r="G2793" t="str">
        <f t="shared" si="92"/>
        <v>Active</v>
      </c>
      <c r="H2793" s="1" t="str">
        <f t="shared" si="93"/>
        <v>Sunday</v>
      </c>
    </row>
    <row r="2794" spans="1:8" x14ac:dyDescent="0.3">
      <c r="A2794">
        <v>144005898</v>
      </c>
      <c r="B2794" s="1">
        <v>45144</v>
      </c>
      <c r="C2794" t="s">
        <v>19</v>
      </c>
      <c r="D2794" t="s">
        <v>7</v>
      </c>
      <c r="E2794">
        <v>39</v>
      </c>
      <c r="F2794" t="s">
        <v>6</v>
      </c>
      <c r="G2794" t="str">
        <f t="shared" si="92"/>
        <v>Active</v>
      </c>
      <c r="H2794" s="1" t="str">
        <f t="shared" si="93"/>
        <v>Sunday</v>
      </c>
    </row>
    <row r="2795" spans="1:8" x14ac:dyDescent="0.3">
      <c r="A2795">
        <v>215189020</v>
      </c>
      <c r="B2795" s="1">
        <v>45144</v>
      </c>
      <c r="C2795" t="s">
        <v>19</v>
      </c>
      <c r="D2795" t="s">
        <v>7</v>
      </c>
      <c r="E2795">
        <v>39</v>
      </c>
      <c r="F2795" t="s">
        <v>6</v>
      </c>
      <c r="G2795" t="str">
        <f t="shared" si="92"/>
        <v>Active</v>
      </c>
      <c r="H2795" s="1" t="str">
        <f t="shared" si="93"/>
        <v>Sunday</v>
      </c>
    </row>
    <row r="2796" spans="1:8" x14ac:dyDescent="0.3">
      <c r="A2796">
        <v>188354637</v>
      </c>
      <c r="B2796" s="1">
        <v>45144</v>
      </c>
      <c r="C2796" s="1">
        <v>45158</v>
      </c>
      <c r="D2796" t="s">
        <v>7</v>
      </c>
      <c r="E2796">
        <v>39</v>
      </c>
      <c r="F2796" t="s">
        <v>6</v>
      </c>
      <c r="G2796">
        <f t="shared" si="92"/>
        <v>14</v>
      </c>
      <c r="H2796" s="1" t="str">
        <f t="shared" si="93"/>
        <v>Sunday</v>
      </c>
    </row>
    <row r="2797" spans="1:8" x14ac:dyDescent="0.3">
      <c r="A2797">
        <v>219668475</v>
      </c>
      <c r="B2797" s="1">
        <v>45145</v>
      </c>
      <c r="C2797" t="s">
        <v>19</v>
      </c>
      <c r="D2797" t="s">
        <v>7</v>
      </c>
      <c r="E2797">
        <v>39</v>
      </c>
      <c r="F2797" t="s">
        <v>6</v>
      </c>
      <c r="G2797" t="str">
        <f t="shared" si="92"/>
        <v>Active</v>
      </c>
      <c r="H2797" s="1" t="str">
        <f t="shared" si="93"/>
        <v>Monday</v>
      </c>
    </row>
    <row r="2798" spans="1:8" x14ac:dyDescent="0.3">
      <c r="A2798">
        <v>219495361</v>
      </c>
      <c r="B2798" s="1">
        <v>45145</v>
      </c>
      <c r="C2798" t="s">
        <v>19</v>
      </c>
      <c r="D2798" t="s">
        <v>7</v>
      </c>
      <c r="E2798">
        <v>39</v>
      </c>
      <c r="F2798" t="s">
        <v>6</v>
      </c>
      <c r="G2798" t="str">
        <f t="shared" si="92"/>
        <v>Active</v>
      </c>
      <c r="H2798" s="1" t="str">
        <f t="shared" si="93"/>
        <v>Monday</v>
      </c>
    </row>
    <row r="2799" spans="1:8" x14ac:dyDescent="0.3">
      <c r="A2799">
        <v>219672587</v>
      </c>
      <c r="B2799" s="1">
        <v>45145</v>
      </c>
      <c r="C2799" t="s">
        <v>19</v>
      </c>
      <c r="D2799" t="s">
        <v>7</v>
      </c>
      <c r="E2799">
        <v>39</v>
      </c>
      <c r="F2799" t="s">
        <v>6</v>
      </c>
      <c r="G2799" t="str">
        <f t="shared" si="92"/>
        <v>Active</v>
      </c>
      <c r="H2799" s="1" t="str">
        <f t="shared" si="93"/>
        <v>Monday</v>
      </c>
    </row>
    <row r="2800" spans="1:8" x14ac:dyDescent="0.3">
      <c r="A2800">
        <v>218556897</v>
      </c>
      <c r="B2800" s="1">
        <v>45145</v>
      </c>
      <c r="C2800" s="1">
        <v>45146</v>
      </c>
      <c r="D2800" t="s">
        <v>7</v>
      </c>
      <c r="E2800">
        <v>39</v>
      </c>
      <c r="F2800" t="s">
        <v>6</v>
      </c>
      <c r="G2800">
        <f t="shared" si="92"/>
        <v>1</v>
      </c>
      <c r="H2800" s="1" t="str">
        <f t="shared" si="93"/>
        <v>Monday</v>
      </c>
    </row>
    <row r="2801" spans="1:8" x14ac:dyDescent="0.3">
      <c r="A2801">
        <v>219467082</v>
      </c>
      <c r="B2801" s="1">
        <v>45145</v>
      </c>
      <c r="C2801" s="1">
        <v>45153</v>
      </c>
      <c r="D2801" t="s">
        <v>7</v>
      </c>
      <c r="E2801">
        <v>39</v>
      </c>
      <c r="F2801" t="s">
        <v>6</v>
      </c>
      <c r="G2801">
        <f t="shared" si="92"/>
        <v>8</v>
      </c>
      <c r="H2801" s="1" t="str">
        <f t="shared" si="93"/>
        <v>Monday</v>
      </c>
    </row>
    <row r="2802" spans="1:8" x14ac:dyDescent="0.3">
      <c r="A2802">
        <v>139353407</v>
      </c>
      <c r="B2802" s="1">
        <v>45146</v>
      </c>
      <c r="C2802" t="s">
        <v>19</v>
      </c>
      <c r="D2802" t="s">
        <v>7</v>
      </c>
      <c r="E2802">
        <v>39</v>
      </c>
      <c r="F2802" t="s">
        <v>6</v>
      </c>
      <c r="G2802" t="str">
        <f t="shared" si="92"/>
        <v>Active</v>
      </c>
      <c r="H2802" s="1" t="str">
        <f t="shared" si="93"/>
        <v>Tuesday</v>
      </c>
    </row>
    <row r="2803" spans="1:8" x14ac:dyDescent="0.3">
      <c r="A2803">
        <v>219734945</v>
      </c>
      <c r="B2803" s="1">
        <v>45146</v>
      </c>
      <c r="C2803" t="s">
        <v>19</v>
      </c>
      <c r="D2803" t="s">
        <v>7</v>
      </c>
      <c r="E2803">
        <v>39</v>
      </c>
      <c r="F2803" t="s">
        <v>6</v>
      </c>
      <c r="G2803" t="str">
        <f t="shared" si="92"/>
        <v>Active</v>
      </c>
      <c r="H2803" s="1" t="str">
        <f t="shared" si="93"/>
        <v>Tuesday</v>
      </c>
    </row>
    <row r="2804" spans="1:8" x14ac:dyDescent="0.3">
      <c r="A2804">
        <v>219735949</v>
      </c>
      <c r="B2804" s="1">
        <v>45146</v>
      </c>
      <c r="C2804" t="s">
        <v>19</v>
      </c>
      <c r="D2804" t="s">
        <v>7</v>
      </c>
      <c r="E2804">
        <v>39</v>
      </c>
      <c r="F2804" t="s">
        <v>6</v>
      </c>
      <c r="G2804" t="str">
        <f t="shared" si="92"/>
        <v>Active</v>
      </c>
      <c r="H2804" s="1" t="str">
        <f t="shared" si="93"/>
        <v>Tuesday</v>
      </c>
    </row>
    <row r="2805" spans="1:8" x14ac:dyDescent="0.3">
      <c r="A2805">
        <v>219688361</v>
      </c>
      <c r="B2805" s="1">
        <v>45146</v>
      </c>
      <c r="C2805" t="s">
        <v>19</v>
      </c>
      <c r="D2805" t="s">
        <v>7</v>
      </c>
      <c r="E2805">
        <v>39</v>
      </c>
      <c r="F2805" t="s">
        <v>6</v>
      </c>
      <c r="G2805" t="str">
        <f t="shared" si="92"/>
        <v>Active</v>
      </c>
      <c r="H2805" s="1" t="str">
        <f t="shared" si="93"/>
        <v>Tuesday</v>
      </c>
    </row>
    <row r="2806" spans="1:8" x14ac:dyDescent="0.3">
      <c r="A2806">
        <v>219447968</v>
      </c>
      <c r="B2806" s="1">
        <v>45146</v>
      </c>
      <c r="C2806" t="s">
        <v>19</v>
      </c>
      <c r="D2806" t="s">
        <v>7</v>
      </c>
      <c r="E2806">
        <v>39</v>
      </c>
      <c r="F2806" t="s">
        <v>6</v>
      </c>
      <c r="G2806" t="str">
        <f t="shared" si="92"/>
        <v>Active</v>
      </c>
      <c r="H2806" s="1" t="str">
        <f t="shared" si="93"/>
        <v>Tuesday</v>
      </c>
    </row>
    <row r="2807" spans="1:8" x14ac:dyDescent="0.3">
      <c r="A2807">
        <v>219583682</v>
      </c>
      <c r="B2807" s="1">
        <v>45146</v>
      </c>
      <c r="C2807" t="s">
        <v>19</v>
      </c>
      <c r="D2807" t="s">
        <v>7</v>
      </c>
      <c r="E2807">
        <v>39</v>
      </c>
      <c r="F2807" t="s">
        <v>6</v>
      </c>
      <c r="G2807" t="str">
        <f t="shared" si="92"/>
        <v>Active</v>
      </c>
      <c r="H2807" s="1" t="str">
        <f t="shared" si="93"/>
        <v>Tuesday</v>
      </c>
    </row>
    <row r="2808" spans="1:8" x14ac:dyDescent="0.3">
      <c r="A2808">
        <v>217638566</v>
      </c>
      <c r="B2808" s="1">
        <v>45146</v>
      </c>
      <c r="C2808" t="s">
        <v>19</v>
      </c>
      <c r="D2808" t="s">
        <v>7</v>
      </c>
      <c r="E2808">
        <v>39</v>
      </c>
      <c r="F2808" t="s">
        <v>6</v>
      </c>
      <c r="G2808" t="str">
        <f t="shared" si="92"/>
        <v>Active</v>
      </c>
      <c r="H2808" s="1" t="str">
        <f t="shared" si="93"/>
        <v>Tuesday</v>
      </c>
    </row>
    <row r="2809" spans="1:8" x14ac:dyDescent="0.3">
      <c r="A2809">
        <v>219716268</v>
      </c>
      <c r="B2809" s="1">
        <v>45146</v>
      </c>
      <c r="C2809" t="s">
        <v>19</v>
      </c>
      <c r="D2809" t="s">
        <v>7</v>
      </c>
      <c r="E2809">
        <v>39</v>
      </c>
      <c r="F2809" t="s">
        <v>6</v>
      </c>
      <c r="G2809" t="str">
        <f t="shared" si="92"/>
        <v>Active</v>
      </c>
      <c r="H2809" s="1" t="str">
        <f t="shared" si="93"/>
        <v>Tuesday</v>
      </c>
    </row>
    <row r="2810" spans="1:8" x14ac:dyDescent="0.3">
      <c r="A2810">
        <v>219713718</v>
      </c>
      <c r="B2810" s="1">
        <v>45146</v>
      </c>
      <c r="C2810" t="s">
        <v>19</v>
      </c>
      <c r="D2810" t="s">
        <v>7</v>
      </c>
      <c r="E2810">
        <v>39</v>
      </c>
      <c r="F2810" t="s">
        <v>6</v>
      </c>
      <c r="G2810" t="str">
        <f t="shared" si="92"/>
        <v>Active</v>
      </c>
      <c r="H2810" s="1" t="str">
        <f t="shared" si="93"/>
        <v>Tuesday</v>
      </c>
    </row>
    <row r="2811" spans="1:8" x14ac:dyDescent="0.3">
      <c r="A2811">
        <v>219707178</v>
      </c>
      <c r="B2811" s="1">
        <v>45146</v>
      </c>
      <c r="C2811" t="s">
        <v>19</v>
      </c>
      <c r="D2811" t="s">
        <v>7</v>
      </c>
      <c r="E2811">
        <v>39</v>
      </c>
      <c r="F2811" t="s">
        <v>6</v>
      </c>
      <c r="G2811" t="str">
        <f t="shared" si="92"/>
        <v>Active</v>
      </c>
      <c r="H2811" s="1" t="str">
        <f t="shared" si="93"/>
        <v>Tuesday</v>
      </c>
    </row>
    <row r="2812" spans="1:8" x14ac:dyDescent="0.3">
      <c r="A2812">
        <v>219747148</v>
      </c>
      <c r="B2812" s="1">
        <v>45146</v>
      </c>
      <c r="C2812" s="1">
        <v>45146</v>
      </c>
      <c r="D2812" t="s">
        <v>7</v>
      </c>
      <c r="E2812">
        <v>39</v>
      </c>
      <c r="F2812" t="s">
        <v>6</v>
      </c>
      <c r="G2812">
        <f t="shared" si="92"/>
        <v>0</v>
      </c>
      <c r="H2812" s="1" t="str">
        <f t="shared" si="93"/>
        <v>Tuesday</v>
      </c>
    </row>
    <row r="2813" spans="1:8" x14ac:dyDescent="0.3">
      <c r="A2813">
        <v>219710700</v>
      </c>
      <c r="B2813" s="1">
        <v>45146</v>
      </c>
      <c r="C2813" s="1">
        <v>45155</v>
      </c>
      <c r="D2813" t="s">
        <v>7</v>
      </c>
      <c r="E2813">
        <v>39</v>
      </c>
      <c r="F2813" t="s">
        <v>6</v>
      </c>
      <c r="G2813">
        <f t="shared" si="92"/>
        <v>9</v>
      </c>
      <c r="H2813" s="1" t="str">
        <f t="shared" si="93"/>
        <v>Tuesday</v>
      </c>
    </row>
    <row r="2814" spans="1:8" x14ac:dyDescent="0.3">
      <c r="A2814">
        <v>160883429</v>
      </c>
      <c r="B2814" s="1">
        <v>45147</v>
      </c>
      <c r="C2814" t="s">
        <v>19</v>
      </c>
      <c r="D2814" t="s">
        <v>7</v>
      </c>
      <c r="E2814">
        <v>39</v>
      </c>
      <c r="F2814" t="s">
        <v>6</v>
      </c>
      <c r="G2814" t="str">
        <f t="shared" si="92"/>
        <v>Active</v>
      </c>
      <c r="H2814" s="1" t="str">
        <f t="shared" si="93"/>
        <v>Wednesday</v>
      </c>
    </row>
    <row r="2815" spans="1:8" x14ac:dyDescent="0.3">
      <c r="A2815">
        <v>218556897</v>
      </c>
      <c r="B2815" s="1">
        <v>45147</v>
      </c>
      <c r="C2815" t="s">
        <v>19</v>
      </c>
      <c r="D2815" t="s">
        <v>7</v>
      </c>
      <c r="E2815">
        <v>39</v>
      </c>
      <c r="F2815" t="s">
        <v>6</v>
      </c>
      <c r="G2815" t="str">
        <f t="shared" si="92"/>
        <v>Active</v>
      </c>
      <c r="H2815" s="1" t="str">
        <f t="shared" si="93"/>
        <v>Wednesday</v>
      </c>
    </row>
    <row r="2816" spans="1:8" x14ac:dyDescent="0.3">
      <c r="A2816">
        <v>219779586</v>
      </c>
      <c r="B2816" s="1">
        <v>45147</v>
      </c>
      <c r="C2816" t="s">
        <v>19</v>
      </c>
      <c r="D2816" t="s">
        <v>7</v>
      </c>
      <c r="E2816">
        <v>39</v>
      </c>
      <c r="F2816" t="s">
        <v>6</v>
      </c>
      <c r="G2816" t="str">
        <f t="shared" si="92"/>
        <v>Active</v>
      </c>
      <c r="H2816" s="1" t="str">
        <f t="shared" si="93"/>
        <v>Wednesday</v>
      </c>
    </row>
    <row r="2817" spans="1:8" x14ac:dyDescent="0.3">
      <c r="A2817">
        <v>219437804</v>
      </c>
      <c r="B2817" s="1">
        <v>45147</v>
      </c>
      <c r="C2817" t="s">
        <v>19</v>
      </c>
      <c r="D2817" t="s">
        <v>7</v>
      </c>
      <c r="E2817">
        <v>39</v>
      </c>
      <c r="F2817" t="s">
        <v>6</v>
      </c>
      <c r="G2817" t="str">
        <f t="shared" si="92"/>
        <v>Active</v>
      </c>
      <c r="H2817" s="1" t="str">
        <f t="shared" si="93"/>
        <v>Wednesday</v>
      </c>
    </row>
    <row r="2818" spans="1:8" x14ac:dyDescent="0.3">
      <c r="A2818">
        <v>206402783</v>
      </c>
      <c r="B2818" s="1">
        <v>45147</v>
      </c>
      <c r="C2818" t="s">
        <v>19</v>
      </c>
      <c r="D2818" t="s">
        <v>7</v>
      </c>
      <c r="E2818">
        <v>39</v>
      </c>
      <c r="F2818" t="s">
        <v>6</v>
      </c>
      <c r="G2818" t="str">
        <f t="shared" si="92"/>
        <v>Active</v>
      </c>
      <c r="H2818" s="1" t="str">
        <f t="shared" si="93"/>
        <v>Wednesday</v>
      </c>
    </row>
    <row r="2819" spans="1:8" x14ac:dyDescent="0.3">
      <c r="A2819">
        <v>178419414</v>
      </c>
      <c r="B2819" s="1">
        <v>45147</v>
      </c>
      <c r="C2819" t="s">
        <v>19</v>
      </c>
      <c r="D2819" t="s">
        <v>7</v>
      </c>
      <c r="E2819">
        <v>39</v>
      </c>
      <c r="F2819" t="s">
        <v>6</v>
      </c>
      <c r="G2819" t="str">
        <f t="shared" ref="G2819:G2882" si="94">IF(C2819="Active","Active",C2819-B2819)</f>
        <v>Active</v>
      </c>
      <c r="H2819" s="1" t="str">
        <f t="shared" ref="H2819:H2882" si="95">TEXT(B2819,"dddd")</f>
        <v>Wednesday</v>
      </c>
    </row>
    <row r="2820" spans="1:8" x14ac:dyDescent="0.3">
      <c r="A2820">
        <v>219719416</v>
      </c>
      <c r="B2820" s="1">
        <v>45147</v>
      </c>
      <c r="C2820" t="s">
        <v>19</v>
      </c>
      <c r="D2820" t="s">
        <v>7</v>
      </c>
      <c r="E2820">
        <v>39</v>
      </c>
      <c r="F2820" t="s">
        <v>6</v>
      </c>
      <c r="G2820" t="str">
        <f t="shared" si="94"/>
        <v>Active</v>
      </c>
      <c r="H2820" s="1" t="str">
        <f t="shared" si="95"/>
        <v>Wednesday</v>
      </c>
    </row>
    <row r="2821" spans="1:8" x14ac:dyDescent="0.3">
      <c r="A2821">
        <v>156558244</v>
      </c>
      <c r="B2821" s="1">
        <v>45147</v>
      </c>
      <c r="C2821" t="s">
        <v>19</v>
      </c>
      <c r="D2821" t="s">
        <v>7</v>
      </c>
      <c r="E2821">
        <v>39</v>
      </c>
      <c r="F2821" t="s">
        <v>6</v>
      </c>
      <c r="G2821" t="str">
        <f t="shared" si="94"/>
        <v>Active</v>
      </c>
      <c r="H2821" s="1" t="str">
        <f t="shared" si="95"/>
        <v>Wednesday</v>
      </c>
    </row>
    <row r="2822" spans="1:8" x14ac:dyDescent="0.3">
      <c r="A2822">
        <v>215602271</v>
      </c>
      <c r="B2822" s="1">
        <v>45147</v>
      </c>
      <c r="C2822" s="1">
        <v>45153</v>
      </c>
      <c r="D2822" t="s">
        <v>7</v>
      </c>
      <c r="E2822">
        <v>39</v>
      </c>
      <c r="F2822" t="s">
        <v>6</v>
      </c>
      <c r="G2822">
        <f t="shared" si="94"/>
        <v>6</v>
      </c>
      <c r="H2822" s="1" t="str">
        <f t="shared" si="95"/>
        <v>Wednesday</v>
      </c>
    </row>
    <row r="2823" spans="1:8" x14ac:dyDescent="0.3">
      <c r="A2823">
        <v>219761422</v>
      </c>
      <c r="B2823" s="1">
        <v>45147</v>
      </c>
      <c r="C2823" s="1">
        <v>45152</v>
      </c>
      <c r="D2823" t="s">
        <v>7</v>
      </c>
      <c r="E2823">
        <v>39</v>
      </c>
      <c r="F2823" t="s">
        <v>6</v>
      </c>
      <c r="G2823">
        <f t="shared" si="94"/>
        <v>5</v>
      </c>
      <c r="H2823" s="1" t="str">
        <f t="shared" si="95"/>
        <v>Wednesday</v>
      </c>
    </row>
    <row r="2824" spans="1:8" x14ac:dyDescent="0.3">
      <c r="A2824">
        <v>218594597</v>
      </c>
      <c r="B2824" s="1">
        <v>45147</v>
      </c>
      <c r="C2824" s="1">
        <v>45147</v>
      </c>
      <c r="D2824" t="s">
        <v>8</v>
      </c>
      <c r="E2824">
        <v>39</v>
      </c>
      <c r="F2824" t="s">
        <v>6</v>
      </c>
      <c r="G2824">
        <f t="shared" si="94"/>
        <v>0</v>
      </c>
      <c r="H2824" s="1" t="str">
        <f t="shared" si="95"/>
        <v>Wednesday</v>
      </c>
    </row>
    <row r="2825" spans="1:8" x14ac:dyDescent="0.3">
      <c r="A2825">
        <v>219734107</v>
      </c>
      <c r="B2825" s="1">
        <v>45148</v>
      </c>
      <c r="C2825" t="s">
        <v>19</v>
      </c>
      <c r="D2825" t="s">
        <v>7</v>
      </c>
      <c r="E2825">
        <v>39</v>
      </c>
      <c r="F2825" t="s">
        <v>6</v>
      </c>
      <c r="G2825" t="str">
        <f t="shared" si="94"/>
        <v>Active</v>
      </c>
      <c r="H2825" s="1" t="str">
        <f t="shared" si="95"/>
        <v>Thursday</v>
      </c>
    </row>
    <row r="2826" spans="1:8" x14ac:dyDescent="0.3">
      <c r="A2826">
        <v>219836911</v>
      </c>
      <c r="B2826" s="1">
        <v>45148</v>
      </c>
      <c r="C2826" t="s">
        <v>19</v>
      </c>
      <c r="D2826" t="s">
        <v>7</v>
      </c>
      <c r="E2826">
        <v>39</v>
      </c>
      <c r="F2826" t="s">
        <v>6</v>
      </c>
      <c r="G2826" t="str">
        <f t="shared" si="94"/>
        <v>Active</v>
      </c>
      <c r="H2826" s="1" t="str">
        <f t="shared" si="95"/>
        <v>Thursday</v>
      </c>
    </row>
    <row r="2827" spans="1:8" x14ac:dyDescent="0.3">
      <c r="A2827">
        <v>215179190</v>
      </c>
      <c r="B2827" s="1">
        <v>45148</v>
      </c>
      <c r="C2827" t="s">
        <v>19</v>
      </c>
      <c r="D2827" t="s">
        <v>7</v>
      </c>
      <c r="E2827">
        <v>39</v>
      </c>
      <c r="F2827" t="s">
        <v>6</v>
      </c>
      <c r="G2827" t="str">
        <f t="shared" si="94"/>
        <v>Active</v>
      </c>
      <c r="H2827" s="1" t="str">
        <f t="shared" si="95"/>
        <v>Thursday</v>
      </c>
    </row>
    <row r="2828" spans="1:8" x14ac:dyDescent="0.3">
      <c r="A2828">
        <v>219817702</v>
      </c>
      <c r="B2828" s="1">
        <v>45148</v>
      </c>
      <c r="C2828" t="s">
        <v>19</v>
      </c>
      <c r="D2828" t="s">
        <v>7</v>
      </c>
      <c r="E2828">
        <v>39</v>
      </c>
      <c r="F2828" t="s">
        <v>6</v>
      </c>
      <c r="G2828" t="str">
        <f t="shared" si="94"/>
        <v>Active</v>
      </c>
      <c r="H2828" s="1" t="str">
        <f t="shared" si="95"/>
        <v>Thursday</v>
      </c>
    </row>
    <row r="2829" spans="1:8" x14ac:dyDescent="0.3">
      <c r="A2829">
        <v>150065982</v>
      </c>
      <c r="B2829" s="1">
        <v>45148</v>
      </c>
      <c r="C2829" s="1">
        <v>45149</v>
      </c>
      <c r="D2829" t="s">
        <v>7</v>
      </c>
      <c r="E2829">
        <v>39</v>
      </c>
      <c r="F2829" t="s">
        <v>6</v>
      </c>
      <c r="G2829">
        <f t="shared" si="94"/>
        <v>1</v>
      </c>
      <c r="H2829" s="1" t="str">
        <f t="shared" si="95"/>
        <v>Thursday</v>
      </c>
    </row>
    <row r="2830" spans="1:8" x14ac:dyDescent="0.3">
      <c r="A2830">
        <v>219891350</v>
      </c>
      <c r="B2830" s="1">
        <v>45149</v>
      </c>
      <c r="C2830" t="s">
        <v>19</v>
      </c>
      <c r="D2830" t="s">
        <v>7</v>
      </c>
      <c r="E2830">
        <v>39</v>
      </c>
      <c r="F2830" t="s">
        <v>6</v>
      </c>
      <c r="G2830" t="str">
        <f t="shared" si="94"/>
        <v>Active</v>
      </c>
      <c r="H2830" s="1" t="str">
        <f t="shared" si="95"/>
        <v>Friday</v>
      </c>
    </row>
    <row r="2831" spans="1:8" x14ac:dyDescent="0.3">
      <c r="A2831">
        <v>205210815</v>
      </c>
      <c r="B2831" s="1">
        <v>45149</v>
      </c>
      <c r="C2831" t="s">
        <v>19</v>
      </c>
      <c r="D2831" t="s">
        <v>7</v>
      </c>
      <c r="E2831">
        <v>39</v>
      </c>
      <c r="F2831" t="s">
        <v>6</v>
      </c>
      <c r="G2831" t="str">
        <f t="shared" si="94"/>
        <v>Active</v>
      </c>
      <c r="H2831" s="1" t="str">
        <f t="shared" si="95"/>
        <v>Friday</v>
      </c>
    </row>
    <row r="2832" spans="1:8" x14ac:dyDescent="0.3">
      <c r="A2832">
        <v>219744473</v>
      </c>
      <c r="B2832" s="1">
        <v>45149</v>
      </c>
      <c r="C2832" t="s">
        <v>19</v>
      </c>
      <c r="D2832" t="s">
        <v>7</v>
      </c>
      <c r="E2832">
        <v>39</v>
      </c>
      <c r="F2832" t="s">
        <v>6</v>
      </c>
      <c r="G2832" t="str">
        <f t="shared" si="94"/>
        <v>Active</v>
      </c>
      <c r="H2832" s="1" t="str">
        <f t="shared" si="95"/>
        <v>Friday</v>
      </c>
    </row>
    <row r="2833" spans="1:8" x14ac:dyDescent="0.3">
      <c r="A2833">
        <v>219851822</v>
      </c>
      <c r="B2833" s="1">
        <v>45149</v>
      </c>
      <c r="C2833" t="s">
        <v>19</v>
      </c>
      <c r="D2833" t="s">
        <v>7</v>
      </c>
      <c r="E2833">
        <v>39</v>
      </c>
      <c r="F2833" t="s">
        <v>6</v>
      </c>
      <c r="G2833" t="str">
        <f t="shared" si="94"/>
        <v>Active</v>
      </c>
      <c r="H2833" s="1" t="str">
        <f t="shared" si="95"/>
        <v>Friday</v>
      </c>
    </row>
    <row r="2834" spans="1:8" x14ac:dyDescent="0.3">
      <c r="A2834">
        <v>150779000</v>
      </c>
      <c r="B2834" s="1">
        <v>45149</v>
      </c>
      <c r="C2834" s="1">
        <v>45175</v>
      </c>
      <c r="D2834" t="s">
        <v>7</v>
      </c>
      <c r="E2834">
        <v>39</v>
      </c>
      <c r="F2834" t="s">
        <v>6</v>
      </c>
      <c r="G2834">
        <f t="shared" si="94"/>
        <v>26</v>
      </c>
      <c r="H2834" s="1" t="str">
        <f t="shared" si="95"/>
        <v>Friday</v>
      </c>
    </row>
    <row r="2835" spans="1:8" x14ac:dyDescent="0.3">
      <c r="A2835">
        <v>219876215</v>
      </c>
      <c r="B2835" s="1">
        <v>45149</v>
      </c>
      <c r="C2835" s="1">
        <v>45150</v>
      </c>
      <c r="D2835" t="s">
        <v>7</v>
      </c>
      <c r="E2835">
        <v>39</v>
      </c>
      <c r="F2835" t="s">
        <v>6</v>
      </c>
      <c r="G2835">
        <f t="shared" si="94"/>
        <v>1</v>
      </c>
      <c r="H2835" s="1" t="str">
        <f t="shared" si="95"/>
        <v>Friday</v>
      </c>
    </row>
    <row r="2836" spans="1:8" x14ac:dyDescent="0.3">
      <c r="A2836">
        <v>151633468</v>
      </c>
      <c r="B2836" s="1">
        <v>45149</v>
      </c>
      <c r="C2836" s="1">
        <v>45150</v>
      </c>
      <c r="D2836" t="s">
        <v>7</v>
      </c>
      <c r="E2836">
        <v>39</v>
      </c>
      <c r="F2836" t="s">
        <v>6</v>
      </c>
      <c r="G2836">
        <f t="shared" si="94"/>
        <v>1</v>
      </c>
      <c r="H2836" s="1" t="str">
        <f t="shared" si="95"/>
        <v>Friday</v>
      </c>
    </row>
    <row r="2837" spans="1:8" x14ac:dyDescent="0.3">
      <c r="A2837">
        <v>219834528</v>
      </c>
      <c r="B2837" s="1">
        <v>45149</v>
      </c>
      <c r="C2837" s="1">
        <v>45150</v>
      </c>
      <c r="D2837" t="s">
        <v>8</v>
      </c>
      <c r="E2837">
        <v>39</v>
      </c>
      <c r="F2837" t="s">
        <v>6</v>
      </c>
      <c r="G2837">
        <f t="shared" si="94"/>
        <v>1</v>
      </c>
      <c r="H2837" s="1" t="str">
        <f t="shared" si="95"/>
        <v>Friday</v>
      </c>
    </row>
    <row r="2838" spans="1:8" x14ac:dyDescent="0.3">
      <c r="A2838">
        <v>202844600</v>
      </c>
      <c r="B2838" s="1">
        <v>45149</v>
      </c>
      <c r="C2838" s="1">
        <v>45150</v>
      </c>
      <c r="D2838" t="s">
        <v>8</v>
      </c>
      <c r="E2838">
        <v>39</v>
      </c>
      <c r="F2838" t="s">
        <v>6</v>
      </c>
      <c r="G2838">
        <f t="shared" si="94"/>
        <v>1</v>
      </c>
      <c r="H2838" s="1" t="str">
        <f t="shared" si="95"/>
        <v>Friday</v>
      </c>
    </row>
    <row r="2839" spans="1:8" x14ac:dyDescent="0.3">
      <c r="A2839">
        <v>158093021</v>
      </c>
      <c r="B2839" s="1">
        <v>45150</v>
      </c>
      <c r="C2839" t="s">
        <v>19</v>
      </c>
      <c r="D2839" t="s">
        <v>7</v>
      </c>
      <c r="E2839">
        <v>39</v>
      </c>
      <c r="F2839" t="s">
        <v>6</v>
      </c>
      <c r="G2839" t="str">
        <f t="shared" si="94"/>
        <v>Active</v>
      </c>
      <c r="H2839" s="1" t="str">
        <f t="shared" si="95"/>
        <v>Saturday</v>
      </c>
    </row>
    <row r="2840" spans="1:8" x14ac:dyDescent="0.3">
      <c r="A2840">
        <v>203366396</v>
      </c>
      <c r="B2840" s="1">
        <v>45150</v>
      </c>
      <c r="C2840" s="1">
        <v>45154</v>
      </c>
      <c r="D2840" t="s">
        <v>7</v>
      </c>
      <c r="E2840">
        <v>39</v>
      </c>
      <c r="F2840" t="s">
        <v>6</v>
      </c>
      <c r="G2840">
        <f t="shared" si="94"/>
        <v>4</v>
      </c>
      <c r="H2840" s="1" t="str">
        <f t="shared" si="95"/>
        <v>Saturday</v>
      </c>
    </row>
    <row r="2841" spans="1:8" x14ac:dyDescent="0.3">
      <c r="A2841">
        <v>210694562</v>
      </c>
      <c r="B2841" s="1">
        <v>45150</v>
      </c>
      <c r="C2841" s="1">
        <v>45171</v>
      </c>
      <c r="D2841" t="s">
        <v>7</v>
      </c>
      <c r="E2841">
        <v>39</v>
      </c>
      <c r="F2841" t="s">
        <v>6</v>
      </c>
      <c r="G2841">
        <f t="shared" si="94"/>
        <v>21</v>
      </c>
      <c r="H2841" s="1" t="str">
        <f t="shared" si="95"/>
        <v>Saturday</v>
      </c>
    </row>
    <row r="2842" spans="1:8" x14ac:dyDescent="0.3">
      <c r="A2842">
        <v>188347490</v>
      </c>
      <c r="B2842" s="1">
        <v>45151</v>
      </c>
      <c r="C2842" t="s">
        <v>19</v>
      </c>
      <c r="D2842" t="s">
        <v>7</v>
      </c>
      <c r="E2842">
        <v>39</v>
      </c>
      <c r="F2842" t="s">
        <v>6</v>
      </c>
      <c r="G2842" t="str">
        <f t="shared" si="94"/>
        <v>Active</v>
      </c>
      <c r="H2842" s="1" t="str">
        <f t="shared" si="95"/>
        <v>Sunday</v>
      </c>
    </row>
    <row r="2843" spans="1:8" x14ac:dyDescent="0.3">
      <c r="A2843">
        <v>219947831</v>
      </c>
      <c r="B2843" s="1">
        <v>45151</v>
      </c>
      <c r="C2843" t="s">
        <v>19</v>
      </c>
      <c r="D2843" t="s">
        <v>7</v>
      </c>
      <c r="E2843">
        <v>39</v>
      </c>
      <c r="F2843" t="s">
        <v>6</v>
      </c>
      <c r="G2843" t="str">
        <f t="shared" si="94"/>
        <v>Active</v>
      </c>
      <c r="H2843" s="1" t="str">
        <f t="shared" si="95"/>
        <v>Sunday</v>
      </c>
    </row>
    <row r="2844" spans="1:8" x14ac:dyDescent="0.3">
      <c r="A2844">
        <v>214775412</v>
      </c>
      <c r="B2844" s="1">
        <v>45151</v>
      </c>
      <c r="C2844" t="s">
        <v>19</v>
      </c>
      <c r="D2844" t="s">
        <v>7</v>
      </c>
      <c r="E2844">
        <v>39</v>
      </c>
      <c r="F2844" t="s">
        <v>6</v>
      </c>
      <c r="G2844" t="str">
        <f t="shared" si="94"/>
        <v>Active</v>
      </c>
      <c r="H2844" s="1" t="str">
        <f t="shared" si="95"/>
        <v>Sunday</v>
      </c>
    </row>
    <row r="2845" spans="1:8" x14ac:dyDescent="0.3">
      <c r="A2845">
        <v>134753801</v>
      </c>
      <c r="B2845" s="1">
        <v>45151</v>
      </c>
      <c r="C2845" t="s">
        <v>19</v>
      </c>
      <c r="D2845" t="s">
        <v>7</v>
      </c>
      <c r="E2845">
        <v>39</v>
      </c>
      <c r="F2845" t="s">
        <v>6</v>
      </c>
      <c r="G2845" t="str">
        <f t="shared" si="94"/>
        <v>Active</v>
      </c>
      <c r="H2845" s="1" t="str">
        <f t="shared" si="95"/>
        <v>Sunday</v>
      </c>
    </row>
    <row r="2846" spans="1:8" x14ac:dyDescent="0.3">
      <c r="A2846">
        <v>182584521</v>
      </c>
      <c r="B2846" s="1">
        <v>45151</v>
      </c>
      <c r="C2846" t="s">
        <v>19</v>
      </c>
      <c r="D2846" t="s">
        <v>7</v>
      </c>
      <c r="E2846">
        <v>39</v>
      </c>
      <c r="F2846" t="s">
        <v>6</v>
      </c>
      <c r="G2846" t="str">
        <f t="shared" si="94"/>
        <v>Active</v>
      </c>
      <c r="H2846" s="1" t="str">
        <f t="shared" si="95"/>
        <v>Sunday</v>
      </c>
    </row>
    <row r="2847" spans="1:8" x14ac:dyDescent="0.3">
      <c r="A2847">
        <v>219955434</v>
      </c>
      <c r="B2847" s="1">
        <v>45151</v>
      </c>
      <c r="C2847" t="s">
        <v>19</v>
      </c>
      <c r="D2847" t="s">
        <v>7</v>
      </c>
      <c r="E2847">
        <v>39</v>
      </c>
      <c r="F2847" t="s">
        <v>6</v>
      </c>
      <c r="G2847" t="str">
        <f t="shared" si="94"/>
        <v>Active</v>
      </c>
      <c r="H2847" s="1" t="str">
        <f t="shared" si="95"/>
        <v>Sunday</v>
      </c>
    </row>
    <row r="2848" spans="1:8" x14ac:dyDescent="0.3">
      <c r="A2848">
        <v>219951440</v>
      </c>
      <c r="B2848" s="1">
        <v>45151</v>
      </c>
      <c r="C2848" t="s">
        <v>19</v>
      </c>
      <c r="D2848" t="s">
        <v>7</v>
      </c>
      <c r="E2848">
        <v>39</v>
      </c>
      <c r="F2848" t="s">
        <v>6</v>
      </c>
      <c r="G2848" t="str">
        <f t="shared" si="94"/>
        <v>Active</v>
      </c>
      <c r="H2848" s="1" t="str">
        <f t="shared" si="95"/>
        <v>Sunday</v>
      </c>
    </row>
    <row r="2849" spans="1:8" x14ac:dyDescent="0.3">
      <c r="A2849">
        <v>219808428</v>
      </c>
      <c r="B2849" s="1">
        <v>45151</v>
      </c>
      <c r="C2849" s="1">
        <v>45170</v>
      </c>
      <c r="D2849" t="s">
        <v>7</v>
      </c>
      <c r="E2849">
        <v>39</v>
      </c>
      <c r="F2849" t="s">
        <v>6</v>
      </c>
      <c r="G2849">
        <f t="shared" si="94"/>
        <v>19</v>
      </c>
      <c r="H2849" s="1" t="str">
        <f t="shared" si="95"/>
        <v>Sunday</v>
      </c>
    </row>
    <row r="2850" spans="1:8" x14ac:dyDescent="0.3">
      <c r="A2850">
        <v>191034251</v>
      </c>
      <c r="B2850" s="1">
        <v>45152</v>
      </c>
      <c r="C2850" t="s">
        <v>19</v>
      </c>
      <c r="D2850" t="s">
        <v>7</v>
      </c>
      <c r="E2850">
        <v>39</v>
      </c>
      <c r="F2850" t="s">
        <v>6</v>
      </c>
      <c r="G2850" t="str">
        <f t="shared" si="94"/>
        <v>Active</v>
      </c>
      <c r="H2850" s="1" t="str">
        <f t="shared" si="95"/>
        <v>Monday</v>
      </c>
    </row>
    <row r="2851" spans="1:8" x14ac:dyDescent="0.3">
      <c r="A2851">
        <v>220023196</v>
      </c>
      <c r="B2851" s="1">
        <v>45152</v>
      </c>
      <c r="C2851" t="s">
        <v>19</v>
      </c>
      <c r="D2851" t="s">
        <v>7</v>
      </c>
      <c r="E2851">
        <v>39</v>
      </c>
      <c r="F2851" t="s">
        <v>6</v>
      </c>
      <c r="G2851" t="str">
        <f t="shared" si="94"/>
        <v>Active</v>
      </c>
      <c r="H2851" s="1" t="str">
        <f t="shared" si="95"/>
        <v>Monday</v>
      </c>
    </row>
    <row r="2852" spans="1:8" x14ac:dyDescent="0.3">
      <c r="A2852">
        <v>220028812</v>
      </c>
      <c r="B2852" s="1">
        <v>45152</v>
      </c>
      <c r="C2852" t="s">
        <v>19</v>
      </c>
      <c r="D2852" t="s">
        <v>7</v>
      </c>
      <c r="E2852">
        <v>39</v>
      </c>
      <c r="F2852" t="s">
        <v>6</v>
      </c>
      <c r="G2852" t="str">
        <f t="shared" si="94"/>
        <v>Active</v>
      </c>
      <c r="H2852" s="1" t="str">
        <f t="shared" si="95"/>
        <v>Monday</v>
      </c>
    </row>
    <row r="2853" spans="1:8" x14ac:dyDescent="0.3">
      <c r="A2853">
        <v>195988242</v>
      </c>
      <c r="B2853" s="1">
        <v>45152</v>
      </c>
      <c r="C2853" t="s">
        <v>19</v>
      </c>
      <c r="D2853" t="s">
        <v>7</v>
      </c>
      <c r="E2853">
        <v>39</v>
      </c>
      <c r="F2853" t="s">
        <v>6</v>
      </c>
      <c r="G2853" t="str">
        <f t="shared" si="94"/>
        <v>Active</v>
      </c>
      <c r="H2853" s="1" t="str">
        <f t="shared" si="95"/>
        <v>Monday</v>
      </c>
    </row>
    <row r="2854" spans="1:8" x14ac:dyDescent="0.3">
      <c r="A2854">
        <v>151633468</v>
      </c>
      <c r="B2854" s="1">
        <v>45152</v>
      </c>
      <c r="C2854" t="s">
        <v>19</v>
      </c>
      <c r="D2854" t="s">
        <v>7</v>
      </c>
      <c r="E2854">
        <v>39</v>
      </c>
      <c r="F2854" t="s">
        <v>6</v>
      </c>
      <c r="G2854" t="str">
        <f t="shared" si="94"/>
        <v>Active</v>
      </c>
      <c r="H2854" s="1" t="str">
        <f t="shared" si="95"/>
        <v>Monday</v>
      </c>
    </row>
    <row r="2855" spans="1:8" x14ac:dyDescent="0.3">
      <c r="A2855">
        <v>220012044</v>
      </c>
      <c r="B2855" s="1">
        <v>45152</v>
      </c>
      <c r="C2855" t="s">
        <v>19</v>
      </c>
      <c r="D2855" t="s">
        <v>7</v>
      </c>
      <c r="E2855">
        <v>39</v>
      </c>
      <c r="F2855" t="s">
        <v>6</v>
      </c>
      <c r="G2855" t="str">
        <f t="shared" si="94"/>
        <v>Active</v>
      </c>
      <c r="H2855" s="1" t="str">
        <f t="shared" si="95"/>
        <v>Monday</v>
      </c>
    </row>
    <row r="2856" spans="1:8" x14ac:dyDescent="0.3">
      <c r="A2856">
        <v>219981231</v>
      </c>
      <c r="B2856" s="1">
        <v>45152</v>
      </c>
      <c r="C2856" t="s">
        <v>19</v>
      </c>
      <c r="D2856" t="s">
        <v>7</v>
      </c>
      <c r="E2856">
        <v>39</v>
      </c>
      <c r="F2856" t="s">
        <v>6</v>
      </c>
      <c r="G2856" t="str">
        <f t="shared" si="94"/>
        <v>Active</v>
      </c>
      <c r="H2856" s="1" t="str">
        <f t="shared" si="95"/>
        <v>Monday</v>
      </c>
    </row>
    <row r="2857" spans="1:8" x14ac:dyDescent="0.3">
      <c r="A2857">
        <v>169692209</v>
      </c>
      <c r="B2857" s="1">
        <v>45152</v>
      </c>
      <c r="C2857" t="s">
        <v>19</v>
      </c>
      <c r="D2857" t="s">
        <v>7</v>
      </c>
      <c r="E2857">
        <v>39</v>
      </c>
      <c r="F2857" t="s">
        <v>6</v>
      </c>
      <c r="G2857" t="str">
        <f t="shared" si="94"/>
        <v>Active</v>
      </c>
      <c r="H2857" s="1" t="str">
        <f t="shared" si="95"/>
        <v>Monday</v>
      </c>
    </row>
    <row r="2858" spans="1:8" x14ac:dyDescent="0.3">
      <c r="A2858">
        <v>116156335</v>
      </c>
      <c r="B2858" s="1">
        <v>45152</v>
      </c>
      <c r="C2858" t="s">
        <v>19</v>
      </c>
      <c r="D2858" t="s">
        <v>7</v>
      </c>
      <c r="E2858">
        <v>39</v>
      </c>
      <c r="F2858" t="s">
        <v>6</v>
      </c>
      <c r="G2858" t="str">
        <f t="shared" si="94"/>
        <v>Active</v>
      </c>
      <c r="H2858" s="1" t="str">
        <f t="shared" si="95"/>
        <v>Monday</v>
      </c>
    </row>
    <row r="2859" spans="1:8" x14ac:dyDescent="0.3">
      <c r="A2859">
        <v>153393340</v>
      </c>
      <c r="B2859" s="1">
        <v>45152</v>
      </c>
      <c r="C2859" t="s">
        <v>19</v>
      </c>
      <c r="D2859" t="s">
        <v>7</v>
      </c>
      <c r="E2859">
        <v>39</v>
      </c>
      <c r="F2859" t="s">
        <v>6</v>
      </c>
      <c r="G2859" t="str">
        <f t="shared" si="94"/>
        <v>Active</v>
      </c>
      <c r="H2859" s="1" t="str">
        <f t="shared" si="95"/>
        <v>Monday</v>
      </c>
    </row>
    <row r="2860" spans="1:8" x14ac:dyDescent="0.3">
      <c r="A2860">
        <v>219974920</v>
      </c>
      <c r="B2860" s="1">
        <v>45152</v>
      </c>
      <c r="C2860" t="s">
        <v>19</v>
      </c>
      <c r="D2860" t="s">
        <v>7</v>
      </c>
      <c r="E2860">
        <v>39</v>
      </c>
      <c r="F2860" t="s">
        <v>6</v>
      </c>
      <c r="G2860" t="str">
        <f t="shared" si="94"/>
        <v>Active</v>
      </c>
      <c r="H2860" s="1" t="str">
        <f t="shared" si="95"/>
        <v>Monday</v>
      </c>
    </row>
    <row r="2861" spans="1:8" x14ac:dyDescent="0.3">
      <c r="A2861">
        <v>121253113</v>
      </c>
      <c r="B2861" s="1">
        <v>45152</v>
      </c>
      <c r="C2861" s="1">
        <v>45154</v>
      </c>
      <c r="D2861" t="s">
        <v>7</v>
      </c>
      <c r="E2861">
        <v>39</v>
      </c>
      <c r="F2861" t="s">
        <v>6</v>
      </c>
      <c r="G2861">
        <f t="shared" si="94"/>
        <v>2</v>
      </c>
      <c r="H2861" s="1" t="str">
        <f t="shared" si="95"/>
        <v>Monday</v>
      </c>
    </row>
    <row r="2862" spans="1:8" x14ac:dyDescent="0.3">
      <c r="A2862">
        <v>219690296</v>
      </c>
      <c r="B2862" s="1">
        <v>45153</v>
      </c>
      <c r="C2862" t="s">
        <v>19</v>
      </c>
      <c r="D2862" t="s">
        <v>7</v>
      </c>
      <c r="E2862">
        <v>39</v>
      </c>
      <c r="F2862" t="s">
        <v>6</v>
      </c>
      <c r="G2862" t="str">
        <f t="shared" si="94"/>
        <v>Active</v>
      </c>
      <c r="H2862" s="1" t="str">
        <f t="shared" si="95"/>
        <v>Tuesday</v>
      </c>
    </row>
    <row r="2863" spans="1:8" x14ac:dyDescent="0.3">
      <c r="A2863">
        <v>187268085</v>
      </c>
      <c r="B2863" s="1">
        <v>45153</v>
      </c>
      <c r="C2863" t="s">
        <v>19</v>
      </c>
      <c r="D2863" t="s">
        <v>7</v>
      </c>
      <c r="E2863">
        <v>39</v>
      </c>
      <c r="F2863" t="s">
        <v>6</v>
      </c>
      <c r="G2863" t="str">
        <f t="shared" si="94"/>
        <v>Active</v>
      </c>
      <c r="H2863" s="1" t="str">
        <f t="shared" si="95"/>
        <v>Tuesday</v>
      </c>
    </row>
    <row r="2864" spans="1:8" x14ac:dyDescent="0.3">
      <c r="A2864">
        <v>150623785</v>
      </c>
      <c r="B2864" s="1">
        <v>45153</v>
      </c>
      <c r="C2864" t="s">
        <v>19</v>
      </c>
      <c r="D2864" t="s">
        <v>7</v>
      </c>
      <c r="E2864">
        <v>39</v>
      </c>
      <c r="F2864" t="s">
        <v>6</v>
      </c>
      <c r="G2864" t="str">
        <f t="shared" si="94"/>
        <v>Active</v>
      </c>
      <c r="H2864" s="1" t="str">
        <f t="shared" si="95"/>
        <v>Tuesday</v>
      </c>
    </row>
    <row r="2865" spans="1:8" x14ac:dyDescent="0.3">
      <c r="A2865">
        <v>220056524</v>
      </c>
      <c r="B2865" s="1">
        <v>45153</v>
      </c>
      <c r="C2865" s="1">
        <v>45154</v>
      </c>
      <c r="D2865" t="s">
        <v>8</v>
      </c>
      <c r="E2865">
        <v>39</v>
      </c>
      <c r="F2865" t="s">
        <v>6</v>
      </c>
      <c r="G2865">
        <f t="shared" si="94"/>
        <v>1</v>
      </c>
      <c r="H2865" s="1" t="str">
        <f t="shared" si="95"/>
        <v>Tuesday</v>
      </c>
    </row>
    <row r="2866" spans="1:8" x14ac:dyDescent="0.3">
      <c r="A2866">
        <v>208188866</v>
      </c>
      <c r="B2866" s="1">
        <v>45154</v>
      </c>
      <c r="C2866" t="s">
        <v>19</v>
      </c>
      <c r="D2866" t="s">
        <v>7</v>
      </c>
      <c r="E2866">
        <v>39</v>
      </c>
      <c r="F2866" t="s">
        <v>6</v>
      </c>
      <c r="G2866" t="str">
        <f t="shared" si="94"/>
        <v>Active</v>
      </c>
      <c r="H2866" s="1" t="str">
        <f t="shared" si="95"/>
        <v>Wednesday</v>
      </c>
    </row>
    <row r="2867" spans="1:8" x14ac:dyDescent="0.3">
      <c r="A2867">
        <v>219081046</v>
      </c>
      <c r="B2867" s="1">
        <v>45154</v>
      </c>
      <c r="C2867" t="s">
        <v>19</v>
      </c>
      <c r="D2867" t="s">
        <v>7</v>
      </c>
      <c r="E2867">
        <v>39</v>
      </c>
      <c r="F2867" t="s">
        <v>6</v>
      </c>
      <c r="G2867" t="str">
        <f t="shared" si="94"/>
        <v>Active</v>
      </c>
      <c r="H2867" s="1" t="str">
        <f t="shared" si="95"/>
        <v>Wednesday</v>
      </c>
    </row>
    <row r="2868" spans="1:8" x14ac:dyDescent="0.3">
      <c r="A2868">
        <v>219569143</v>
      </c>
      <c r="B2868" s="1">
        <v>45154</v>
      </c>
      <c r="C2868" t="s">
        <v>19</v>
      </c>
      <c r="D2868" t="s">
        <v>7</v>
      </c>
      <c r="E2868">
        <v>39</v>
      </c>
      <c r="F2868" t="s">
        <v>6</v>
      </c>
      <c r="G2868" t="str">
        <f t="shared" si="94"/>
        <v>Active</v>
      </c>
      <c r="H2868" s="1" t="str">
        <f t="shared" si="95"/>
        <v>Wednesday</v>
      </c>
    </row>
    <row r="2869" spans="1:8" x14ac:dyDescent="0.3">
      <c r="A2869">
        <v>219653068</v>
      </c>
      <c r="B2869" s="1">
        <v>45154</v>
      </c>
      <c r="C2869" t="s">
        <v>19</v>
      </c>
      <c r="D2869" t="s">
        <v>7</v>
      </c>
      <c r="E2869">
        <v>39</v>
      </c>
      <c r="F2869" t="s">
        <v>6</v>
      </c>
      <c r="G2869" t="str">
        <f t="shared" si="94"/>
        <v>Active</v>
      </c>
      <c r="H2869" s="1" t="str">
        <f t="shared" si="95"/>
        <v>Wednesday</v>
      </c>
    </row>
    <row r="2870" spans="1:8" x14ac:dyDescent="0.3">
      <c r="A2870">
        <v>220120740</v>
      </c>
      <c r="B2870" s="1">
        <v>45154</v>
      </c>
      <c r="C2870" t="s">
        <v>19</v>
      </c>
      <c r="D2870" t="s">
        <v>7</v>
      </c>
      <c r="E2870">
        <v>39</v>
      </c>
      <c r="F2870" t="s">
        <v>6</v>
      </c>
      <c r="G2870" t="str">
        <f t="shared" si="94"/>
        <v>Active</v>
      </c>
      <c r="H2870" s="1" t="str">
        <f t="shared" si="95"/>
        <v>Wednesday</v>
      </c>
    </row>
    <row r="2871" spans="1:8" x14ac:dyDescent="0.3">
      <c r="A2871">
        <v>186200901</v>
      </c>
      <c r="B2871" s="1">
        <v>45154</v>
      </c>
      <c r="C2871" t="s">
        <v>19</v>
      </c>
      <c r="D2871" t="s">
        <v>7</v>
      </c>
      <c r="E2871">
        <v>39</v>
      </c>
      <c r="F2871" t="s">
        <v>6</v>
      </c>
      <c r="G2871" t="str">
        <f t="shared" si="94"/>
        <v>Active</v>
      </c>
      <c r="H2871" s="1" t="str">
        <f t="shared" si="95"/>
        <v>Wednesday</v>
      </c>
    </row>
    <row r="2872" spans="1:8" x14ac:dyDescent="0.3">
      <c r="A2872">
        <v>220116966</v>
      </c>
      <c r="B2872" s="1">
        <v>45154</v>
      </c>
      <c r="C2872" t="s">
        <v>19</v>
      </c>
      <c r="D2872" t="s">
        <v>7</v>
      </c>
      <c r="E2872">
        <v>39</v>
      </c>
      <c r="F2872" t="s">
        <v>6</v>
      </c>
      <c r="G2872" t="str">
        <f t="shared" si="94"/>
        <v>Active</v>
      </c>
      <c r="H2872" s="1" t="str">
        <f t="shared" si="95"/>
        <v>Wednesday</v>
      </c>
    </row>
    <row r="2873" spans="1:8" x14ac:dyDescent="0.3">
      <c r="A2873">
        <v>219876215</v>
      </c>
      <c r="B2873" s="1">
        <v>45154</v>
      </c>
      <c r="C2873" t="s">
        <v>19</v>
      </c>
      <c r="D2873" t="s">
        <v>7</v>
      </c>
      <c r="E2873">
        <v>39</v>
      </c>
      <c r="F2873" t="s">
        <v>6</v>
      </c>
      <c r="G2873" t="str">
        <f t="shared" si="94"/>
        <v>Active</v>
      </c>
      <c r="H2873" s="1" t="str">
        <f t="shared" si="95"/>
        <v>Wednesday</v>
      </c>
    </row>
    <row r="2874" spans="1:8" x14ac:dyDescent="0.3">
      <c r="A2874">
        <v>219996796</v>
      </c>
      <c r="B2874" s="1">
        <v>45154</v>
      </c>
      <c r="C2874" t="s">
        <v>19</v>
      </c>
      <c r="D2874" t="s">
        <v>7</v>
      </c>
      <c r="E2874">
        <v>39</v>
      </c>
      <c r="F2874" t="s">
        <v>6</v>
      </c>
      <c r="G2874" t="str">
        <f t="shared" si="94"/>
        <v>Active</v>
      </c>
      <c r="H2874" s="1" t="str">
        <f t="shared" si="95"/>
        <v>Wednesday</v>
      </c>
    </row>
    <row r="2875" spans="1:8" x14ac:dyDescent="0.3">
      <c r="A2875">
        <v>218296652</v>
      </c>
      <c r="B2875" s="1">
        <v>45154</v>
      </c>
      <c r="C2875" t="s">
        <v>19</v>
      </c>
      <c r="D2875" t="s">
        <v>7</v>
      </c>
      <c r="E2875">
        <v>39</v>
      </c>
      <c r="F2875" t="s">
        <v>6</v>
      </c>
      <c r="G2875" t="str">
        <f t="shared" si="94"/>
        <v>Active</v>
      </c>
      <c r="H2875" s="1" t="str">
        <f t="shared" si="95"/>
        <v>Wednesday</v>
      </c>
    </row>
    <row r="2876" spans="1:8" x14ac:dyDescent="0.3">
      <c r="A2876">
        <v>188748372</v>
      </c>
      <c r="B2876" s="1">
        <v>45154</v>
      </c>
      <c r="C2876" t="s">
        <v>19</v>
      </c>
      <c r="D2876" t="s">
        <v>7</v>
      </c>
      <c r="E2876">
        <v>39</v>
      </c>
      <c r="F2876" t="s">
        <v>6</v>
      </c>
      <c r="G2876" t="str">
        <f t="shared" si="94"/>
        <v>Active</v>
      </c>
      <c r="H2876" s="1" t="str">
        <f t="shared" si="95"/>
        <v>Wednesday</v>
      </c>
    </row>
    <row r="2877" spans="1:8" x14ac:dyDescent="0.3">
      <c r="A2877">
        <v>220080560</v>
      </c>
      <c r="B2877" s="1">
        <v>45154</v>
      </c>
      <c r="C2877" t="s">
        <v>19</v>
      </c>
      <c r="D2877" t="s">
        <v>7</v>
      </c>
      <c r="E2877">
        <v>39</v>
      </c>
      <c r="F2877" t="s">
        <v>6</v>
      </c>
      <c r="G2877" t="str">
        <f t="shared" si="94"/>
        <v>Active</v>
      </c>
      <c r="H2877" s="1" t="str">
        <f t="shared" si="95"/>
        <v>Wednesday</v>
      </c>
    </row>
    <row r="2878" spans="1:8" x14ac:dyDescent="0.3">
      <c r="A2878">
        <v>219899496</v>
      </c>
      <c r="B2878" s="1">
        <v>45155</v>
      </c>
      <c r="C2878" t="s">
        <v>19</v>
      </c>
      <c r="D2878" t="s">
        <v>7</v>
      </c>
      <c r="E2878">
        <v>39</v>
      </c>
      <c r="F2878" t="s">
        <v>6</v>
      </c>
      <c r="G2878" t="str">
        <f t="shared" si="94"/>
        <v>Active</v>
      </c>
      <c r="H2878" s="1" t="str">
        <f t="shared" si="95"/>
        <v>Thursday</v>
      </c>
    </row>
    <row r="2879" spans="1:8" x14ac:dyDescent="0.3">
      <c r="A2879">
        <v>219000322</v>
      </c>
      <c r="B2879" s="1">
        <v>45155</v>
      </c>
      <c r="C2879" t="s">
        <v>19</v>
      </c>
      <c r="D2879" t="s">
        <v>7</v>
      </c>
      <c r="E2879">
        <v>39</v>
      </c>
      <c r="F2879" t="s">
        <v>6</v>
      </c>
      <c r="G2879" t="str">
        <f t="shared" si="94"/>
        <v>Active</v>
      </c>
      <c r="H2879" s="1" t="str">
        <f t="shared" si="95"/>
        <v>Thursday</v>
      </c>
    </row>
    <row r="2880" spans="1:8" x14ac:dyDescent="0.3">
      <c r="A2880">
        <v>220181992</v>
      </c>
      <c r="B2880" s="1">
        <v>45155</v>
      </c>
      <c r="C2880" t="s">
        <v>19</v>
      </c>
      <c r="D2880" t="s">
        <v>7</v>
      </c>
      <c r="E2880">
        <v>39</v>
      </c>
      <c r="F2880" t="s">
        <v>6</v>
      </c>
      <c r="G2880" t="str">
        <f t="shared" si="94"/>
        <v>Active</v>
      </c>
      <c r="H2880" s="1" t="str">
        <f t="shared" si="95"/>
        <v>Thursday</v>
      </c>
    </row>
    <row r="2881" spans="1:8" x14ac:dyDescent="0.3">
      <c r="A2881">
        <v>220196419</v>
      </c>
      <c r="B2881" s="1">
        <v>45155</v>
      </c>
      <c r="C2881" t="s">
        <v>19</v>
      </c>
      <c r="D2881" t="s">
        <v>7</v>
      </c>
      <c r="E2881">
        <v>39</v>
      </c>
      <c r="F2881" t="s">
        <v>6</v>
      </c>
      <c r="G2881" t="str">
        <f t="shared" si="94"/>
        <v>Active</v>
      </c>
      <c r="H2881" s="1" t="str">
        <f t="shared" si="95"/>
        <v>Thursday</v>
      </c>
    </row>
    <row r="2882" spans="1:8" x14ac:dyDescent="0.3">
      <c r="A2882">
        <v>220155197</v>
      </c>
      <c r="B2882" s="1">
        <v>45155</v>
      </c>
      <c r="C2882" t="s">
        <v>19</v>
      </c>
      <c r="D2882" t="s">
        <v>7</v>
      </c>
      <c r="E2882">
        <v>39</v>
      </c>
      <c r="F2882" t="s">
        <v>6</v>
      </c>
      <c r="G2882" t="str">
        <f t="shared" si="94"/>
        <v>Active</v>
      </c>
      <c r="H2882" s="1" t="str">
        <f t="shared" si="95"/>
        <v>Thursday</v>
      </c>
    </row>
    <row r="2883" spans="1:8" x14ac:dyDescent="0.3">
      <c r="A2883">
        <v>220144619</v>
      </c>
      <c r="B2883" s="1">
        <v>45155</v>
      </c>
      <c r="C2883" t="s">
        <v>19</v>
      </c>
      <c r="D2883" t="s">
        <v>7</v>
      </c>
      <c r="E2883">
        <v>39</v>
      </c>
      <c r="F2883" t="s">
        <v>6</v>
      </c>
      <c r="G2883" t="str">
        <f t="shared" ref="G2883:G2946" si="96">IF(C2883="Active","Active",C2883-B2883)</f>
        <v>Active</v>
      </c>
      <c r="H2883" s="1" t="str">
        <f t="shared" ref="H2883:H2946" si="97">TEXT(B2883,"dddd")</f>
        <v>Thursday</v>
      </c>
    </row>
    <row r="2884" spans="1:8" x14ac:dyDescent="0.3">
      <c r="A2884">
        <v>220184550</v>
      </c>
      <c r="B2884" s="1">
        <v>45155</v>
      </c>
      <c r="C2884" t="s">
        <v>19</v>
      </c>
      <c r="D2884" t="s">
        <v>7</v>
      </c>
      <c r="E2884">
        <v>39</v>
      </c>
      <c r="F2884" t="s">
        <v>6</v>
      </c>
      <c r="G2884" t="str">
        <f t="shared" si="96"/>
        <v>Active</v>
      </c>
      <c r="H2884" s="1" t="str">
        <f t="shared" si="97"/>
        <v>Thursday</v>
      </c>
    </row>
    <row r="2885" spans="1:8" x14ac:dyDescent="0.3">
      <c r="A2885">
        <v>152209352</v>
      </c>
      <c r="B2885" s="1">
        <v>45155</v>
      </c>
      <c r="C2885" t="s">
        <v>19</v>
      </c>
      <c r="D2885" t="s">
        <v>7</v>
      </c>
      <c r="E2885">
        <v>39</v>
      </c>
      <c r="F2885" t="s">
        <v>6</v>
      </c>
      <c r="G2885" t="str">
        <f t="shared" si="96"/>
        <v>Active</v>
      </c>
      <c r="H2885" s="1" t="str">
        <f t="shared" si="97"/>
        <v>Thursday</v>
      </c>
    </row>
    <row r="2886" spans="1:8" x14ac:dyDescent="0.3">
      <c r="A2886">
        <v>146952862</v>
      </c>
      <c r="B2886" s="1">
        <v>45155</v>
      </c>
      <c r="C2886" t="s">
        <v>19</v>
      </c>
      <c r="D2886" t="s">
        <v>7</v>
      </c>
      <c r="E2886">
        <v>39</v>
      </c>
      <c r="F2886" t="s">
        <v>6</v>
      </c>
      <c r="G2886" t="str">
        <f t="shared" si="96"/>
        <v>Active</v>
      </c>
      <c r="H2886" s="1" t="str">
        <f t="shared" si="97"/>
        <v>Thursday</v>
      </c>
    </row>
    <row r="2887" spans="1:8" x14ac:dyDescent="0.3">
      <c r="A2887">
        <v>220178530</v>
      </c>
      <c r="B2887" s="1">
        <v>45155</v>
      </c>
      <c r="C2887" t="s">
        <v>19</v>
      </c>
      <c r="D2887" t="s">
        <v>7</v>
      </c>
      <c r="E2887">
        <v>39</v>
      </c>
      <c r="F2887" t="s">
        <v>6</v>
      </c>
      <c r="G2887" t="str">
        <f t="shared" si="96"/>
        <v>Active</v>
      </c>
      <c r="H2887" s="1" t="str">
        <f t="shared" si="97"/>
        <v>Thursday</v>
      </c>
    </row>
    <row r="2888" spans="1:8" x14ac:dyDescent="0.3">
      <c r="A2888">
        <v>219498470</v>
      </c>
      <c r="B2888" s="1">
        <v>45155</v>
      </c>
      <c r="C2888" t="s">
        <v>19</v>
      </c>
      <c r="D2888" t="s">
        <v>7</v>
      </c>
      <c r="E2888">
        <v>39</v>
      </c>
      <c r="F2888" t="s">
        <v>6</v>
      </c>
      <c r="G2888" t="str">
        <f t="shared" si="96"/>
        <v>Active</v>
      </c>
      <c r="H2888" s="1" t="str">
        <f t="shared" si="97"/>
        <v>Thursday</v>
      </c>
    </row>
    <row r="2889" spans="1:8" x14ac:dyDescent="0.3">
      <c r="A2889">
        <v>216622895</v>
      </c>
      <c r="B2889" s="1">
        <v>45155</v>
      </c>
      <c r="C2889" t="s">
        <v>19</v>
      </c>
      <c r="D2889" t="s">
        <v>7</v>
      </c>
      <c r="E2889">
        <v>39</v>
      </c>
      <c r="F2889" t="s">
        <v>6</v>
      </c>
      <c r="G2889" t="str">
        <f t="shared" si="96"/>
        <v>Active</v>
      </c>
      <c r="H2889" s="1" t="str">
        <f t="shared" si="97"/>
        <v>Thursday</v>
      </c>
    </row>
    <row r="2890" spans="1:8" x14ac:dyDescent="0.3">
      <c r="A2890">
        <v>153705354</v>
      </c>
      <c r="B2890" s="1">
        <v>45155</v>
      </c>
      <c r="C2890" s="1">
        <v>45155</v>
      </c>
      <c r="D2890" t="s">
        <v>7</v>
      </c>
      <c r="E2890">
        <v>39</v>
      </c>
      <c r="F2890" t="s">
        <v>6</v>
      </c>
      <c r="G2890">
        <f t="shared" si="96"/>
        <v>0</v>
      </c>
      <c r="H2890" s="1" t="str">
        <f t="shared" si="97"/>
        <v>Thursday</v>
      </c>
    </row>
    <row r="2891" spans="1:8" x14ac:dyDescent="0.3">
      <c r="A2891">
        <v>219280628</v>
      </c>
      <c r="B2891" s="1">
        <v>45155</v>
      </c>
      <c r="C2891" s="1">
        <v>45156</v>
      </c>
      <c r="D2891" t="s">
        <v>8</v>
      </c>
      <c r="E2891">
        <v>39</v>
      </c>
      <c r="F2891" t="s">
        <v>6</v>
      </c>
      <c r="G2891">
        <f t="shared" si="96"/>
        <v>1</v>
      </c>
      <c r="H2891" s="1" t="str">
        <f t="shared" si="97"/>
        <v>Thursday</v>
      </c>
    </row>
    <row r="2892" spans="1:8" x14ac:dyDescent="0.3">
      <c r="A2892">
        <v>220171290</v>
      </c>
      <c r="B2892" s="1">
        <v>45156</v>
      </c>
      <c r="C2892" t="s">
        <v>19</v>
      </c>
      <c r="D2892" t="s">
        <v>7</v>
      </c>
      <c r="E2892">
        <v>39</v>
      </c>
      <c r="F2892" t="s">
        <v>6</v>
      </c>
      <c r="G2892" t="str">
        <f t="shared" si="96"/>
        <v>Active</v>
      </c>
      <c r="H2892" s="1" t="str">
        <f t="shared" si="97"/>
        <v>Friday</v>
      </c>
    </row>
    <row r="2893" spans="1:8" x14ac:dyDescent="0.3">
      <c r="A2893">
        <v>219553060</v>
      </c>
      <c r="B2893" s="1">
        <v>45156</v>
      </c>
      <c r="C2893" t="s">
        <v>19</v>
      </c>
      <c r="D2893" t="s">
        <v>7</v>
      </c>
      <c r="E2893">
        <v>39</v>
      </c>
      <c r="F2893" t="s">
        <v>6</v>
      </c>
      <c r="G2893" t="str">
        <f t="shared" si="96"/>
        <v>Active</v>
      </c>
      <c r="H2893" s="1" t="str">
        <f t="shared" si="97"/>
        <v>Friday</v>
      </c>
    </row>
    <row r="2894" spans="1:8" x14ac:dyDescent="0.3">
      <c r="A2894">
        <v>220244827</v>
      </c>
      <c r="B2894" s="1">
        <v>45156</v>
      </c>
      <c r="C2894" t="s">
        <v>19</v>
      </c>
      <c r="D2894" t="s">
        <v>7</v>
      </c>
      <c r="E2894">
        <v>39</v>
      </c>
      <c r="F2894" t="s">
        <v>6</v>
      </c>
      <c r="G2894" t="str">
        <f t="shared" si="96"/>
        <v>Active</v>
      </c>
      <c r="H2894" s="1" t="str">
        <f t="shared" si="97"/>
        <v>Friday</v>
      </c>
    </row>
    <row r="2895" spans="1:8" x14ac:dyDescent="0.3">
      <c r="A2895">
        <v>219612883</v>
      </c>
      <c r="B2895" s="1">
        <v>45156</v>
      </c>
      <c r="C2895" t="s">
        <v>19</v>
      </c>
      <c r="D2895" t="s">
        <v>7</v>
      </c>
      <c r="E2895">
        <v>39</v>
      </c>
      <c r="F2895" t="s">
        <v>6</v>
      </c>
      <c r="G2895" t="str">
        <f t="shared" si="96"/>
        <v>Active</v>
      </c>
      <c r="H2895" s="1" t="str">
        <f t="shared" si="97"/>
        <v>Friday</v>
      </c>
    </row>
    <row r="2896" spans="1:8" x14ac:dyDescent="0.3">
      <c r="A2896">
        <v>217914279</v>
      </c>
      <c r="B2896" s="1">
        <v>45156</v>
      </c>
      <c r="C2896" t="s">
        <v>19</v>
      </c>
      <c r="D2896" t="s">
        <v>7</v>
      </c>
      <c r="E2896">
        <v>39</v>
      </c>
      <c r="F2896" t="s">
        <v>6</v>
      </c>
      <c r="G2896" t="str">
        <f t="shared" si="96"/>
        <v>Active</v>
      </c>
      <c r="H2896" s="1" t="str">
        <f t="shared" si="97"/>
        <v>Friday</v>
      </c>
    </row>
    <row r="2897" spans="1:8" x14ac:dyDescent="0.3">
      <c r="A2897">
        <v>220171851</v>
      </c>
      <c r="B2897" s="1">
        <v>45156</v>
      </c>
      <c r="C2897" t="s">
        <v>19</v>
      </c>
      <c r="D2897" t="s">
        <v>7</v>
      </c>
      <c r="E2897">
        <v>39</v>
      </c>
      <c r="F2897" t="s">
        <v>6</v>
      </c>
      <c r="G2897" t="str">
        <f t="shared" si="96"/>
        <v>Active</v>
      </c>
      <c r="H2897" s="1" t="str">
        <f t="shared" si="97"/>
        <v>Friday</v>
      </c>
    </row>
    <row r="2898" spans="1:8" x14ac:dyDescent="0.3">
      <c r="A2898">
        <v>217543308</v>
      </c>
      <c r="B2898" s="1">
        <v>45156</v>
      </c>
      <c r="C2898" t="s">
        <v>19</v>
      </c>
      <c r="D2898" t="s">
        <v>7</v>
      </c>
      <c r="E2898">
        <v>39</v>
      </c>
      <c r="F2898" t="s">
        <v>6</v>
      </c>
      <c r="G2898" t="str">
        <f t="shared" si="96"/>
        <v>Active</v>
      </c>
      <c r="H2898" s="1" t="str">
        <f t="shared" si="97"/>
        <v>Friday</v>
      </c>
    </row>
    <row r="2899" spans="1:8" x14ac:dyDescent="0.3">
      <c r="A2899">
        <v>157008330</v>
      </c>
      <c r="B2899" s="1">
        <v>45156</v>
      </c>
      <c r="C2899" s="1">
        <v>45156</v>
      </c>
      <c r="D2899" t="s">
        <v>7</v>
      </c>
      <c r="E2899">
        <v>39</v>
      </c>
      <c r="F2899" t="s">
        <v>6</v>
      </c>
      <c r="G2899">
        <f t="shared" si="96"/>
        <v>0</v>
      </c>
      <c r="H2899" s="1" t="str">
        <f t="shared" si="97"/>
        <v>Friday</v>
      </c>
    </row>
    <row r="2900" spans="1:8" x14ac:dyDescent="0.3">
      <c r="A2900">
        <v>206063908</v>
      </c>
      <c r="B2900" s="1">
        <v>45156</v>
      </c>
      <c r="C2900" s="1">
        <v>45176</v>
      </c>
      <c r="D2900" t="s">
        <v>7</v>
      </c>
      <c r="E2900">
        <v>39</v>
      </c>
      <c r="F2900" t="s">
        <v>6</v>
      </c>
      <c r="G2900">
        <f t="shared" si="96"/>
        <v>20</v>
      </c>
      <c r="H2900" s="1" t="str">
        <f t="shared" si="97"/>
        <v>Friday</v>
      </c>
    </row>
    <row r="2901" spans="1:8" x14ac:dyDescent="0.3">
      <c r="A2901">
        <v>220182716</v>
      </c>
      <c r="B2901" s="1">
        <v>45156</v>
      </c>
      <c r="C2901" s="1">
        <v>45157</v>
      </c>
      <c r="D2901" t="s">
        <v>8</v>
      </c>
      <c r="E2901">
        <v>39</v>
      </c>
      <c r="F2901" t="s">
        <v>6</v>
      </c>
      <c r="G2901">
        <f t="shared" si="96"/>
        <v>1</v>
      </c>
      <c r="H2901" s="1" t="str">
        <f t="shared" si="97"/>
        <v>Friday</v>
      </c>
    </row>
    <row r="2902" spans="1:8" x14ac:dyDescent="0.3">
      <c r="A2902">
        <v>202103959</v>
      </c>
      <c r="B2902" s="1">
        <v>45157</v>
      </c>
      <c r="C2902" t="s">
        <v>19</v>
      </c>
      <c r="D2902" t="s">
        <v>7</v>
      </c>
      <c r="E2902">
        <v>39</v>
      </c>
      <c r="F2902" t="s">
        <v>6</v>
      </c>
      <c r="G2902" t="str">
        <f t="shared" si="96"/>
        <v>Active</v>
      </c>
      <c r="H2902" s="1" t="str">
        <f t="shared" si="97"/>
        <v>Saturday</v>
      </c>
    </row>
    <row r="2903" spans="1:8" x14ac:dyDescent="0.3">
      <c r="A2903">
        <v>218757796</v>
      </c>
      <c r="B2903" s="1">
        <v>45157</v>
      </c>
      <c r="C2903" t="s">
        <v>19</v>
      </c>
      <c r="D2903" t="s">
        <v>7</v>
      </c>
      <c r="E2903">
        <v>39</v>
      </c>
      <c r="F2903" t="s">
        <v>6</v>
      </c>
      <c r="G2903" t="str">
        <f t="shared" si="96"/>
        <v>Active</v>
      </c>
      <c r="H2903" s="1" t="str">
        <f t="shared" si="97"/>
        <v>Saturday</v>
      </c>
    </row>
    <row r="2904" spans="1:8" x14ac:dyDescent="0.3">
      <c r="A2904">
        <v>220272556</v>
      </c>
      <c r="B2904" s="1">
        <v>45157</v>
      </c>
      <c r="C2904" t="s">
        <v>19</v>
      </c>
      <c r="D2904" t="s">
        <v>7</v>
      </c>
      <c r="E2904">
        <v>39</v>
      </c>
      <c r="F2904" t="s">
        <v>6</v>
      </c>
      <c r="G2904" t="str">
        <f t="shared" si="96"/>
        <v>Active</v>
      </c>
      <c r="H2904" s="1" t="str">
        <f t="shared" si="97"/>
        <v>Saturday</v>
      </c>
    </row>
    <row r="2905" spans="1:8" x14ac:dyDescent="0.3">
      <c r="A2905">
        <v>219493644</v>
      </c>
      <c r="B2905" s="1">
        <v>45157</v>
      </c>
      <c r="C2905" t="s">
        <v>19</v>
      </c>
      <c r="D2905" t="s">
        <v>7</v>
      </c>
      <c r="E2905">
        <v>39</v>
      </c>
      <c r="F2905" t="s">
        <v>6</v>
      </c>
      <c r="G2905" t="str">
        <f t="shared" si="96"/>
        <v>Active</v>
      </c>
      <c r="H2905" s="1" t="str">
        <f t="shared" si="97"/>
        <v>Saturday</v>
      </c>
    </row>
    <row r="2906" spans="1:8" x14ac:dyDescent="0.3">
      <c r="A2906">
        <v>148996798</v>
      </c>
      <c r="B2906" s="1">
        <v>45157</v>
      </c>
      <c r="C2906" t="s">
        <v>19</v>
      </c>
      <c r="D2906" t="s">
        <v>7</v>
      </c>
      <c r="E2906">
        <v>39</v>
      </c>
      <c r="F2906" t="s">
        <v>6</v>
      </c>
      <c r="G2906" t="str">
        <f t="shared" si="96"/>
        <v>Active</v>
      </c>
      <c r="H2906" s="1" t="str">
        <f t="shared" si="97"/>
        <v>Saturday</v>
      </c>
    </row>
    <row r="2907" spans="1:8" x14ac:dyDescent="0.3">
      <c r="A2907">
        <v>218947678</v>
      </c>
      <c r="B2907" s="1">
        <v>45157</v>
      </c>
      <c r="C2907" t="s">
        <v>19</v>
      </c>
      <c r="D2907" t="s">
        <v>7</v>
      </c>
      <c r="E2907">
        <v>39</v>
      </c>
      <c r="F2907" t="s">
        <v>6</v>
      </c>
      <c r="G2907" t="str">
        <f t="shared" si="96"/>
        <v>Active</v>
      </c>
      <c r="H2907" s="1" t="str">
        <f t="shared" si="97"/>
        <v>Saturday</v>
      </c>
    </row>
    <row r="2908" spans="1:8" x14ac:dyDescent="0.3">
      <c r="A2908">
        <v>119465934</v>
      </c>
      <c r="B2908" s="1">
        <v>45157</v>
      </c>
      <c r="C2908" t="s">
        <v>19</v>
      </c>
      <c r="D2908" t="s">
        <v>7</v>
      </c>
      <c r="E2908">
        <v>39</v>
      </c>
      <c r="F2908" t="s">
        <v>6</v>
      </c>
      <c r="G2908" t="str">
        <f t="shared" si="96"/>
        <v>Active</v>
      </c>
      <c r="H2908" s="1" t="str">
        <f t="shared" si="97"/>
        <v>Saturday</v>
      </c>
    </row>
    <row r="2909" spans="1:8" x14ac:dyDescent="0.3">
      <c r="A2909">
        <v>219195061</v>
      </c>
      <c r="B2909" s="1">
        <v>45157</v>
      </c>
      <c r="C2909" t="s">
        <v>19</v>
      </c>
      <c r="D2909" t="s">
        <v>7</v>
      </c>
      <c r="E2909">
        <v>39</v>
      </c>
      <c r="F2909" t="s">
        <v>6</v>
      </c>
      <c r="G2909" t="str">
        <f t="shared" si="96"/>
        <v>Active</v>
      </c>
      <c r="H2909" s="1" t="str">
        <f t="shared" si="97"/>
        <v>Saturday</v>
      </c>
    </row>
    <row r="2910" spans="1:8" x14ac:dyDescent="0.3">
      <c r="A2910">
        <v>219637590</v>
      </c>
      <c r="B2910" s="1">
        <v>45157</v>
      </c>
      <c r="C2910" s="1">
        <v>45163</v>
      </c>
      <c r="D2910" t="s">
        <v>7</v>
      </c>
      <c r="E2910">
        <v>39</v>
      </c>
      <c r="F2910" t="s">
        <v>6</v>
      </c>
      <c r="G2910">
        <f t="shared" si="96"/>
        <v>6</v>
      </c>
      <c r="H2910" s="1" t="str">
        <f t="shared" si="97"/>
        <v>Saturday</v>
      </c>
    </row>
    <row r="2911" spans="1:8" x14ac:dyDescent="0.3">
      <c r="A2911">
        <v>218878930</v>
      </c>
      <c r="B2911" s="1">
        <v>45158</v>
      </c>
      <c r="C2911" t="s">
        <v>19</v>
      </c>
      <c r="D2911" t="s">
        <v>7</v>
      </c>
      <c r="E2911">
        <v>39</v>
      </c>
      <c r="F2911" t="s">
        <v>6</v>
      </c>
      <c r="G2911" t="str">
        <f t="shared" si="96"/>
        <v>Active</v>
      </c>
      <c r="H2911" s="1" t="str">
        <f t="shared" si="97"/>
        <v>Sunday</v>
      </c>
    </row>
    <row r="2912" spans="1:8" x14ac:dyDescent="0.3">
      <c r="A2912">
        <v>134622358</v>
      </c>
      <c r="B2912" s="1">
        <v>45158</v>
      </c>
      <c r="C2912" t="s">
        <v>19</v>
      </c>
      <c r="D2912" t="s">
        <v>7</v>
      </c>
      <c r="E2912">
        <v>39</v>
      </c>
      <c r="F2912" t="s">
        <v>6</v>
      </c>
      <c r="G2912" t="str">
        <f t="shared" si="96"/>
        <v>Active</v>
      </c>
      <c r="H2912" s="1" t="str">
        <f t="shared" si="97"/>
        <v>Sunday</v>
      </c>
    </row>
    <row r="2913" spans="1:8" x14ac:dyDescent="0.3">
      <c r="A2913">
        <v>219237524</v>
      </c>
      <c r="B2913" s="1">
        <v>45158</v>
      </c>
      <c r="C2913" t="s">
        <v>19</v>
      </c>
      <c r="D2913" t="s">
        <v>7</v>
      </c>
      <c r="E2913">
        <v>39</v>
      </c>
      <c r="F2913" t="s">
        <v>6</v>
      </c>
      <c r="G2913" t="str">
        <f t="shared" si="96"/>
        <v>Active</v>
      </c>
      <c r="H2913" s="1" t="str">
        <f t="shared" si="97"/>
        <v>Sunday</v>
      </c>
    </row>
    <row r="2914" spans="1:8" x14ac:dyDescent="0.3">
      <c r="A2914">
        <v>147320092</v>
      </c>
      <c r="B2914" s="1">
        <v>45158</v>
      </c>
      <c r="C2914" t="s">
        <v>19</v>
      </c>
      <c r="D2914" t="s">
        <v>7</v>
      </c>
      <c r="E2914">
        <v>39</v>
      </c>
      <c r="F2914" t="s">
        <v>6</v>
      </c>
      <c r="G2914" t="str">
        <f t="shared" si="96"/>
        <v>Active</v>
      </c>
      <c r="H2914" s="1" t="str">
        <f t="shared" si="97"/>
        <v>Sunday</v>
      </c>
    </row>
    <row r="2915" spans="1:8" x14ac:dyDescent="0.3">
      <c r="A2915">
        <v>219953886</v>
      </c>
      <c r="B2915" s="1">
        <v>45158</v>
      </c>
      <c r="C2915" t="s">
        <v>19</v>
      </c>
      <c r="D2915" t="s">
        <v>7</v>
      </c>
      <c r="E2915">
        <v>39</v>
      </c>
      <c r="F2915" t="s">
        <v>6</v>
      </c>
      <c r="G2915" t="str">
        <f t="shared" si="96"/>
        <v>Active</v>
      </c>
      <c r="H2915" s="1" t="str">
        <f t="shared" si="97"/>
        <v>Sunday</v>
      </c>
    </row>
    <row r="2916" spans="1:8" x14ac:dyDescent="0.3">
      <c r="A2916">
        <v>207013932</v>
      </c>
      <c r="B2916" s="1">
        <v>45158</v>
      </c>
      <c r="C2916" s="1">
        <v>45158</v>
      </c>
      <c r="D2916" t="s">
        <v>8</v>
      </c>
      <c r="E2916">
        <v>39</v>
      </c>
      <c r="F2916" t="s">
        <v>6</v>
      </c>
      <c r="G2916">
        <f t="shared" si="96"/>
        <v>0</v>
      </c>
      <c r="H2916" s="1" t="str">
        <f t="shared" si="97"/>
        <v>Sunday</v>
      </c>
    </row>
    <row r="2917" spans="1:8" x14ac:dyDescent="0.3">
      <c r="A2917">
        <v>205274562</v>
      </c>
      <c r="B2917" s="1">
        <v>45159</v>
      </c>
      <c r="C2917" t="s">
        <v>19</v>
      </c>
      <c r="D2917" t="s">
        <v>7</v>
      </c>
      <c r="E2917">
        <v>39</v>
      </c>
      <c r="F2917" t="s">
        <v>6</v>
      </c>
      <c r="G2917" t="str">
        <f t="shared" si="96"/>
        <v>Active</v>
      </c>
      <c r="H2917" s="1" t="str">
        <f t="shared" si="97"/>
        <v>Monday</v>
      </c>
    </row>
    <row r="2918" spans="1:8" x14ac:dyDescent="0.3">
      <c r="A2918">
        <v>152698255</v>
      </c>
      <c r="B2918" s="1">
        <v>45159</v>
      </c>
      <c r="C2918" t="s">
        <v>19</v>
      </c>
      <c r="D2918" t="s">
        <v>7</v>
      </c>
      <c r="E2918">
        <v>39</v>
      </c>
      <c r="F2918" t="s">
        <v>6</v>
      </c>
      <c r="G2918" t="str">
        <f t="shared" si="96"/>
        <v>Active</v>
      </c>
      <c r="H2918" s="1" t="str">
        <f t="shared" si="97"/>
        <v>Monday</v>
      </c>
    </row>
    <row r="2919" spans="1:8" x14ac:dyDescent="0.3">
      <c r="A2919">
        <v>209361492</v>
      </c>
      <c r="B2919" s="1">
        <v>45159</v>
      </c>
      <c r="C2919" t="s">
        <v>19</v>
      </c>
      <c r="D2919" t="s">
        <v>7</v>
      </c>
      <c r="E2919">
        <v>39</v>
      </c>
      <c r="F2919" t="s">
        <v>6</v>
      </c>
      <c r="G2919" t="str">
        <f t="shared" si="96"/>
        <v>Active</v>
      </c>
      <c r="H2919" s="1" t="str">
        <f t="shared" si="97"/>
        <v>Monday</v>
      </c>
    </row>
    <row r="2920" spans="1:8" x14ac:dyDescent="0.3">
      <c r="A2920">
        <v>205530810</v>
      </c>
      <c r="B2920" s="1">
        <v>45159</v>
      </c>
      <c r="C2920" t="s">
        <v>19</v>
      </c>
      <c r="D2920" t="s">
        <v>7</v>
      </c>
      <c r="E2920">
        <v>39</v>
      </c>
      <c r="F2920" t="s">
        <v>6</v>
      </c>
      <c r="G2920" t="str">
        <f t="shared" si="96"/>
        <v>Active</v>
      </c>
      <c r="H2920" s="1" t="str">
        <f t="shared" si="97"/>
        <v>Monday</v>
      </c>
    </row>
    <row r="2921" spans="1:8" x14ac:dyDescent="0.3">
      <c r="A2921">
        <v>220343801</v>
      </c>
      <c r="B2921" s="1">
        <v>45159</v>
      </c>
      <c r="C2921" t="s">
        <v>19</v>
      </c>
      <c r="D2921" t="s">
        <v>7</v>
      </c>
      <c r="E2921">
        <v>39</v>
      </c>
      <c r="F2921" t="s">
        <v>6</v>
      </c>
      <c r="G2921" t="str">
        <f t="shared" si="96"/>
        <v>Active</v>
      </c>
      <c r="H2921" s="1" t="str">
        <f t="shared" si="97"/>
        <v>Monday</v>
      </c>
    </row>
    <row r="2922" spans="1:8" x14ac:dyDescent="0.3">
      <c r="A2922">
        <v>150441222</v>
      </c>
      <c r="B2922" s="1">
        <v>45159</v>
      </c>
      <c r="C2922" t="s">
        <v>19</v>
      </c>
      <c r="D2922" t="s">
        <v>7</v>
      </c>
      <c r="E2922">
        <v>39</v>
      </c>
      <c r="F2922" t="s">
        <v>6</v>
      </c>
      <c r="G2922" t="str">
        <f t="shared" si="96"/>
        <v>Active</v>
      </c>
      <c r="H2922" s="1" t="str">
        <f t="shared" si="97"/>
        <v>Monday</v>
      </c>
    </row>
    <row r="2923" spans="1:8" x14ac:dyDescent="0.3">
      <c r="A2923">
        <v>214640803</v>
      </c>
      <c r="B2923" s="1">
        <v>45159</v>
      </c>
      <c r="C2923" t="s">
        <v>19</v>
      </c>
      <c r="D2923" t="s">
        <v>7</v>
      </c>
      <c r="E2923">
        <v>39</v>
      </c>
      <c r="F2923" t="s">
        <v>6</v>
      </c>
      <c r="G2923" t="str">
        <f t="shared" si="96"/>
        <v>Active</v>
      </c>
      <c r="H2923" s="1" t="str">
        <f t="shared" si="97"/>
        <v>Monday</v>
      </c>
    </row>
    <row r="2924" spans="1:8" x14ac:dyDescent="0.3">
      <c r="A2924">
        <v>219569853</v>
      </c>
      <c r="B2924" s="1">
        <v>45159</v>
      </c>
      <c r="C2924" t="s">
        <v>19</v>
      </c>
      <c r="D2924" t="s">
        <v>7</v>
      </c>
      <c r="E2924">
        <v>39</v>
      </c>
      <c r="F2924" t="s">
        <v>6</v>
      </c>
      <c r="G2924" t="str">
        <f t="shared" si="96"/>
        <v>Active</v>
      </c>
      <c r="H2924" s="1" t="str">
        <f t="shared" si="97"/>
        <v>Monday</v>
      </c>
    </row>
    <row r="2925" spans="1:8" x14ac:dyDescent="0.3">
      <c r="A2925">
        <v>220197494</v>
      </c>
      <c r="B2925" s="1">
        <v>45159</v>
      </c>
      <c r="C2925" t="s">
        <v>19</v>
      </c>
      <c r="D2925" t="s">
        <v>7</v>
      </c>
      <c r="E2925">
        <v>39</v>
      </c>
      <c r="F2925" t="s">
        <v>6</v>
      </c>
      <c r="G2925" t="str">
        <f t="shared" si="96"/>
        <v>Active</v>
      </c>
      <c r="H2925" s="1" t="str">
        <f t="shared" si="97"/>
        <v>Monday</v>
      </c>
    </row>
    <row r="2926" spans="1:8" x14ac:dyDescent="0.3">
      <c r="A2926">
        <v>220323698</v>
      </c>
      <c r="B2926" s="1">
        <v>45159</v>
      </c>
      <c r="C2926" t="s">
        <v>19</v>
      </c>
      <c r="D2926" t="s">
        <v>7</v>
      </c>
      <c r="E2926">
        <v>39</v>
      </c>
      <c r="F2926" t="s">
        <v>6</v>
      </c>
      <c r="G2926" t="str">
        <f t="shared" si="96"/>
        <v>Active</v>
      </c>
      <c r="H2926" s="1" t="str">
        <f t="shared" si="97"/>
        <v>Monday</v>
      </c>
    </row>
    <row r="2927" spans="1:8" x14ac:dyDescent="0.3">
      <c r="A2927">
        <v>215180470</v>
      </c>
      <c r="B2927" s="1">
        <v>45159</v>
      </c>
      <c r="C2927" s="1">
        <v>45159</v>
      </c>
      <c r="D2927" t="s">
        <v>7</v>
      </c>
      <c r="E2927">
        <v>39</v>
      </c>
      <c r="F2927" t="s">
        <v>6</v>
      </c>
      <c r="G2927">
        <f t="shared" si="96"/>
        <v>0</v>
      </c>
      <c r="H2927" s="1" t="str">
        <f t="shared" si="97"/>
        <v>Monday</v>
      </c>
    </row>
    <row r="2928" spans="1:8" x14ac:dyDescent="0.3">
      <c r="A2928">
        <v>177323966</v>
      </c>
      <c r="B2928" s="1">
        <v>45159</v>
      </c>
      <c r="C2928" s="1">
        <v>45166</v>
      </c>
      <c r="D2928" t="s">
        <v>7</v>
      </c>
      <c r="E2928">
        <v>39</v>
      </c>
      <c r="F2928" t="s">
        <v>6</v>
      </c>
      <c r="G2928">
        <f t="shared" si="96"/>
        <v>7</v>
      </c>
      <c r="H2928" s="1" t="str">
        <f t="shared" si="97"/>
        <v>Monday</v>
      </c>
    </row>
    <row r="2929" spans="1:8" x14ac:dyDescent="0.3">
      <c r="A2929">
        <v>214682826</v>
      </c>
      <c r="B2929" s="1">
        <v>45159</v>
      </c>
      <c r="C2929" s="1">
        <v>45160</v>
      </c>
      <c r="D2929" t="s">
        <v>7</v>
      </c>
      <c r="E2929">
        <v>39</v>
      </c>
      <c r="F2929" t="s">
        <v>6</v>
      </c>
      <c r="G2929">
        <f t="shared" si="96"/>
        <v>1</v>
      </c>
      <c r="H2929" s="1" t="str">
        <f t="shared" si="97"/>
        <v>Monday</v>
      </c>
    </row>
    <row r="2930" spans="1:8" x14ac:dyDescent="0.3">
      <c r="A2930">
        <v>220414820</v>
      </c>
      <c r="B2930" s="1">
        <v>45160</v>
      </c>
      <c r="C2930" t="s">
        <v>19</v>
      </c>
      <c r="D2930" t="s">
        <v>7</v>
      </c>
      <c r="E2930">
        <v>39</v>
      </c>
      <c r="F2930" t="s">
        <v>6</v>
      </c>
      <c r="G2930" t="str">
        <f t="shared" si="96"/>
        <v>Active</v>
      </c>
      <c r="H2930" s="1" t="str">
        <f t="shared" si="97"/>
        <v>Tuesday</v>
      </c>
    </row>
    <row r="2931" spans="1:8" x14ac:dyDescent="0.3">
      <c r="A2931">
        <v>214682826</v>
      </c>
      <c r="B2931" s="1">
        <v>45160</v>
      </c>
      <c r="C2931" t="s">
        <v>19</v>
      </c>
      <c r="D2931" t="s">
        <v>7</v>
      </c>
      <c r="E2931">
        <v>39</v>
      </c>
      <c r="F2931" t="s">
        <v>6</v>
      </c>
      <c r="G2931" t="str">
        <f t="shared" si="96"/>
        <v>Active</v>
      </c>
      <c r="H2931" s="1" t="str">
        <f t="shared" si="97"/>
        <v>Tuesday</v>
      </c>
    </row>
    <row r="2932" spans="1:8" x14ac:dyDescent="0.3">
      <c r="A2932">
        <v>206147500</v>
      </c>
      <c r="B2932" s="1">
        <v>45160</v>
      </c>
      <c r="C2932" t="s">
        <v>19</v>
      </c>
      <c r="D2932" t="s">
        <v>7</v>
      </c>
      <c r="E2932">
        <v>39</v>
      </c>
      <c r="F2932" t="s">
        <v>6</v>
      </c>
      <c r="G2932" t="str">
        <f t="shared" si="96"/>
        <v>Active</v>
      </c>
      <c r="H2932" s="1" t="str">
        <f t="shared" si="97"/>
        <v>Tuesday</v>
      </c>
    </row>
    <row r="2933" spans="1:8" x14ac:dyDescent="0.3">
      <c r="A2933">
        <v>220402308</v>
      </c>
      <c r="B2933" s="1">
        <v>45160</v>
      </c>
      <c r="C2933" t="s">
        <v>19</v>
      </c>
      <c r="D2933" t="s">
        <v>7</v>
      </c>
      <c r="E2933">
        <v>39</v>
      </c>
      <c r="F2933" t="s">
        <v>6</v>
      </c>
      <c r="G2933" t="str">
        <f t="shared" si="96"/>
        <v>Active</v>
      </c>
      <c r="H2933" s="1" t="str">
        <f t="shared" si="97"/>
        <v>Tuesday</v>
      </c>
    </row>
    <row r="2934" spans="1:8" x14ac:dyDescent="0.3">
      <c r="A2934">
        <v>220205806</v>
      </c>
      <c r="B2934" s="1">
        <v>45160</v>
      </c>
      <c r="C2934" t="s">
        <v>19</v>
      </c>
      <c r="D2934" t="s">
        <v>7</v>
      </c>
      <c r="E2934">
        <v>39</v>
      </c>
      <c r="F2934" t="s">
        <v>6</v>
      </c>
      <c r="G2934" t="str">
        <f t="shared" si="96"/>
        <v>Active</v>
      </c>
      <c r="H2934" s="1" t="str">
        <f t="shared" si="97"/>
        <v>Tuesday</v>
      </c>
    </row>
    <row r="2935" spans="1:8" x14ac:dyDescent="0.3">
      <c r="A2935">
        <v>152792045</v>
      </c>
      <c r="B2935" s="1">
        <v>45160</v>
      </c>
      <c r="C2935" t="s">
        <v>19</v>
      </c>
      <c r="D2935" t="s">
        <v>7</v>
      </c>
      <c r="E2935">
        <v>39</v>
      </c>
      <c r="F2935" t="s">
        <v>6</v>
      </c>
      <c r="G2935" t="str">
        <f t="shared" si="96"/>
        <v>Active</v>
      </c>
      <c r="H2935" s="1" t="str">
        <f t="shared" si="97"/>
        <v>Tuesday</v>
      </c>
    </row>
    <row r="2936" spans="1:8" x14ac:dyDescent="0.3">
      <c r="A2936">
        <v>220381016</v>
      </c>
      <c r="B2936" s="1">
        <v>45160</v>
      </c>
      <c r="C2936" t="s">
        <v>19</v>
      </c>
      <c r="D2936" t="s">
        <v>7</v>
      </c>
      <c r="E2936">
        <v>39</v>
      </c>
      <c r="F2936" t="s">
        <v>6</v>
      </c>
      <c r="G2936" t="str">
        <f t="shared" si="96"/>
        <v>Active</v>
      </c>
      <c r="H2936" s="1" t="str">
        <f t="shared" si="97"/>
        <v>Tuesday</v>
      </c>
    </row>
    <row r="2937" spans="1:8" x14ac:dyDescent="0.3">
      <c r="A2937">
        <v>220385078</v>
      </c>
      <c r="B2937" s="1">
        <v>45160</v>
      </c>
      <c r="C2937" t="s">
        <v>19</v>
      </c>
      <c r="D2937" t="s">
        <v>7</v>
      </c>
      <c r="E2937">
        <v>39</v>
      </c>
      <c r="F2937" t="s">
        <v>6</v>
      </c>
      <c r="G2937" t="str">
        <f t="shared" si="96"/>
        <v>Active</v>
      </c>
      <c r="H2937" s="1" t="str">
        <f t="shared" si="97"/>
        <v>Tuesday</v>
      </c>
    </row>
    <row r="2938" spans="1:8" x14ac:dyDescent="0.3">
      <c r="A2938">
        <v>220414853</v>
      </c>
      <c r="B2938" s="1">
        <v>45160</v>
      </c>
      <c r="C2938" t="s">
        <v>19</v>
      </c>
      <c r="D2938" t="s">
        <v>7</v>
      </c>
      <c r="E2938">
        <v>39</v>
      </c>
      <c r="F2938" t="s">
        <v>6</v>
      </c>
      <c r="G2938" t="str">
        <f t="shared" si="96"/>
        <v>Active</v>
      </c>
      <c r="H2938" s="1" t="str">
        <f t="shared" si="97"/>
        <v>Tuesday</v>
      </c>
    </row>
    <row r="2939" spans="1:8" x14ac:dyDescent="0.3">
      <c r="A2939">
        <v>220366524</v>
      </c>
      <c r="B2939" s="1">
        <v>45160</v>
      </c>
      <c r="C2939" t="s">
        <v>19</v>
      </c>
      <c r="D2939" t="s">
        <v>7</v>
      </c>
      <c r="E2939">
        <v>39</v>
      </c>
      <c r="F2939" t="s">
        <v>6</v>
      </c>
      <c r="G2939" t="str">
        <f t="shared" si="96"/>
        <v>Active</v>
      </c>
      <c r="H2939" s="1" t="str">
        <f t="shared" si="97"/>
        <v>Tuesday</v>
      </c>
    </row>
    <row r="2940" spans="1:8" x14ac:dyDescent="0.3">
      <c r="A2940">
        <v>220407436</v>
      </c>
      <c r="B2940" s="1">
        <v>45160</v>
      </c>
      <c r="C2940" s="1">
        <v>45161</v>
      </c>
      <c r="D2940" t="s">
        <v>8</v>
      </c>
      <c r="E2940">
        <v>39</v>
      </c>
      <c r="F2940" t="s">
        <v>6</v>
      </c>
      <c r="G2940">
        <f t="shared" si="96"/>
        <v>1</v>
      </c>
      <c r="H2940" s="1" t="str">
        <f t="shared" si="97"/>
        <v>Tuesday</v>
      </c>
    </row>
    <row r="2941" spans="1:8" x14ac:dyDescent="0.3">
      <c r="A2941">
        <v>192182455</v>
      </c>
      <c r="B2941" s="1">
        <v>45161</v>
      </c>
      <c r="C2941" t="s">
        <v>19</v>
      </c>
      <c r="D2941" t="s">
        <v>7</v>
      </c>
      <c r="E2941">
        <v>39</v>
      </c>
      <c r="F2941" t="s">
        <v>6</v>
      </c>
      <c r="G2941" t="str">
        <f t="shared" si="96"/>
        <v>Active</v>
      </c>
      <c r="H2941" s="1" t="str">
        <f t="shared" si="97"/>
        <v>Wednesday</v>
      </c>
    </row>
    <row r="2942" spans="1:8" x14ac:dyDescent="0.3">
      <c r="A2942">
        <v>219439597</v>
      </c>
      <c r="B2942" s="1">
        <v>45161</v>
      </c>
      <c r="C2942" t="s">
        <v>19</v>
      </c>
      <c r="D2942" t="s">
        <v>7</v>
      </c>
      <c r="E2942">
        <v>39</v>
      </c>
      <c r="F2942" t="s">
        <v>6</v>
      </c>
      <c r="G2942" t="str">
        <f t="shared" si="96"/>
        <v>Active</v>
      </c>
      <c r="H2942" s="1" t="str">
        <f t="shared" si="97"/>
        <v>Wednesday</v>
      </c>
    </row>
    <row r="2943" spans="1:8" x14ac:dyDescent="0.3">
      <c r="A2943">
        <v>219576812</v>
      </c>
      <c r="B2943" s="1">
        <v>45161</v>
      </c>
      <c r="C2943" t="s">
        <v>19</v>
      </c>
      <c r="D2943" t="s">
        <v>7</v>
      </c>
      <c r="E2943">
        <v>39</v>
      </c>
      <c r="F2943" t="s">
        <v>6</v>
      </c>
      <c r="G2943" t="str">
        <f t="shared" si="96"/>
        <v>Active</v>
      </c>
      <c r="H2943" s="1" t="str">
        <f t="shared" si="97"/>
        <v>Wednesday</v>
      </c>
    </row>
    <row r="2944" spans="1:8" x14ac:dyDescent="0.3">
      <c r="A2944">
        <v>143111905</v>
      </c>
      <c r="B2944" s="1">
        <v>45161</v>
      </c>
      <c r="C2944" t="s">
        <v>19</v>
      </c>
      <c r="D2944" t="s">
        <v>7</v>
      </c>
      <c r="E2944">
        <v>39</v>
      </c>
      <c r="F2944" t="s">
        <v>6</v>
      </c>
      <c r="G2944" t="str">
        <f t="shared" si="96"/>
        <v>Active</v>
      </c>
      <c r="H2944" s="1" t="str">
        <f t="shared" si="97"/>
        <v>Wednesday</v>
      </c>
    </row>
    <row r="2945" spans="1:8" x14ac:dyDescent="0.3">
      <c r="A2945">
        <v>123297208</v>
      </c>
      <c r="B2945" s="1">
        <v>45161</v>
      </c>
      <c r="C2945" t="s">
        <v>19</v>
      </c>
      <c r="D2945" t="s">
        <v>7</v>
      </c>
      <c r="E2945">
        <v>39</v>
      </c>
      <c r="F2945" t="s">
        <v>6</v>
      </c>
      <c r="G2945" t="str">
        <f t="shared" si="96"/>
        <v>Active</v>
      </c>
      <c r="H2945" s="1" t="str">
        <f t="shared" si="97"/>
        <v>Wednesday</v>
      </c>
    </row>
    <row r="2946" spans="1:8" x14ac:dyDescent="0.3">
      <c r="A2946">
        <v>213194584</v>
      </c>
      <c r="B2946" s="1">
        <v>45161</v>
      </c>
      <c r="C2946" t="s">
        <v>19</v>
      </c>
      <c r="D2946" t="s">
        <v>7</v>
      </c>
      <c r="E2946">
        <v>39</v>
      </c>
      <c r="F2946" t="s">
        <v>6</v>
      </c>
      <c r="G2946" t="str">
        <f t="shared" si="96"/>
        <v>Active</v>
      </c>
      <c r="H2946" s="1" t="str">
        <f t="shared" si="97"/>
        <v>Wednesday</v>
      </c>
    </row>
    <row r="2947" spans="1:8" x14ac:dyDescent="0.3">
      <c r="A2947">
        <v>220455205</v>
      </c>
      <c r="B2947" s="1">
        <v>45161</v>
      </c>
      <c r="C2947" t="s">
        <v>19</v>
      </c>
      <c r="D2947" t="s">
        <v>7</v>
      </c>
      <c r="E2947">
        <v>39</v>
      </c>
      <c r="F2947" t="s">
        <v>6</v>
      </c>
      <c r="G2947" t="str">
        <f t="shared" ref="G2947:G3010" si="98">IF(C2947="Active","Active",C2947-B2947)</f>
        <v>Active</v>
      </c>
      <c r="H2947" s="1" t="str">
        <f t="shared" ref="H2947:H3010" si="99">TEXT(B2947,"dddd")</f>
        <v>Wednesday</v>
      </c>
    </row>
    <row r="2948" spans="1:8" x14ac:dyDescent="0.3">
      <c r="A2948">
        <v>220425056</v>
      </c>
      <c r="B2948" s="1">
        <v>45161</v>
      </c>
      <c r="C2948" t="s">
        <v>19</v>
      </c>
      <c r="D2948" t="s">
        <v>7</v>
      </c>
      <c r="E2948">
        <v>39</v>
      </c>
      <c r="F2948" t="s">
        <v>6</v>
      </c>
      <c r="G2948" t="str">
        <f t="shared" si="98"/>
        <v>Active</v>
      </c>
      <c r="H2948" s="1" t="str">
        <f t="shared" si="99"/>
        <v>Wednesday</v>
      </c>
    </row>
    <row r="2949" spans="1:8" x14ac:dyDescent="0.3">
      <c r="A2949">
        <v>219685108</v>
      </c>
      <c r="B2949" s="1">
        <v>45161</v>
      </c>
      <c r="C2949" t="s">
        <v>19</v>
      </c>
      <c r="D2949" t="s">
        <v>7</v>
      </c>
      <c r="E2949">
        <v>39</v>
      </c>
      <c r="F2949" t="s">
        <v>6</v>
      </c>
      <c r="G2949" t="str">
        <f t="shared" si="98"/>
        <v>Active</v>
      </c>
      <c r="H2949" s="1" t="str">
        <f t="shared" si="99"/>
        <v>Wednesday</v>
      </c>
    </row>
    <row r="2950" spans="1:8" x14ac:dyDescent="0.3">
      <c r="A2950">
        <v>220531090</v>
      </c>
      <c r="B2950" s="1">
        <v>45162</v>
      </c>
      <c r="C2950" t="s">
        <v>19</v>
      </c>
      <c r="D2950" t="s">
        <v>7</v>
      </c>
      <c r="E2950">
        <v>39</v>
      </c>
      <c r="F2950" t="s">
        <v>6</v>
      </c>
      <c r="G2950" t="str">
        <f t="shared" si="98"/>
        <v>Active</v>
      </c>
      <c r="H2950" s="1" t="str">
        <f t="shared" si="99"/>
        <v>Thursday</v>
      </c>
    </row>
    <row r="2951" spans="1:8" x14ac:dyDescent="0.3">
      <c r="A2951">
        <v>220510482</v>
      </c>
      <c r="B2951" s="1">
        <v>45162</v>
      </c>
      <c r="C2951" t="s">
        <v>19</v>
      </c>
      <c r="D2951" t="s">
        <v>7</v>
      </c>
      <c r="E2951">
        <v>39</v>
      </c>
      <c r="F2951" t="s">
        <v>6</v>
      </c>
      <c r="G2951" t="str">
        <f t="shared" si="98"/>
        <v>Active</v>
      </c>
      <c r="H2951" s="1" t="str">
        <f t="shared" si="99"/>
        <v>Thursday</v>
      </c>
    </row>
    <row r="2952" spans="1:8" x14ac:dyDescent="0.3">
      <c r="A2952">
        <v>149856123</v>
      </c>
      <c r="B2952" s="1">
        <v>45162</v>
      </c>
      <c r="C2952" t="s">
        <v>19</v>
      </c>
      <c r="D2952" t="s">
        <v>7</v>
      </c>
      <c r="E2952">
        <v>39</v>
      </c>
      <c r="F2952" t="s">
        <v>6</v>
      </c>
      <c r="G2952" t="str">
        <f t="shared" si="98"/>
        <v>Active</v>
      </c>
      <c r="H2952" s="1" t="str">
        <f t="shared" si="99"/>
        <v>Thursday</v>
      </c>
    </row>
    <row r="2953" spans="1:8" x14ac:dyDescent="0.3">
      <c r="A2953">
        <v>217506938</v>
      </c>
      <c r="B2953" s="1">
        <v>45162</v>
      </c>
      <c r="C2953" t="s">
        <v>19</v>
      </c>
      <c r="D2953" t="s">
        <v>7</v>
      </c>
      <c r="E2953">
        <v>39</v>
      </c>
      <c r="F2953" t="s">
        <v>6</v>
      </c>
      <c r="G2953" t="str">
        <f t="shared" si="98"/>
        <v>Active</v>
      </c>
      <c r="H2953" s="1" t="str">
        <f t="shared" si="99"/>
        <v>Thursday</v>
      </c>
    </row>
    <row r="2954" spans="1:8" x14ac:dyDescent="0.3">
      <c r="A2954">
        <v>189403535</v>
      </c>
      <c r="B2954" s="1">
        <v>45162</v>
      </c>
      <c r="C2954" t="s">
        <v>19</v>
      </c>
      <c r="D2954" t="s">
        <v>7</v>
      </c>
      <c r="E2954">
        <v>39</v>
      </c>
      <c r="F2954" t="s">
        <v>6</v>
      </c>
      <c r="G2954" t="str">
        <f t="shared" si="98"/>
        <v>Active</v>
      </c>
      <c r="H2954" s="1" t="str">
        <f t="shared" si="99"/>
        <v>Thursday</v>
      </c>
    </row>
    <row r="2955" spans="1:8" x14ac:dyDescent="0.3">
      <c r="A2955">
        <v>132318451</v>
      </c>
      <c r="B2955" s="1">
        <v>45162</v>
      </c>
      <c r="C2955" s="1">
        <v>45163</v>
      </c>
      <c r="D2955" t="s">
        <v>7</v>
      </c>
      <c r="E2955">
        <v>39</v>
      </c>
      <c r="F2955" t="s">
        <v>6</v>
      </c>
      <c r="G2955">
        <f t="shared" si="98"/>
        <v>1</v>
      </c>
      <c r="H2955" s="1" t="str">
        <f t="shared" si="99"/>
        <v>Thursday</v>
      </c>
    </row>
    <row r="2956" spans="1:8" x14ac:dyDescent="0.3">
      <c r="A2956">
        <v>220495479</v>
      </c>
      <c r="B2956" s="1">
        <v>45162</v>
      </c>
      <c r="C2956" s="1">
        <v>45163</v>
      </c>
      <c r="D2956" t="s">
        <v>8</v>
      </c>
      <c r="E2956">
        <v>39</v>
      </c>
      <c r="F2956" t="s">
        <v>6</v>
      </c>
      <c r="G2956">
        <f t="shared" si="98"/>
        <v>1</v>
      </c>
      <c r="H2956" s="1" t="str">
        <f t="shared" si="99"/>
        <v>Thursday</v>
      </c>
    </row>
    <row r="2957" spans="1:8" x14ac:dyDescent="0.3">
      <c r="A2957">
        <v>164903790</v>
      </c>
      <c r="B2957" s="1">
        <v>45163</v>
      </c>
      <c r="C2957" t="s">
        <v>19</v>
      </c>
      <c r="D2957" t="s">
        <v>7</v>
      </c>
      <c r="E2957">
        <v>39</v>
      </c>
      <c r="F2957" t="s">
        <v>6</v>
      </c>
      <c r="G2957" t="str">
        <f t="shared" si="98"/>
        <v>Active</v>
      </c>
      <c r="H2957" s="1" t="str">
        <f t="shared" si="99"/>
        <v>Friday</v>
      </c>
    </row>
    <row r="2958" spans="1:8" x14ac:dyDescent="0.3">
      <c r="A2958">
        <v>220371835</v>
      </c>
      <c r="B2958" s="1">
        <v>45163</v>
      </c>
      <c r="C2958" t="s">
        <v>19</v>
      </c>
      <c r="D2958" t="s">
        <v>7</v>
      </c>
      <c r="E2958">
        <v>39</v>
      </c>
      <c r="F2958" t="s">
        <v>6</v>
      </c>
      <c r="G2958" t="str">
        <f t="shared" si="98"/>
        <v>Active</v>
      </c>
      <c r="H2958" s="1" t="str">
        <f t="shared" si="99"/>
        <v>Friday</v>
      </c>
    </row>
    <row r="2959" spans="1:8" x14ac:dyDescent="0.3">
      <c r="A2959">
        <v>125932988</v>
      </c>
      <c r="B2959" s="1">
        <v>45163</v>
      </c>
      <c r="C2959" t="s">
        <v>19</v>
      </c>
      <c r="D2959" t="s">
        <v>7</v>
      </c>
      <c r="E2959">
        <v>39</v>
      </c>
      <c r="F2959" t="s">
        <v>6</v>
      </c>
      <c r="G2959" t="str">
        <f t="shared" si="98"/>
        <v>Active</v>
      </c>
      <c r="H2959" s="1" t="str">
        <f t="shared" si="99"/>
        <v>Friday</v>
      </c>
    </row>
    <row r="2960" spans="1:8" x14ac:dyDescent="0.3">
      <c r="A2960">
        <v>214924190</v>
      </c>
      <c r="B2960" s="1">
        <v>45163</v>
      </c>
      <c r="C2960" t="s">
        <v>19</v>
      </c>
      <c r="D2960" t="s">
        <v>7</v>
      </c>
      <c r="E2960">
        <v>39</v>
      </c>
      <c r="F2960" t="s">
        <v>6</v>
      </c>
      <c r="G2960" t="str">
        <f t="shared" si="98"/>
        <v>Active</v>
      </c>
      <c r="H2960" s="1" t="str">
        <f t="shared" si="99"/>
        <v>Friday</v>
      </c>
    </row>
    <row r="2961" spans="1:8" x14ac:dyDescent="0.3">
      <c r="A2961">
        <v>117300170</v>
      </c>
      <c r="B2961" s="1">
        <v>45163</v>
      </c>
      <c r="C2961" t="s">
        <v>19</v>
      </c>
      <c r="D2961" t="s">
        <v>7</v>
      </c>
      <c r="E2961">
        <v>39</v>
      </c>
      <c r="F2961" t="s">
        <v>6</v>
      </c>
      <c r="G2961" t="str">
        <f t="shared" si="98"/>
        <v>Active</v>
      </c>
      <c r="H2961" s="1" t="str">
        <f t="shared" si="99"/>
        <v>Friday</v>
      </c>
    </row>
    <row r="2962" spans="1:8" x14ac:dyDescent="0.3">
      <c r="A2962">
        <v>162913792</v>
      </c>
      <c r="B2962" s="1">
        <v>45163</v>
      </c>
      <c r="C2962" t="s">
        <v>19</v>
      </c>
      <c r="D2962" t="s">
        <v>7</v>
      </c>
      <c r="E2962">
        <v>39</v>
      </c>
      <c r="F2962" t="s">
        <v>6</v>
      </c>
      <c r="G2962" t="str">
        <f t="shared" si="98"/>
        <v>Active</v>
      </c>
      <c r="H2962" s="1" t="str">
        <f t="shared" si="99"/>
        <v>Friday</v>
      </c>
    </row>
    <row r="2963" spans="1:8" x14ac:dyDescent="0.3">
      <c r="A2963">
        <v>220551506</v>
      </c>
      <c r="B2963" s="1">
        <v>45163</v>
      </c>
      <c r="C2963" t="s">
        <v>19</v>
      </c>
      <c r="D2963" t="s">
        <v>7</v>
      </c>
      <c r="E2963">
        <v>39</v>
      </c>
      <c r="F2963" t="s">
        <v>6</v>
      </c>
      <c r="G2963" t="str">
        <f t="shared" si="98"/>
        <v>Active</v>
      </c>
      <c r="H2963" s="1" t="str">
        <f t="shared" si="99"/>
        <v>Friday</v>
      </c>
    </row>
    <row r="2964" spans="1:8" x14ac:dyDescent="0.3">
      <c r="A2964">
        <v>161187523</v>
      </c>
      <c r="B2964" s="1">
        <v>45163</v>
      </c>
      <c r="C2964" t="s">
        <v>19</v>
      </c>
      <c r="D2964" t="s">
        <v>7</v>
      </c>
      <c r="E2964">
        <v>39</v>
      </c>
      <c r="F2964" t="s">
        <v>6</v>
      </c>
      <c r="G2964" t="str">
        <f t="shared" si="98"/>
        <v>Active</v>
      </c>
      <c r="H2964" s="1" t="str">
        <f t="shared" si="99"/>
        <v>Friday</v>
      </c>
    </row>
    <row r="2965" spans="1:8" x14ac:dyDescent="0.3">
      <c r="A2965">
        <v>220562110</v>
      </c>
      <c r="B2965" s="1">
        <v>45163</v>
      </c>
      <c r="C2965" s="1">
        <v>45164</v>
      </c>
      <c r="D2965" t="s">
        <v>8</v>
      </c>
      <c r="E2965">
        <v>39</v>
      </c>
      <c r="F2965" t="s">
        <v>6</v>
      </c>
      <c r="G2965">
        <f t="shared" si="98"/>
        <v>1</v>
      </c>
      <c r="H2965" s="1" t="str">
        <f t="shared" si="99"/>
        <v>Friday</v>
      </c>
    </row>
    <row r="2966" spans="1:8" x14ac:dyDescent="0.3">
      <c r="A2966">
        <v>220589305</v>
      </c>
      <c r="B2966" s="1">
        <v>45164</v>
      </c>
      <c r="C2966" t="s">
        <v>19</v>
      </c>
      <c r="D2966" t="s">
        <v>7</v>
      </c>
      <c r="E2966">
        <v>39</v>
      </c>
      <c r="F2966" t="s">
        <v>6</v>
      </c>
      <c r="G2966" t="str">
        <f t="shared" si="98"/>
        <v>Active</v>
      </c>
      <c r="H2966" s="1" t="str">
        <f t="shared" si="99"/>
        <v>Saturday</v>
      </c>
    </row>
    <row r="2967" spans="1:8" x14ac:dyDescent="0.3">
      <c r="A2967">
        <v>220496139</v>
      </c>
      <c r="B2967" s="1">
        <v>45164</v>
      </c>
      <c r="C2967" t="s">
        <v>19</v>
      </c>
      <c r="D2967" t="s">
        <v>7</v>
      </c>
      <c r="E2967">
        <v>39</v>
      </c>
      <c r="F2967" t="s">
        <v>6</v>
      </c>
      <c r="G2967" t="str">
        <f t="shared" si="98"/>
        <v>Active</v>
      </c>
      <c r="H2967" s="1" t="str">
        <f t="shared" si="99"/>
        <v>Saturday</v>
      </c>
    </row>
    <row r="2968" spans="1:8" x14ac:dyDescent="0.3">
      <c r="A2968">
        <v>219211334</v>
      </c>
      <c r="B2968" s="1">
        <v>45164</v>
      </c>
      <c r="C2968" t="s">
        <v>19</v>
      </c>
      <c r="D2968" t="s">
        <v>7</v>
      </c>
      <c r="E2968">
        <v>39</v>
      </c>
      <c r="F2968" t="s">
        <v>6</v>
      </c>
      <c r="G2968" t="str">
        <f t="shared" si="98"/>
        <v>Active</v>
      </c>
      <c r="H2968" s="1" t="str">
        <f t="shared" si="99"/>
        <v>Saturday</v>
      </c>
    </row>
    <row r="2969" spans="1:8" x14ac:dyDescent="0.3">
      <c r="A2969">
        <v>220582817</v>
      </c>
      <c r="B2969" s="1">
        <v>45164</v>
      </c>
      <c r="C2969" t="s">
        <v>19</v>
      </c>
      <c r="D2969" t="s">
        <v>7</v>
      </c>
      <c r="E2969">
        <v>39</v>
      </c>
      <c r="F2969" t="s">
        <v>6</v>
      </c>
      <c r="G2969" t="str">
        <f t="shared" si="98"/>
        <v>Active</v>
      </c>
      <c r="H2969" s="1" t="str">
        <f t="shared" si="99"/>
        <v>Saturday</v>
      </c>
    </row>
    <row r="2970" spans="1:8" x14ac:dyDescent="0.3">
      <c r="A2970">
        <v>217513777</v>
      </c>
      <c r="B2970" s="1">
        <v>45164</v>
      </c>
      <c r="C2970" s="1">
        <v>45166</v>
      </c>
      <c r="D2970" t="s">
        <v>7</v>
      </c>
      <c r="E2970">
        <v>39</v>
      </c>
      <c r="F2970" t="s">
        <v>6</v>
      </c>
      <c r="G2970">
        <f t="shared" si="98"/>
        <v>2</v>
      </c>
      <c r="H2970" s="1" t="str">
        <f t="shared" si="99"/>
        <v>Saturday</v>
      </c>
    </row>
    <row r="2971" spans="1:8" x14ac:dyDescent="0.3">
      <c r="A2971">
        <v>220576148</v>
      </c>
      <c r="B2971" s="1">
        <v>45164</v>
      </c>
      <c r="C2971" s="1">
        <v>45174</v>
      </c>
      <c r="D2971" t="s">
        <v>7</v>
      </c>
      <c r="E2971">
        <v>39</v>
      </c>
      <c r="F2971" t="s">
        <v>6</v>
      </c>
      <c r="G2971">
        <f t="shared" si="98"/>
        <v>10</v>
      </c>
      <c r="H2971" s="1" t="str">
        <f t="shared" si="99"/>
        <v>Saturday</v>
      </c>
    </row>
    <row r="2972" spans="1:8" x14ac:dyDescent="0.3">
      <c r="A2972">
        <v>219294264</v>
      </c>
      <c r="B2972" s="1">
        <v>45165</v>
      </c>
      <c r="C2972" t="s">
        <v>19</v>
      </c>
      <c r="D2972" t="s">
        <v>7</v>
      </c>
      <c r="E2972">
        <v>39</v>
      </c>
      <c r="F2972" t="s">
        <v>6</v>
      </c>
      <c r="G2972" t="str">
        <f t="shared" si="98"/>
        <v>Active</v>
      </c>
      <c r="H2972" s="1" t="str">
        <f t="shared" si="99"/>
        <v>Sunday</v>
      </c>
    </row>
    <row r="2973" spans="1:8" x14ac:dyDescent="0.3">
      <c r="A2973">
        <v>220617197</v>
      </c>
      <c r="B2973" s="1">
        <v>45165</v>
      </c>
      <c r="C2973" t="s">
        <v>19</v>
      </c>
      <c r="D2973" t="s">
        <v>7</v>
      </c>
      <c r="E2973">
        <v>39</v>
      </c>
      <c r="F2973" t="s">
        <v>6</v>
      </c>
      <c r="G2973" t="str">
        <f t="shared" si="98"/>
        <v>Active</v>
      </c>
      <c r="H2973" s="1" t="str">
        <f t="shared" si="99"/>
        <v>Sunday</v>
      </c>
    </row>
    <row r="2974" spans="1:8" x14ac:dyDescent="0.3">
      <c r="A2974">
        <v>220227691</v>
      </c>
      <c r="B2974" s="1">
        <v>45165</v>
      </c>
      <c r="C2974" t="s">
        <v>19</v>
      </c>
      <c r="D2974" t="s">
        <v>7</v>
      </c>
      <c r="E2974">
        <v>39</v>
      </c>
      <c r="F2974" t="s">
        <v>6</v>
      </c>
      <c r="G2974" t="str">
        <f t="shared" si="98"/>
        <v>Active</v>
      </c>
      <c r="H2974" s="1" t="str">
        <f t="shared" si="99"/>
        <v>Sunday</v>
      </c>
    </row>
    <row r="2975" spans="1:8" x14ac:dyDescent="0.3">
      <c r="A2975">
        <v>220672607</v>
      </c>
      <c r="B2975" s="1">
        <v>45166</v>
      </c>
      <c r="C2975" t="s">
        <v>19</v>
      </c>
      <c r="D2975" t="s">
        <v>7</v>
      </c>
      <c r="E2975">
        <v>39</v>
      </c>
      <c r="F2975" t="s">
        <v>6</v>
      </c>
      <c r="G2975" t="str">
        <f t="shared" si="98"/>
        <v>Active</v>
      </c>
      <c r="H2975" s="1" t="str">
        <f t="shared" si="99"/>
        <v>Monday</v>
      </c>
    </row>
    <row r="2976" spans="1:8" x14ac:dyDescent="0.3">
      <c r="A2976">
        <v>218608353</v>
      </c>
      <c r="B2976" s="1">
        <v>45166</v>
      </c>
      <c r="C2976" t="s">
        <v>19</v>
      </c>
      <c r="D2976" t="s">
        <v>7</v>
      </c>
      <c r="E2976">
        <v>39</v>
      </c>
      <c r="F2976" t="s">
        <v>6</v>
      </c>
      <c r="G2976" t="str">
        <f t="shared" si="98"/>
        <v>Active</v>
      </c>
      <c r="H2976" s="1" t="str">
        <f t="shared" si="99"/>
        <v>Monday</v>
      </c>
    </row>
    <row r="2977" spans="1:8" x14ac:dyDescent="0.3">
      <c r="A2977">
        <v>135128238</v>
      </c>
      <c r="B2977" s="1">
        <v>45166</v>
      </c>
      <c r="C2977" t="s">
        <v>19</v>
      </c>
      <c r="D2977" t="s">
        <v>7</v>
      </c>
      <c r="E2977">
        <v>39</v>
      </c>
      <c r="F2977" t="s">
        <v>6</v>
      </c>
      <c r="G2977" t="str">
        <f t="shared" si="98"/>
        <v>Active</v>
      </c>
      <c r="H2977" s="1" t="str">
        <f t="shared" si="99"/>
        <v>Monday</v>
      </c>
    </row>
    <row r="2978" spans="1:8" x14ac:dyDescent="0.3">
      <c r="A2978">
        <v>220285147</v>
      </c>
      <c r="B2978" s="1">
        <v>45166</v>
      </c>
      <c r="C2978" t="s">
        <v>19</v>
      </c>
      <c r="D2978" t="s">
        <v>7</v>
      </c>
      <c r="E2978">
        <v>39</v>
      </c>
      <c r="F2978" t="s">
        <v>6</v>
      </c>
      <c r="G2978" t="str">
        <f t="shared" si="98"/>
        <v>Active</v>
      </c>
      <c r="H2978" s="1" t="str">
        <f t="shared" si="99"/>
        <v>Monday</v>
      </c>
    </row>
    <row r="2979" spans="1:8" x14ac:dyDescent="0.3">
      <c r="A2979">
        <v>218645057</v>
      </c>
      <c r="B2979" s="1">
        <v>45166</v>
      </c>
      <c r="C2979" t="s">
        <v>19</v>
      </c>
      <c r="D2979" t="s">
        <v>7</v>
      </c>
      <c r="E2979">
        <v>39</v>
      </c>
      <c r="F2979" t="s">
        <v>6</v>
      </c>
      <c r="G2979" t="str">
        <f t="shared" si="98"/>
        <v>Active</v>
      </c>
      <c r="H2979" s="1" t="str">
        <f t="shared" si="99"/>
        <v>Monday</v>
      </c>
    </row>
    <row r="2980" spans="1:8" x14ac:dyDescent="0.3">
      <c r="A2980">
        <v>128199550</v>
      </c>
      <c r="B2980" s="1">
        <v>45166</v>
      </c>
      <c r="C2980" s="1">
        <v>45169</v>
      </c>
      <c r="D2980" t="s">
        <v>7</v>
      </c>
      <c r="E2980">
        <v>39</v>
      </c>
      <c r="F2980" t="s">
        <v>6</v>
      </c>
      <c r="G2980">
        <f t="shared" si="98"/>
        <v>3</v>
      </c>
      <c r="H2980" s="1" t="str">
        <f t="shared" si="99"/>
        <v>Monday</v>
      </c>
    </row>
    <row r="2981" spans="1:8" x14ac:dyDescent="0.3">
      <c r="A2981">
        <v>220747618</v>
      </c>
      <c r="B2981" s="1">
        <v>45167</v>
      </c>
      <c r="C2981" t="s">
        <v>19</v>
      </c>
      <c r="D2981" t="s">
        <v>7</v>
      </c>
      <c r="E2981">
        <v>39</v>
      </c>
      <c r="F2981" t="s">
        <v>6</v>
      </c>
      <c r="G2981" t="str">
        <f t="shared" si="98"/>
        <v>Active</v>
      </c>
      <c r="H2981" s="1" t="str">
        <f t="shared" si="99"/>
        <v>Tuesday</v>
      </c>
    </row>
    <row r="2982" spans="1:8" x14ac:dyDescent="0.3">
      <c r="A2982">
        <v>207386830</v>
      </c>
      <c r="B2982" s="1">
        <v>45167</v>
      </c>
      <c r="C2982" t="s">
        <v>19</v>
      </c>
      <c r="D2982" t="s">
        <v>7</v>
      </c>
      <c r="E2982">
        <v>39</v>
      </c>
      <c r="F2982" t="s">
        <v>6</v>
      </c>
      <c r="G2982" t="str">
        <f t="shared" si="98"/>
        <v>Active</v>
      </c>
      <c r="H2982" s="1" t="str">
        <f t="shared" si="99"/>
        <v>Tuesday</v>
      </c>
    </row>
    <row r="2983" spans="1:8" x14ac:dyDescent="0.3">
      <c r="A2983">
        <v>205109812</v>
      </c>
      <c r="B2983" s="1">
        <v>45167</v>
      </c>
      <c r="C2983" t="s">
        <v>19</v>
      </c>
      <c r="D2983" t="s">
        <v>7</v>
      </c>
      <c r="E2983">
        <v>39</v>
      </c>
      <c r="F2983" t="s">
        <v>6</v>
      </c>
      <c r="G2983" t="str">
        <f t="shared" si="98"/>
        <v>Active</v>
      </c>
      <c r="H2983" s="1" t="str">
        <f t="shared" si="99"/>
        <v>Tuesday</v>
      </c>
    </row>
    <row r="2984" spans="1:8" x14ac:dyDescent="0.3">
      <c r="A2984">
        <v>132318451</v>
      </c>
      <c r="B2984" s="1">
        <v>45167</v>
      </c>
      <c r="C2984" t="s">
        <v>19</v>
      </c>
      <c r="D2984" t="s">
        <v>7</v>
      </c>
      <c r="E2984">
        <v>39</v>
      </c>
      <c r="F2984" t="s">
        <v>6</v>
      </c>
      <c r="G2984" t="str">
        <f t="shared" si="98"/>
        <v>Active</v>
      </c>
      <c r="H2984" s="1" t="str">
        <f t="shared" si="99"/>
        <v>Tuesday</v>
      </c>
    </row>
    <row r="2985" spans="1:8" x14ac:dyDescent="0.3">
      <c r="A2985">
        <v>218596318</v>
      </c>
      <c r="B2985" s="1">
        <v>45167</v>
      </c>
      <c r="C2985" t="s">
        <v>19</v>
      </c>
      <c r="D2985" t="s">
        <v>7</v>
      </c>
      <c r="E2985">
        <v>39</v>
      </c>
      <c r="F2985" t="s">
        <v>6</v>
      </c>
      <c r="G2985" t="str">
        <f t="shared" si="98"/>
        <v>Active</v>
      </c>
      <c r="H2985" s="1" t="str">
        <f t="shared" si="99"/>
        <v>Tuesday</v>
      </c>
    </row>
    <row r="2986" spans="1:8" x14ac:dyDescent="0.3">
      <c r="A2986">
        <v>220699520</v>
      </c>
      <c r="B2986" s="1">
        <v>45167</v>
      </c>
      <c r="C2986" t="s">
        <v>19</v>
      </c>
      <c r="D2986" t="s">
        <v>7</v>
      </c>
      <c r="E2986">
        <v>39</v>
      </c>
      <c r="F2986" t="s">
        <v>6</v>
      </c>
      <c r="G2986" t="str">
        <f t="shared" si="98"/>
        <v>Active</v>
      </c>
      <c r="H2986" s="1" t="str">
        <f t="shared" si="99"/>
        <v>Tuesday</v>
      </c>
    </row>
    <row r="2987" spans="1:8" x14ac:dyDescent="0.3">
      <c r="A2987">
        <v>218307579</v>
      </c>
      <c r="B2987" s="1">
        <v>45167</v>
      </c>
      <c r="C2987" t="s">
        <v>19</v>
      </c>
      <c r="D2987" t="s">
        <v>7</v>
      </c>
      <c r="E2987">
        <v>39</v>
      </c>
      <c r="F2987" t="s">
        <v>6</v>
      </c>
      <c r="G2987" t="str">
        <f t="shared" si="98"/>
        <v>Active</v>
      </c>
      <c r="H2987" s="1" t="str">
        <f t="shared" si="99"/>
        <v>Tuesday</v>
      </c>
    </row>
    <row r="2988" spans="1:8" x14ac:dyDescent="0.3">
      <c r="A2988">
        <v>218514844</v>
      </c>
      <c r="B2988" s="1">
        <v>45168</v>
      </c>
      <c r="C2988" t="s">
        <v>19</v>
      </c>
      <c r="D2988" t="s">
        <v>7</v>
      </c>
      <c r="E2988">
        <v>39</v>
      </c>
      <c r="F2988" t="s">
        <v>6</v>
      </c>
      <c r="G2988" t="str">
        <f t="shared" si="98"/>
        <v>Active</v>
      </c>
      <c r="H2988" s="1" t="str">
        <f t="shared" si="99"/>
        <v>Wednesday</v>
      </c>
    </row>
    <row r="2989" spans="1:8" x14ac:dyDescent="0.3">
      <c r="A2989">
        <v>188622328</v>
      </c>
      <c r="B2989" s="1">
        <v>45168</v>
      </c>
      <c r="C2989" t="s">
        <v>19</v>
      </c>
      <c r="D2989" t="s">
        <v>7</v>
      </c>
      <c r="E2989">
        <v>39</v>
      </c>
      <c r="F2989" t="s">
        <v>6</v>
      </c>
      <c r="G2989" t="str">
        <f t="shared" si="98"/>
        <v>Active</v>
      </c>
      <c r="H2989" s="1" t="str">
        <f t="shared" si="99"/>
        <v>Wednesday</v>
      </c>
    </row>
    <row r="2990" spans="1:8" x14ac:dyDescent="0.3">
      <c r="A2990">
        <v>220790640</v>
      </c>
      <c r="B2990" s="1">
        <v>45168</v>
      </c>
      <c r="C2990" t="s">
        <v>19</v>
      </c>
      <c r="D2990" t="s">
        <v>7</v>
      </c>
      <c r="E2990">
        <v>39</v>
      </c>
      <c r="F2990" t="s">
        <v>6</v>
      </c>
      <c r="G2990" t="str">
        <f t="shared" si="98"/>
        <v>Active</v>
      </c>
      <c r="H2990" s="1" t="str">
        <f t="shared" si="99"/>
        <v>Wednesday</v>
      </c>
    </row>
    <row r="2991" spans="1:8" x14ac:dyDescent="0.3">
      <c r="A2991">
        <v>220675005</v>
      </c>
      <c r="B2991" s="1">
        <v>45168</v>
      </c>
      <c r="C2991" t="s">
        <v>19</v>
      </c>
      <c r="D2991" t="s">
        <v>7</v>
      </c>
      <c r="E2991">
        <v>39</v>
      </c>
      <c r="F2991" t="s">
        <v>6</v>
      </c>
      <c r="G2991" t="str">
        <f t="shared" si="98"/>
        <v>Active</v>
      </c>
      <c r="H2991" s="1" t="str">
        <f t="shared" si="99"/>
        <v>Wednesday</v>
      </c>
    </row>
    <row r="2992" spans="1:8" x14ac:dyDescent="0.3">
      <c r="A2992">
        <v>142757196</v>
      </c>
      <c r="B2992" s="1">
        <v>45168</v>
      </c>
      <c r="C2992" t="s">
        <v>19</v>
      </c>
      <c r="D2992" t="s">
        <v>7</v>
      </c>
      <c r="E2992">
        <v>39</v>
      </c>
      <c r="F2992" t="s">
        <v>6</v>
      </c>
      <c r="G2992" t="str">
        <f t="shared" si="98"/>
        <v>Active</v>
      </c>
      <c r="H2992" s="1" t="str">
        <f t="shared" si="99"/>
        <v>Wednesday</v>
      </c>
    </row>
    <row r="2993" spans="1:8" x14ac:dyDescent="0.3">
      <c r="A2993">
        <v>220411940</v>
      </c>
      <c r="B2993" s="1">
        <v>45168</v>
      </c>
      <c r="C2993" t="s">
        <v>19</v>
      </c>
      <c r="D2993" t="s">
        <v>7</v>
      </c>
      <c r="E2993">
        <v>39</v>
      </c>
      <c r="F2993" t="s">
        <v>6</v>
      </c>
      <c r="G2993" t="str">
        <f t="shared" si="98"/>
        <v>Active</v>
      </c>
      <c r="H2993" s="1" t="str">
        <f t="shared" si="99"/>
        <v>Wednesday</v>
      </c>
    </row>
    <row r="2994" spans="1:8" x14ac:dyDescent="0.3">
      <c r="A2994">
        <v>155613371</v>
      </c>
      <c r="B2994" s="1">
        <v>45168</v>
      </c>
      <c r="C2994" t="s">
        <v>19</v>
      </c>
      <c r="D2994" t="s">
        <v>7</v>
      </c>
      <c r="E2994">
        <v>39</v>
      </c>
      <c r="F2994" t="s">
        <v>6</v>
      </c>
      <c r="G2994" t="str">
        <f t="shared" si="98"/>
        <v>Active</v>
      </c>
      <c r="H2994" s="1" t="str">
        <f t="shared" si="99"/>
        <v>Wednesday</v>
      </c>
    </row>
    <row r="2995" spans="1:8" x14ac:dyDescent="0.3">
      <c r="A2995">
        <v>164548755</v>
      </c>
      <c r="B2995" s="1">
        <v>45168</v>
      </c>
      <c r="C2995" t="s">
        <v>19</v>
      </c>
      <c r="D2995" t="s">
        <v>7</v>
      </c>
      <c r="E2995">
        <v>39</v>
      </c>
      <c r="F2995" t="s">
        <v>6</v>
      </c>
      <c r="G2995" t="str">
        <f t="shared" si="98"/>
        <v>Active</v>
      </c>
      <c r="H2995" s="1" t="str">
        <f t="shared" si="99"/>
        <v>Wednesday</v>
      </c>
    </row>
    <row r="2996" spans="1:8" x14ac:dyDescent="0.3">
      <c r="A2996">
        <v>220546810</v>
      </c>
      <c r="B2996" s="1">
        <v>45168</v>
      </c>
      <c r="C2996" t="s">
        <v>19</v>
      </c>
      <c r="D2996" t="s">
        <v>7</v>
      </c>
      <c r="E2996">
        <v>39</v>
      </c>
      <c r="F2996" t="s">
        <v>6</v>
      </c>
      <c r="G2996" t="str">
        <f t="shared" si="98"/>
        <v>Active</v>
      </c>
      <c r="H2996" s="1" t="str">
        <f t="shared" si="99"/>
        <v>Wednesday</v>
      </c>
    </row>
    <row r="2997" spans="1:8" x14ac:dyDescent="0.3">
      <c r="A2997">
        <v>215202566</v>
      </c>
      <c r="B2997" s="1">
        <v>45168</v>
      </c>
      <c r="C2997" s="1">
        <v>45168</v>
      </c>
      <c r="D2997" t="s">
        <v>7</v>
      </c>
      <c r="E2997">
        <v>39</v>
      </c>
      <c r="F2997" t="s">
        <v>6</v>
      </c>
      <c r="G2997">
        <f t="shared" si="98"/>
        <v>0</v>
      </c>
      <c r="H2997" s="1" t="str">
        <f t="shared" si="99"/>
        <v>Wednesday</v>
      </c>
    </row>
    <row r="2998" spans="1:8" x14ac:dyDescent="0.3">
      <c r="A2998">
        <v>135092264</v>
      </c>
      <c r="B2998" s="1">
        <v>45169</v>
      </c>
      <c r="C2998" t="s">
        <v>19</v>
      </c>
      <c r="D2998" t="s">
        <v>7</v>
      </c>
      <c r="E2998">
        <v>39</v>
      </c>
      <c r="F2998" t="s">
        <v>6</v>
      </c>
      <c r="G2998" t="str">
        <f t="shared" si="98"/>
        <v>Active</v>
      </c>
      <c r="H2998" s="1" t="str">
        <f t="shared" si="99"/>
        <v>Thursday</v>
      </c>
    </row>
    <row r="2999" spans="1:8" x14ac:dyDescent="0.3">
      <c r="A2999">
        <v>220854418</v>
      </c>
      <c r="B2999" s="1">
        <v>45169</v>
      </c>
      <c r="C2999" t="s">
        <v>19</v>
      </c>
      <c r="D2999" t="s">
        <v>7</v>
      </c>
      <c r="E2999">
        <v>39</v>
      </c>
      <c r="F2999" t="s">
        <v>6</v>
      </c>
      <c r="G2999" t="str">
        <f t="shared" si="98"/>
        <v>Active</v>
      </c>
      <c r="H2999" s="1" t="str">
        <f t="shared" si="99"/>
        <v>Thursday</v>
      </c>
    </row>
    <row r="3000" spans="1:8" x14ac:dyDescent="0.3">
      <c r="A3000">
        <v>220851140</v>
      </c>
      <c r="B3000" s="1">
        <v>45169</v>
      </c>
      <c r="C3000" t="s">
        <v>19</v>
      </c>
      <c r="D3000" t="s">
        <v>7</v>
      </c>
      <c r="E3000">
        <v>39</v>
      </c>
      <c r="F3000" t="s">
        <v>6</v>
      </c>
      <c r="G3000" t="str">
        <f t="shared" si="98"/>
        <v>Active</v>
      </c>
      <c r="H3000" s="1" t="str">
        <f t="shared" si="99"/>
        <v>Thursday</v>
      </c>
    </row>
    <row r="3001" spans="1:8" x14ac:dyDescent="0.3">
      <c r="A3001">
        <v>220843911</v>
      </c>
      <c r="B3001" s="1">
        <v>45169</v>
      </c>
      <c r="C3001" t="s">
        <v>19</v>
      </c>
      <c r="D3001" t="s">
        <v>7</v>
      </c>
      <c r="E3001">
        <v>39</v>
      </c>
      <c r="F3001" t="s">
        <v>6</v>
      </c>
      <c r="G3001" t="str">
        <f t="shared" si="98"/>
        <v>Active</v>
      </c>
      <c r="H3001" s="1" t="str">
        <f t="shared" si="99"/>
        <v>Thursday</v>
      </c>
    </row>
    <row r="3002" spans="1:8" x14ac:dyDescent="0.3">
      <c r="A3002">
        <v>216137022</v>
      </c>
      <c r="B3002" s="1">
        <v>45169</v>
      </c>
      <c r="C3002" t="s">
        <v>19</v>
      </c>
      <c r="D3002" t="s">
        <v>7</v>
      </c>
      <c r="E3002">
        <v>39</v>
      </c>
      <c r="F3002" t="s">
        <v>6</v>
      </c>
      <c r="G3002" t="str">
        <f t="shared" si="98"/>
        <v>Active</v>
      </c>
      <c r="H3002" s="1" t="str">
        <f t="shared" si="99"/>
        <v>Thursday</v>
      </c>
    </row>
    <row r="3003" spans="1:8" x14ac:dyDescent="0.3">
      <c r="A3003">
        <v>161151062</v>
      </c>
      <c r="B3003" s="1">
        <v>45169</v>
      </c>
      <c r="C3003" t="s">
        <v>19</v>
      </c>
      <c r="D3003" t="s">
        <v>7</v>
      </c>
      <c r="E3003">
        <v>39</v>
      </c>
      <c r="F3003" t="s">
        <v>6</v>
      </c>
      <c r="G3003" t="str">
        <f t="shared" si="98"/>
        <v>Active</v>
      </c>
      <c r="H3003" s="1" t="str">
        <f t="shared" si="99"/>
        <v>Thursday</v>
      </c>
    </row>
    <row r="3004" spans="1:8" x14ac:dyDescent="0.3">
      <c r="A3004">
        <v>148085880</v>
      </c>
      <c r="B3004" s="1">
        <v>45169</v>
      </c>
      <c r="C3004" t="s">
        <v>19</v>
      </c>
      <c r="D3004" t="s">
        <v>7</v>
      </c>
      <c r="E3004">
        <v>39</v>
      </c>
      <c r="F3004" t="s">
        <v>6</v>
      </c>
      <c r="G3004" t="str">
        <f t="shared" si="98"/>
        <v>Active</v>
      </c>
      <c r="H3004" s="1" t="str">
        <f t="shared" si="99"/>
        <v>Thursday</v>
      </c>
    </row>
    <row r="3005" spans="1:8" x14ac:dyDescent="0.3">
      <c r="A3005">
        <v>182061738</v>
      </c>
      <c r="B3005" s="1">
        <v>45170</v>
      </c>
      <c r="C3005" t="s">
        <v>19</v>
      </c>
      <c r="D3005" t="s">
        <v>7</v>
      </c>
      <c r="E3005">
        <v>39</v>
      </c>
      <c r="F3005" t="s">
        <v>6</v>
      </c>
      <c r="G3005" t="str">
        <f t="shared" si="98"/>
        <v>Active</v>
      </c>
      <c r="H3005" s="1" t="str">
        <f t="shared" si="99"/>
        <v>Friday</v>
      </c>
    </row>
    <row r="3006" spans="1:8" x14ac:dyDescent="0.3">
      <c r="A3006">
        <v>220860582</v>
      </c>
      <c r="B3006" s="1">
        <v>45170</v>
      </c>
      <c r="C3006" t="s">
        <v>19</v>
      </c>
      <c r="D3006" t="s">
        <v>7</v>
      </c>
      <c r="E3006">
        <v>39</v>
      </c>
      <c r="F3006" t="s">
        <v>6</v>
      </c>
      <c r="G3006" t="str">
        <f t="shared" si="98"/>
        <v>Active</v>
      </c>
      <c r="H3006" s="1" t="str">
        <f t="shared" si="99"/>
        <v>Friday</v>
      </c>
    </row>
    <row r="3007" spans="1:8" x14ac:dyDescent="0.3">
      <c r="A3007">
        <v>218315334</v>
      </c>
      <c r="B3007" s="1">
        <v>45170</v>
      </c>
      <c r="C3007" t="s">
        <v>19</v>
      </c>
      <c r="D3007" t="s">
        <v>7</v>
      </c>
      <c r="E3007">
        <v>39</v>
      </c>
      <c r="F3007" t="s">
        <v>6</v>
      </c>
      <c r="G3007" t="str">
        <f t="shared" si="98"/>
        <v>Active</v>
      </c>
      <c r="H3007" s="1" t="str">
        <f t="shared" si="99"/>
        <v>Friday</v>
      </c>
    </row>
    <row r="3008" spans="1:8" x14ac:dyDescent="0.3">
      <c r="A3008">
        <v>217246008</v>
      </c>
      <c r="B3008" s="1">
        <v>45170</v>
      </c>
      <c r="C3008" t="s">
        <v>19</v>
      </c>
      <c r="D3008" t="s">
        <v>7</v>
      </c>
      <c r="E3008">
        <v>39</v>
      </c>
      <c r="F3008" t="s">
        <v>6</v>
      </c>
      <c r="G3008" t="str">
        <f t="shared" si="98"/>
        <v>Active</v>
      </c>
      <c r="H3008" s="1" t="str">
        <f t="shared" si="99"/>
        <v>Friday</v>
      </c>
    </row>
    <row r="3009" spans="1:8" x14ac:dyDescent="0.3">
      <c r="A3009">
        <v>220835326</v>
      </c>
      <c r="B3009" s="1">
        <v>45170</v>
      </c>
      <c r="C3009" t="s">
        <v>19</v>
      </c>
      <c r="D3009" t="s">
        <v>7</v>
      </c>
      <c r="E3009">
        <v>39</v>
      </c>
      <c r="F3009" t="s">
        <v>6</v>
      </c>
      <c r="G3009" t="str">
        <f t="shared" si="98"/>
        <v>Active</v>
      </c>
      <c r="H3009" s="1" t="str">
        <f t="shared" si="99"/>
        <v>Friday</v>
      </c>
    </row>
    <row r="3010" spans="1:8" x14ac:dyDescent="0.3">
      <c r="A3010">
        <v>219470485</v>
      </c>
      <c r="B3010" s="1">
        <v>45170</v>
      </c>
      <c r="C3010" t="s">
        <v>19</v>
      </c>
      <c r="D3010" t="s">
        <v>7</v>
      </c>
      <c r="E3010">
        <v>39</v>
      </c>
      <c r="F3010" t="s">
        <v>6</v>
      </c>
      <c r="G3010" t="str">
        <f t="shared" si="98"/>
        <v>Active</v>
      </c>
      <c r="H3010" s="1" t="str">
        <f t="shared" si="99"/>
        <v>Friday</v>
      </c>
    </row>
    <row r="3011" spans="1:8" x14ac:dyDescent="0.3">
      <c r="A3011">
        <v>182153913</v>
      </c>
      <c r="B3011" s="1">
        <v>45171</v>
      </c>
      <c r="C3011" t="s">
        <v>19</v>
      </c>
      <c r="D3011" t="s">
        <v>7</v>
      </c>
      <c r="E3011">
        <v>39</v>
      </c>
      <c r="F3011" t="s">
        <v>6</v>
      </c>
      <c r="G3011" t="str">
        <f t="shared" ref="G3011:G3070" si="100">IF(C3011="Active","Active",C3011-B3011)</f>
        <v>Active</v>
      </c>
      <c r="H3011" s="1" t="str">
        <f t="shared" ref="H3011:H3070" si="101">TEXT(B3011,"dddd")</f>
        <v>Saturday</v>
      </c>
    </row>
    <row r="3012" spans="1:8" x14ac:dyDescent="0.3">
      <c r="A3012">
        <v>217223132</v>
      </c>
      <c r="B3012" s="1">
        <v>45171</v>
      </c>
      <c r="C3012" t="s">
        <v>19</v>
      </c>
      <c r="D3012" t="s">
        <v>7</v>
      </c>
      <c r="E3012">
        <v>39</v>
      </c>
      <c r="F3012" t="s">
        <v>6</v>
      </c>
      <c r="G3012" t="str">
        <f t="shared" si="100"/>
        <v>Active</v>
      </c>
      <c r="H3012" s="1" t="str">
        <f t="shared" si="101"/>
        <v>Saturday</v>
      </c>
    </row>
    <row r="3013" spans="1:8" x14ac:dyDescent="0.3">
      <c r="A3013">
        <v>219643599</v>
      </c>
      <c r="B3013" s="1">
        <v>45171</v>
      </c>
      <c r="C3013" t="s">
        <v>19</v>
      </c>
      <c r="D3013" t="s">
        <v>7</v>
      </c>
      <c r="E3013">
        <v>39</v>
      </c>
      <c r="F3013" t="s">
        <v>6</v>
      </c>
      <c r="G3013" t="str">
        <f t="shared" si="100"/>
        <v>Active</v>
      </c>
      <c r="H3013" s="1" t="str">
        <f t="shared" si="101"/>
        <v>Saturday</v>
      </c>
    </row>
    <row r="3014" spans="1:8" x14ac:dyDescent="0.3">
      <c r="A3014">
        <v>152851458</v>
      </c>
      <c r="B3014" s="1">
        <v>45171</v>
      </c>
      <c r="C3014" t="s">
        <v>19</v>
      </c>
      <c r="D3014" t="s">
        <v>7</v>
      </c>
      <c r="E3014">
        <v>39</v>
      </c>
      <c r="F3014" t="s">
        <v>6</v>
      </c>
      <c r="G3014" t="str">
        <f t="shared" si="100"/>
        <v>Active</v>
      </c>
      <c r="H3014" s="1" t="str">
        <f t="shared" si="101"/>
        <v>Saturday</v>
      </c>
    </row>
    <row r="3015" spans="1:8" x14ac:dyDescent="0.3">
      <c r="A3015">
        <v>219657672</v>
      </c>
      <c r="B3015" s="1">
        <v>45171</v>
      </c>
      <c r="C3015" t="s">
        <v>19</v>
      </c>
      <c r="D3015" t="s">
        <v>7</v>
      </c>
      <c r="E3015">
        <v>39</v>
      </c>
      <c r="F3015" t="s">
        <v>6</v>
      </c>
      <c r="G3015" t="str">
        <f t="shared" si="100"/>
        <v>Active</v>
      </c>
      <c r="H3015" s="1" t="str">
        <f t="shared" si="101"/>
        <v>Saturday</v>
      </c>
    </row>
    <row r="3016" spans="1:8" x14ac:dyDescent="0.3">
      <c r="A3016">
        <v>220973656</v>
      </c>
      <c r="B3016" s="1">
        <v>45172</v>
      </c>
      <c r="C3016" t="s">
        <v>19</v>
      </c>
      <c r="D3016" t="s">
        <v>7</v>
      </c>
      <c r="E3016">
        <v>39</v>
      </c>
      <c r="F3016" t="s">
        <v>6</v>
      </c>
      <c r="G3016" t="str">
        <f t="shared" si="100"/>
        <v>Active</v>
      </c>
      <c r="H3016" s="1" t="str">
        <f t="shared" si="101"/>
        <v>Sunday</v>
      </c>
    </row>
    <row r="3017" spans="1:8" x14ac:dyDescent="0.3">
      <c r="A3017">
        <v>159717680</v>
      </c>
      <c r="B3017" s="1">
        <v>45172</v>
      </c>
      <c r="C3017" t="s">
        <v>19</v>
      </c>
      <c r="D3017" t="s">
        <v>7</v>
      </c>
      <c r="E3017">
        <v>39</v>
      </c>
      <c r="F3017" t="s">
        <v>6</v>
      </c>
      <c r="G3017" t="str">
        <f t="shared" si="100"/>
        <v>Active</v>
      </c>
      <c r="H3017" s="1" t="str">
        <f t="shared" si="101"/>
        <v>Sunday</v>
      </c>
    </row>
    <row r="3018" spans="1:8" x14ac:dyDescent="0.3">
      <c r="A3018">
        <v>220420126</v>
      </c>
      <c r="B3018" s="1">
        <v>45172</v>
      </c>
      <c r="C3018" t="s">
        <v>19</v>
      </c>
      <c r="D3018" t="s">
        <v>7</v>
      </c>
      <c r="E3018">
        <v>39</v>
      </c>
      <c r="F3018" t="s">
        <v>6</v>
      </c>
      <c r="G3018" t="str">
        <f t="shared" si="100"/>
        <v>Active</v>
      </c>
      <c r="H3018" s="1" t="str">
        <f t="shared" si="101"/>
        <v>Sunday</v>
      </c>
    </row>
    <row r="3019" spans="1:8" x14ac:dyDescent="0.3">
      <c r="A3019">
        <v>220965750</v>
      </c>
      <c r="B3019" s="1">
        <v>45172</v>
      </c>
      <c r="C3019" t="s">
        <v>19</v>
      </c>
      <c r="D3019" t="s">
        <v>7</v>
      </c>
      <c r="E3019">
        <v>39</v>
      </c>
      <c r="F3019" t="s">
        <v>6</v>
      </c>
      <c r="G3019" t="str">
        <f t="shared" si="100"/>
        <v>Active</v>
      </c>
      <c r="H3019" s="1" t="str">
        <f t="shared" si="101"/>
        <v>Sunday</v>
      </c>
    </row>
    <row r="3020" spans="1:8" x14ac:dyDescent="0.3">
      <c r="A3020">
        <v>219065931</v>
      </c>
      <c r="B3020" s="1">
        <v>45172</v>
      </c>
      <c r="C3020" t="s">
        <v>19</v>
      </c>
      <c r="D3020" t="s">
        <v>7</v>
      </c>
      <c r="E3020">
        <v>39</v>
      </c>
      <c r="F3020" t="s">
        <v>6</v>
      </c>
      <c r="G3020" t="str">
        <f t="shared" si="100"/>
        <v>Active</v>
      </c>
      <c r="H3020" s="1" t="str">
        <f t="shared" si="101"/>
        <v>Sunday</v>
      </c>
    </row>
    <row r="3021" spans="1:8" x14ac:dyDescent="0.3">
      <c r="A3021">
        <v>220707034</v>
      </c>
      <c r="B3021" s="1">
        <v>45172</v>
      </c>
      <c r="C3021" t="s">
        <v>19</v>
      </c>
      <c r="D3021" t="s">
        <v>7</v>
      </c>
      <c r="E3021">
        <v>39</v>
      </c>
      <c r="F3021" t="s">
        <v>6</v>
      </c>
      <c r="G3021" t="str">
        <f t="shared" si="100"/>
        <v>Active</v>
      </c>
      <c r="H3021" s="1" t="str">
        <f t="shared" si="101"/>
        <v>Sunday</v>
      </c>
    </row>
    <row r="3022" spans="1:8" x14ac:dyDescent="0.3">
      <c r="A3022">
        <v>220875396</v>
      </c>
      <c r="B3022" s="1">
        <v>45172</v>
      </c>
      <c r="C3022" t="s">
        <v>19</v>
      </c>
      <c r="D3022" t="s">
        <v>7</v>
      </c>
      <c r="E3022">
        <v>39</v>
      </c>
      <c r="F3022" t="s">
        <v>6</v>
      </c>
      <c r="G3022" t="str">
        <f t="shared" si="100"/>
        <v>Active</v>
      </c>
      <c r="H3022" s="1" t="str">
        <f t="shared" si="101"/>
        <v>Sunday</v>
      </c>
    </row>
    <row r="3023" spans="1:8" x14ac:dyDescent="0.3">
      <c r="A3023">
        <v>134054676</v>
      </c>
      <c r="B3023" s="1">
        <v>45172</v>
      </c>
      <c r="C3023" s="1">
        <v>45174</v>
      </c>
      <c r="D3023" t="s">
        <v>7</v>
      </c>
      <c r="E3023">
        <v>39</v>
      </c>
      <c r="F3023" t="s">
        <v>6</v>
      </c>
      <c r="G3023">
        <f t="shared" si="100"/>
        <v>2</v>
      </c>
      <c r="H3023" s="1" t="str">
        <f t="shared" si="101"/>
        <v>Sunday</v>
      </c>
    </row>
    <row r="3024" spans="1:8" x14ac:dyDescent="0.3">
      <c r="A3024">
        <v>183702574</v>
      </c>
      <c r="B3024" s="1">
        <v>45172</v>
      </c>
      <c r="C3024" s="1">
        <v>45172</v>
      </c>
      <c r="D3024" t="s">
        <v>7</v>
      </c>
      <c r="E3024">
        <v>39</v>
      </c>
      <c r="F3024" t="s">
        <v>6</v>
      </c>
      <c r="G3024">
        <f t="shared" si="100"/>
        <v>0</v>
      </c>
      <c r="H3024" s="1" t="str">
        <f t="shared" si="101"/>
        <v>Sunday</v>
      </c>
    </row>
    <row r="3025" spans="1:8" x14ac:dyDescent="0.3">
      <c r="A3025">
        <v>220997288</v>
      </c>
      <c r="B3025" s="1">
        <v>45173</v>
      </c>
      <c r="C3025" t="s">
        <v>19</v>
      </c>
      <c r="D3025" t="s">
        <v>7</v>
      </c>
      <c r="E3025">
        <v>39</v>
      </c>
      <c r="F3025" t="s">
        <v>6</v>
      </c>
      <c r="G3025" t="str">
        <f t="shared" si="100"/>
        <v>Active</v>
      </c>
      <c r="H3025" s="1" t="str">
        <f t="shared" si="101"/>
        <v>Monday</v>
      </c>
    </row>
    <row r="3026" spans="1:8" x14ac:dyDescent="0.3">
      <c r="A3026">
        <v>218617631</v>
      </c>
      <c r="B3026" s="1">
        <v>45173</v>
      </c>
      <c r="C3026" t="s">
        <v>19</v>
      </c>
      <c r="D3026" t="s">
        <v>7</v>
      </c>
      <c r="E3026">
        <v>39</v>
      </c>
      <c r="F3026" t="s">
        <v>6</v>
      </c>
      <c r="G3026" t="str">
        <f t="shared" si="100"/>
        <v>Active</v>
      </c>
      <c r="H3026" s="1" t="str">
        <f t="shared" si="101"/>
        <v>Monday</v>
      </c>
    </row>
    <row r="3027" spans="1:8" x14ac:dyDescent="0.3">
      <c r="A3027">
        <v>220952702</v>
      </c>
      <c r="B3027" s="1">
        <v>45173</v>
      </c>
      <c r="C3027" t="s">
        <v>19</v>
      </c>
      <c r="D3027" t="s">
        <v>7</v>
      </c>
      <c r="E3027">
        <v>39</v>
      </c>
      <c r="F3027" t="s">
        <v>6</v>
      </c>
      <c r="G3027" t="str">
        <f t="shared" si="100"/>
        <v>Active</v>
      </c>
      <c r="H3027" s="1" t="str">
        <f t="shared" si="101"/>
        <v>Monday</v>
      </c>
    </row>
    <row r="3028" spans="1:8" x14ac:dyDescent="0.3">
      <c r="A3028">
        <v>156460574</v>
      </c>
      <c r="B3028" s="1">
        <v>45173</v>
      </c>
      <c r="C3028" t="s">
        <v>19</v>
      </c>
      <c r="D3028" t="s">
        <v>7</v>
      </c>
      <c r="E3028">
        <v>39</v>
      </c>
      <c r="F3028" t="s">
        <v>6</v>
      </c>
      <c r="G3028" t="str">
        <f t="shared" si="100"/>
        <v>Active</v>
      </c>
      <c r="H3028" s="1" t="str">
        <f t="shared" si="101"/>
        <v>Monday</v>
      </c>
    </row>
    <row r="3029" spans="1:8" x14ac:dyDescent="0.3">
      <c r="A3029">
        <v>221012872</v>
      </c>
      <c r="B3029" s="1">
        <v>45173</v>
      </c>
      <c r="C3029" t="s">
        <v>19</v>
      </c>
      <c r="D3029" t="s">
        <v>7</v>
      </c>
      <c r="E3029">
        <v>39</v>
      </c>
      <c r="F3029" t="s">
        <v>6</v>
      </c>
      <c r="G3029" t="str">
        <f t="shared" si="100"/>
        <v>Active</v>
      </c>
      <c r="H3029" s="1" t="str">
        <f t="shared" si="101"/>
        <v>Monday</v>
      </c>
    </row>
    <row r="3030" spans="1:8" x14ac:dyDescent="0.3">
      <c r="A3030">
        <v>220845656</v>
      </c>
      <c r="B3030" s="1">
        <v>45173</v>
      </c>
      <c r="C3030" t="s">
        <v>19</v>
      </c>
      <c r="D3030" t="s">
        <v>7</v>
      </c>
      <c r="E3030">
        <v>39</v>
      </c>
      <c r="F3030" t="s">
        <v>6</v>
      </c>
      <c r="G3030" t="str">
        <f t="shared" si="100"/>
        <v>Active</v>
      </c>
      <c r="H3030" s="1" t="str">
        <f t="shared" si="101"/>
        <v>Monday</v>
      </c>
    </row>
    <row r="3031" spans="1:8" x14ac:dyDescent="0.3">
      <c r="A3031">
        <v>220989516</v>
      </c>
      <c r="B3031" s="1">
        <v>45173</v>
      </c>
      <c r="C3031" t="s">
        <v>19</v>
      </c>
      <c r="D3031" t="s">
        <v>7</v>
      </c>
      <c r="E3031">
        <v>39</v>
      </c>
      <c r="F3031" t="s">
        <v>6</v>
      </c>
      <c r="G3031" t="str">
        <f t="shared" si="100"/>
        <v>Active</v>
      </c>
      <c r="H3031" s="1" t="str">
        <f t="shared" si="101"/>
        <v>Monday</v>
      </c>
    </row>
    <row r="3032" spans="1:8" x14ac:dyDescent="0.3">
      <c r="A3032">
        <v>135317128</v>
      </c>
      <c r="B3032" s="1">
        <v>45173</v>
      </c>
      <c r="C3032" t="s">
        <v>19</v>
      </c>
      <c r="D3032" t="s">
        <v>7</v>
      </c>
      <c r="E3032">
        <v>39</v>
      </c>
      <c r="F3032" t="s">
        <v>6</v>
      </c>
      <c r="G3032" t="str">
        <f t="shared" si="100"/>
        <v>Active</v>
      </c>
      <c r="H3032" s="1" t="str">
        <f t="shared" si="101"/>
        <v>Monday</v>
      </c>
    </row>
    <row r="3033" spans="1:8" x14ac:dyDescent="0.3">
      <c r="A3033">
        <v>220984730</v>
      </c>
      <c r="B3033" s="1">
        <v>45173</v>
      </c>
      <c r="C3033" t="s">
        <v>19</v>
      </c>
      <c r="D3033" t="s">
        <v>7</v>
      </c>
      <c r="E3033">
        <v>39</v>
      </c>
      <c r="F3033" t="s">
        <v>6</v>
      </c>
      <c r="G3033" t="str">
        <f t="shared" si="100"/>
        <v>Active</v>
      </c>
      <c r="H3033" s="1" t="str">
        <f t="shared" si="101"/>
        <v>Monday</v>
      </c>
    </row>
    <row r="3034" spans="1:8" x14ac:dyDescent="0.3">
      <c r="A3034">
        <v>220984628</v>
      </c>
      <c r="B3034" s="1">
        <v>45173</v>
      </c>
      <c r="C3034" t="s">
        <v>19</v>
      </c>
      <c r="D3034" t="s">
        <v>7</v>
      </c>
      <c r="E3034">
        <v>39</v>
      </c>
      <c r="F3034" t="s">
        <v>6</v>
      </c>
      <c r="G3034" t="str">
        <f t="shared" si="100"/>
        <v>Active</v>
      </c>
      <c r="H3034" s="1" t="str">
        <f t="shared" si="101"/>
        <v>Monday</v>
      </c>
    </row>
    <row r="3035" spans="1:8" x14ac:dyDescent="0.3">
      <c r="A3035">
        <v>220989226</v>
      </c>
      <c r="B3035" s="1">
        <v>45173</v>
      </c>
      <c r="C3035" t="s">
        <v>19</v>
      </c>
      <c r="D3035" t="s">
        <v>7</v>
      </c>
      <c r="E3035">
        <v>39</v>
      </c>
      <c r="F3035" t="s">
        <v>6</v>
      </c>
      <c r="G3035" t="str">
        <f t="shared" si="100"/>
        <v>Active</v>
      </c>
      <c r="H3035" s="1" t="str">
        <f t="shared" si="101"/>
        <v>Monday</v>
      </c>
    </row>
    <row r="3036" spans="1:8" x14ac:dyDescent="0.3">
      <c r="A3036">
        <v>220988969</v>
      </c>
      <c r="B3036" s="1">
        <v>45173</v>
      </c>
      <c r="C3036" t="s">
        <v>19</v>
      </c>
      <c r="D3036" t="s">
        <v>7</v>
      </c>
      <c r="E3036">
        <v>39</v>
      </c>
      <c r="F3036" t="s">
        <v>6</v>
      </c>
      <c r="G3036" t="str">
        <f t="shared" si="100"/>
        <v>Active</v>
      </c>
      <c r="H3036" s="1" t="str">
        <f t="shared" si="101"/>
        <v>Monday</v>
      </c>
    </row>
    <row r="3037" spans="1:8" x14ac:dyDescent="0.3">
      <c r="A3037">
        <v>220988022</v>
      </c>
      <c r="B3037" s="1">
        <v>45173</v>
      </c>
      <c r="C3037" t="s">
        <v>19</v>
      </c>
      <c r="D3037" t="s">
        <v>7</v>
      </c>
      <c r="E3037">
        <v>39</v>
      </c>
      <c r="F3037" t="s">
        <v>6</v>
      </c>
      <c r="G3037" t="str">
        <f t="shared" si="100"/>
        <v>Active</v>
      </c>
      <c r="H3037" s="1" t="str">
        <f t="shared" si="101"/>
        <v>Monday</v>
      </c>
    </row>
    <row r="3038" spans="1:8" x14ac:dyDescent="0.3">
      <c r="A3038">
        <v>220984390</v>
      </c>
      <c r="B3038" s="1">
        <v>45173</v>
      </c>
      <c r="C3038" t="s">
        <v>19</v>
      </c>
      <c r="D3038" t="s">
        <v>7</v>
      </c>
      <c r="E3038">
        <v>39</v>
      </c>
      <c r="F3038" t="s">
        <v>6</v>
      </c>
      <c r="G3038" t="str">
        <f t="shared" si="100"/>
        <v>Active</v>
      </c>
      <c r="H3038" s="1" t="str">
        <f t="shared" si="101"/>
        <v>Monday</v>
      </c>
    </row>
    <row r="3039" spans="1:8" x14ac:dyDescent="0.3">
      <c r="A3039">
        <v>181480437</v>
      </c>
      <c r="B3039" s="1">
        <v>45173</v>
      </c>
      <c r="C3039" t="s">
        <v>19</v>
      </c>
      <c r="D3039" t="s">
        <v>7</v>
      </c>
      <c r="E3039">
        <v>39</v>
      </c>
      <c r="F3039" t="s">
        <v>6</v>
      </c>
      <c r="G3039" t="str">
        <f t="shared" si="100"/>
        <v>Active</v>
      </c>
      <c r="H3039" s="1" t="str">
        <f t="shared" si="101"/>
        <v>Monday</v>
      </c>
    </row>
    <row r="3040" spans="1:8" x14ac:dyDescent="0.3">
      <c r="A3040">
        <v>125219153</v>
      </c>
      <c r="B3040" s="1">
        <v>45174</v>
      </c>
      <c r="C3040" t="s">
        <v>19</v>
      </c>
      <c r="D3040" t="s">
        <v>7</v>
      </c>
      <c r="E3040">
        <v>39</v>
      </c>
      <c r="F3040" t="s">
        <v>6</v>
      </c>
      <c r="G3040" t="str">
        <f t="shared" si="100"/>
        <v>Active</v>
      </c>
      <c r="H3040" s="1" t="str">
        <f t="shared" si="101"/>
        <v>Tuesday</v>
      </c>
    </row>
    <row r="3041" spans="1:8" x14ac:dyDescent="0.3">
      <c r="A3041">
        <v>160833652</v>
      </c>
      <c r="B3041" s="1">
        <v>45174</v>
      </c>
      <c r="C3041" t="s">
        <v>19</v>
      </c>
      <c r="D3041" t="s">
        <v>7</v>
      </c>
      <c r="E3041">
        <v>39</v>
      </c>
      <c r="F3041" t="s">
        <v>6</v>
      </c>
      <c r="G3041" t="str">
        <f t="shared" si="100"/>
        <v>Active</v>
      </c>
      <c r="H3041" s="1" t="str">
        <f t="shared" si="101"/>
        <v>Tuesday</v>
      </c>
    </row>
    <row r="3042" spans="1:8" x14ac:dyDescent="0.3">
      <c r="A3042">
        <v>221073196</v>
      </c>
      <c r="B3042" s="1">
        <v>45174</v>
      </c>
      <c r="C3042" t="s">
        <v>19</v>
      </c>
      <c r="D3042" t="s">
        <v>7</v>
      </c>
      <c r="E3042">
        <v>39</v>
      </c>
      <c r="F3042" t="s">
        <v>6</v>
      </c>
      <c r="G3042" t="str">
        <f t="shared" si="100"/>
        <v>Active</v>
      </c>
      <c r="H3042" s="1" t="str">
        <f t="shared" si="101"/>
        <v>Tuesday</v>
      </c>
    </row>
    <row r="3043" spans="1:8" x14ac:dyDescent="0.3">
      <c r="A3043">
        <v>153733292</v>
      </c>
      <c r="B3043" s="1">
        <v>45174</v>
      </c>
      <c r="C3043" t="s">
        <v>19</v>
      </c>
      <c r="D3043" t="s">
        <v>7</v>
      </c>
      <c r="E3043">
        <v>39</v>
      </c>
      <c r="F3043" t="s">
        <v>6</v>
      </c>
      <c r="G3043" t="str">
        <f t="shared" si="100"/>
        <v>Active</v>
      </c>
      <c r="H3043" s="1" t="str">
        <f t="shared" si="101"/>
        <v>Tuesday</v>
      </c>
    </row>
    <row r="3044" spans="1:8" x14ac:dyDescent="0.3">
      <c r="A3044">
        <v>152692003</v>
      </c>
      <c r="B3044" s="1">
        <v>45174</v>
      </c>
      <c r="C3044" t="s">
        <v>19</v>
      </c>
      <c r="D3044" t="s">
        <v>7</v>
      </c>
      <c r="E3044">
        <v>39</v>
      </c>
      <c r="F3044" t="s">
        <v>6</v>
      </c>
      <c r="G3044" t="str">
        <f t="shared" si="100"/>
        <v>Active</v>
      </c>
      <c r="H3044" s="1" t="str">
        <f t="shared" si="101"/>
        <v>Tuesday</v>
      </c>
    </row>
    <row r="3045" spans="1:8" x14ac:dyDescent="0.3">
      <c r="A3045">
        <v>220528931</v>
      </c>
      <c r="B3045" s="1">
        <v>45174</v>
      </c>
      <c r="C3045" t="s">
        <v>19</v>
      </c>
      <c r="D3045" t="s">
        <v>7</v>
      </c>
      <c r="E3045">
        <v>39</v>
      </c>
      <c r="F3045" t="s">
        <v>6</v>
      </c>
      <c r="G3045" t="str">
        <f t="shared" si="100"/>
        <v>Active</v>
      </c>
      <c r="H3045" s="1" t="str">
        <f t="shared" si="101"/>
        <v>Tuesday</v>
      </c>
    </row>
    <row r="3046" spans="1:8" x14ac:dyDescent="0.3">
      <c r="A3046">
        <v>221052611</v>
      </c>
      <c r="B3046" s="1">
        <v>45174</v>
      </c>
      <c r="C3046" t="s">
        <v>19</v>
      </c>
      <c r="D3046" t="s">
        <v>7</v>
      </c>
      <c r="E3046">
        <v>39</v>
      </c>
      <c r="F3046" t="s">
        <v>6</v>
      </c>
      <c r="G3046" t="str">
        <f t="shared" si="100"/>
        <v>Active</v>
      </c>
      <c r="H3046" s="1" t="str">
        <f t="shared" si="101"/>
        <v>Tuesday</v>
      </c>
    </row>
    <row r="3047" spans="1:8" x14ac:dyDescent="0.3">
      <c r="A3047">
        <v>220665801</v>
      </c>
      <c r="B3047" s="1">
        <v>45174</v>
      </c>
      <c r="C3047" t="s">
        <v>19</v>
      </c>
      <c r="D3047" t="s">
        <v>7</v>
      </c>
      <c r="E3047">
        <v>39</v>
      </c>
      <c r="F3047" t="s">
        <v>6</v>
      </c>
      <c r="G3047" t="str">
        <f t="shared" si="100"/>
        <v>Active</v>
      </c>
      <c r="H3047" s="1" t="str">
        <f t="shared" si="101"/>
        <v>Tuesday</v>
      </c>
    </row>
    <row r="3048" spans="1:8" x14ac:dyDescent="0.3">
      <c r="A3048">
        <v>221028388</v>
      </c>
      <c r="B3048" s="1">
        <v>45174</v>
      </c>
      <c r="C3048" t="s">
        <v>19</v>
      </c>
      <c r="D3048" t="s">
        <v>7</v>
      </c>
      <c r="E3048">
        <v>39</v>
      </c>
      <c r="F3048" t="s">
        <v>6</v>
      </c>
      <c r="G3048" t="str">
        <f t="shared" si="100"/>
        <v>Active</v>
      </c>
      <c r="H3048" s="1" t="str">
        <f t="shared" si="101"/>
        <v>Tuesday</v>
      </c>
    </row>
    <row r="3049" spans="1:8" x14ac:dyDescent="0.3">
      <c r="A3049">
        <v>206284545</v>
      </c>
      <c r="B3049" s="1">
        <v>45174</v>
      </c>
      <c r="C3049" t="s">
        <v>19</v>
      </c>
      <c r="D3049" t="s">
        <v>7</v>
      </c>
      <c r="E3049">
        <v>39</v>
      </c>
      <c r="F3049" t="s">
        <v>6</v>
      </c>
      <c r="G3049" t="str">
        <f t="shared" si="100"/>
        <v>Active</v>
      </c>
      <c r="H3049" s="1" t="str">
        <f t="shared" si="101"/>
        <v>Tuesday</v>
      </c>
    </row>
    <row r="3050" spans="1:8" x14ac:dyDescent="0.3">
      <c r="A3050">
        <v>178531928</v>
      </c>
      <c r="B3050" s="1">
        <v>45174</v>
      </c>
      <c r="C3050" t="s">
        <v>19</v>
      </c>
      <c r="D3050" t="s">
        <v>7</v>
      </c>
      <c r="E3050">
        <v>39</v>
      </c>
      <c r="F3050" t="s">
        <v>6</v>
      </c>
      <c r="G3050" t="str">
        <f t="shared" si="100"/>
        <v>Active</v>
      </c>
      <c r="H3050" s="1" t="str">
        <f t="shared" si="101"/>
        <v>Tuesday</v>
      </c>
    </row>
    <row r="3051" spans="1:8" x14ac:dyDescent="0.3">
      <c r="A3051">
        <v>220994271</v>
      </c>
      <c r="B3051" s="1">
        <v>45174</v>
      </c>
      <c r="C3051" t="s">
        <v>19</v>
      </c>
      <c r="D3051" t="s">
        <v>7</v>
      </c>
      <c r="E3051">
        <v>39</v>
      </c>
      <c r="F3051" t="s">
        <v>6</v>
      </c>
      <c r="G3051" t="str">
        <f t="shared" si="100"/>
        <v>Active</v>
      </c>
      <c r="H3051" s="1" t="str">
        <f t="shared" si="101"/>
        <v>Tuesday</v>
      </c>
    </row>
    <row r="3052" spans="1:8" x14ac:dyDescent="0.3">
      <c r="A3052">
        <v>218720472</v>
      </c>
      <c r="B3052" s="1">
        <v>45174</v>
      </c>
      <c r="C3052" t="s">
        <v>19</v>
      </c>
      <c r="D3052" t="s">
        <v>7</v>
      </c>
      <c r="E3052">
        <v>39</v>
      </c>
      <c r="F3052" t="s">
        <v>6</v>
      </c>
      <c r="G3052" t="str">
        <f t="shared" si="100"/>
        <v>Active</v>
      </c>
      <c r="H3052" s="1" t="str">
        <f t="shared" si="101"/>
        <v>Tuesday</v>
      </c>
    </row>
    <row r="3053" spans="1:8" x14ac:dyDescent="0.3">
      <c r="A3053">
        <v>218900441</v>
      </c>
      <c r="B3053" s="1">
        <v>45175</v>
      </c>
      <c r="C3053" t="s">
        <v>19</v>
      </c>
      <c r="D3053" t="s">
        <v>7</v>
      </c>
      <c r="E3053">
        <v>39</v>
      </c>
      <c r="F3053" t="s">
        <v>6</v>
      </c>
      <c r="G3053" t="str">
        <f t="shared" si="100"/>
        <v>Active</v>
      </c>
      <c r="H3053" s="1" t="str">
        <f t="shared" si="101"/>
        <v>Wednesday</v>
      </c>
    </row>
    <row r="3054" spans="1:8" x14ac:dyDescent="0.3">
      <c r="A3054">
        <v>221123938</v>
      </c>
      <c r="B3054" s="1">
        <v>45175</v>
      </c>
      <c r="C3054" t="s">
        <v>19</v>
      </c>
      <c r="D3054" t="s">
        <v>7</v>
      </c>
      <c r="E3054">
        <v>39</v>
      </c>
      <c r="F3054" t="s">
        <v>6</v>
      </c>
      <c r="G3054" t="str">
        <f t="shared" si="100"/>
        <v>Active</v>
      </c>
      <c r="H3054" s="1" t="str">
        <f t="shared" si="101"/>
        <v>Wednesday</v>
      </c>
    </row>
    <row r="3055" spans="1:8" x14ac:dyDescent="0.3">
      <c r="A3055">
        <v>166750222</v>
      </c>
      <c r="B3055" s="1">
        <v>45175</v>
      </c>
      <c r="C3055" t="s">
        <v>19</v>
      </c>
      <c r="D3055" t="s">
        <v>7</v>
      </c>
      <c r="E3055">
        <v>39</v>
      </c>
      <c r="F3055" t="s">
        <v>6</v>
      </c>
      <c r="G3055" t="str">
        <f t="shared" si="100"/>
        <v>Active</v>
      </c>
      <c r="H3055" s="1" t="str">
        <f t="shared" si="101"/>
        <v>Wednesday</v>
      </c>
    </row>
    <row r="3056" spans="1:8" x14ac:dyDescent="0.3">
      <c r="A3056">
        <v>154783053</v>
      </c>
      <c r="B3056" s="1">
        <v>45175</v>
      </c>
      <c r="C3056" t="s">
        <v>19</v>
      </c>
      <c r="D3056" t="s">
        <v>7</v>
      </c>
      <c r="E3056">
        <v>39</v>
      </c>
      <c r="F3056" t="s">
        <v>6</v>
      </c>
      <c r="G3056" t="str">
        <f t="shared" si="100"/>
        <v>Active</v>
      </c>
      <c r="H3056" s="1" t="str">
        <f t="shared" si="101"/>
        <v>Wednesday</v>
      </c>
    </row>
    <row r="3057" spans="1:8" x14ac:dyDescent="0.3">
      <c r="A3057">
        <v>221100604</v>
      </c>
      <c r="B3057" s="1">
        <v>45175</v>
      </c>
      <c r="C3057" t="s">
        <v>19</v>
      </c>
      <c r="D3057" t="s">
        <v>7</v>
      </c>
      <c r="E3057">
        <v>39</v>
      </c>
      <c r="F3057" t="s">
        <v>6</v>
      </c>
      <c r="G3057" t="str">
        <f t="shared" si="100"/>
        <v>Active</v>
      </c>
      <c r="H3057" s="1" t="str">
        <f t="shared" si="101"/>
        <v>Wednesday</v>
      </c>
    </row>
    <row r="3058" spans="1:8" x14ac:dyDescent="0.3">
      <c r="A3058">
        <v>220703723</v>
      </c>
      <c r="B3058" s="1">
        <v>45175</v>
      </c>
      <c r="C3058" t="s">
        <v>19</v>
      </c>
      <c r="D3058" t="s">
        <v>7</v>
      </c>
      <c r="E3058">
        <v>39</v>
      </c>
      <c r="F3058" t="s">
        <v>6</v>
      </c>
      <c r="G3058" t="str">
        <f t="shared" si="100"/>
        <v>Active</v>
      </c>
      <c r="H3058" s="1" t="str">
        <f t="shared" si="101"/>
        <v>Wednesday</v>
      </c>
    </row>
    <row r="3059" spans="1:8" x14ac:dyDescent="0.3">
      <c r="A3059">
        <v>220815627</v>
      </c>
      <c r="B3059" s="1">
        <v>45175</v>
      </c>
      <c r="C3059" t="s">
        <v>19</v>
      </c>
      <c r="D3059" t="s">
        <v>7</v>
      </c>
      <c r="E3059">
        <v>39</v>
      </c>
      <c r="F3059" t="s">
        <v>6</v>
      </c>
      <c r="G3059" t="str">
        <f t="shared" si="100"/>
        <v>Active</v>
      </c>
      <c r="H3059" s="1" t="str">
        <f t="shared" si="101"/>
        <v>Wednesday</v>
      </c>
    </row>
    <row r="3060" spans="1:8" x14ac:dyDescent="0.3">
      <c r="A3060">
        <v>214764106</v>
      </c>
      <c r="B3060" s="1">
        <v>45175</v>
      </c>
      <c r="C3060" t="s">
        <v>19</v>
      </c>
      <c r="D3060" t="s">
        <v>7</v>
      </c>
      <c r="E3060">
        <v>39</v>
      </c>
      <c r="F3060" t="s">
        <v>6</v>
      </c>
      <c r="G3060" t="str">
        <f t="shared" si="100"/>
        <v>Active</v>
      </c>
      <c r="H3060" s="1" t="str">
        <f t="shared" si="101"/>
        <v>Wednesday</v>
      </c>
    </row>
    <row r="3061" spans="1:8" x14ac:dyDescent="0.3">
      <c r="A3061">
        <v>158763940</v>
      </c>
      <c r="B3061" s="1">
        <v>45176</v>
      </c>
      <c r="C3061" t="s">
        <v>19</v>
      </c>
      <c r="D3061" t="s">
        <v>7</v>
      </c>
      <c r="E3061">
        <v>39</v>
      </c>
      <c r="F3061" t="s">
        <v>6</v>
      </c>
      <c r="G3061" t="str">
        <f t="shared" si="100"/>
        <v>Active</v>
      </c>
      <c r="H3061" s="1" t="str">
        <f t="shared" si="101"/>
        <v>Thursday</v>
      </c>
    </row>
    <row r="3062" spans="1:8" x14ac:dyDescent="0.3">
      <c r="A3062">
        <v>220065316</v>
      </c>
      <c r="B3062" s="1">
        <v>45176</v>
      </c>
      <c r="C3062" t="s">
        <v>19</v>
      </c>
      <c r="D3062" t="s">
        <v>7</v>
      </c>
      <c r="E3062">
        <v>39</v>
      </c>
      <c r="F3062" t="s">
        <v>6</v>
      </c>
      <c r="G3062" t="str">
        <f t="shared" si="100"/>
        <v>Active</v>
      </c>
      <c r="H3062" s="1" t="str">
        <f t="shared" si="101"/>
        <v>Thursday</v>
      </c>
    </row>
    <row r="3063" spans="1:8" x14ac:dyDescent="0.3">
      <c r="A3063">
        <v>217662862</v>
      </c>
      <c r="B3063" s="1">
        <v>45176</v>
      </c>
      <c r="C3063" t="s">
        <v>19</v>
      </c>
      <c r="D3063" t="s">
        <v>7</v>
      </c>
      <c r="E3063">
        <v>39</v>
      </c>
      <c r="F3063" t="s">
        <v>6</v>
      </c>
      <c r="G3063" t="str">
        <f t="shared" si="100"/>
        <v>Active</v>
      </c>
      <c r="H3063" s="1" t="str">
        <f t="shared" si="101"/>
        <v>Thursday</v>
      </c>
    </row>
    <row r="3064" spans="1:8" x14ac:dyDescent="0.3">
      <c r="A3064">
        <v>220328388</v>
      </c>
      <c r="B3064" s="1">
        <v>45176</v>
      </c>
      <c r="C3064" t="s">
        <v>19</v>
      </c>
      <c r="D3064" t="s">
        <v>7</v>
      </c>
      <c r="E3064">
        <v>39</v>
      </c>
      <c r="F3064" t="s">
        <v>6</v>
      </c>
      <c r="G3064" t="str">
        <f t="shared" si="100"/>
        <v>Active</v>
      </c>
      <c r="H3064" s="1" t="str">
        <f t="shared" si="101"/>
        <v>Thursday</v>
      </c>
    </row>
    <row r="3065" spans="1:8" x14ac:dyDescent="0.3">
      <c r="A3065">
        <v>219521019</v>
      </c>
      <c r="B3065" s="1">
        <v>45176</v>
      </c>
      <c r="C3065" t="s">
        <v>19</v>
      </c>
      <c r="D3065" t="s">
        <v>7</v>
      </c>
      <c r="E3065">
        <v>39</v>
      </c>
      <c r="F3065" t="s">
        <v>6</v>
      </c>
      <c r="G3065" t="str">
        <f t="shared" si="100"/>
        <v>Active</v>
      </c>
      <c r="H3065" s="1" t="str">
        <f t="shared" si="101"/>
        <v>Thursday</v>
      </c>
    </row>
    <row r="3066" spans="1:8" x14ac:dyDescent="0.3">
      <c r="A3066">
        <v>221145374</v>
      </c>
      <c r="B3066" s="1">
        <v>45176</v>
      </c>
      <c r="C3066" t="s">
        <v>19</v>
      </c>
      <c r="D3066" t="s">
        <v>7</v>
      </c>
      <c r="E3066">
        <v>39</v>
      </c>
      <c r="F3066" t="s">
        <v>6</v>
      </c>
      <c r="G3066" t="str">
        <f t="shared" si="100"/>
        <v>Active</v>
      </c>
      <c r="H3066" s="1" t="str">
        <f t="shared" si="101"/>
        <v>Thursday</v>
      </c>
    </row>
    <row r="3067" spans="1:8" x14ac:dyDescent="0.3">
      <c r="A3067">
        <v>221130434</v>
      </c>
      <c r="B3067" s="1">
        <v>45176</v>
      </c>
      <c r="C3067" t="s">
        <v>19</v>
      </c>
      <c r="D3067" t="s">
        <v>7</v>
      </c>
      <c r="E3067">
        <v>39</v>
      </c>
      <c r="F3067" t="s">
        <v>6</v>
      </c>
      <c r="G3067" t="str">
        <f t="shared" si="100"/>
        <v>Active</v>
      </c>
      <c r="H3067" s="1" t="str">
        <f t="shared" si="101"/>
        <v>Thursday</v>
      </c>
    </row>
    <row r="3068" spans="1:8" x14ac:dyDescent="0.3">
      <c r="A3068">
        <v>221189604</v>
      </c>
      <c r="B3068" s="1">
        <v>45177</v>
      </c>
      <c r="C3068" t="s">
        <v>19</v>
      </c>
      <c r="D3068" t="s">
        <v>7</v>
      </c>
      <c r="E3068">
        <v>39</v>
      </c>
      <c r="F3068" t="s">
        <v>6</v>
      </c>
      <c r="G3068" t="str">
        <f t="shared" si="100"/>
        <v>Active</v>
      </c>
      <c r="H3068" s="1" t="str">
        <f t="shared" si="101"/>
        <v>Friday</v>
      </c>
    </row>
    <row r="3069" spans="1:8" x14ac:dyDescent="0.3">
      <c r="A3069">
        <v>215174643</v>
      </c>
      <c r="B3069" s="1">
        <v>45177</v>
      </c>
      <c r="C3069" t="s">
        <v>19</v>
      </c>
      <c r="D3069" t="s">
        <v>7</v>
      </c>
      <c r="E3069">
        <v>39</v>
      </c>
      <c r="F3069" t="s">
        <v>6</v>
      </c>
      <c r="G3069" t="str">
        <f t="shared" si="100"/>
        <v>Active</v>
      </c>
      <c r="H3069" s="1" t="str">
        <f t="shared" si="101"/>
        <v>Friday</v>
      </c>
    </row>
    <row r="3070" spans="1:8" x14ac:dyDescent="0.3">
      <c r="A3070">
        <v>188354637</v>
      </c>
      <c r="B3070" s="1">
        <v>45177</v>
      </c>
      <c r="C3070" t="s">
        <v>19</v>
      </c>
      <c r="D3070" t="s">
        <v>7</v>
      </c>
      <c r="E3070">
        <v>39</v>
      </c>
      <c r="F3070" t="s">
        <v>6</v>
      </c>
      <c r="G3070" t="str">
        <f t="shared" si="100"/>
        <v>Active</v>
      </c>
      <c r="H3070" s="1" t="str">
        <f t="shared" si="101"/>
        <v>Friday</v>
      </c>
    </row>
  </sheetData>
  <sortState ref="J2:L371">
    <sortCondition descending="1" ref="K2:K37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showGridLines="0" workbookViewId="0">
      <selection activeCell="C31" sqref="C31"/>
    </sheetView>
  </sheetViews>
  <sheetFormatPr defaultRowHeight="14.4" x14ac:dyDescent="0.3"/>
  <cols>
    <col min="2" max="2" width="21" bestFit="1" customWidth="1"/>
    <col min="3" max="3" width="108.77734375" bestFit="1" customWidth="1"/>
  </cols>
  <sheetData>
    <row r="2" spans="2:3" x14ac:dyDescent="0.3">
      <c r="B2" s="3" t="s">
        <v>14</v>
      </c>
      <c r="C2" s="3" t="s">
        <v>13</v>
      </c>
    </row>
    <row r="3" spans="2:3" x14ac:dyDescent="0.3">
      <c r="B3" s="2" t="s">
        <v>0</v>
      </c>
      <c r="C3" s="2" t="s">
        <v>12</v>
      </c>
    </row>
    <row r="4" spans="2:3" x14ac:dyDescent="0.3">
      <c r="B4" s="2" t="s">
        <v>1</v>
      </c>
      <c r="C4" s="2" t="s">
        <v>16</v>
      </c>
    </row>
    <row r="5" spans="2:3" x14ac:dyDescent="0.3">
      <c r="B5" s="2" t="s">
        <v>2</v>
      </c>
      <c r="C5" s="2" t="s">
        <v>17</v>
      </c>
    </row>
    <row r="6" spans="2:3" x14ac:dyDescent="0.3">
      <c r="B6" s="2" t="s">
        <v>3</v>
      </c>
      <c r="C6" s="2" t="s">
        <v>11</v>
      </c>
    </row>
    <row r="7" spans="2:3" x14ac:dyDescent="0.3">
      <c r="B7" s="2" t="s">
        <v>4</v>
      </c>
      <c r="C7" s="2" t="s">
        <v>10</v>
      </c>
    </row>
    <row r="8" spans="2:3" x14ac:dyDescent="0.3">
      <c r="B8" s="2" t="s">
        <v>5</v>
      </c>
      <c r="C8" s="2"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tabSelected="1" workbookViewId="0">
      <selection activeCell="F42" sqref="F42"/>
    </sheetView>
  </sheetViews>
  <sheetFormatPr defaultRowHeight="14.4" x14ac:dyDescent="0.3"/>
  <cols>
    <col min="2" max="2" width="16.21875" bestFit="1" customWidth="1"/>
    <col min="3" max="3" width="21.33203125" bestFit="1" customWidth="1"/>
    <col min="4" max="4" width="21.6640625" customWidth="1"/>
    <col min="5" max="5" width="21.33203125" bestFit="1" customWidth="1"/>
    <col min="6" max="7" width="25.21875" bestFit="1" customWidth="1"/>
  </cols>
  <sheetData>
    <row r="1" spans="1:16" x14ac:dyDescent="0.3">
      <c r="A1" s="27" t="s">
        <v>60</v>
      </c>
      <c r="B1" s="27"/>
      <c r="C1" s="27"/>
      <c r="D1" s="27"/>
    </row>
    <row r="2" spans="1:16" x14ac:dyDescent="0.3">
      <c r="A2" s="27"/>
      <c r="B2" s="27"/>
      <c r="C2" s="27"/>
      <c r="D2" s="27"/>
    </row>
    <row r="3" spans="1:16" x14ac:dyDescent="0.3">
      <c r="A3" s="27"/>
      <c r="B3" s="27"/>
      <c r="C3" s="27"/>
      <c r="D3" s="27"/>
    </row>
    <row r="4" spans="1:16" x14ac:dyDescent="0.3">
      <c r="P4" s="8"/>
    </row>
    <row r="5" spans="1:16" x14ac:dyDescent="0.3">
      <c r="A5" s="16" t="s">
        <v>61</v>
      </c>
      <c r="B5" s="16"/>
      <c r="C5" s="16"/>
      <c r="D5" s="16"/>
      <c r="E5" s="16"/>
      <c r="P5" s="8"/>
    </row>
    <row r="6" spans="1:16" x14ac:dyDescent="0.3">
      <c r="P6" s="8"/>
    </row>
    <row r="7" spans="1:16" x14ac:dyDescent="0.3">
      <c r="B7" s="13" t="s">
        <v>83</v>
      </c>
      <c r="C7" t="s">
        <v>43</v>
      </c>
      <c r="P7" s="8"/>
    </row>
    <row r="8" spans="1:16" x14ac:dyDescent="0.3">
      <c r="B8" s="17">
        <v>45104</v>
      </c>
      <c r="C8" s="23">
        <v>14</v>
      </c>
      <c r="P8" s="8"/>
    </row>
    <row r="9" spans="1:16" x14ac:dyDescent="0.3">
      <c r="P9" s="8"/>
    </row>
    <row r="10" spans="1:16" x14ac:dyDescent="0.3">
      <c r="A10" s="16" t="s">
        <v>62</v>
      </c>
      <c r="B10" s="16"/>
      <c r="C10" s="16"/>
      <c r="D10" s="16"/>
      <c r="E10" s="16"/>
      <c r="P10" s="8"/>
    </row>
    <row r="12" spans="1:16" x14ac:dyDescent="0.3">
      <c r="D12" s="18">
        <f>COUNTIF('Data prepration'!$I$2:$I$3070,"Yes")</f>
        <v>108</v>
      </c>
    </row>
    <row r="14" spans="1:16" x14ac:dyDescent="0.3">
      <c r="A14" s="16" t="s">
        <v>63</v>
      </c>
      <c r="B14" s="16"/>
      <c r="C14" s="16"/>
      <c r="D14" s="16"/>
      <c r="E14" s="16"/>
    </row>
    <row r="16" spans="1:16" x14ac:dyDescent="0.3">
      <c r="C16" t="s">
        <v>70</v>
      </c>
      <c r="D16">
        <f>COUNTIF('Data prepration'!$J$2:$J$3070,1)</f>
        <v>293</v>
      </c>
    </row>
    <row r="17" spans="1:4" x14ac:dyDescent="0.3">
      <c r="C17" t="s">
        <v>71</v>
      </c>
      <c r="D17">
        <f>COUNT('Data prepration'!$J$2:$J$3070)</f>
        <v>3069</v>
      </c>
    </row>
    <row r="18" spans="1:4" x14ac:dyDescent="0.3">
      <c r="C18" s="18" t="s">
        <v>72</v>
      </c>
      <c r="D18" s="19">
        <f>(D16/D17)</f>
        <v>9.5470837406321271E-2</v>
      </c>
    </row>
    <row r="20" spans="1:4" x14ac:dyDescent="0.3">
      <c r="A20" s="16" t="s">
        <v>64</v>
      </c>
      <c r="B20" s="16"/>
      <c r="C20" s="16"/>
      <c r="D20" s="16"/>
    </row>
    <row r="21" spans="1:4" x14ac:dyDescent="0.3">
      <c r="D21" s="18">
        <f>COUNTIFS(Table1[sub_more_than_1_month],1)</f>
        <v>1267</v>
      </c>
    </row>
    <row r="22" spans="1:4" x14ac:dyDescent="0.3">
      <c r="D22" s="22"/>
    </row>
    <row r="23" spans="1:4" x14ac:dyDescent="0.3">
      <c r="A23" s="16" t="s">
        <v>65</v>
      </c>
      <c r="B23" s="16"/>
      <c r="C23" s="16"/>
      <c r="D23" s="16"/>
    </row>
    <row r="24" spans="1:4" x14ac:dyDescent="0.3">
      <c r="D24" s="18">
        <f>_xlfn.MODE.SNGL('Data prepration'!L2:L3070)</f>
        <v>1</v>
      </c>
    </row>
    <row r="26" spans="1:4" x14ac:dyDescent="0.3">
      <c r="A26" s="16" t="s">
        <v>66</v>
      </c>
      <c r="B26" s="16"/>
      <c r="C26" s="16"/>
      <c r="D26" s="16"/>
    </row>
    <row r="28" spans="1:4" x14ac:dyDescent="0.3">
      <c r="C28" s="13" t="s">
        <v>84</v>
      </c>
      <c r="D28" t="s">
        <v>75</v>
      </c>
    </row>
    <row r="29" spans="1:4" x14ac:dyDescent="0.3">
      <c r="C29" s="10" t="s">
        <v>45</v>
      </c>
      <c r="D29">
        <v>539</v>
      </c>
    </row>
    <row r="30" spans="1:4" x14ac:dyDescent="0.3">
      <c r="C30" s="10" t="s">
        <v>48</v>
      </c>
      <c r="D30">
        <v>505</v>
      </c>
    </row>
    <row r="31" spans="1:4" x14ac:dyDescent="0.3">
      <c r="C31" s="10" t="s">
        <v>46</v>
      </c>
      <c r="D31">
        <v>487</v>
      </c>
    </row>
    <row r="32" spans="1:4" x14ac:dyDescent="0.3">
      <c r="C32" s="10" t="s">
        <v>47</v>
      </c>
      <c r="D32">
        <v>472</v>
      </c>
    </row>
    <row r="33" spans="1:6" x14ac:dyDescent="0.3">
      <c r="C33" s="10" t="s">
        <v>49</v>
      </c>
      <c r="D33">
        <v>452</v>
      </c>
    </row>
    <row r="34" spans="1:6" x14ac:dyDescent="0.3">
      <c r="C34" s="10" t="s">
        <v>50</v>
      </c>
      <c r="D34">
        <v>308</v>
      </c>
    </row>
    <row r="35" spans="1:6" x14ac:dyDescent="0.3">
      <c r="C35" s="10" t="s">
        <v>44</v>
      </c>
      <c r="D35">
        <v>306</v>
      </c>
    </row>
    <row r="38" spans="1:6" x14ac:dyDescent="0.3">
      <c r="A38" s="16" t="s">
        <v>67</v>
      </c>
      <c r="B38" s="16"/>
      <c r="C38" s="16"/>
      <c r="D38" s="16"/>
      <c r="E38" s="16"/>
      <c r="F38" s="16"/>
    </row>
    <row r="40" spans="1:6" x14ac:dyDescent="0.3">
      <c r="C40" s="13" t="s">
        <v>85</v>
      </c>
      <c r="D40" t="s">
        <v>51</v>
      </c>
      <c r="E40" t="s">
        <v>43</v>
      </c>
      <c r="F40" s="26" t="s">
        <v>86</v>
      </c>
    </row>
    <row r="41" spans="1:6" x14ac:dyDescent="0.3">
      <c r="C41" s="10" t="s">
        <v>8</v>
      </c>
      <c r="D41">
        <v>133</v>
      </c>
      <c r="E41">
        <v>123</v>
      </c>
      <c r="F41" s="32">
        <f>GETPIVOTDATA("Count of canceled_date",$C$40,"was_subscription_paid","No")/GETPIVOTDATA("Count of created_date",$C$40,"was_subscription_paid","No")</f>
        <v>0.92481203007518797</v>
      </c>
    </row>
    <row r="42" spans="1:6" x14ac:dyDescent="0.3">
      <c r="C42" s="10" t="s">
        <v>7</v>
      </c>
      <c r="D42">
        <v>2936</v>
      </c>
      <c r="E42">
        <v>1881</v>
      </c>
      <c r="F42" s="32">
        <f>GETPIVOTDATA("Count of canceled_date",$C$40,"was_subscription_paid","Yes")/GETPIVOTDATA("Count of created_date",$C$40,"was_subscription_paid","Yes")</f>
        <v>0.64066757493188009</v>
      </c>
    </row>
    <row r="43" spans="1:6" x14ac:dyDescent="0.3">
      <c r="D43">
        <f>GETPIVOTDATA("Count of created_date",$C$40,"was_subscription_paid","No")+GETPIVOTDATA("Count of created_date",$C$40,"was_subscription_paid","Yes")</f>
        <v>3069</v>
      </c>
      <c r="E43">
        <f>GETPIVOTDATA("Count of canceled_date",$C$40,"was_subscription_paid","No")+GETPIVOTDATA("Count of canceled_date",$C$40,"was_subscription_paid","Yes")</f>
        <v>2004</v>
      </c>
    </row>
  </sheetData>
  <mergeCells count="1">
    <mergeCell ref="A1:D3"/>
  </mergeCell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70"/>
  <sheetViews>
    <sheetView workbookViewId="0">
      <selection activeCell="O1" sqref="O1"/>
    </sheetView>
  </sheetViews>
  <sheetFormatPr defaultRowHeight="14.4" x14ac:dyDescent="0.3"/>
  <cols>
    <col min="1" max="1" width="13.33203125" customWidth="1"/>
    <col min="2" max="2" width="14" customWidth="1"/>
    <col min="3" max="3" width="15.109375" customWidth="1"/>
    <col min="4" max="4" width="22" customWidth="1"/>
    <col min="5" max="5" width="17.5546875" customWidth="1"/>
    <col min="6" max="6" width="20.44140625" customWidth="1"/>
    <col min="7" max="7" width="21" customWidth="1"/>
    <col min="8" max="8" width="17.33203125" style="1" bestFit="1" customWidth="1"/>
    <col min="9" max="9" width="17.77734375" customWidth="1"/>
    <col min="10" max="10" width="20.33203125" customWidth="1"/>
    <col min="11" max="11" width="24.88671875" customWidth="1"/>
    <col min="12" max="12" width="25.5546875" customWidth="1"/>
  </cols>
  <sheetData>
    <row r="1" spans="1:12" x14ac:dyDescent="0.3">
      <c r="A1" s="4" t="s">
        <v>0</v>
      </c>
      <c r="B1" s="4" t="s">
        <v>1</v>
      </c>
      <c r="C1" s="4" t="s">
        <v>2</v>
      </c>
      <c r="D1" s="4" t="s">
        <v>5</v>
      </c>
      <c r="E1" s="4" t="s">
        <v>3</v>
      </c>
      <c r="F1" s="4" t="s">
        <v>4</v>
      </c>
      <c r="G1" s="4" t="s">
        <v>18</v>
      </c>
      <c r="H1" s="4" t="s">
        <v>20</v>
      </c>
      <c r="I1" s="4" t="s">
        <v>68</v>
      </c>
      <c r="J1" s="4" t="s">
        <v>69</v>
      </c>
      <c r="K1" s="4" t="s">
        <v>73</v>
      </c>
      <c r="L1" s="4" t="s">
        <v>74</v>
      </c>
    </row>
    <row r="2" spans="1:12" ht="14.4" customHeight="1" x14ac:dyDescent="0.3">
      <c r="A2">
        <v>154536156</v>
      </c>
      <c r="B2" s="1">
        <v>44805</v>
      </c>
      <c r="D2" t="s">
        <v>7</v>
      </c>
      <c r="E2">
        <v>39</v>
      </c>
      <c r="F2" t="s">
        <v>6</v>
      </c>
      <c r="G2" t="str">
        <f t="shared" ref="G2:G65" si="0">IF(C2="","",C2-B2)</f>
        <v/>
      </c>
      <c r="H2" s="1" t="str">
        <f>TEXT(B2,"dddd")</f>
        <v>Thursday</v>
      </c>
      <c r="I2" t="str">
        <f>IF(B2=C2,"Yes","No")</f>
        <v>No</v>
      </c>
      <c r="J2">
        <f>IF(AND(C2&lt;&gt;"",C2-B2&lt;=2),1,0)</f>
        <v>0</v>
      </c>
      <c r="K2">
        <f>IF(AND(C2&lt;&gt;"",C2-B2&gt;30),1,0)</f>
        <v>0</v>
      </c>
      <c r="L2" t="str">
        <f>IF(C2="","",C2-B2)</f>
        <v/>
      </c>
    </row>
    <row r="3" spans="1:12" ht="14.4" customHeight="1" x14ac:dyDescent="0.3">
      <c r="A3">
        <v>149713408</v>
      </c>
      <c r="B3" s="1">
        <v>44805</v>
      </c>
      <c r="C3" s="1">
        <v>44806</v>
      </c>
      <c r="D3" t="s">
        <v>8</v>
      </c>
      <c r="E3">
        <v>39</v>
      </c>
      <c r="F3" t="s">
        <v>6</v>
      </c>
      <c r="G3">
        <f t="shared" si="0"/>
        <v>1</v>
      </c>
      <c r="H3" s="1" t="str">
        <f t="shared" ref="H3:H66" si="1">TEXT(B3,"dddd")</f>
        <v>Thursday</v>
      </c>
      <c r="I3" t="str">
        <f t="shared" ref="I3:I66" si="2">IF(B3=C3,"Yes","No")</f>
        <v>No</v>
      </c>
      <c r="J3">
        <f t="shared" ref="J3:J66" si="3">IF(AND(C3&lt;&gt;"",C3-B3&lt;=2),1,0)</f>
        <v>1</v>
      </c>
      <c r="K3">
        <f t="shared" ref="K3:K66" si="4">IF(AND(C3&lt;&gt;"",C3-B3&gt;30),1,0)</f>
        <v>0</v>
      </c>
      <c r="L3">
        <f t="shared" ref="L3:L66" si="5">IF(C3="","",C3-B3)</f>
        <v>1</v>
      </c>
    </row>
    <row r="4" spans="1:12" ht="14.4" customHeight="1" x14ac:dyDescent="0.3">
      <c r="A4">
        <v>153756284</v>
      </c>
      <c r="B4" s="1">
        <v>44805</v>
      </c>
      <c r="C4" s="1">
        <v>44806</v>
      </c>
      <c r="D4" t="s">
        <v>8</v>
      </c>
      <c r="E4">
        <v>39</v>
      </c>
      <c r="F4" t="s">
        <v>6</v>
      </c>
      <c r="G4">
        <f t="shared" si="0"/>
        <v>1</v>
      </c>
      <c r="H4" s="1" t="str">
        <f t="shared" si="1"/>
        <v>Thursday</v>
      </c>
      <c r="I4" t="str">
        <f t="shared" si="2"/>
        <v>No</v>
      </c>
      <c r="J4">
        <f t="shared" si="3"/>
        <v>1</v>
      </c>
      <c r="K4">
        <f t="shared" si="4"/>
        <v>0</v>
      </c>
      <c r="L4">
        <f t="shared" si="5"/>
        <v>1</v>
      </c>
    </row>
    <row r="5" spans="1:12" ht="14.4" customHeight="1" x14ac:dyDescent="0.3">
      <c r="A5">
        <v>121253113</v>
      </c>
      <c r="B5" s="1">
        <v>44805</v>
      </c>
      <c r="C5" s="1">
        <v>44827</v>
      </c>
      <c r="D5" t="s">
        <v>7</v>
      </c>
      <c r="E5">
        <v>39</v>
      </c>
      <c r="F5" t="s">
        <v>6</v>
      </c>
      <c r="G5">
        <f t="shared" si="0"/>
        <v>22</v>
      </c>
      <c r="H5" s="1" t="str">
        <f t="shared" si="1"/>
        <v>Thursday</v>
      </c>
      <c r="I5" t="str">
        <f t="shared" si="2"/>
        <v>No</v>
      </c>
      <c r="J5">
        <f t="shared" si="3"/>
        <v>0</v>
      </c>
      <c r="K5">
        <f t="shared" si="4"/>
        <v>0</v>
      </c>
      <c r="L5">
        <f t="shared" si="5"/>
        <v>22</v>
      </c>
    </row>
    <row r="6" spans="1:12" x14ac:dyDescent="0.3">
      <c r="A6">
        <v>154467210</v>
      </c>
      <c r="B6" s="1">
        <v>44805</v>
      </c>
      <c r="C6" s="1">
        <v>45106</v>
      </c>
      <c r="D6" t="s">
        <v>7</v>
      </c>
      <c r="E6">
        <v>39</v>
      </c>
      <c r="F6" t="s">
        <v>6</v>
      </c>
      <c r="G6">
        <f t="shared" si="0"/>
        <v>301</v>
      </c>
      <c r="H6" s="1" t="str">
        <f t="shared" si="1"/>
        <v>Thursday</v>
      </c>
      <c r="I6" t="str">
        <f t="shared" si="2"/>
        <v>No</v>
      </c>
      <c r="J6">
        <f t="shared" si="3"/>
        <v>0</v>
      </c>
      <c r="K6">
        <f t="shared" si="4"/>
        <v>1</v>
      </c>
      <c r="L6">
        <f t="shared" si="5"/>
        <v>301</v>
      </c>
    </row>
    <row r="7" spans="1:12" x14ac:dyDescent="0.3">
      <c r="A7">
        <v>154510811</v>
      </c>
      <c r="B7" s="1">
        <v>44805</v>
      </c>
      <c r="C7" s="1">
        <v>45054</v>
      </c>
      <c r="D7" t="s">
        <v>7</v>
      </c>
      <c r="E7">
        <v>39</v>
      </c>
      <c r="F7" t="s">
        <v>6</v>
      </c>
      <c r="G7">
        <f t="shared" si="0"/>
        <v>249</v>
      </c>
      <c r="H7" s="1" t="str">
        <f t="shared" si="1"/>
        <v>Thursday</v>
      </c>
      <c r="I7" t="str">
        <f t="shared" si="2"/>
        <v>No</v>
      </c>
      <c r="J7">
        <f t="shared" si="3"/>
        <v>0</v>
      </c>
      <c r="K7">
        <f t="shared" si="4"/>
        <v>1</v>
      </c>
      <c r="L7">
        <f t="shared" si="5"/>
        <v>249</v>
      </c>
    </row>
    <row r="8" spans="1:12" x14ac:dyDescent="0.3">
      <c r="A8">
        <v>154494346</v>
      </c>
      <c r="B8" s="1">
        <v>44805</v>
      </c>
      <c r="C8" s="1">
        <v>44891</v>
      </c>
      <c r="D8" t="s">
        <v>7</v>
      </c>
      <c r="E8">
        <v>39</v>
      </c>
      <c r="F8" t="s">
        <v>6</v>
      </c>
      <c r="G8">
        <f t="shared" si="0"/>
        <v>86</v>
      </c>
      <c r="H8" s="1" t="str">
        <f t="shared" si="1"/>
        <v>Thursday</v>
      </c>
      <c r="I8" t="str">
        <f t="shared" si="2"/>
        <v>No</v>
      </c>
      <c r="J8">
        <f t="shared" si="3"/>
        <v>0</v>
      </c>
      <c r="K8">
        <f t="shared" si="4"/>
        <v>1</v>
      </c>
      <c r="L8">
        <f t="shared" si="5"/>
        <v>86</v>
      </c>
    </row>
    <row r="9" spans="1:12" x14ac:dyDescent="0.3">
      <c r="A9">
        <v>148671505</v>
      </c>
      <c r="B9" s="1">
        <v>44805</v>
      </c>
      <c r="C9" s="1">
        <v>44888</v>
      </c>
      <c r="D9" t="s">
        <v>7</v>
      </c>
      <c r="E9">
        <v>39</v>
      </c>
      <c r="F9" t="s">
        <v>6</v>
      </c>
      <c r="G9">
        <f t="shared" si="0"/>
        <v>83</v>
      </c>
      <c r="H9" s="1" t="str">
        <f t="shared" si="1"/>
        <v>Thursday</v>
      </c>
      <c r="I9" t="str">
        <f t="shared" si="2"/>
        <v>No</v>
      </c>
      <c r="J9">
        <f t="shared" si="3"/>
        <v>0</v>
      </c>
      <c r="K9">
        <f t="shared" si="4"/>
        <v>1</v>
      </c>
      <c r="L9">
        <f t="shared" si="5"/>
        <v>83</v>
      </c>
    </row>
    <row r="10" spans="1:12" x14ac:dyDescent="0.3">
      <c r="A10">
        <v>154568379</v>
      </c>
      <c r="B10" s="1">
        <v>44805</v>
      </c>
      <c r="C10" s="1">
        <v>44859</v>
      </c>
      <c r="D10" t="s">
        <v>7</v>
      </c>
      <c r="E10">
        <v>39</v>
      </c>
      <c r="F10" t="s">
        <v>6</v>
      </c>
      <c r="G10">
        <f t="shared" si="0"/>
        <v>54</v>
      </c>
      <c r="H10" s="1" t="str">
        <f t="shared" si="1"/>
        <v>Thursday</v>
      </c>
      <c r="I10" t="str">
        <f t="shared" si="2"/>
        <v>No</v>
      </c>
      <c r="J10">
        <f t="shared" si="3"/>
        <v>0</v>
      </c>
      <c r="K10">
        <f t="shared" si="4"/>
        <v>1</v>
      </c>
      <c r="L10">
        <f t="shared" si="5"/>
        <v>54</v>
      </c>
    </row>
    <row r="11" spans="1:12" x14ac:dyDescent="0.3">
      <c r="A11">
        <v>154428434</v>
      </c>
      <c r="B11" s="1">
        <v>44805</v>
      </c>
      <c r="C11" s="1">
        <v>44865</v>
      </c>
      <c r="D11" t="s">
        <v>7</v>
      </c>
      <c r="E11">
        <v>39</v>
      </c>
      <c r="F11" t="s">
        <v>6</v>
      </c>
      <c r="G11">
        <f t="shared" si="0"/>
        <v>60</v>
      </c>
      <c r="H11" s="1" t="str">
        <f t="shared" si="1"/>
        <v>Thursday</v>
      </c>
      <c r="I11" t="str">
        <f t="shared" si="2"/>
        <v>No</v>
      </c>
      <c r="J11">
        <f t="shared" si="3"/>
        <v>0</v>
      </c>
      <c r="K11">
        <f t="shared" si="4"/>
        <v>1</v>
      </c>
      <c r="L11">
        <f t="shared" si="5"/>
        <v>60</v>
      </c>
    </row>
    <row r="12" spans="1:12" ht="14.4" customHeight="1" x14ac:dyDescent="0.3">
      <c r="A12">
        <v>154601651</v>
      </c>
      <c r="B12" s="1">
        <v>44805</v>
      </c>
      <c r="C12" s="1">
        <v>44830</v>
      </c>
      <c r="D12" t="s">
        <v>7</v>
      </c>
      <c r="E12">
        <v>39</v>
      </c>
      <c r="F12" t="s">
        <v>6</v>
      </c>
      <c r="G12">
        <f t="shared" si="0"/>
        <v>25</v>
      </c>
      <c r="H12" s="1" t="str">
        <f t="shared" si="1"/>
        <v>Thursday</v>
      </c>
      <c r="I12" t="str">
        <f t="shared" si="2"/>
        <v>No</v>
      </c>
      <c r="J12">
        <f t="shared" si="3"/>
        <v>0</v>
      </c>
      <c r="K12">
        <f t="shared" si="4"/>
        <v>0</v>
      </c>
      <c r="L12">
        <f t="shared" si="5"/>
        <v>25</v>
      </c>
    </row>
    <row r="13" spans="1:12" ht="14.4" customHeight="1" x14ac:dyDescent="0.3">
      <c r="A13">
        <v>122824692</v>
      </c>
      <c r="B13" s="1">
        <v>44805</v>
      </c>
      <c r="C13" s="1">
        <v>44819</v>
      </c>
      <c r="D13" t="s">
        <v>7</v>
      </c>
      <c r="E13">
        <v>39</v>
      </c>
      <c r="F13" t="s">
        <v>6</v>
      </c>
      <c r="G13">
        <f t="shared" si="0"/>
        <v>14</v>
      </c>
      <c r="H13" s="1" t="str">
        <f t="shared" si="1"/>
        <v>Thursday</v>
      </c>
      <c r="I13" t="str">
        <f t="shared" si="2"/>
        <v>No</v>
      </c>
      <c r="J13">
        <f t="shared" si="3"/>
        <v>0</v>
      </c>
      <c r="K13">
        <f t="shared" si="4"/>
        <v>0</v>
      </c>
      <c r="L13">
        <f t="shared" si="5"/>
        <v>14</v>
      </c>
    </row>
    <row r="14" spans="1:12" ht="14.4" customHeight="1" x14ac:dyDescent="0.3">
      <c r="A14">
        <v>152925600</v>
      </c>
      <c r="B14" s="1">
        <v>44806</v>
      </c>
      <c r="D14" t="s">
        <v>7</v>
      </c>
      <c r="E14">
        <v>39</v>
      </c>
      <c r="F14" t="s">
        <v>6</v>
      </c>
      <c r="G14" t="str">
        <f t="shared" si="0"/>
        <v/>
      </c>
      <c r="H14" s="1" t="str">
        <f t="shared" si="1"/>
        <v>Friday</v>
      </c>
      <c r="I14" t="str">
        <f t="shared" si="2"/>
        <v>No</v>
      </c>
      <c r="J14">
        <f t="shared" si="3"/>
        <v>0</v>
      </c>
      <c r="K14">
        <f t="shared" si="4"/>
        <v>0</v>
      </c>
      <c r="L14" t="str">
        <f t="shared" si="5"/>
        <v/>
      </c>
    </row>
    <row r="15" spans="1:12" ht="14.4" customHeight="1" x14ac:dyDescent="0.3">
      <c r="A15">
        <v>151154171</v>
      </c>
      <c r="B15" s="1">
        <v>44806</v>
      </c>
      <c r="C15" s="1">
        <v>44806</v>
      </c>
      <c r="D15" t="s">
        <v>7</v>
      </c>
      <c r="E15">
        <v>39</v>
      </c>
      <c r="F15" t="s">
        <v>6</v>
      </c>
      <c r="G15">
        <f t="shared" si="0"/>
        <v>0</v>
      </c>
      <c r="H15" s="1" t="str">
        <f t="shared" si="1"/>
        <v>Friday</v>
      </c>
      <c r="I15" t="str">
        <f t="shared" si="2"/>
        <v>Yes</v>
      </c>
      <c r="J15">
        <f t="shared" si="3"/>
        <v>1</v>
      </c>
      <c r="K15">
        <f t="shared" si="4"/>
        <v>0</v>
      </c>
      <c r="L15">
        <f t="shared" si="5"/>
        <v>0</v>
      </c>
    </row>
    <row r="16" spans="1:12" x14ac:dyDescent="0.3">
      <c r="A16">
        <v>154640950</v>
      </c>
      <c r="B16" s="1">
        <v>44806</v>
      </c>
      <c r="C16" s="1">
        <v>44904</v>
      </c>
      <c r="D16" t="s">
        <v>7</v>
      </c>
      <c r="E16">
        <v>39</v>
      </c>
      <c r="F16" t="s">
        <v>6</v>
      </c>
      <c r="G16">
        <f t="shared" si="0"/>
        <v>98</v>
      </c>
      <c r="H16" s="1" t="str">
        <f t="shared" si="1"/>
        <v>Friday</v>
      </c>
      <c r="I16" t="str">
        <f t="shared" si="2"/>
        <v>No</v>
      </c>
      <c r="J16">
        <f t="shared" si="3"/>
        <v>0</v>
      </c>
      <c r="K16">
        <f t="shared" si="4"/>
        <v>1</v>
      </c>
      <c r="L16">
        <f t="shared" si="5"/>
        <v>98</v>
      </c>
    </row>
    <row r="17" spans="1:12" x14ac:dyDescent="0.3">
      <c r="A17">
        <v>154617329</v>
      </c>
      <c r="B17" s="1">
        <v>44806</v>
      </c>
      <c r="C17" s="1">
        <v>44861</v>
      </c>
      <c r="D17" t="s">
        <v>7</v>
      </c>
      <c r="E17">
        <v>39</v>
      </c>
      <c r="F17" t="s">
        <v>6</v>
      </c>
      <c r="G17">
        <f t="shared" si="0"/>
        <v>55</v>
      </c>
      <c r="H17" s="1" t="str">
        <f t="shared" si="1"/>
        <v>Friday</v>
      </c>
      <c r="I17" t="str">
        <f t="shared" si="2"/>
        <v>No</v>
      </c>
      <c r="J17">
        <f t="shared" si="3"/>
        <v>0</v>
      </c>
      <c r="K17">
        <f t="shared" si="4"/>
        <v>1</v>
      </c>
      <c r="L17">
        <f t="shared" si="5"/>
        <v>55</v>
      </c>
    </row>
    <row r="18" spans="1:12" x14ac:dyDescent="0.3">
      <c r="A18">
        <v>154089211</v>
      </c>
      <c r="B18" s="1">
        <v>44806</v>
      </c>
      <c r="C18" s="1">
        <v>44843</v>
      </c>
      <c r="D18" t="s">
        <v>7</v>
      </c>
      <c r="E18">
        <v>39</v>
      </c>
      <c r="F18" t="s">
        <v>6</v>
      </c>
      <c r="G18">
        <f t="shared" si="0"/>
        <v>37</v>
      </c>
      <c r="H18" s="1" t="str">
        <f t="shared" si="1"/>
        <v>Friday</v>
      </c>
      <c r="I18" t="str">
        <f t="shared" si="2"/>
        <v>No</v>
      </c>
      <c r="J18">
        <f t="shared" si="3"/>
        <v>0</v>
      </c>
      <c r="K18">
        <f t="shared" si="4"/>
        <v>1</v>
      </c>
      <c r="L18">
        <f t="shared" si="5"/>
        <v>37</v>
      </c>
    </row>
    <row r="19" spans="1:12" ht="14.4" customHeight="1" x14ac:dyDescent="0.3">
      <c r="A19">
        <v>154653820</v>
      </c>
      <c r="B19" s="1">
        <v>44806</v>
      </c>
      <c r="C19" s="1">
        <v>44830</v>
      </c>
      <c r="D19" t="s">
        <v>7</v>
      </c>
      <c r="E19">
        <v>39</v>
      </c>
      <c r="F19" t="s">
        <v>6</v>
      </c>
      <c r="G19">
        <f t="shared" si="0"/>
        <v>24</v>
      </c>
      <c r="H19" s="1" t="str">
        <f t="shared" si="1"/>
        <v>Friday</v>
      </c>
      <c r="I19" t="str">
        <f t="shared" si="2"/>
        <v>No</v>
      </c>
      <c r="J19">
        <f t="shared" si="3"/>
        <v>0</v>
      </c>
      <c r="K19">
        <f t="shared" si="4"/>
        <v>0</v>
      </c>
      <c r="L19">
        <f t="shared" si="5"/>
        <v>24</v>
      </c>
    </row>
    <row r="20" spans="1:12" ht="14.4" customHeight="1" x14ac:dyDescent="0.3">
      <c r="A20">
        <v>154131290</v>
      </c>
      <c r="B20" s="1">
        <v>44807</v>
      </c>
      <c r="D20" t="s">
        <v>7</v>
      </c>
      <c r="E20">
        <v>39</v>
      </c>
      <c r="F20" t="s">
        <v>6</v>
      </c>
      <c r="G20" t="str">
        <f t="shared" si="0"/>
        <v/>
      </c>
      <c r="H20" s="1" t="str">
        <f t="shared" si="1"/>
        <v>Saturday</v>
      </c>
      <c r="I20" t="str">
        <f t="shared" si="2"/>
        <v>No</v>
      </c>
      <c r="J20">
        <f t="shared" si="3"/>
        <v>0</v>
      </c>
      <c r="K20">
        <f t="shared" si="4"/>
        <v>0</v>
      </c>
      <c r="L20" t="str">
        <f t="shared" si="5"/>
        <v/>
      </c>
    </row>
    <row r="21" spans="1:12" ht="14.4" customHeight="1" x14ac:dyDescent="0.3">
      <c r="A21">
        <v>154434009</v>
      </c>
      <c r="B21" s="1">
        <v>44807</v>
      </c>
      <c r="D21" t="s">
        <v>7</v>
      </c>
      <c r="E21">
        <v>39</v>
      </c>
      <c r="F21" t="s">
        <v>6</v>
      </c>
      <c r="G21" t="str">
        <f t="shared" si="0"/>
        <v/>
      </c>
      <c r="H21" s="1" t="str">
        <f t="shared" si="1"/>
        <v>Saturday</v>
      </c>
      <c r="I21" t="str">
        <f t="shared" si="2"/>
        <v>No</v>
      </c>
      <c r="J21">
        <f t="shared" si="3"/>
        <v>0</v>
      </c>
      <c r="K21">
        <f t="shared" si="4"/>
        <v>0</v>
      </c>
      <c r="L21" t="str">
        <f t="shared" si="5"/>
        <v/>
      </c>
    </row>
    <row r="22" spans="1:12" ht="14.4" customHeight="1" x14ac:dyDescent="0.3">
      <c r="A22">
        <v>136108848</v>
      </c>
      <c r="B22" s="1">
        <v>44807</v>
      </c>
      <c r="C22" s="1">
        <v>44808</v>
      </c>
      <c r="D22" t="s">
        <v>7</v>
      </c>
      <c r="E22">
        <v>39</v>
      </c>
      <c r="F22" t="s">
        <v>6</v>
      </c>
      <c r="G22">
        <f t="shared" si="0"/>
        <v>1</v>
      </c>
      <c r="H22" s="1" t="str">
        <f t="shared" si="1"/>
        <v>Saturday</v>
      </c>
      <c r="I22" t="str">
        <f t="shared" si="2"/>
        <v>No</v>
      </c>
      <c r="J22">
        <f t="shared" si="3"/>
        <v>1</v>
      </c>
      <c r="K22">
        <f t="shared" si="4"/>
        <v>0</v>
      </c>
      <c r="L22">
        <f t="shared" si="5"/>
        <v>1</v>
      </c>
    </row>
    <row r="23" spans="1:12" x14ac:dyDescent="0.3">
      <c r="A23">
        <v>135185873</v>
      </c>
      <c r="B23" s="1">
        <v>44807</v>
      </c>
      <c r="C23" s="1">
        <v>45056</v>
      </c>
      <c r="D23" t="s">
        <v>7</v>
      </c>
      <c r="E23">
        <v>39</v>
      </c>
      <c r="F23" t="s">
        <v>6</v>
      </c>
      <c r="G23">
        <f t="shared" si="0"/>
        <v>249</v>
      </c>
      <c r="H23" s="1" t="str">
        <f t="shared" si="1"/>
        <v>Saturday</v>
      </c>
      <c r="I23" t="str">
        <f t="shared" si="2"/>
        <v>No</v>
      </c>
      <c r="J23">
        <f t="shared" si="3"/>
        <v>0</v>
      </c>
      <c r="K23">
        <f t="shared" si="4"/>
        <v>1</v>
      </c>
      <c r="L23">
        <f t="shared" si="5"/>
        <v>249</v>
      </c>
    </row>
    <row r="24" spans="1:12" x14ac:dyDescent="0.3">
      <c r="A24">
        <v>154592664</v>
      </c>
      <c r="B24" s="1">
        <v>44807</v>
      </c>
      <c r="C24" s="1">
        <v>45017</v>
      </c>
      <c r="D24" t="s">
        <v>7</v>
      </c>
      <c r="E24">
        <v>39</v>
      </c>
      <c r="F24" t="s">
        <v>6</v>
      </c>
      <c r="G24">
        <f t="shared" si="0"/>
        <v>210</v>
      </c>
      <c r="H24" s="1" t="str">
        <f t="shared" si="1"/>
        <v>Saturday</v>
      </c>
      <c r="I24" t="str">
        <f t="shared" si="2"/>
        <v>No</v>
      </c>
      <c r="J24">
        <f t="shared" si="3"/>
        <v>0</v>
      </c>
      <c r="K24">
        <f t="shared" si="4"/>
        <v>1</v>
      </c>
      <c r="L24">
        <f t="shared" si="5"/>
        <v>210</v>
      </c>
    </row>
    <row r="25" spans="1:12" x14ac:dyDescent="0.3">
      <c r="A25">
        <v>119436804</v>
      </c>
      <c r="B25" s="1">
        <v>44807</v>
      </c>
      <c r="C25" s="1">
        <v>45026</v>
      </c>
      <c r="D25" t="s">
        <v>7</v>
      </c>
      <c r="E25">
        <v>39</v>
      </c>
      <c r="F25" t="s">
        <v>6</v>
      </c>
      <c r="G25">
        <f t="shared" si="0"/>
        <v>219</v>
      </c>
      <c r="H25" s="1" t="str">
        <f t="shared" si="1"/>
        <v>Saturday</v>
      </c>
      <c r="I25" t="str">
        <f t="shared" si="2"/>
        <v>No</v>
      </c>
      <c r="J25">
        <f t="shared" si="3"/>
        <v>0</v>
      </c>
      <c r="K25">
        <f t="shared" si="4"/>
        <v>1</v>
      </c>
      <c r="L25">
        <f t="shared" si="5"/>
        <v>219</v>
      </c>
    </row>
    <row r="26" spans="1:12" x14ac:dyDescent="0.3">
      <c r="A26">
        <v>152929657</v>
      </c>
      <c r="B26" s="1">
        <v>44807</v>
      </c>
      <c r="C26" s="1">
        <v>44888</v>
      </c>
      <c r="D26" t="s">
        <v>7</v>
      </c>
      <c r="E26">
        <v>39</v>
      </c>
      <c r="F26" t="s">
        <v>6</v>
      </c>
      <c r="G26">
        <f t="shared" si="0"/>
        <v>81</v>
      </c>
      <c r="H26" s="1" t="str">
        <f t="shared" si="1"/>
        <v>Saturday</v>
      </c>
      <c r="I26" t="str">
        <f t="shared" si="2"/>
        <v>No</v>
      </c>
      <c r="J26">
        <f t="shared" si="3"/>
        <v>0</v>
      </c>
      <c r="K26">
        <f t="shared" si="4"/>
        <v>1</v>
      </c>
      <c r="L26">
        <f t="shared" si="5"/>
        <v>81</v>
      </c>
    </row>
    <row r="27" spans="1:12" x14ac:dyDescent="0.3">
      <c r="A27">
        <v>154708974</v>
      </c>
      <c r="B27" s="1">
        <v>44807</v>
      </c>
      <c r="C27" s="1">
        <v>44852</v>
      </c>
      <c r="D27" t="s">
        <v>7</v>
      </c>
      <c r="E27">
        <v>39</v>
      </c>
      <c r="F27" t="s">
        <v>6</v>
      </c>
      <c r="G27">
        <f t="shared" si="0"/>
        <v>45</v>
      </c>
      <c r="H27" s="1" t="str">
        <f t="shared" si="1"/>
        <v>Saturday</v>
      </c>
      <c r="I27" t="str">
        <f t="shared" si="2"/>
        <v>No</v>
      </c>
      <c r="J27">
        <f t="shared" si="3"/>
        <v>0</v>
      </c>
      <c r="K27">
        <f t="shared" si="4"/>
        <v>1</v>
      </c>
      <c r="L27">
        <f t="shared" si="5"/>
        <v>45</v>
      </c>
    </row>
    <row r="28" spans="1:12" ht="14.4" customHeight="1" x14ac:dyDescent="0.3">
      <c r="A28">
        <v>154567722</v>
      </c>
      <c r="B28" s="1">
        <v>44807</v>
      </c>
      <c r="C28" s="1">
        <v>44833</v>
      </c>
      <c r="D28" t="s">
        <v>7</v>
      </c>
      <c r="E28">
        <v>39</v>
      </c>
      <c r="F28" t="s">
        <v>6</v>
      </c>
      <c r="G28">
        <f t="shared" si="0"/>
        <v>26</v>
      </c>
      <c r="H28" s="1" t="str">
        <f t="shared" si="1"/>
        <v>Saturday</v>
      </c>
      <c r="I28" t="str">
        <f t="shared" si="2"/>
        <v>No</v>
      </c>
      <c r="J28">
        <f t="shared" si="3"/>
        <v>0</v>
      </c>
      <c r="K28">
        <f t="shared" si="4"/>
        <v>0</v>
      </c>
      <c r="L28">
        <f t="shared" si="5"/>
        <v>26</v>
      </c>
    </row>
    <row r="29" spans="1:12" ht="14.4" customHeight="1" x14ac:dyDescent="0.3">
      <c r="A29">
        <v>154719788</v>
      </c>
      <c r="B29" s="1">
        <v>44807</v>
      </c>
      <c r="C29" s="1">
        <v>44829</v>
      </c>
      <c r="D29" t="s">
        <v>7</v>
      </c>
      <c r="E29">
        <v>39</v>
      </c>
      <c r="F29" t="s">
        <v>6</v>
      </c>
      <c r="G29">
        <f t="shared" si="0"/>
        <v>22</v>
      </c>
      <c r="H29" s="1" t="str">
        <f t="shared" si="1"/>
        <v>Saturday</v>
      </c>
      <c r="I29" t="str">
        <f t="shared" si="2"/>
        <v>No</v>
      </c>
      <c r="J29">
        <f t="shared" si="3"/>
        <v>0</v>
      </c>
      <c r="K29">
        <f t="shared" si="4"/>
        <v>0</v>
      </c>
      <c r="L29">
        <f t="shared" si="5"/>
        <v>22</v>
      </c>
    </row>
    <row r="30" spans="1:12" ht="14.4" customHeight="1" x14ac:dyDescent="0.3">
      <c r="A30">
        <v>154809306</v>
      </c>
      <c r="B30" s="1">
        <v>44808</v>
      </c>
      <c r="C30" s="1">
        <v>44809</v>
      </c>
      <c r="D30" t="s">
        <v>7</v>
      </c>
      <c r="E30">
        <v>39</v>
      </c>
      <c r="F30" t="s">
        <v>6</v>
      </c>
      <c r="G30">
        <f t="shared" si="0"/>
        <v>1</v>
      </c>
      <c r="H30" s="1" t="str">
        <f t="shared" si="1"/>
        <v>Sunday</v>
      </c>
      <c r="I30" t="str">
        <f t="shared" si="2"/>
        <v>No</v>
      </c>
      <c r="J30">
        <f t="shared" si="3"/>
        <v>1</v>
      </c>
      <c r="K30">
        <f t="shared" si="4"/>
        <v>0</v>
      </c>
      <c r="L30">
        <f t="shared" si="5"/>
        <v>1</v>
      </c>
    </row>
    <row r="31" spans="1:12" x14ac:dyDescent="0.3">
      <c r="A31">
        <v>140391539</v>
      </c>
      <c r="B31" s="1">
        <v>44808</v>
      </c>
      <c r="C31" s="1">
        <v>45021</v>
      </c>
      <c r="D31" t="s">
        <v>7</v>
      </c>
      <c r="E31">
        <v>39</v>
      </c>
      <c r="F31" t="s">
        <v>6</v>
      </c>
      <c r="G31">
        <f t="shared" si="0"/>
        <v>213</v>
      </c>
      <c r="H31" s="1" t="str">
        <f t="shared" si="1"/>
        <v>Sunday</v>
      </c>
      <c r="I31" t="str">
        <f t="shared" si="2"/>
        <v>No</v>
      </c>
      <c r="J31">
        <f t="shared" si="3"/>
        <v>0</v>
      </c>
      <c r="K31">
        <f t="shared" si="4"/>
        <v>1</v>
      </c>
      <c r="L31">
        <f t="shared" si="5"/>
        <v>213</v>
      </c>
    </row>
    <row r="32" spans="1:12" x14ac:dyDescent="0.3">
      <c r="A32">
        <v>153194806</v>
      </c>
      <c r="B32" s="1">
        <v>44808</v>
      </c>
      <c r="C32" s="1">
        <v>45032</v>
      </c>
      <c r="D32" t="s">
        <v>7</v>
      </c>
      <c r="E32">
        <v>39</v>
      </c>
      <c r="F32" t="s">
        <v>6</v>
      </c>
      <c r="G32">
        <f t="shared" si="0"/>
        <v>224</v>
      </c>
      <c r="H32" s="1" t="str">
        <f t="shared" si="1"/>
        <v>Sunday</v>
      </c>
      <c r="I32" t="str">
        <f t="shared" si="2"/>
        <v>No</v>
      </c>
      <c r="J32">
        <f t="shared" si="3"/>
        <v>0</v>
      </c>
      <c r="K32">
        <f t="shared" si="4"/>
        <v>1</v>
      </c>
      <c r="L32">
        <f t="shared" si="5"/>
        <v>224</v>
      </c>
    </row>
    <row r="33" spans="1:12" ht="14.4" customHeight="1" x14ac:dyDescent="0.3">
      <c r="A33">
        <v>144402204</v>
      </c>
      <c r="B33" s="1">
        <v>44808</v>
      </c>
      <c r="C33" s="1">
        <v>44826</v>
      </c>
      <c r="D33" t="s">
        <v>7</v>
      </c>
      <c r="E33">
        <v>39</v>
      </c>
      <c r="F33" t="s">
        <v>6</v>
      </c>
      <c r="G33">
        <f t="shared" si="0"/>
        <v>18</v>
      </c>
      <c r="H33" s="1" t="str">
        <f t="shared" si="1"/>
        <v>Sunday</v>
      </c>
      <c r="I33" t="str">
        <f t="shared" si="2"/>
        <v>No</v>
      </c>
      <c r="J33">
        <f t="shared" si="3"/>
        <v>0</v>
      </c>
      <c r="K33">
        <f t="shared" si="4"/>
        <v>0</v>
      </c>
      <c r="L33">
        <f t="shared" si="5"/>
        <v>18</v>
      </c>
    </row>
    <row r="34" spans="1:12" x14ac:dyDescent="0.3">
      <c r="A34">
        <v>154747678</v>
      </c>
      <c r="B34" s="1">
        <v>44808</v>
      </c>
      <c r="C34" s="1">
        <v>44941</v>
      </c>
      <c r="D34" t="s">
        <v>7</v>
      </c>
      <c r="E34">
        <v>39</v>
      </c>
      <c r="F34" t="s">
        <v>6</v>
      </c>
      <c r="G34">
        <f t="shared" si="0"/>
        <v>133</v>
      </c>
      <c r="H34" s="1" t="str">
        <f t="shared" si="1"/>
        <v>Sunday</v>
      </c>
      <c r="I34" t="str">
        <f t="shared" si="2"/>
        <v>No</v>
      </c>
      <c r="J34">
        <f t="shared" si="3"/>
        <v>0</v>
      </c>
      <c r="K34">
        <f t="shared" si="4"/>
        <v>1</v>
      </c>
      <c r="L34">
        <f t="shared" si="5"/>
        <v>133</v>
      </c>
    </row>
    <row r="35" spans="1:12" x14ac:dyDescent="0.3">
      <c r="A35">
        <v>130939158</v>
      </c>
      <c r="B35" s="1">
        <v>44808</v>
      </c>
      <c r="C35" s="1">
        <v>44976</v>
      </c>
      <c r="D35" t="s">
        <v>7</v>
      </c>
      <c r="E35">
        <v>39</v>
      </c>
      <c r="F35" t="s">
        <v>6</v>
      </c>
      <c r="G35">
        <f t="shared" si="0"/>
        <v>168</v>
      </c>
      <c r="H35" s="1" t="str">
        <f t="shared" si="1"/>
        <v>Sunday</v>
      </c>
      <c r="I35" t="str">
        <f t="shared" si="2"/>
        <v>No</v>
      </c>
      <c r="J35">
        <f t="shared" si="3"/>
        <v>0</v>
      </c>
      <c r="K35">
        <f t="shared" si="4"/>
        <v>1</v>
      </c>
      <c r="L35">
        <f t="shared" si="5"/>
        <v>168</v>
      </c>
    </row>
    <row r="36" spans="1:12" x14ac:dyDescent="0.3">
      <c r="A36">
        <v>150912359</v>
      </c>
      <c r="B36" s="1">
        <v>44808</v>
      </c>
      <c r="C36" s="1">
        <v>44867</v>
      </c>
      <c r="D36" t="s">
        <v>7</v>
      </c>
      <c r="E36">
        <v>39</v>
      </c>
      <c r="F36" t="s">
        <v>6</v>
      </c>
      <c r="G36">
        <f t="shared" si="0"/>
        <v>59</v>
      </c>
      <c r="H36" s="1" t="str">
        <f t="shared" si="1"/>
        <v>Sunday</v>
      </c>
      <c r="I36" t="str">
        <f t="shared" si="2"/>
        <v>No</v>
      </c>
      <c r="J36">
        <f t="shared" si="3"/>
        <v>0</v>
      </c>
      <c r="K36">
        <f t="shared" si="4"/>
        <v>1</v>
      </c>
      <c r="L36">
        <f t="shared" si="5"/>
        <v>59</v>
      </c>
    </row>
    <row r="37" spans="1:12" x14ac:dyDescent="0.3">
      <c r="A37">
        <v>154132592</v>
      </c>
      <c r="B37" s="1">
        <v>44808</v>
      </c>
      <c r="C37" s="1">
        <v>44866</v>
      </c>
      <c r="D37" t="s">
        <v>7</v>
      </c>
      <c r="E37">
        <v>39</v>
      </c>
      <c r="F37" t="s">
        <v>6</v>
      </c>
      <c r="G37">
        <f t="shared" si="0"/>
        <v>58</v>
      </c>
      <c r="H37" s="1" t="str">
        <f t="shared" si="1"/>
        <v>Sunday</v>
      </c>
      <c r="I37" t="str">
        <f t="shared" si="2"/>
        <v>No</v>
      </c>
      <c r="J37">
        <f t="shared" si="3"/>
        <v>0</v>
      </c>
      <c r="K37">
        <f t="shared" si="4"/>
        <v>1</v>
      </c>
      <c r="L37">
        <f t="shared" si="5"/>
        <v>58</v>
      </c>
    </row>
    <row r="38" spans="1:12" x14ac:dyDescent="0.3">
      <c r="A38">
        <v>153368891</v>
      </c>
      <c r="B38" s="1">
        <v>44808</v>
      </c>
      <c r="C38" s="1">
        <v>44845</v>
      </c>
      <c r="D38" t="s">
        <v>7</v>
      </c>
      <c r="E38">
        <v>39</v>
      </c>
      <c r="F38" t="s">
        <v>6</v>
      </c>
      <c r="G38">
        <f t="shared" si="0"/>
        <v>37</v>
      </c>
      <c r="H38" s="1" t="str">
        <f t="shared" si="1"/>
        <v>Sunday</v>
      </c>
      <c r="I38" t="str">
        <f t="shared" si="2"/>
        <v>No</v>
      </c>
      <c r="J38">
        <f t="shared" si="3"/>
        <v>0</v>
      </c>
      <c r="K38">
        <f t="shared" si="4"/>
        <v>1</v>
      </c>
      <c r="L38">
        <f t="shared" si="5"/>
        <v>37</v>
      </c>
    </row>
    <row r="39" spans="1:12" ht="14.4" customHeight="1" x14ac:dyDescent="0.3">
      <c r="A39">
        <v>154225450</v>
      </c>
      <c r="B39" s="1">
        <v>44809</v>
      </c>
      <c r="D39" t="s">
        <v>7</v>
      </c>
      <c r="E39">
        <v>39</v>
      </c>
      <c r="F39" t="s">
        <v>6</v>
      </c>
      <c r="G39" t="str">
        <f t="shared" si="0"/>
        <v/>
      </c>
      <c r="H39" s="1" t="str">
        <f t="shared" si="1"/>
        <v>Monday</v>
      </c>
      <c r="I39" t="str">
        <f t="shared" si="2"/>
        <v>No</v>
      </c>
      <c r="J39">
        <f t="shared" si="3"/>
        <v>0</v>
      </c>
      <c r="K39">
        <f t="shared" si="4"/>
        <v>0</v>
      </c>
      <c r="L39" t="str">
        <f t="shared" si="5"/>
        <v/>
      </c>
    </row>
    <row r="40" spans="1:12" ht="14.4" customHeight="1" x14ac:dyDescent="0.3">
      <c r="A40">
        <v>154904040</v>
      </c>
      <c r="B40" s="1">
        <v>44809</v>
      </c>
      <c r="C40" s="1">
        <v>44810</v>
      </c>
      <c r="D40" t="s">
        <v>7</v>
      </c>
      <c r="E40">
        <v>39</v>
      </c>
      <c r="F40" t="s">
        <v>6</v>
      </c>
      <c r="G40">
        <f t="shared" si="0"/>
        <v>1</v>
      </c>
      <c r="H40" s="1" t="str">
        <f t="shared" si="1"/>
        <v>Monday</v>
      </c>
      <c r="I40" t="str">
        <f t="shared" si="2"/>
        <v>No</v>
      </c>
      <c r="J40">
        <f t="shared" si="3"/>
        <v>1</v>
      </c>
      <c r="K40">
        <f t="shared" si="4"/>
        <v>0</v>
      </c>
      <c r="L40">
        <f t="shared" si="5"/>
        <v>1</v>
      </c>
    </row>
    <row r="41" spans="1:12" x14ac:dyDescent="0.3">
      <c r="A41">
        <v>127604200</v>
      </c>
      <c r="B41" s="1">
        <v>44809</v>
      </c>
      <c r="C41" s="1">
        <v>44840</v>
      </c>
      <c r="D41" t="s">
        <v>7</v>
      </c>
      <c r="E41">
        <v>39</v>
      </c>
      <c r="F41" t="s">
        <v>6</v>
      </c>
      <c r="G41">
        <f t="shared" si="0"/>
        <v>31</v>
      </c>
      <c r="H41" s="1" t="str">
        <f t="shared" si="1"/>
        <v>Monday</v>
      </c>
      <c r="I41" t="str">
        <f t="shared" si="2"/>
        <v>No</v>
      </c>
      <c r="J41">
        <f t="shared" si="3"/>
        <v>0</v>
      </c>
      <c r="K41">
        <f t="shared" si="4"/>
        <v>1</v>
      </c>
      <c r="L41">
        <f t="shared" si="5"/>
        <v>31</v>
      </c>
    </row>
    <row r="42" spans="1:12" x14ac:dyDescent="0.3">
      <c r="A42">
        <v>154913576</v>
      </c>
      <c r="B42" s="1">
        <v>44809</v>
      </c>
      <c r="C42" s="1">
        <v>44998</v>
      </c>
      <c r="D42" t="s">
        <v>7</v>
      </c>
      <c r="E42">
        <v>39</v>
      </c>
      <c r="F42" t="s">
        <v>6</v>
      </c>
      <c r="G42">
        <f t="shared" si="0"/>
        <v>189</v>
      </c>
      <c r="H42" s="1" t="str">
        <f t="shared" si="1"/>
        <v>Monday</v>
      </c>
      <c r="I42" t="str">
        <f t="shared" si="2"/>
        <v>No</v>
      </c>
      <c r="J42">
        <f t="shared" si="3"/>
        <v>0</v>
      </c>
      <c r="K42">
        <f t="shared" si="4"/>
        <v>1</v>
      </c>
      <c r="L42">
        <f t="shared" si="5"/>
        <v>189</v>
      </c>
    </row>
    <row r="43" spans="1:12" x14ac:dyDescent="0.3">
      <c r="A43">
        <v>154910432</v>
      </c>
      <c r="B43" s="1">
        <v>44809</v>
      </c>
      <c r="C43" s="1">
        <v>44998</v>
      </c>
      <c r="D43" t="s">
        <v>7</v>
      </c>
      <c r="E43">
        <v>39</v>
      </c>
      <c r="F43" t="s">
        <v>6</v>
      </c>
      <c r="G43">
        <f t="shared" si="0"/>
        <v>189</v>
      </c>
      <c r="H43" s="1" t="str">
        <f t="shared" si="1"/>
        <v>Monday</v>
      </c>
      <c r="I43" t="str">
        <f t="shared" si="2"/>
        <v>No</v>
      </c>
      <c r="J43">
        <f t="shared" si="3"/>
        <v>0</v>
      </c>
      <c r="K43">
        <f t="shared" si="4"/>
        <v>1</v>
      </c>
      <c r="L43">
        <f t="shared" si="5"/>
        <v>189</v>
      </c>
    </row>
    <row r="44" spans="1:12" x14ac:dyDescent="0.3">
      <c r="A44">
        <v>154911229</v>
      </c>
      <c r="B44" s="1">
        <v>44809</v>
      </c>
      <c r="C44" s="1">
        <v>44997</v>
      </c>
      <c r="D44" t="s">
        <v>7</v>
      </c>
      <c r="E44">
        <v>39</v>
      </c>
      <c r="F44" t="s">
        <v>6</v>
      </c>
      <c r="G44">
        <f t="shared" si="0"/>
        <v>188</v>
      </c>
      <c r="H44" s="1" t="str">
        <f t="shared" si="1"/>
        <v>Monday</v>
      </c>
      <c r="I44" t="str">
        <f t="shared" si="2"/>
        <v>No</v>
      </c>
      <c r="J44">
        <f t="shared" si="3"/>
        <v>0</v>
      </c>
      <c r="K44">
        <f t="shared" si="4"/>
        <v>1</v>
      </c>
      <c r="L44">
        <f t="shared" si="5"/>
        <v>188</v>
      </c>
    </row>
    <row r="45" spans="1:12" x14ac:dyDescent="0.3">
      <c r="A45">
        <v>154518837</v>
      </c>
      <c r="B45" s="1">
        <v>44809</v>
      </c>
      <c r="C45" s="1">
        <v>44929</v>
      </c>
      <c r="D45" t="s">
        <v>7</v>
      </c>
      <c r="E45">
        <v>39</v>
      </c>
      <c r="F45" t="s">
        <v>6</v>
      </c>
      <c r="G45">
        <f t="shared" si="0"/>
        <v>120</v>
      </c>
      <c r="H45" s="1" t="str">
        <f t="shared" si="1"/>
        <v>Monday</v>
      </c>
      <c r="I45" t="str">
        <f t="shared" si="2"/>
        <v>No</v>
      </c>
      <c r="J45">
        <f t="shared" si="3"/>
        <v>0</v>
      </c>
      <c r="K45">
        <f t="shared" si="4"/>
        <v>1</v>
      </c>
      <c r="L45">
        <f t="shared" si="5"/>
        <v>120</v>
      </c>
    </row>
    <row r="46" spans="1:12" x14ac:dyDescent="0.3">
      <c r="A46">
        <v>154910009</v>
      </c>
      <c r="B46" s="1">
        <v>44809</v>
      </c>
      <c r="C46" s="1">
        <v>44965</v>
      </c>
      <c r="D46" t="s">
        <v>7</v>
      </c>
      <c r="E46">
        <v>39</v>
      </c>
      <c r="F46" t="s">
        <v>6</v>
      </c>
      <c r="G46">
        <f t="shared" si="0"/>
        <v>156</v>
      </c>
      <c r="H46" s="1" t="str">
        <f t="shared" si="1"/>
        <v>Monday</v>
      </c>
      <c r="I46" t="str">
        <f t="shared" si="2"/>
        <v>No</v>
      </c>
      <c r="J46">
        <f t="shared" si="3"/>
        <v>0</v>
      </c>
      <c r="K46">
        <f t="shared" si="4"/>
        <v>1</v>
      </c>
      <c r="L46">
        <f t="shared" si="5"/>
        <v>156</v>
      </c>
    </row>
    <row r="47" spans="1:12" x14ac:dyDescent="0.3">
      <c r="A47">
        <v>154911693</v>
      </c>
      <c r="B47" s="1">
        <v>44809</v>
      </c>
      <c r="C47" s="1">
        <v>44965</v>
      </c>
      <c r="D47" t="s">
        <v>7</v>
      </c>
      <c r="E47">
        <v>39</v>
      </c>
      <c r="F47" t="s">
        <v>6</v>
      </c>
      <c r="G47">
        <f t="shared" si="0"/>
        <v>156</v>
      </c>
      <c r="H47" s="1" t="str">
        <f t="shared" si="1"/>
        <v>Monday</v>
      </c>
      <c r="I47" t="str">
        <f t="shared" si="2"/>
        <v>No</v>
      </c>
      <c r="J47">
        <f t="shared" si="3"/>
        <v>0</v>
      </c>
      <c r="K47">
        <f t="shared" si="4"/>
        <v>1</v>
      </c>
      <c r="L47">
        <f t="shared" si="5"/>
        <v>156</v>
      </c>
    </row>
    <row r="48" spans="1:12" x14ac:dyDescent="0.3">
      <c r="A48">
        <v>154894177</v>
      </c>
      <c r="B48" s="1">
        <v>44809</v>
      </c>
      <c r="C48" s="1">
        <v>44907</v>
      </c>
      <c r="D48" t="s">
        <v>7</v>
      </c>
      <c r="E48">
        <v>39</v>
      </c>
      <c r="F48" t="s">
        <v>6</v>
      </c>
      <c r="G48">
        <f t="shared" si="0"/>
        <v>98</v>
      </c>
      <c r="H48" s="1" t="str">
        <f t="shared" si="1"/>
        <v>Monday</v>
      </c>
      <c r="I48" t="str">
        <f t="shared" si="2"/>
        <v>No</v>
      </c>
      <c r="J48">
        <f t="shared" si="3"/>
        <v>0</v>
      </c>
      <c r="K48">
        <f t="shared" si="4"/>
        <v>1</v>
      </c>
      <c r="L48">
        <f t="shared" si="5"/>
        <v>98</v>
      </c>
    </row>
    <row r="49" spans="1:12" x14ac:dyDescent="0.3">
      <c r="A49">
        <v>154494026</v>
      </c>
      <c r="B49" s="1">
        <v>44809</v>
      </c>
      <c r="C49" s="1">
        <v>44907</v>
      </c>
      <c r="D49" t="s">
        <v>7</v>
      </c>
      <c r="E49">
        <v>39</v>
      </c>
      <c r="F49" t="s">
        <v>6</v>
      </c>
      <c r="G49">
        <f t="shared" si="0"/>
        <v>98</v>
      </c>
      <c r="H49" s="1" t="str">
        <f t="shared" si="1"/>
        <v>Monday</v>
      </c>
      <c r="I49" t="str">
        <f t="shared" si="2"/>
        <v>No</v>
      </c>
      <c r="J49">
        <f t="shared" si="3"/>
        <v>0</v>
      </c>
      <c r="K49">
        <f t="shared" si="4"/>
        <v>1</v>
      </c>
      <c r="L49">
        <f t="shared" si="5"/>
        <v>98</v>
      </c>
    </row>
    <row r="50" spans="1:12" x14ac:dyDescent="0.3">
      <c r="A50">
        <v>154245189</v>
      </c>
      <c r="B50" s="1">
        <v>44809</v>
      </c>
      <c r="C50" s="1">
        <v>44891</v>
      </c>
      <c r="D50" t="s">
        <v>7</v>
      </c>
      <c r="E50">
        <v>39</v>
      </c>
      <c r="F50" t="s">
        <v>6</v>
      </c>
      <c r="G50">
        <f t="shared" si="0"/>
        <v>82</v>
      </c>
      <c r="H50" s="1" t="str">
        <f t="shared" si="1"/>
        <v>Monday</v>
      </c>
      <c r="I50" t="str">
        <f t="shared" si="2"/>
        <v>No</v>
      </c>
      <c r="J50">
        <f t="shared" si="3"/>
        <v>0</v>
      </c>
      <c r="K50">
        <f t="shared" si="4"/>
        <v>1</v>
      </c>
      <c r="L50">
        <f t="shared" si="5"/>
        <v>82</v>
      </c>
    </row>
    <row r="51" spans="1:12" x14ac:dyDescent="0.3">
      <c r="A51">
        <v>154604182</v>
      </c>
      <c r="B51" s="1">
        <v>44809</v>
      </c>
      <c r="C51" s="1">
        <v>44853</v>
      </c>
      <c r="D51" t="s">
        <v>7</v>
      </c>
      <c r="E51">
        <v>39</v>
      </c>
      <c r="F51" t="s">
        <v>6</v>
      </c>
      <c r="G51">
        <f t="shared" si="0"/>
        <v>44</v>
      </c>
      <c r="H51" s="1" t="str">
        <f t="shared" si="1"/>
        <v>Monday</v>
      </c>
      <c r="I51" t="str">
        <f t="shared" si="2"/>
        <v>No</v>
      </c>
      <c r="J51">
        <f t="shared" si="3"/>
        <v>0</v>
      </c>
      <c r="K51">
        <f t="shared" si="4"/>
        <v>1</v>
      </c>
      <c r="L51">
        <f t="shared" si="5"/>
        <v>44</v>
      </c>
    </row>
    <row r="52" spans="1:12" ht="14.4" customHeight="1" x14ac:dyDescent="0.3">
      <c r="A52">
        <v>154711552</v>
      </c>
      <c r="B52" s="1">
        <v>44809</v>
      </c>
      <c r="C52" s="1">
        <v>44839</v>
      </c>
      <c r="D52" t="s">
        <v>7</v>
      </c>
      <c r="E52">
        <v>39</v>
      </c>
      <c r="F52" t="s">
        <v>6</v>
      </c>
      <c r="G52">
        <f t="shared" si="0"/>
        <v>30</v>
      </c>
      <c r="H52" s="1" t="str">
        <f t="shared" si="1"/>
        <v>Monday</v>
      </c>
      <c r="I52" t="str">
        <f t="shared" si="2"/>
        <v>No</v>
      </c>
      <c r="J52">
        <f t="shared" si="3"/>
        <v>0</v>
      </c>
      <c r="K52">
        <f t="shared" si="4"/>
        <v>0</v>
      </c>
      <c r="L52">
        <f t="shared" si="5"/>
        <v>30</v>
      </c>
    </row>
    <row r="53" spans="1:12" x14ac:dyDescent="0.3">
      <c r="A53">
        <v>154827564</v>
      </c>
      <c r="B53" s="1">
        <v>44809</v>
      </c>
      <c r="C53" s="1">
        <v>44843</v>
      </c>
      <c r="D53" t="s">
        <v>7</v>
      </c>
      <c r="E53">
        <v>39</v>
      </c>
      <c r="F53" t="s">
        <v>6</v>
      </c>
      <c r="G53">
        <f t="shared" si="0"/>
        <v>34</v>
      </c>
      <c r="H53" s="1" t="str">
        <f t="shared" si="1"/>
        <v>Monday</v>
      </c>
      <c r="I53" t="str">
        <f t="shared" si="2"/>
        <v>No</v>
      </c>
      <c r="J53">
        <f t="shared" si="3"/>
        <v>0</v>
      </c>
      <c r="K53">
        <f t="shared" si="4"/>
        <v>1</v>
      </c>
      <c r="L53">
        <f t="shared" si="5"/>
        <v>34</v>
      </c>
    </row>
    <row r="54" spans="1:12" x14ac:dyDescent="0.3">
      <c r="A54">
        <v>143581543</v>
      </c>
      <c r="B54" s="1">
        <v>44809</v>
      </c>
      <c r="C54" s="1">
        <v>44846</v>
      </c>
      <c r="D54" t="s">
        <v>7</v>
      </c>
      <c r="E54">
        <v>39</v>
      </c>
      <c r="F54" t="s">
        <v>6</v>
      </c>
      <c r="G54">
        <f t="shared" si="0"/>
        <v>37</v>
      </c>
      <c r="H54" s="1" t="str">
        <f t="shared" si="1"/>
        <v>Monday</v>
      </c>
      <c r="I54" t="str">
        <f t="shared" si="2"/>
        <v>No</v>
      </c>
      <c r="J54">
        <f t="shared" si="3"/>
        <v>0</v>
      </c>
      <c r="K54">
        <f t="shared" si="4"/>
        <v>1</v>
      </c>
      <c r="L54">
        <f t="shared" si="5"/>
        <v>37</v>
      </c>
    </row>
    <row r="55" spans="1:12" ht="14.4" customHeight="1" x14ac:dyDescent="0.3">
      <c r="A55">
        <v>154867798</v>
      </c>
      <c r="B55" s="1">
        <v>44809</v>
      </c>
      <c r="C55" s="1">
        <v>44839</v>
      </c>
      <c r="D55" t="s">
        <v>7</v>
      </c>
      <c r="E55">
        <v>39</v>
      </c>
      <c r="F55" t="s">
        <v>6</v>
      </c>
      <c r="G55">
        <f t="shared" si="0"/>
        <v>30</v>
      </c>
      <c r="H55" s="1" t="str">
        <f t="shared" si="1"/>
        <v>Monday</v>
      </c>
      <c r="I55" t="str">
        <f t="shared" si="2"/>
        <v>No</v>
      </c>
      <c r="J55">
        <f t="shared" si="3"/>
        <v>0</v>
      </c>
      <c r="K55">
        <f t="shared" si="4"/>
        <v>0</v>
      </c>
      <c r="L55">
        <f t="shared" si="5"/>
        <v>30</v>
      </c>
    </row>
    <row r="56" spans="1:12" ht="14.4" customHeight="1" x14ac:dyDescent="0.3">
      <c r="A56">
        <v>154863996</v>
      </c>
      <c r="B56" s="1">
        <v>44809</v>
      </c>
      <c r="C56" s="1">
        <v>44813</v>
      </c>
      <c r="D56" t="s">
        <v>7</v>
      </c>
      <c r="E56">
        <v>39</v>
      </c>
      <c r="F56" t="s">
        <v>6</v>
      </c>
      <c r="G56">
        <f t="shared" si="0"/>
        <v>4</v>
      </c>
      <c r="H56" s="1" t="str">
        <f t="shared" si="1"/>
        <v>Monday</v>
      </c>
      <c r="I56" t="str">
        <f t="shared" si="2"/>
        <v>No</v>
      </c>
      <c r="J56">
        <f t="shared" si="3"/>
        <v>0</v>
      </c>
      <c r="K56">
        <f t="shared" si="4"/>
        <v>0</v>
      </c>
      <c r="L56">
        <f t="shared" si="5"/>
        <v>4</v>
      </c>
    </row>
    <row r="57" spans="1:12" ht="14.4" customHeight="1" x14ac:dyDescent="0.3">
      <c r="A57">
        <v>154923423</v>
      </c>
      <c r="B57" s="1">
        <v>44810</v>
      </c>
      <c r="D57" t="s">
        <v>7</v>
      </c>
      <c r="E57">
        <v>39</v>
      </c>
      <c r="F57" t="s">
        <v>6</v>
      </c>
      <c r="G57" t="str">
        <f t="shared" si="0"/>
        <v/>
      </c>
      <c r="H57" s="1" t="str">
        <f t="shared" si="1"/>
        <v>Tuesday</v>
      </c>
      <c r="I57" t="str">
        <f t="shared" si="2"/>
        <v>No</v>
      </c>
      <c r="J57">
        <f t="shared" si="3"/>
        <v>0</v>
      </c>
      <c r="K57">
        <f t="shared" si="4"/>
        <v>0</v>
      </c>
      <c r="L57" t="str">
        <f t="shared" si="5"/>
        <v/>
      </c>
    </row>
    <row r="58" spans="1:12" ht="14.4" customHeight="1" x14ac:dyDescent="0.3">
      <c r="A58">
        <v>134664128</v>
      </c>
      <c r="B58" s="1">
        <v>44810</v>
      </c>
      <c r="D58" t="s">
        <v>7</v>
      </c>
      <c r="E58">
        <v>39</v>
      </c>
      <c r="F58" t="s">
        <v>6</v>
      </c>
      <c r="G58" t="str">
        <f t="shared" si="0"/>
        <v/>
      </c>
      <c r="H58" s="1" t="str">
        <f t="shared" si="1"/>
        <v>Tuesday</v>
      </c>
      <c r="I58" t="str">
        <f t="shared" si="2"/>
        <v>No</v>
      </c>
      <c r="J58">
        <f t="shared" si="3"/>
        <v>0</v>
      </c>
      <c r="K58">
        <f t="shared" si="4"/>
        <v>0</v>
      </c>
      <c r="L58" t="str">
        <f t="shared" si="5"/>
        <v/>
      </c>
    </row>
    <row r="59" spans="1:12" x14ac:dyDescent="0.3">
      <c r="A59">
        <v>154828806</v>
      </c>
      <c r="B59" s="1">
        <v>44810</v>
      </c>
      <c r="C59" s="1">
        <v>44885</v>
      </c>
      <c r="D59" t="s">
        <v>7</v>
      </c>
      <c r="E59">
        <v>39</v>
      </c>
      <c r="F59" t="s">
        <v>6</v>
      </c>
      <c r="G59">
        <f t="shared" si="0"/>
        <v>75</v>
      </c>
      <c r="H59" s="1" t="str">
        <f t="shared" si="1"/>
        <v>Tuesday</v>
      </c>
      <c r="I59" t="str">
        <f t="shared" si="2"/>
        <v>No</v>
      </c>
      <c r="J59">
        <f t="shared" si="3"/>
        <v>0</v>
      </c>
      <c r="K59">
        <f t="shared" si="4"/>
        <v>1</v>
      </c>
      <c r="L59">
        <f t="shared" si="5"/>
        <v>75</v>
      </c>
    </row>
    <row r="60" spans="1:12" x14ac:dyDescent="0.3">
      <c r="A60">
        <v>154934030</v>
      </c>
      <c r="B60" s="1">
        <v>44810</v>
      </c>
      <c r="C60" s="1">
        <v>44878</v>
      </c>
      <c r="D60" t="s">
        <v>7</v>
      </c>
      <c r="E60">
        <v>39</v>
      </c>
      <c r="F60" t="s">
        <v>6</v>
      </c>
      <c r="G60">
        <f t="shared" si="0"/>
        <v>68</v>
      </c>
      <c r="H60" s="1" t="str">
        <f t="shared" si="1"/>
        <v>Tuesday</v>
      </c>
      <c r="I60" t="str">
        <f t="shared" si="2"/>
        <v>No</v>
      </c>
      <c r="J60">
        <f t="shared" si="3"/>
        <v>0</v>
      </c>
      <c r="K60">
        <f t="shared" si="4"/>
        <v>1</v>
      </c>
      <c r="L60">
        <f t="shared" si="5"/>
        <v>68</v>
      </c>
    </row>
    <row r="61" spans="1:12" x14ac:dyDescent="0.3">
      <c r="A61">
        <v>153671424</v>
      </c>
      <c r="B61" s="1">
        <v>44810</v>
      </c>
      <c r="C61" s="1">
        <v>44847</v>
      </c>
      <c r="D61" t="s">
        <v>7</v>
      </c>
      <c r="E61">
        <v>39</v>
      </c>
      <c r="F61" t="s">
        <v>6</v>
      </c>
      <c r="G61">
        <f t="shared" si="0"/>
        <v>37</v>
      </c>
      <c r="H61" s="1" t="str">
        <f t="shared" si="1"/>
        <v>Tuesday</v>
      </c>
      <c r="I61" t="str">
        <f t="shared" si="2"/>
        <v>No</v>
      </c>
      <c r="J61">
        <f t="shared" si="3"/>
        <v>0</v>
      </c>
      <c r="K61">
        <f t="shared" si="4"/>
        <v>1</v>
      </c>
      <c r="L61">
        <f t="shared" si="5"/>
        <v>37</v>
      </c>
    </row>
    <row r="62" spans="1:12" x14ac:dyDescent="0.3">
      <c r="A62">
        <v>154693818</v>
      </c>
      <c r="B62" s="1">
        <v>44810</v>
      </c>
      <c r="C62" s="1">
        <v>44847</v>
      </c>
      <c r="D62" t="s">
        <v>7</v>
      </c>
      <c r="E62">
        <v>39</v>
      </c>
      <c r="F62" t="s">
        <v>6</v>
      </c>
      <c r="G62">
        <f t="shared" si="0"/>
        <v>37</v>
      </c>
      <c r="H62" s="1" t="str">
        <f t="shared" si="1"/>
        <v>Tuesday</v>
      </c>
      <c r="I62" t="str">
        <f t="shared" si="2"/>
        <v>No</v>
      </c>
      <c r="J62">
        <f t="shared" si="3"/>
        <v>0</v>
      </c>
      <c r="K62">
        <f t="shared" si="4"/>
        <v>1</v>
      </c>
      <c r="L62">
        <f t="shared" si="5"/>
        <v>37</v>
      </c>
    </row>
    <row r="63" spans="1:12" ht="14.4" customHeight="1" x14ac:dyDescent="0.3">
      <c r="A63">
        <v>154110938</v>
      </c>
      <c r="B63" s="1">
        <v>44810</v>
      </c>
      <c r="C63" s="1">
        <v>44830</v>
      </c>
      <c r="D63" t="s">
        <v>7</v>
      </c>
      <c r="E63">
        <v>39</v>
      </c>
      <c r="F63" t="s">
        <v>6</v>
      </c>
      <c r="G63">
        <f t="shared" si="0"/>
        <v>20</v>
      </c>
      <c r="H63" s="1" t="str">
        <f t="shared" si="1"/>
        <v>Tuesday</v>
      </c>
      <c r="I63" t="str">
        <f t="shared" si="2"/>
        <v>No</v>
      </c>
      <c r="J63">
        <f t="shared" si="3"/>
        <v>0</v>
      </c>
      <c r="K63">
        <f t="shared" si="4"/>
        <v>0</v>
      </c>
      <c r="L63">
        <f t="shared" si="5"/>
        <v>20</v>
      </c>
    </row>
    <row r="64" spans="1:12" ht="14.4" customHeight="1" x14ac:dyDescent="0.3">
      <c r="A64">
        <v>154809306</v>
      </c>
      <c r="B64" s="1">
        <v>44810</v>
      </c>
      <c r="C64" s="1">
        <v>44832</v>
      </c>
      <c r="D64" t="s">
        <v>7</v>
      </c>
      <c r="E64">
        <v>39</v>
      </c>
      <c r="F64" t="s">
        <v>6</v>
      </c>
      <c r="G64">
        <f t="shared" si="0"/>
        <v>22</v>
      </c>
      <c r="H64" s="1" t="str">
        <f t="shared" si="1"/>
        <v>Tuesday</v>
      </c>
      <c r="I64" t="str">
        <f t="shared" si="2"/>
        <v>No</v>
      </c>
      <c r="J64">
        <f t="shared" si="3"/>
        <v>0</v>
      </c>
      <c r="K64">
        <f t="shared" si="4"/>
        <v>0</v>
      </c>
      <c r="L64">
        <f t="shared" si="5"/>
        <v>22</v>
      </c>
    </row>
    <row r="65" spans="1:12" ht="14.4" customHeight="1" x14ac:dyDescent="0.3">
      <c r="A65">
        <v>154537244</v>
      </c>
      <c r="B65" s="1">
        <v>44811</v>
      </c>
      <c r="D65" t="s">
        <v>7</v>
      </c>
      <c r="E65">
        <v>39</v>
      </c>
      <c r="F65" t="s">
        <v>6</v>
      </c>
      <c r="G65" t="str">
        <f t="shared" si="0"/>
        <v/>
      </c>
      <c r="H65" s="1" t="str">
        <f t="shared" si="1"/>
        <v>Wednesday</v>
      </c>
      <c r="I65" t="str">
        <f t="shared" si="2"/>
        <v>No</v>
      </c>
      <c r="J65">
        <f t="shared" si="3"/>
        <v>0</v>
      </c>
      <c r="K65">
        <f t="shared" si="4"/>
        <v>0</v>
      </c>
      <c r="L65" t="str">
        <f t="shared" si="5"/>
        <v/>
      </c>
    </row>
    <row r="66" spans="1:12" ht="14.4" customHeight="1" x14ac:dyDescent="0.3">
      <c r="A66">
        <v>154163218</v>
      </c>
      <c r="B66" s="1">
        <v>44811</v>
      </c>
      <c r="D66" t="s">
        <v>7</v>
      </c>
      <c r="E66">
        <v>39</v>
      </c>
      <c r="F66" t="s">
        <v>6</v>
      </c>
      <c r="G66" t="str">
        <f t="shared" ref="G66:G129" si="6">IF(C66="","",C66-B66)</f>
        <v/>
      </c>
      <c r="H66" s="1" t="str">
        <f t="shared" si="1"/>
        <v>Wednesday</v>
      </c>
      <c r="I66" t="str">
        <f t="shared" si="2"/>
        <v>No</v>
      </c>
      <c r="J66">
        <f t="shared" si="3"/>
        <v>0</v>
      </c>
      <c r="K66">
        <f t="shared" si="4"/>
        <v>0</v>
      </c>
      <c r="L66" t="str">
        <f t="shared" si="5"/>
        <v/>
      </c>
    </row>
    <row r="67" spans="1:12" x14ac:dyDescent="0.3">
      <c r="A67">
        <v>129467426</v>
      </c>
      <c r="B67" s="1">
        <v>44811</v>
      </c>
      <c r="C67" s="1">
        <v>45071</v>
      </c>
      <c r="D67" t="s">
        <v>7</v>
      </c>
      <c r="E67">
        <v>39</v>
      </c>
      <c r="F67" t="s">
        <v>6</v>
      </c>
      <c r="G67">
        <f t="shared" si="6"/>
        <v>260</v>
      </c>
      <c r="H67" s="1" t="str">
        <f t="shared" ref="H67:H130" si="7">TEXT(B67,"dddd")</f>
        <v>Wednesday</v>
      </c>
      <c r="I67" t="str">
        <f t="shared" ref="I67:I130" si="8">IF(B67=C67,"Yes","No")</f>
        <v>No</v>
      </c>
      <c r="J67">
        <f t="shared" ref="J67:J130" si="9">IF(AND(C67&lt;&gt;"",C67-B67&lt;=2),1,0)</f>
        <v>0</v>
      </c>
      <c r="K67">
        <f t="shared" ref="K67:K130" si="10">IF(AND(C67&lt;&gt;"",C67-B67&gt;30),1,0)</f>
        <v>1</v>
      </c>
      <c r="L67">
        <f t="shared" ref="L67:L130" si="11">IF(C67="","",C67-B67)</f>
        <v>260</v>
      </c>
    </row>
    <row r="68" spans="1:12" x14ac:dyDescent="0.3">
      <c r="A68">
        <v>152498330</v>
      </c>
      <c r="B68" s="1">
        <v>44811</v>
      </c>
      <c r="C68" s="1">
        <v>44979</v>
      </c>
      <c r="D68" t="s">
        <v>7</v>
      </c>
      <c r="E68">
        <v>39</v>
      </c>
      <c r="F68" t="s">
        <v>6</v>
      </c>
      <c r="G68">
        <f t="shared" si="6"/>
        <v>168</v>
      </c>
      <c r="H68" s="1" t="str">
        <f t="shared" si="7"/>
        <v>Wednesday</v>
      </c>
      <c r="I68" t="str">
        <f t="shared" si="8"/>
        <v>No</v>
      </c>
      <c r="J68">
        <f t="shared" si="9"/>
        <v>0</v>
      </c>
      <c r="K68">
        <f t="shared" si="10"/>
        <v>1</v>
      </c>
      <c r="L68">
        <f t="shared" si="11"/>
        <v>168</v>
      </c>
    </row>
    <row r="69" spans="1:12" ht="14.4" customHeight="1" x14ac:dyDescent="0.3">
      <c r="A69">
        <v>125335731</v>
      </c>
      <c r="B69" s="1">
        <v>44811</v>
      </c>
      <c r="C69" s="1">
        <v>44818</v>
      </c>
      <c r="D69" t="s">
        <v>7</v>
      </c>
      <c r="E69">
        <v>39</v>
      </c>
      <c r="F69" t="s">
        <v>6</v>
      </c>
      <c r="G69">
        <f t="shared" si="6"/>
        <v>7</v>
      </c>
      <c r="H69" s="1" t="str">
        <f t="shared" si="7"/>
        <v>Wednesday</v>
      </c>
      <c r="I69" t="str">
        <f t="shared" si="8"/>
        <v>No</v>
      </c>
      <c r="J69">
        <f t="shared" si="9"/>
        <v>0</v>
      </c>
      <c r="K69">
        <f t="shared" si="10"/>
        <v>0</v>
      </c>
      <c r="L69">
        <f t="shared" si="11"/>
        <v>7</v>
      </c>
    </row>
    <row r="70" spans="1:12" ht="14.4" customHeight="1" x14ac:dyDescent="0.3">
      <c r="A70">
        <v>155113805</v>
      </c>
      <c r="B70" s="1">
        <v>44812</v>
      </c>
      <c r="D70" t="s">
        <v>7</v>
      </c>
      <c r="E70">
        <v>39</v>
      </c>
      <c r="F70" t="s">
        <v>6</v>
      </c>
      <c r="G70" t="str">
        <f t="shared" si="6"/>
        <v/>
      </c>
      <c r="H70" s="1" t="str">
        <f t="shared" si="7"/>
        <v>Thursday</v>
      </c>
      <c r="I70" t="str">
        <f t="shared" si="8"/>
        <v>No</v>
      </c>
      <c r="J70">
        <f t="shared" si="9"/>
        <v>0</v>
      </c>
      <c r="K70">
        <f t="shared" si="10"/>
        <v>0</v>
      </c>
      <c r="L70" t="str">
        <f t="shared" si="11"/>
        <v/>
      </c>
    </row>
    <row r="71" spans="1:12" x14ac:dyDescent="0.3">
      <c r="A71">
        <v>148864769</v>
      </c>
      <c r="B71" s="1">
        <v>44812</v>
      </c>
      <c r="C71" s="1">
        <v>44862</v>
      </c>
      <c r="D71" t="s">
        <v>7</v>
      </c>
      <c r="E71">
        <v>39</v>
      </c>
      <c r="F71" t="s">
        <v>6</v>
      </c>
      <c r="G71">
        <f t="shared" si="6"/>
        <v>50</v>
      </c>
      <c r="H71" s="1" t="str">
        <f t="shared" si="7"/>
        <v>Thursday</v>
      </c>
      <c r="I71" t="str">
        <f t="shared" si="8"/>
        <v>No</v>
      </c>
      <c r="J71">
        <f t="shared" si="9"/>
        <v>0</v>
      </c>
      <c r="K71">
        <f t="shared" si="10"/>
        <v>1</v>
      </c>
      <c r="L71">
        <f t="shared" si="11"/>
        <v>50</v>
      </c>
    </row>
    <row r="72" spans="1:12" x14ac:dyDescent="0.3">
      <c r="A72">
        <v>123850281</v>
      </c>
      <c r="B72" s="1">
        <v>44812</v>
      </c>
      <c r="C72" s="1">
        <v>44849</v>
      </c>
      <c r="D72" t="s">
        <v>7</v>
      </c>
      <c r="E72">
        <v>39</v>
      </c>
      <c r="F72" t="s">
        <v>6</v>
      </c>
      <c r="G72">
        <f t="shared" si="6"/>
        <v>37</v>
      </c>
      <c r="H72" s="1" t="str">
        <f t="shared" si="7"/>
        <v>Thursday</v>
      </c>
      <c r="I72" t="str">
        <f t="shared" si="8"/>
        <v>No</v>
      </c>
      <c r="J72">
        <f t="shared" si="9"/>
        <v>0</v>
      </c>
      <c r="K72">
        <f t="shared" si="10"/>
        <v>1</v>
      </c>
      <c r="L72">
        <f t="shared" si="11"/>
        <v>37</v>
      </c>
    </row>
    <row r="73" spans="1:12" ht="14.4" customHeight="1" x14ac:dyDescent="0.3">
      <c r="A73">
        <v>155167073</v>
      </c>
      <c r="B73" s="1">
        <v>44812</v>
      </c>
      <c r="C73" s="1">
        <v>44840</v>
      </c>
      <c r="D73" t="s">
        <v>7</v>
      </c>
      <c r="E73">
        <v>39</v>
      </c>
      <c r="F73" t="s">
        <v>6</v>
      </c>
      <c r="G73">
        <f t="shared" si="6"/>
        <v>28</v>
      </c>
      <c r="H73" s="1" t="str">
        <f t="shared" si="7"/>
        <v>Thursday</v>
      </c>
      <c r="I73" t="str">
        <f t="shared" si="8"/>
        <v>No</v>
      </c>
      <c r="J73">
        <f t="shared" si="9"/>
        <v>0</v>
      </c>
      <c r="K73">
        <f t="shared" si="10"/>
        <v>0</v>
      </c>
      <c r="L73">
        <f t="shared" si="11"/>
        <v>28</v>
      </c>
    </row>
    <row r="74" spans="1:12" ht="14.4" customHeight="1" x14ac:dyDescent="0.3">
      <c r="A74">
        <v>153684891</v>
      </c>
      <c r="B74" s="1">
        <v>44812</v>
      </c>
      <c r="C74" s="1">
        <v>44813</v>
      </c>
      <c r="D74" t="s">
        <v>7</v>
      </c>
      <c r="E74">
        <v>39</v>
      </c>
      <c r="F74" t="s">
        <v>6</v>
      </c>
      <c r="G74">
        <f t="shared" si="6"/>
        <v>1</v>
      </c>
      <c r="H74" s="1" t="str">
        <f t="shared" si="7"/>
        <v>Thursday</v>
      </c>
      <c r="I74" t="str">
        <f t="shared" si="8"/>
        <v>No</v>
      </c>
      <c r="J74">
        <f t="shared" si="9"/>
        <v>1</v>
      </c>
      <c r="K74">
        <f t="shared" si="10"/>
        <v>0</v>
      </c>
      <c r="L74">
        <f t="shared" si="11"/>
        <v>1</v>
      </c>
    </row>
    <row r="75" spans="1:12" x14ac:dyDescent="0.3">
      <c r="A75">
        <v>131277340</v>
      </c>
      <c r="B75" s="1">
        <v>44813</v>
      </c>
      <c r="C75" s="1">
        <v>44986</v>
      </c>
      <c r="D75" t="s">
        <v>7</v>
      </c>
      <c r="E75">
        <v>39</v>
      </c>
      <c r="F75" t="s">
        <v>6</v>
      </c>
      <c r="G75">
        <f t="shared" si="6"/>
        <v>173</v>
      </c>
      <c r="H75" s="1" t="str">
        <f t="shared" si="7"/>
        <v>Friday</v>
      </c>
      <c r="I75" t="str">
        <f t="shared" si="8"/>
        <v>No</v>
      </c>
      <c r="J75">
        <f t="shared" si="9"/>
        <v>0</v>
      </c>
      <c r="K75">
        <f t="shared" si="10"/>
        <v>1</v>
      </c>
      <c r="L75">
        <f t="shared" si="11"/>
        <v>173</v>
      </c>
    </row>
    <row r="76" spans="1:12" x14ac:dyDescent="0.3">
      <c r="A76">
        <v>152027172</v>
      </c>
      <c r="B76" s="1">
        <v>44813</v>
      </c>
      <c r="C76" s="1">
        <v>44897</v>
      </c>
      <c r="D76" t="s">
        <v>7</v>
      </c>
      <c r="E76">
        <v>39</v>
      </c>
      <c r="F76" t="s">
        <v>6</v>
      </c>
      <c r="G76">
        <f t="shared" si="6"/>
        <v>84</v>
      </c>
      <c r="H76" s="1" t="str">
        <f t="shared" si="7"/>
        <v>Friday</v>
      </c>
      <c r="I76" t="str">
        <f t="shared" si="8"/>
        <v>No</v>
      </c>
      <c r="J76">
        <f t="shared" si="9"/>
        <v>0</v>
      </c>
      <c r="K76">
        <f t="shared" si="10"/>
        <v>1</v>
      </c>
      <c r="L76">
        <f t="shared" si="11"/>
        <v>84</v>
      </c>
    </row>
    <row r="77" spans="1:12" x14ac:dyDescent="0.3">
      <c r="A77">
        <v>155212612</v>
      </c>
      <c r="B77" s="1">
        <v>44813</v>
      </c>
      <c r="C77" s="1">
        <v>44868</v>
      </c>
      <c r="D77" t="s">
        <v>7</v>
      </c>
      <c r="E77">
        <v>39</v>
      </c>
      <c r="F77" t="s">
        <v>6</v>
      </c>
      <c r="G77">
        <f t="shared" si="6"/>
        <v>55</v>
      </c>
      <c r="H77" s="1" t="str">
        <f t="shared" si="7"/>
        <v>Friday</v>
      </c>
      <c r="I77" t="str">
        <f t="shared" si="8"/>
        <v>No</v>
      </c>
      <c r="J77">
        <f t="shared" si="9"/>
        <v>0</v>
      </c>
      <c r="K77">
        <f t="shared" si="10"/>
        <v>1</v>
      </c>
      <c r="L77">
        <f t="shared" si="11"/>
        <v>55</v>
      </c>
    </row>
    <row r="78" spans="1:12" ht="14.4" customHeight="1" x14ac:dyDescent="0.3">
      <c r="A78">
        <v>155188498</v>
      </c>
      <c r="B78" s="1">
        <v>44813</v>
      </c>
      <c r="C78" s="1">
        <v>44843</v>
      </c>
      <c r="D78" t="s">
        <v>7</v>
      </c>
      <c r="E78">
        <v>39</v>
      </c>
      <c r="F78" t="s">
        <v>6</v>
      </c>
      <c r="G78">
        <f t="shared" si="6"/>
        <v>30</v>
      </c>
      <c r="H78" s="1" t="str">
        <f t="shared" si="7"/>
        <v>Friday</v>
      </c>
      <c r="I78" t="str">
        <f t="shared" si="8"/>
        <v>No</v>
      </c>
      <c r="J78">
        <f t="shared" si="9"/>
        <v>0</v>
      </c>
      <c r="K78">
        <f t="shared" si="10"/>
        <v>0</v>
      </c>
      <c r="L78">
        <f t="shared" si="11"/>
        <v>30</v>
      </c>
    </row>
    <row r="79" spans="1:12" ht="14.4" customHeight="1" x14ac:dyDescent="0.3">
      <c r="A79">
        <v>155145336</v>
      </c>
      <c r="B79" s="1">
        <v>44813</v>
      </c>
      <c r="C79" s="1">
        <v>44837</v>
      </c>
      <c r="D79" t="s">
        <v>7</v>
      </c>
      <c r="E79">
        <v>39</v>
      </c>
      <c r="F79" t="s">
        <v>6</v>
      </c>
      <c r="G79">
        <f t="shared" si="6"/>
        <v>24</v>
      </c>
      <c r="H79" s="1" t="str">
        <f t="shared" si="7"/>
        <v>Friday</v>
      </c>
      <c r="I79" t="str">
        <f t="shared" si="8"/>
        <v>No</v>
      </c>
      <c r="J79">
        <f t="shared" si="9"/>
        <v>0</v>
      </c>
      <c r="K79">
        <f t="shared" si="10"/>
        <v>0</v>
      </c>
      <c r="L79">
        <f t="shared" si="11"/>
        <v>24</v>
      </c>
    </row>
    <row r="80" spans="1:12" x14ac:dyDescent="0.3">
      <c r="A80">
        <v>152506474</v>
      </c>
      <c r="B80" s="1">
        <v>44813</v>
      </c>
      <c r="C80" s="1">
        <v>44850</v>
      </c>
      <c r="D80" t="s">
        <v>7</v>
      </c>
      <c r="E80">
        <v>39</v>
      </c>
      <c r="F80" t="s">
        <v>6</v>
      </c>
      <c r="G80">
        <f t="shared" si="6"/>
        <v>37</v>
      </c>
      <c r="H80" s="1" t="str">
        <f t="shared" si="7"/>
        <v>Friday</v>
      </c>
      <c r="I80" t="str">
        <f t="shared" si="8"/>
        <v>No</v>
      </c>
      <c r="J80">
        <f t="shared" si="9"/>
        <v>0</v>
      </c>
      <c r="K80">
        <f t="shared" si="10"/>
        <v>1</v>
      </c>
      <c r="L80">
        <f t="shared" si="11"/>
        <v>37</v>
      </c>
    </row>
    <row r="81" spans="1:12" x14ac:dyDescent="0.3">
      <c r="A81">
        <v>118029150</v>
      </c>
      <c r="B81" s="1">
        <v>44813</v>
      </c>
      <c r="C81" s="1">
        <v>45154</v>
      </c>
      <c r="D81" t="s">
        <v>7</v>
      </c>
      <c r="E81">
        <v>39</v>
      </c>
      <c r="F81" t="s">
        <v>6</v>
      </c>
      <c r="G81">
        <f t="shared" si="6"/>
        <v>341</v>
      </c>
      <c r="H81" s="1" t="str">
        <f t="shared" si="7"/>
        <v>Friday</v>
      </c>
      <c r="I81" t="str">
        <f t="shared" si="8"/>
        <v>No</v>
      </c>
      <c r="J81">
        <f t="shared" si="9"/>
        <v>0</v>
      </c>
      <c r="K81">
        <f t="shared" si="10"/>
        <v>1</v>
      </c>
      <c r="L81">
        <f t="shared" si="11"/>
        <v>341</v>
      </c>
    </row>
    <row r="82" spans="1:12" ht="14.4" customHeight="1" x14ac:dyDescent="0.3">
      <c r="A82">
        <v>155245796</v>
      </c>
      <c r="B82" s="1">
        <v>44814</v>
      </c>
      <c r="D82" t="s">
        <v>7</v>
      </c>
      <c r="E82">
        <v>39</v>
      </c>
      <c r="F82" t="s">
        <v>6</v>
      </c>
      <c r="G82" t="str">
        <f t="shared" si="6"/>
        <v/>
      </c>
      <c r="H82" s="1" t="str">
        <f t="shared" si="7"/>
        <v>Saturday</v>
      </c>
      <c r="I82" t="str">
        <f t="shared" si="8"/>
        <v>No</v>
      </c>
      <c r="J82">
        <f t="shared" si="9"/>
        <v>0</v>
      </c>
      <c r="K82">
        <f t="shared" si="10"/>
        <v>0</v>
      </c>
      <c r="L82" t="str">
        <f t="shared" si="11"/>
        <v/>
      </c>
    </row>
    <row r="83" spans="1:12" x14ac:dyDescent="0.3">
      <c r="A83">
        <v>155326259</v>
      </c>
      <c r="B83" s="1">
        <v>44814</v>
      </c>
      <c r="C83" s="1">
        <v>44978</v>
      </c>
      <c r="D83" t="s">
        <v>7</v>
      </c>
      <c r="E83">
        <v>39</v>
      </c>
      <c r="F83" t="s">
        <v>6</v>
      </c>
      <c r="G83">
        <f t="shared" si="6"/>
        <v>164</v>
      </c>
      <c r="H83" s="1" t="str">
        <f t="shared" si="7"/>
        <v>Saturday</v>
      </c>
      <c r="I83" t="str">
        <f t="shared" si="8"/>
        <v>No</v>
      </c>
      <c r="J83">
        <f t="shared" si="9"/>
        <v>0</v>
      </c>
      <c r="K83">
        <f t="shared" si="10"/>
        <v>1</v>
      </c>
      <c r="L83">
        <f t="shared" si="11"/>
        <v>164</v>
      </c>
    </row>
    <row r="84" spans="1:12" x14ac:dyDescent="0.3">
      <c r="A84">
        <v>155311918</v>
      </c>
      <c r="B84" s="1">
        <v>44814</v>
      </c>
      <c r="C84" s="1">
        <v>44907</v>
      </c>
      <c r="D84" t="s">
        <v>7</v>
      </c>
      <c r="E84">
        <v>39</v>
      </c>
      <c r="F84" t="s">
        <v>6</v>
      </c>
      <c r="G84">
        <f t="shared" si="6"/>
        <v>93</v>
      </c>
      <c r="H84" s="1" t="str">
        <f t="shared" si="7"/>
        <v>Saturday</v>
      </c>
      <c r="I84" t="str">
        <f t="shared" si="8"/>
        <v>No</v>
      </c>
      <c r="J84">
        <f t="shared" si="9"/>
        <v>0</v>
      </c>
      <c r="K84">
        <f t="shared" si="10"/>
        <v>1</v>
      </c>
      <c r="L84">
        <f t="shared" si="11"/>
        <v>93</v>
      </c>
    </row>
    <row r="85" spans="1:12" x14ac:dyDescent="0.3">
      <c r="A85">
        <v>154391473</v>
      </c>
      <c r="B85" s="1">
        <v>44814</v>
      </c>
      <c r="C85" s="1">
        <v>44846</v>
      </c>
      <c r="D85" t="s">
        <v>7</v>
      </c>
      <c r="E85">
        <v>39</v>
      </c>
      <c r="F85" t="s">
        <v>6</v>
      </c>
      <c r="G85">
        <f t="shared" si="6"/>
        <v>32</v>
      </c>
      <c r="H85" s="1" t="str">
        <f t="shared" si="7"/>
        <v>Saturday</v>
      </c>
      <c r="I85" t="str">
        <f t="shared" si="8"/>
        <v>No</v>
      </c>
      <c r="J85">
        <f t="shared" si="9"/>
        <v>0</v>
      </c>
      <c r="K85">
        <f t="shared" si="10"/>
        <v>1</v>
      </c>
      <c r="L85">
        <f t="shared" si="11"/>
        <v>32</v>
      </c>
    </row>
    <row r="86" spans="1:12" ht="14.4" customHeight="1" x14ac:dyDescent="0.3">
      <c r="A86">
        <v>155283495</v>
      </c>
      <c r="B86" s="1">
        <v>44814</v>
      </c>
      <c r="C86" s="1">
        <v>44842</v>
      </c>
      <c r="D86" t="s">
        <v>7</v>
      </c>
      <c r="E86">
        <v>39</v>
      </c>
      <c r="F86" t="s">
        <v>6</v>
      </c>
      <c r="G86">
        <f t="shared" si="6"/>
        <v>28</v>
      </c>
      <c r="H86" s="1" t="str">
        <f t="shared" si="7"/>
        <v>Saturday</v>
      </c>
      <c r="I86" t="str">
        <f t="shared" si="8"/>
        <v>No</v>
      </c>
      <c r="J86">
        <f t="shared" si="9"/>
        <v>0</v>
      </c>
      <c r="K86">
        <f t="shared" si="10"/>
        <v>0</v>
      </c>
      <c r="L86">
        <f t="shared" si="11"/>
        <v>28</v>
      </c>
    </row>
    <row r="87" spans="1:12" ht="14.4" customHeight="1" x14ac:dyDescent="0.3">
      <c r="A87">
        <v>154597373</v>
      </c>
      <c r="B87" s="1">
        <v>44814</v>
      </c>
      <c r="C87" s="1">
        <v>44840</v>
      </c>
      <c r="D87" t="s">
        <v>7</v>
      </c>
      <c r="E87">
        <v>39</v>
      </c>
      <c r="F87" t="s">
        <v>6</v>
      </c>
      <c r="G87">
        <f t="shared" si="6"/>
        <v>26</v>
      </c>
      <c r="H87" s="1" t="str">
        <f t="shared" si="7"/>
        <v>Saturday</v>
      </c>
      <c r="I87" t="str">
        <f t="shared" si="8"/>
        <v>No</v>
      </c>
      <c r="J87">
        <f t="shared" si="9"/>
        <v>0</v>
      </c>
      <c r="K87">
        <f t="shared" si="10"/>
        <v>0</v>
      </c>
      <c r="L87">
        <f t="shared" si="11"/>
        <v>26</v>
      </c>
    </row>
    <row r="88" spans="1:12" x14ac:dyDescent="0.3">
      <c r="A88">
        <v>155370310</v>
      </c>
      <c r="B88" s="1">
        <v>44815</v>
      </c>
      <c r="C88" s="1">
        <v>45062</v>
      </c>
      <c r="D88" t="s">
        <v>7</v>
      </c>
      <c r="E88">
        <v>39</v>
      </c>
      <c r="F88" t="s">
        <v>6</v>
      </c>
      <c r="G88">
        <f t="shared" si="6"/>
        <v>247</v>
      </c>
      <c r="H88" s="1" t="str">
        <f t="shared" si="7"/>
        <v>Sunday</v>
      </c>
      <c r="I88" t="str">
        <f t="shared" si="8"/>
        <v>No</v>
      </c>
      <c r="J88">
        <f t="shared" si="9"/>
        <v>0</v>
      </c>
      <c r="K88">
        <f t="shared" si="10"/>
        <v>1</v>
      </c>
      <c r="L88">
        <f t="shared" si="11"/>
        <v>247</v>
      </c>
    </row>
    <row r="89" spans="1:12" x14ac:dyDescent="0.3">
      <c r="A89">
        <v>155289120</v>
      </c>
      <c r="B89" s="1">
        <v>44815</v>
      </c>
      <c r="C89" s="1">
        <v>44972</v>
      </c>
      <c r="D89" t="s">
        <v>7</v>
      </c>
      <c r="E89">
        <v>39</v>
      </c>
      <c r="F89" t="s">
        <v>6</v>
      </c>
      <c r="G89">
        <f t="shared" si="6"/>
        <v>157</v>
      </c>
      <c r="H89" s="1" t="str">
        <f t="shared" si="7"/>
        <v>Sunday</v>
      </c>
      <c r="I89" t="str">
        <f t="shared" si="8"/>
        <v>No</v>
      </c>
      <c r="J89">
        <f t="shared" si="9"/>
        <v>0</v>
      </c>
      <c r="K89">
        <f t="shared" si="10"/>
        <v>1</v>
      </c>
      <c r="L89">
        <f t="shared" si="11"/>
        <v>157</v>
      </c>
    </row>
    <row r="90" spans="1:12" x14ac:dyDescent="0.3">
      <c r="A90">
        <v>155351408</v>
      </c>
      <c r="B90" s="1">
        <v>44815</v>
      </c>
      <c r="C90" s="1">
        <v>44906</v>
      </c>
      <c r="D90" t="s">
        <v>7</v>
      </c>
      <c r="E90">
        <v>39</v>
      </c>
      <c r="F90" t="s">
        <v>6</v>
      </c>
      <c r="G90">
        <f t="shared" si="6"/>
        <v>91</v>
      </c>
      <c r="H90" s="1" t="str">
        <f t="shared" si="7"/>
        <v>Sunday</v>
      </c>
      <c r="I90" t="str">
        <f t="shared" si="8"/>
        <v>No</v>
      </c>
      <c r="J90">
        <f t="shared" si="9"/>
        <v>0</v>
      </c>
      <c r="K90">
        <f t="shared" si="10"/>
        <v>1</v>
      </c>
      <c r="L90">
        <f t="shared" si="11"/>
        <v>91</v>
      </c>
    </row>
    <row r="91" spans="1:12" x14ac:dyDescent="0.3">
      <c r="A91">
        <v>155336773</v>
      </c>
      <c r="B91" s="1">
        <v>44815</v>
      </c>
      <c r="C91" s="1">
        <v>44919</v>
      </c>
      <c r="D91" t="s">
        <v>7</v>
      </c>
      <c r="E91">
        <v>39</v>
      </c>
      <c r="F91" t="s">
        <v>6</v>
      </c>
      <c r="G91">
        <f t="shared" si="6"/>
        <v>104</v>
      </c>
      <c r="H91" s="1" t="str">
        <f t="shared" si="7"/>
        <v>Sunday</v>
      </c>
      <c r="I91" t="str">
        <f t="shared" si="8"/>
        <v>No</v>
      </c>
      <c r="J91">
        <f t="shared" si="9"/>
        <v>0</v>
      </c>
      <c r="K91">
        <f t="shared" si="10"/>
        <v>1</v>
      </c>
      <c r="L91">
        <f t="shared" si="11"/>
        <v>104</v>
      </c>
    </row>
    <row r="92" spans="1:12" x14ac:dyDescent="0.3">
      <c r="A92">
        <v>155017581</v>
      </c>
      <c r="B92" s="1">
        <v>44815</v>
      </c>
      <c r="C92" s="1">
        <v>44867</v>
      </c>
      <c r="D92" t="s">
        <v>7</v>
      </c>
      <c r="E92">
        <v>39</v>
      </c>
      <c r="F92" t="s">
        <v>6</v>
      </c>
      <c r="G92">
        <f t="shared" si="6"/>
        <v>52</v>
      </c>
      <c r="H92" s="1" t="str">
        <f t="shared" si="7"/>
        <v>Sunday</v>
      </c>
      <c r="I92" t="str">
        <f t="shared" si="8"/>
        <v>No</v>
      </c>
      <c r="J92">
        <f t="shared" si="9"/>
        <v>0</v>
      </c>
      <c r="K92">
        <f t="shared" si="10"/>
        <v>1</v>
      </c>
      <c r="L92">
        <f t="shared" si="11"/>
        <v>52</v>
      </c>
    </row>
    <row r="93" spans="1:12" x14ac:dyDescent="0.3">
      <c r="A93">
        <v>154401329</v>
      </c>
      <c r="B93" s="1">
        <v>44815</v>
      </c>
      <c r="C93" s="1">
        <v>44849</v>
      </c>
      <c r="D93" t="s">
        <v>7</v>
      </c>
      <c r="E93">
        <v>39</v>
      </c>
      <c r="F93" t="s">
        <v>6</v>
      </c>
      <c r="G93">
        <f t="shared" si="6"/>
        <v>34</v>
      </c>
      <c r="H93" s="1" t="str">
        <f t="shared" si="7"/>
        <v>Sunday</v>
      </c>
      <c r="I93" t="str">
        <f t="shared" si="8"/>
        <v>No</v>
      </c>
      <c r="J93">
        <f t="shared" si="9"/>
        <v>0</v>
      </c>
      <c r="K93">
        <f t="shared" si="10"/>
        <v>1</v>
      </c>
      <c r="L93">
        <f t="shared" si="11"/>
        <v>34</v>
      </c>
    </row>
    <row r="94" spans="1:12" ht="14.4" customHeight="1" x14ac:dyDescent="0.3">
      <c r="A94">
        <v>155334828</v>
      </c>
      <c r="B94" s="1">
        <v>44815</v>
      </c>
      <c r="C94" s="1">
        <v>44845</v>
      </c>
      <c r="D94" t="s">
        <v>7</v>
      </c>
      <c r="E94">
        <v>39</v>
      </c>
      <c r="F94" t="s">
        <v>6</v>
      </c>
      <c r="G94">
        <f t="shared" si="6"/>
        <v>30</v>
      </c>
      <c r="H94" s="1" t="str">
        <f t="shared" si="7"/>
        <v>Sunday</v>
      </c>
      <c r="I94" t="str">
        <f t="shared" si="8"/>
        <v>No</v>
      </c>
      <c r="J94">
        <f t="shared" si="9"/>
        <v>0</v>
      </c>
      <c r="K94">
        <f t="shared" si="10"/>
        <v>0</v>
      </c>
      <c r="L94">
        <f t="shared" si="11"/>
        <v>30</v>
      </c>
    </row>
    <row r="95" spans="1:12" ht="14.4" customHeight="1" x14ac:dyDescent="0.3">
      <c r="A95">
        <v>154815431</v>
      </c>
      <c r="B95" s="1">
        <v>44815</v>
      </c>
      <c r="C95" s="1">
        <v>44815</v>
      </c>
      <c r="D95" t="s">
        <v>7</v>
      </c>
      <c r="E95">
        <v>39</v>
      </c>
      <c r="F95" t="s">
        <v>6</v>
      </c>
      <c r="G95">
        <f t="shared" si="6"/>
        <v>0</v>
      </c>
      <c r="H95" s="1" t="str">
        <f t="shared" si="7"/>
        <v>Sunday</v>
      </c>
      <c r="I95" t="str">
        <f t="shared" si="8"/>
        <v>Yes</v>
      </c>
      <c r="J95">
        <f t="shared" si="9"/>
        <v>1</v>
      </c>
      <c r="K95">
        <f t="shared" si="10"/>
        <v>0</v>
      </c>
      <c r="L95">
        <f t="shared" si="11"/>
        <v>0</v>
      </c>
    </row>
    <row r="96" spans="1:12" x14ac:dyDescent="0.3">
      <c r="A96">
        <v>155343938</v>
      </c>
      <c r="B96" s="1">
        <v>44815</v>
      </c>
      <c r="C96" s="1">
        <v>45156</v>
      </c>
      <c r="D96" t="s">
        <v>7</v>
      </c>
      <c r="E96">
        <v>39</v>
      </c>
      <c r="F96" t="s">
        <v>6</v>
      </c>
      <c r="G96">
        <f t="shared" si="6"/>
        <v>341</v>
      </c>
      <c r="H96" s="1" t="str">
        <f t="shared" si="7"/>
        <v>Sunday</v>
      </c>
      <c r="I96" t="str">
        <f t="shared" si="8"/>
        <v>No</v>
      </c>
      <c r="J96">
        <f t="shared" si="9"/>
        <v>0</v>
      </c>
      <c r="K96">
        <f t="shared" si="10"/>
        <v>1</v>
      </c>
      <c r="L96">
        <f t="shared" si="11"/>
        <v>341</v>
      </c>
    </row>
    <row r="97" spans="1:12" ht="14.4" customHeight="1" x14ac:dyDescent="0.3">
      <c r="A97">
        <v>152436458</v>
      </c>
      <c r="B97" s="1">
        <v>44816</v>
      </c>
      <c r="C97" s="1">
        <v>44816</v>
      </c>
      <c r="D97" t="s">
        <v>7</v>
      </c>
      <c r="E97">
        <v>39</v>
      </c>
      <c r="F97" t="s">
        <v>6</v>
      </c>
      <c r="G97">
        <f t="shared" si="6"/>
        <v>0</v>
      </c>
      <c r="H97" s="1" t="str">
        <f t="shared" si="7"/>
        <v>Monday</v>
      </c>
      <c r="I97" t="str">
        <f t="shared" si="8"/>
        <v>Yes</v>
      </c>
      <c r="J97">
        <f t="shared" si="9"/>
        <v>1</v>
      </c>
      <c r="K97">
        <f t="shared" si="10"/>
        <v>0</v>
      </c>
      <c r="L97">
        <f t="shared" si="11"/>
        <v>0</v>
      </c>
    </row>
    <row r="98" spans="1:12" ht="14.4" customHeight="1" x14ac:dyDescent="0.3">
      <c r="A98">
        <v>154689541</v>
      </c>
      <c r="B98" s="1">
        <v>44816</v>
      </c>
      <c r="C98" s="1">
        <v>44817</v>
      </c>
      <c r="D98" t="s">
        <v>8</v>
      </c>
      <c r="E98">
        <v>39</v>
      </c>
      <c r="F98" t="s">
        <v>6</v>
      </c>
      <c r="G98">
        <f t="shared" si="6"/>
        <v>1</v>
      </c>
      <c r="H98" s="1" t="str">
        <f t="shared" si="7"/>
        <v>Monday</v>
      </c>
      <c r="I98" t="str">
        <f t="shared" si="8"/>
        <v>No</v>
      </c>
      <c r="J98">
        <f t="shared" si="9"/>
        <v>1</v>
      </c>
      <c r="K98">
        <f t="shared" si="10"/>
        <v>0</v>
      </c>
      <c r="L98">
        <f t="shared" si="11"/>
        <v>1</v>
      </c>
    </row>
    <row r="99" spans="1:12" x14ac:dyDescent="0.3">
      <c r="A99">
        <v>155425695</v>
      </c>
      <c r="B99" s="1">
        <v>44816</v>
      </c>
      <c r="C99" s="1">
        <v>44853</v>
      </c>
      <c r="D99" t="s">
        <v>7</v>
      </c>
      <c r="E99">
        <v>39</v>
      </c>
      <c r="F99" t="s">
        <v>6</v>
      </c>
      <c r="G99">
        <f t="shared" si="6"/>
        <v>37</v>
      </c>
      <c r="H99" s="1" t="str">
        <f t="shared" si="7"/>
        <v>Monday</v>
      </c>
      <c r="I99" t="str">
        <f t="shared" si="8"/>
        <v>No</v>
      </c>
      <c r="J99">
        <f t="shared" si="9"/>
        <v>0</v>
      </c>
      <c r="K99">
        <f t="shared" si="10"/>
        <v>1</v>
      </c>
      <c r="L99">
        <f t="shared" si="11"/>
        <v>37</v>
      </c>
    </row>
    <row r="100" spans="1:12" ht="14.4" customHeight="1" x14ac:dyDescent="0.3">
      <c r="A100">
        <v>152698255</v>
      </c>
      <c r="B100" s="1">
        <v>44816</v>
      </c>
      <c r="C100" s="1">
        <v>44846</v>
      </c>
      <c r="D100" t="s">
        <v>7</v>
      </c>
      <c r="E100">
        <v>39</v>
      </c>
      <c r="F100" t="s">
        <v>6</v>
      </c>
      <c r="G100">
        <f t="shared" si="6"/>
        <v>30</v>
      </c>
      <c r="H100" s="1" t="str">
        <f t="shared" si="7"/>
        <v>Monday</v>
      </c>
      <c r="I100" t="str">
        <f t="shared" si="8"/>
        <v>No</v>
      </c>
      <c r="J100">
        <f t="shared" si="9"/>
        <v>0</v>
      </c>
      <c r="K100">
        <f t="shared" si="10"/>
        <v>0</v>
      </c>
      <c r="L100">
        <f t="shared" si="11"/>
        <v>30</v>
      </c>
    </row>
    <row r="101" spans="1:12" x14ac:dyDescent="0.3">
      <c r="A101">
        <v>155406449</v>
      </c>
      <c r="B101" s="1">
        <v>44817</v>
      </c>
      <c r="C101" s="1">
        <v>45165</v>
      </c>
      <c r="D101" t="s">
        <v>7</v>
      </c>
      <c r="E101">
        <v>39</v>
      </c>
      <c r="F101" t="s">
        <v>6</v>
      </c>
      <c r="G101">
        <f t="shared" si="6"/>
        <v>348</v>
      </c>
      <c r="H101" s="1" t="str">
        <f t="shared" si="7"/>
        <v>Tuesday</v>
      </c>
      <c r="I101" t="str">
        <f t="shared" si="8"/>
        <v>No</v>
      </c>
      <c r="J101">
        <f t="shared" si="9"/>
        <v>0</v>
      </c>
      <c r="K101">
        <f t="shared" si="10"/>
        <v>1</v>
      </c>
      <c r="L101">
        <f t="shared" si="11"/>
        <v>348</v>
      </c>
    </row>
    <row r="102" spans="1:12" ht="14.4" customHeight="1" x14ac:dyDescent="0.3">
      <c r="A102">
        <v>137338480</v>
      </c>
      <c r="B102" s="1">
        <v>44817</v>
      </c>
      <c r="C102" s="1">
        <v>44818</v>
      </c>
      <c r="D102" t="s">
        <v>7</v>
      </c>
      <c r="E102">
        <v>39</v>
      </c>
      <c r="F102" t="s">
        <v>6</v>
      </c>
      <c r="G102">
        <f t="shared" si="6"/>
        <v>1</v>
      </c>
      <c r="H102" s="1" t="str">
        <f t="shared" si="7"/>
        <v>Tuesday</v>
      </c>
      <c r="I102" t="str">
        <f t="shared" si="8"/>
        <v>No</v>
      </c>
      <c r="J102">
        <f t="shared" si="9"/>
        <v>1</v>
      </c>
      <c r="K102">
        <f t="shared" si="10"/>
        <v>0</v>
      </c>
      <c r="L102">
        <f t="shared" si="11"/>
        <v>1</v>
      </c>
    </row>
    <row r="103" spans="1:12" x14ac:dyDescent="0.3">
      <c r="A103">
        <v>155508519</v>
      </c>
      <c r="B103" s="1">
        <v>44817</v>
      </c>
      <c r="C103" s="1">
        <v>44857</v>
      </c>
      <c r="D103" t="s">
        <v>7</v>
      </c>
      <c r="E103">
        <v>39</v>
      </c>
      <c r="F103" t="s">
        <v>6</v>
      </c>
      <c r="G103">
        <f t="shared" si="6"/>
        <v>40</v>
      </c>
      <c r="H103" s="1" t="str">
        <f t="shared" si="7"/>
        <v>Tuesday</v>
      </c>
      <c r="I103" t="str">
        <f t="shared" si="8"/>
        <v>No</v>
      </c>
      <c r="J103">
        <f t="shared" si="9"/>
        <v>0</v>
      </c>
      <c r="K103">
        <f t="shared" si="10"/>
        <v>1</v>
      </c>
      <c r="L103">
        <f t="shared" si="11"/>
        <v>40</v>
      </c>
    </row>
    <row r="104" spans="1:12" ht="14.4" customHeight="1" x14ac:dyDescent="0.3">
      <c r="A104">
        <v>155463846</v>
      </c>
      <c r="B104" s="1">
        <v>44817</v>
      </c>
      <c r="C104" s="1">
        <v>44837</v>
      </c>
      <c r="D104" t="s">
        <v>7</v>
      </c>
      <c r="E104">
        <v>39</v>
      </c>
      <c r="F104" t="s">
        <v>6</v>
      </c>
      <c r="G104">
        <f t="shared" si="6"/>
        <v>20</v>
      </c>
      <c r="H104" s="1" t="str">
        <f t="shared" si="7"/>
        <v>Tuesday</v>
      </c>
      <c r="I104" t="str">
        <f t="shared" si="8"/>
        <v>No</v>
      </c>
      <c r="J104">
        <f t="shared" si="9"/>
        <v>0</v>
      </c>
      <c r="K104">
        <f t="shared" si="10"/>
        <v>0</v>
      </c>
      <c r="L104">
        <f t="shared" si="11"/>
        <v>20</v>
      </c>
    </row>
    <row r="105" spans="1:12" ht="14.4" customHeight="1" x14ac:dyDescent="0.3">
      <c r="A105">
        <v>122335220</v>
      </c>
      <c r="B105" s="1">
        <v>44817</v>
      </c>
      <c r="C105" s="1">
        <v>44821</v>
      </c>
      <c r="D105" t="s">
        <v>7</v>
      </c>
      <c r="E105">
        <v>39</v>
      </c>
      <c r="F105" t="s">
        <v>6</v>
      </c>
      <c r="G105">
        <f t="shared" si="6"/>
        <v>4</v>
      </c>
      <c r="H105" s="1" t="str">
        <f t="shared" si="7"/>
        <v>Tuesday</v>
      </c>
      <c r="I105" t="str">
        <f t="shared" si="8"/>
        <v>No</v>
      </c>
      <c r="J105">
        <f t="shared" si="9"/>
        <v>0</v>
      </c>
      <c r="K105">
        <f t="shared" si="10"/>
        <v>0</v>
      </c>
      <c r="L105">
        <f t="shared" si="11"/>
        <v>4</v>
      </c>
    </row>
    <row r="106" spans="1:12" x14ac:dyDescent="0.3">
      <c r="A106">
        <v>155460904</v>
      </c>
      <c r="B106" s="1">
        <v>44817</v>
      </c>
      <c r="C106" s="1">
        <v>45091</v>
      </c>
      <c r="D106" t="s">
        <v>7</v>
      </c>
      <c r="E106">
        <v>39</v>
      </c>
      <c r="F106" t="s">
        <v>6</v>
      </c>
      <c r="G106">
        <f t="shared" si="6"/>
        <v>274</v>
      </c>
      <c r="H106" s="1" t="str">
        <f t="shared" si="7"/>
        <v>Tuesday</v>
      </c>
      <c r="I106" t="str">
        <f t="shared" si="8"/>
        <v>No</v>
      </c>
      <c r="J106">
        <f t="shared" si="9"/>
        <v>0</v>
      </c>
      <c r="K106">
        <f t="shared" si="10"/>
        <v>1</v>
      </c>
      <c r="L106">
        <f t="shared" si="11"/>
        <v>274</v>
      </c>
    </row>
    <row r="107" spans="1:12" ht="14.4" customHeight="1" x14ac:dyDescent="0.3">
      <c r="A107">
        <v>155534484</v>
      </c>
      <c r="B107" s="1">
        <v>44818</v>
      </c>
      <c r="C107" s="1">
        <v>44819</v>
      </c>
      <c r="D107" t="s">
        <v>8</v>
      </c>
      <c r="E107">
        <v>39</v>
      </c>
      <c r="F107" t="s">
        <v>6</v>
      </c>
      <c r="G107">
        <f t="shared" si="6"/>
        <v>1</v>
      </c>
      <c r="H107" s="1" t="str">
        <f t="shared" si="7"/>
        <v>Wednesday</v>
      </c>
      <c r="I107" t="str">
        <f t="shared" si="8"/>
        <v>No</v>
      </c>
      <c r="J107">
        <f t="shared" si="9"/>
        <v>1</v>
      </c>
      <c r="K107">
        <f t="shared" si="10"/>
        <v>0</v>
      </c>
      <c r="L107">
        <f t="shared" si="11"/>
        <v>1</v>
      </c>
    </row>
    <row r="108" spans="1:12" x14ac:dyDescent="0.3">
      <c r="A108">
        <v>155465332</v>
      </c>
      <c r="B108" s="1">
        <v>44818</v>
      </c>
      <c r="C108" s="1">
        <v>44991</v>
      </c>
      <c r="D108" t="s">
        <v>7</v>
      </c>
      <c r="E108">
        <v>39</v>
      </c>
      <c r="F108" t="s">
        <v>6</v>
      </c>
      <c r="G108">
        <f t="shared" si="6"/>
        <v>173</v>
      </c>
      <c r="H108" s="1" t="str">
        <f t="shared" si="7"/>
        <v>Wednesday</v>
      </c>
      <c r="I108" t="str">
        <f t="shared" si="8"/>
        <v>No</v>
      </c>
      <c r="J108">
        <f t="shared" si="9"/>
        <v>0</v>
      </c>
      <c r="K108">
        <f t="shared" si="10"/>
        <v>1</v>
      </c>
      <c r="L108">
        <f t="shared" si="11"/>
        <v>173</v>
      </c>
    </row>
    <row r="109" spans="1:12" x14ac:dyDescent="0.3">
      <c r="A109">
        <v>155562517</v>
      </c>
      <c r="B109" s="1">
        <v>44818</v>
      </c>
      <c r="C109" s="1">
        <v>44902</v>
      </c>
      <c r="D109" t="s">
        <v>7</v>
      </c>
      <c r="E109">
        <v>39</v>
      </c>
      <c r="F109" t="s">
        <v>6</v>
      </c>
      <c r="G109">
        <f t="shared" si="6"/>
        <v>84</v>
      </c>
      <c r="H109" s="1" t="str">
        <f t="shared" si="7"/>
        <v>Wednesday</v>
      </c>
      <c r="I109" t="str">
        <f t="shared" si="8"/>
        <v>No</v>
      </c>
      <c r="J109">
        <f t="shared" si="9"/>
        <v>0</v>
      </c>
      <c r="K109">
        <f t="shared" si="10"/>
        <v>1</v>
      </c>
      <c r="L109">
        <f t="shared" si="11"/>
        <v>84</v>
      </c>
    </row>
    <row r="110" spans="1:12" x14ac:dyDescent="0.3">
      <c r="A110">
        <v>153577096</v>
      </c>
      <c r="B110" s="1">
        <v>44818</v>
      </c>
      <c r="C110" s="1">
        <v>44855</v>
      </c>
      <c r="D110" t="s">
        <v>7</v>
      </c>
      <c r="E110">
        <v>39</v>
      </c>
      <c r="F110" t="s">
        <v>6</v>
      </c>
      <c r="G110">
        <f t="shared" si="6"/>
        <v>37</v>
      </c>
      <c r="H110" s="1" t="str">
        <f t="shared" si="7"/>
        <v>Wednesday</v>
      </c>
      <c r="I110" t="str">
        <f t="shared" si="8"/>
        <v>No</v>
      </c>
      <c r="J110">
        <f t="shared" si="9"/>
        <v>0</v>
      </c>
      <c r="K110">
        <f t="shared" si="10"/>
        <v>1</v>
      </c>
      <c r="L110">
        <f t="shared" si="11"/>
        <v>37</v>
      </c>
    </row>
    <row r="111" spans="1:12" ht="14.4" customHeight="1" x14ac:dyDescent="0.3">
      <c r="A111">
        <v>154937101</v>
      </c>
      <c r="B111" s="1">
        <v>44819</v>
      </c>
      <c r="D111" t="s">
        <v>7</v>
      </c>
      <c r="E111">
        <v>39</v>
      </c>
      <c r="F111" t="s">
        <v>6</v>
      </c>
      <c r="G111" t="str">
        <f t="shared" si="6"/>
        <v/>
      </c>
      <c r="H111" s="1" t="str">
        <f t="shared" si="7"/>
        <v>Thursday</v>
      </c>
      <c r="I111" t="str">
        <f t="shared" si="8"/>
        <v>No</v>
      </c>
      <c r="J111">
        <f t="shared" si="9"/>
        <v>0</v>
      </c>
      <c r="K111">
        <f t="shared" si="10"/>
        <v>0</v>
      </c>
      <c r="L111" t="str">
        <f t="shared" si="11"/>
        <v/>
      </c>
    </row>
    <row r="112" spans="1:12" ht="14.4" customHeight="1" x14ac:dyDescent="0.3">
      <c r="A112">
        <v>144968444</v>
      </c>
      <c r="B112" s="1">
        <v>44819</v>
      </c>
      <c r="C112" s="1">
        <v>44819</v>
      </c>
      <c r="D112" t="s">
        <v>8</v>
      </c>
      <c r="E112">
        <v>39</v>
      </c>
      <c r="F112" t="s">
        <v>6</v>
      </c>
      <c r="G112">
        <f t="shared" si="6"/>
        <v>0</v>
      </c>
      <c r="H112" s="1" t="str">
        <f t="shared" si="7"/>
        <v>Thursday</v>
      </c>
      <c r="I112" t="str">
        <f t="shared" si="8"/>
        <v>Yes</v>
      </c>
      <c r="J112">
        <f t="shared" si="9"/>
        <v>1</v>
      </c>
      <c r="K112">
        <f t="shared" si="10"/>
        <v>0</v>
      </c>
      <c r="L112">
        <f t="shared" si="11"/>
        <v>0</v>
      </c>
    </row>
    <row r="113" spans="1:12" x14ac:dyDescent="0.3">
      <c r="A113">
        <v>155270889</v>
      </c>
      <c r="B113" s="1">
        <v>44819</v>
      </c>
      <c r="C113" s="1">
        <v>44991</v>
      </c>
      <c r="D113" t="s">
        <v>7</v>
      </c>
      <c r="E113">
        <v>39</v>
      </c>
      <c r="F113" t="s">
        <v>6</v>
      </c>
      <c r="G113">
        <f t="shared" si="6"/>
        <v>172</v>
      </c>
      <c r="H113" s="1" t="str">
        <f t="shared" si="7"/>
        <v>Thursday</v>
      </c>
      <c r="I113" t="str">
        <f t="shared" si="8"/>
        <v>No</v>
      </c>
      <c r="J113">
        <f t="shared" si="9"/>
        <v>0</v>
      </c>
      <c r="K113">
        <f t="shared" si="10"/>
        <v>1</v>
      </c>
      <c r="L113">
        <f t="shared" si="11"/>
        <v>172</v>
      </c>
    </row>
    <row r="114" spans="1:12" x14ac:dyDescent="0.3">
      <c r="A114">
        <v>155601465</v>
      </c>
      <c r="B114" s="1">
        <v>44819</v>
      </c>
      <c r="C114" s="1">
        <v>45078</v>
      </c>
      <c r="D114" t="s">
        <v>7</v>
      </c>
      <c r="E114">
        <v>39</v>
      </c>
      <c r="F114" t="s">
        <v>6</v>
      </c>
      <c r="G114">
        <f t="shared" si="6"/>
        <v>259</v>
      </c>
      <c r="H114" s="1" t="str">
        <f t="shared" si="7"/>
        <v>Thursday</v>
      </c>
      <c r="I114" t="str">
        <f t="shared" si="8"/>
        <v>No</v>
      </c>
      <c r="J114">
        <f t="shared" si="9"/>
        <v>0</v>
      </c>
      <c r="K114">
        <f t="shared" si="10"/>
        <v>1</v>
      </c>
      <c r="L114">
        <f t="shared" si="11"/>
        <v>259</v>
      </c>
    </row>
    <row r="115" spans="1:12" x14ac:dyDescent="0.3">
      <c r="A115">
        <v>154045370</v>
      </c>
      <c r="B115" s="1">
        <v>44819</v>
      </c>
      <c r="C115" s="1">
        <v>44893</v>
      </c>
      <c r="D115" t="s">
        <v>7</v>
      </c>
      <c r="E115">
        <v>39</v>
      </c>
      <c r="F115" t="s">
        <v>6</v>
      </c>
      <c r="G115">
        <f t="shared" si="6"/>
        <v>74</v>
      </c>
      <c r="H115" s="1" t="str">
        <f t="shared" si="7"/>
        <v>Thursday</v>
      </c>
      <c r="I115" t="str">
        <f t="shared" si="8"/>
        <v>No</v>
      </c>
      <c r="J115">
        <f t="shared" si="9"/>
        <v>0</v>
      </c>
      <c r="K115">
        <f t="shared" si="10"/>
        <v>1</v>
      </c>
      <c r="L115">
        <f t="shared" si="11"/>
        <v>74</v>
      </c>
    </row>
    <row r="116" spans="1:12" x14ac:dyDescent="0.3">
      <c r="A116">
        <v>155612742</v>
      </c>
      <c r="B116" s="1">
        <v>44819</v>
      </c>
      <c r="C116" s="1">
        <v>44873</v>
      </c>
      <c r="D116" t="s">
        <v>7</v>
      </c>
      <c r="E116">
        <v>39</v>
      </c>
      <c r="F116" t="s">
        <v>6</v>
      </c>
      <c r="G116">
        <f t="shared" si="6"/>
        <v>54</v>
      </c>
      <c r="H116" s="1" t="str">
        <f t="shared" si="7"/>
        <v>Thursday</v>
      </c>
      <c r="I116" t="str">
        <f t="shared" si="8"/>
        <v>No</v>
      </c>
      <c r="J116">
        <f t="shared" si="9"/>
        <v>0</v>
      </c>
      <c r="K116">
        <f t="shared" si="10"/>
        <v>1</v>
      </c>
      <c r="L116">
        <f t="shared" si="11"/>
        <v>54</v>
      </c>
    </row>
    <row r="117" spans="1:12" x14ac:dyDescent="0.3">
      <c r="A117">
        <v>155621162</v>
      </c>
      <c r="B117" s="1">
        <v>44819</v>
      </c>
      <c r="C117" s="1">
        <v>44879</v>
      </c>
      <c r="D117" t="s">
        <v>7</v>
      </c>
      <c r="E117">
        <v>39</v>
      </c>
      <c r="F117" t="s">
        <v>6</v>
      </c>
      <c r="G117">
        <f t="shared" si="6"/>
        <v>60</v>
      </c>
      <c r="H117" s="1" t="str">
        <f t="shared" si="7"/>
        <v>Thursday</v>
      </c>
      <c r="I117" t="str">
        <f t="shared" si="8"/>
        <v>No</v>
      </c>
      <c r="J117">
        <f t="shared" si="9"/>
        <v>0</v>
      </c>
      <c r="K117">
        <f t="shared" si="10"/>
        <v>1</v>
      </c>
      <c r="L117">
        <f t="shared" si="11"/>
        <v>60</v>
      </c>
    </row>
    <row r="118" spans="1:12" x14ac:dyDescent="0.3">
      <c r="A118">
        <v>154904040</v>
      </c>
      <c r="B118" s="1">
        <v>44819</v>
      </c>
      <c r="C118" s="1">
        <v>44856</v>
      </c>
      <c r="D118" t="s">
        <v>7</v>
      </c>
      <c r="E118">
        <v>39</v>
      </c>
      <c r="F118" t="s">
        <v>6</v>
      </c>
      <c r="G118">
        <f t="shared" si="6"/>
        <v>37</v>
      </c>
      <c r="H118" s="1" t="str">
        <f t="shared" si="7"/>
        <v>Thursday</v>
      </c>
      <c r="I118" t="str">
        <f t="shared" si="8"/>
        <v>No</v>
      </c>
      <c r="J118">
        <f t="shared" si="9"/>
        <v>0</v>
      </c>
      <c r="K118">
        <f t="shared" si="10"/>
        <v>1</v>
      </c>
      <c r="L118">
        <f t="shared" si="11"/>
        <v>37</v>
      </c>
    </row>
    <row r="119" spans="1:12" ht="14.4" customHeight="1" x14ac:dyDescent="0.3">
      <c r="A119">
        <v>150810434</v>
      </c>
      <c r="B119" s="1">
        <v>44819</v>
      </c>
      <c r="C119" s="1">
        <v>44846</v>
      </c>
      <c r="D119" t="s">
        <v>7</v>
      </c>
      <c r="E119">
        <v>39</v>
      </c>
      <c r="F119" t="s">
        <v>6</v>
      </c>
      <c r="G119">
        <f t="shared" si="6"/>
        <v>27</v>
      </c>
      <c r="H119" s="1" t="str">
        <f t="shared" si="7"/>
        <v>Thursday</v>
      </c>
      <c r="I119" t="str">
        <f t="shared" si="8"/>
        <v>No</v>
      </c>
      <c r="J119">
        <f t="shared" si="9"/>
        <v>0</v>
      </c>
      <c r="K119">
        <f t="shared" si="10"/>
        <v>0</v>
      </c>
      <c r="L119">
        <f t="shared" si="11"/>
        <v>27</v>
      </c>
    </row>
    <row r="120" spans="1:12" ht="14.4" customHeight="1" x14ac:dyDescent="0.3">
      <c r="A120">
        <v>150825802</v>
      </c>
      <c r="B120" s="1">
        <v>44819</v>
      </c>
      <c r="C120" s="1">
        <v>44847</v>
      </c>
      <c r="D120" t="s">
        <v>7</v>
      </c>
      <c r="E120">
        <v>39</v>
      </c>
      <c r="F120" t="s">
        <v>6</v>
      </c>
      <c r="G120">
        <f t="shared" si="6"/>
        <v>28</v>
      </c>
      <c r="H120" s="1" t="str">
        <f t="shared" si="7"/>
        <v>Thursday</v>
      </c>
      <c r="I120" t="str">
        <f t="shared" si="8"/>
        <v>No</v>
      </c>
      <c r="J120">
        <f t="shared" si="9"/>
        <v>0</v>
      </c>
      <c r="K120">
        <f t="shared" si="10"/>
        <v>0</v>
      </c>
      <c r="L120">
        <f t="shared" si="11"/>
        <v>28</v>
      </c>
    </row>
    <row r="121" spans="1:12" ht="14.4" customHeight="1" x14ac:dyDescent="0.3">
      <c r="A121">
        <v>151907203</v>
      </c>
      <c r="B121" s="1">
        <v>44819</v>
      </c>
      <c r="C121" s="1">
        <v>44845</v>
      </c>
      <c r="D121" t="s">
        <v>7</v>
      </c>
      <c r="E121">
        <v>39</v>
      </c>
      <c r="F121" t="s">
        <v>6</v>
      </c>
      <c r="G121">
        <f t="shared" si="6"/>
        <v>26</v>
      </c>
      <c r="H121" s="1" t="str">
        <f t="shared" si="7"/>
        <v>Thursday</v>
      </c>
      <c r="I121" t="str">
        <f t="shared" si="8"/>
        <v>No</v>
      </c>
      <c r="J121">
        <f t="shared" si="9"/>
        <v>0</v>
      </c>
      <c r="K121">
        <f t="shared" si="10"/>
        <v>0</v>
      </c>
      <c r="L121">
        <f t="shared" si="11"/>
        <v>26</v>
      </c>
    </row>
    <row r="122" spans="1:12" ht="14.4" customHeight="1" x14ac:dyDescent="0.3">
      <c r="A122">
        <v>149595273</v>
      </c>
      <c r="B122" s="1">
        <v>44819</v>
      </c>
      <c r="C122" s="1">
        <v>44833</v>
      </c>
      <c r="D122" t="s">
        <v>7</v>
      </c>
      <c r="E122">
        <v>39</v>
      </c>
      <c r="F122" t="s">
        <v>6</v>
      </c>
      <c r="G122">
        <f t="shared" si="6"/>
        <v>14</v>
      </c>
      <c r="H122" s="1" t="str">
        <f t="shared" si="7"/>
        <v>Thursday</v>
      </c>
      <c r="I122" t="str">
        <f t="shared" si="8"/>
        <v>No</v>
      </c>
      <c r="J122">
        <f t="shared" si="9"/>
        <v>0</v>
      </c>
      <c r="K122">
        <f t="shared" si="10"/>
        <v>0</v>
      </c>
      <c r="L122">
        <f t="shared" si="11"/>
        <v>14</v>
      </c>
    </row>
    <row r="123" spans="1:12" ht="14.4" customHeight="1" x14ac:dyDescent="0.3">
      <c r="A123">
        <v>155596960</v>
      </c>
      <c r="B123" s="1">
        <v>44819</v>
      </c>
      <c r="C123" s="1">
        <v>44827</v>
      </c>
      <c r="D123" t="s">
        <v>7</v>
      </c>
      <c r="E123">
        <v>39</v>
      </c>
      <c r="F123" t="s">
        <v>6</v>
      </c>
      <c r="G123">
        <f t="shared" si="6"/>
        <v>8</v>
      </c>
      <c r="H123" s="1" t="str">
        <f t="shared" si="7"/>
        <v>Thursday</v>
      </c>
      <c r="I123" t="str">
        <f t="shared" si="8"/>
        <v>No</v>
      </c>
      <c r="J123">
        <f t="shared" si="9"/>
        <v>0</v>
      </c>
      <c r="K123">
        <f t="shared" si="10"/>
        <v>0</v>
      </c>
      <c r="L123">
        <f t="shared" si="11"/>
        <v>8</v>
      </c>
    </row>
    <row r="124" spans="1:12" ht="14.4" customHeight="1" x14ac:dyDescent="0.3">
      <c r="A124">
        <v>155192606</v>
      </c>
      <c r="B124" s="1">
        <v>44820</v>
      </c>
      <c r="D124" t="s">
        <v>7</v>
      </c>
      <c r="E124">
        <v>39</v>
      </c>
      <c r="F124" t="s">
        <v>6</v>
      </c>
      <c r="G124" t="str">
        <f t="shared" si="6"/>
        <v/>
      </c>
      <c r="H124" s="1" t="str">
        <f t="shared" si="7"/>
        <v>Friday</v>
      </c>
      <c r="I124" t="str">
        <f t="shared" si="8"/>
        <v>No</v>
      </c>
      <c r="J124">
        <f t="shared" si="9"/>
        <v>0</v>
      </c>
      <c r="K124">
        <f t="shared" si="10"/>
        <v>0</v>
      </c>
      <c r="L124" t="str">
        <f t="shared" si="11"/>
        <v/>
      </c>
    </row>
    <row r="125" spans="1:12" x14ac:dyDescent="0.3">
      <c r="A125">
        <v>129111644</v>
      </c>
      <c r="B125" s="1">
        <v>44820</v>
      </c>
      <c r="C125" s="1">
        <v>45008</v>
      </c>
      <c r="D125" t="s">
        <v>7</v>
      </c>
      <c r="E125">
        <v>39</v>
      </c>
      <c r="F125" t="s">
        <v>6</v>
      </c>
      <c r="G125">
        <f t="shared" si="6"/>
        <v>188</v>
      </c>
      <c r="H125" s="1" t="str">
        <f t="shared" si="7"/>
        <v>Friday</v>
      </c>
      <c r="I125" t="str">
        <f t="shared" si="8"/>
        <v>No</v>
      </c>
      <c r="J125">
        <f t="shared" si="9"/>
        <v>0</v>
      </c>
      <c r="K125">
        <f t="shared" si="10"/>
        <v>1</v>
      </c>
      <c r="L125">
        <f t="shared" si="11"/>
        <v>188</v>
      </c>
    </row>
    <row r="126" spans="1:12" x14ac:dyDescent="0.3">
      <c r="A126">
        <v>155426674</v>
      </c>
      <c r="B126" s="1">
        <v>44820</v>
      </c>
      <c r="C126" s="1">
        <v>45026</v>
      </c>
      <c r="D126" t="s">
        <v>7</v>
      </c>
      <c r="E126">
        <v>39</v>
      </c>
      <c r="F126" t="s">
        <v>6</v>
      </c>
      <c r="G126">
        <f t="shared" si="6"/>
        <v>206</v>
      </c>
      <c r="H126" s="1" t="str">
        <f t="shared" si="7"/>
        <v>Friday</v>
      </c>
      <c r="I126" t="str">
        <f t="shared" si="8"/>
        <v>No</v>
      </c>
      <c r="J126">
        <f t="shared" si="9"/>
        <v>0</v>
      </c>
      <c r="K126">
        <f t="shared" si="10"/>
        <v>1</v>
      </c>
      <c r="L126">
        <f t="shared" si="11"/>
        <v>206</v>
      </c>
    </row>
    <row r="127" spans="1:12" x14ac:dyDescent="0.3">
      <c r="A127">
        <v>154389303</v>
      </c>
      <c r="B127" s="1">
        <v>44820</v>
      </c>
      <c r="C127" s="1">
        <v>44931</v>
      </c>
      <c r="D127" t="s">
        <v>7</v>
      </c>
      <c r="E127">
        <v>39</v>
      </c>
      <c r="F127" t="s">
        <v>6</v>
      </c>
      <c r="G127">
        <f t="shared" si="6"/>
        <v>111</v>
      </c>
      <c r="H127" s="1" t="str">
        <f t="shared" si="7"/>
        <v>Friday</v>
      </c>
      <c r="I127" t="str">
        <f t="shared" si="8"/>
        <v>No</v>
      </c>
      <c r="J127">
        <f t="shared" si="9"/>
        <v>0</v>
      </c>
      <c r="K127">
        <f t="shared" si="10"/>
        <v>1</v>
      </c>
      <c r="L127">
        <f t="shared" si="11"/>
        <v>111</v>
      </c>
    </row>
    <row r="128" spans="1:12" x14ac:dyDescent="0.3">
      <c r="A128">
        <v>155671632</v>
      </c>
      <c r="B128" s="1">
        <v>44820</v>
      </c>
      <c r="C128" s="1">
        <v>44917</v>
      </c>
      <c r="D128" t="s">
        <v>7</v>
      </c>
      <c r="E128">
        <v>39</v>
      </c>
      <c r="F128" t="s">
        <v>6</v>
      </c>
      <c r="G128">
        <f t="shared" si="6"/>
        <v>97</v>
      </c>
      <c r="H128" s="1" t="str">
        <f t="shared" si="7"/>
        <v>Friday</v>
      </c>
      <c r="I128" t="str">
        <f t="shared" si="8"/>
        <v>No</v>
      </c>
      <c r="J128">
        <f t="shared" si="9"/>
        <v>0</v>
      </c>
      <c r="K128">
        <f t="shared" si="10"/>
        <v>1</v>
      </c>
      <c r="L128">
        <f t="shared" si="11"/>
        <v>97</v>
      </c>
    </row>
    <row r="129" spans="1:12" ht="14.4" customHeight="1" x14ac:dyDescent="0.3">
      <c r="A129">
        <v>155663101</v>
      </c>
      <c r="B129" s="1">
        <v>44820</v>
      </c>
      <c r="C129" s="1">
        <v>44838</v>
      </c>
      <c r="D129" t="s">
        <v>7</v>
      </c>
      <c r="E129">
        <v>39</v>
      </c>
      <c r="F129" t="s">
        <v>6</v>
      </c>
      <c r="G129">
        <f t="shared" si="6"/>
        <v>18</v>
      </c>
      <c r="H129" s="1" t="str">
        <f t="shared" si="7"/>
        <v>Friday</v>
      </c>
      <c r="I129" t="str">
        <f t="shared" si="8"/>
        <v>No</v>
      </c>
      <c r="J129">
        <f t="shared" si="9"/>
        <v>0</v>
      </c>
      <c r="K129">
        <f t="shared" si="10"/>
        <v>0</v>
      </c>
      <c r="L129">
        <f t="shared" si="11"/>
        <v>18</v>
      </c>
    </row>
    <row r="130" spans="1:12" ht="14.4" customHeight="1" x14ac:dyDescent="0.3">
      <c r="A130">
        <v>152084572</v>
      </c>
      <c r="B130" s="1">
        <v>44821</v>
      </c>
      <c r="D130" t="s">
        <v>7</v>
      </c>
      <c r="E130">
        <v>39</v>
      </c>
      <c r="F130" t="s">
        <v>6</v>
      </c>
      <c r="G130" t="str">
        <f t="shared" ref="G130:G193" si="12">IF(C130="","",C130-B130)</f>
        <v/>
      </c>
      <c r="H130" s="1" t="str">
        <f t="shared" si="7"/>
        <v>Saturday</v>
      </c>
      <c r="I130" t="str">
        <f t="shared" si="8"/>
        <v>No</v>
      </c>
      <c r="J130">
        <f t="shared" si="9"/>
        <v>0</v>
      </c>
      <c r="K130">
        <f t="shared" si="10"/>
        <v>0</v>
      </c>
      <c r="L130" t="str">
        <f t="shared" si="11"/>
        <v/>
      </c>
    </row>
    <row r="131" spans="1:12" x14ac:dyDescent="0.3">
      <c r="A131">
        <v>155783230</v>
      </c>
      <c r="B131" s="1">
        <v>44821</v>
      </c>
      <c r="C131" s="1">
        <v>45058</v>
      </c>
      <c r="D131" t="s">
        <v>7</v>
      </c>
      <c r="E131">
        <v>39</v>
      </c>
      <c r="F131" t="s">
        <v>6</v>
      </c>
      <c r="G131">
        <f t="shared" si="12"/>
        <v>237</v>
      </c>
      <c r="H131" s="1" t="str">
        <f t="shared" ref="H131:H194" si="13">TEXT(B131,"dddd")</f>
        <v>Saturday</v>
      </c>
      <c r="I131" t="str">
        <f t="shared" ref="I131:I194" si="14">IF(B131=C131,"Yes","No")</f>
        <v>No</v>
      </c>
      <c r="J131">
        <f t="shared" ref="J131:J194" si="15">IF(AND(C131&lt;&gt;"",C131-B131&lt;=2),1,0)</f>
        <v>0</v>
      </c>
      <c r="K131">
        <f t="shared" ref="K131:K194" si="16">IF(AND(C131&lt;&gt;"",C131-B131&gt;30),1,0)</f>
        <v>1</v>
      </c>
      <c r="L131">
        <f t="shared" ref="L131:L194" si="17">IF(C131="","",C131-B131)</f>
        <v>237</v>
      </c>
    </row>
    <row r="132" spans="1:12" x14ac:dyDescent="0.3">
      <c r="A132">
        <v>155714315</v>
      </c>
      <c r="B132" s="1">
        <v>44821</v>
      </c>
      <c r="C132" s="1">
        <v>44940</v>
      </c>
      <c r="D132" t="s">
        <v>7</v>
      </c>
      <c r="E132">
        <v>39</v>
      </c>
      <c r="F132" t="s">
        <v>6</v>
      </c>
      <c r="G132">
        <f t="shared" si="12"/>
        <v>119</v>
      </c>
      <c r="H132" s="1" t="str">
        <f t="shared" si="13"/>
        <v>Saturday</v>
      </c>
      <c r="I132" t="str">
        <f t="shared" si="14"/>
        <v>No</v>
      </c>
      <c r="J132">
        <f t="shared" si="15"/>
        <v>0</v>
      </c>
      <c r="K132">
        <f t="shared" si="16"/>
        <v>1</v>
      </c>
      <c r="L132">
        <f t="shared" si="17"/>
        <v>119</v>
      </c>
    </row>
    <row r="133" spans="1:12" x14ac:dyDescent="0.3">
      <c r="A133">
        <v>155774393</v>
      </c>
      <c r="B133" s="1">
        <v>44821</v>
      </c>
      <c r="C133" s="1">
        <v>44852</v>
      </c>
      <c r="D133" t="s">
        <v>7</v>
      </c>
      <c r="E133">
        <v>39</v>
      </c>
      <c r="F133" t="s">
        <v>6</v>
      </c>
      <c r="G133">
        <f t="shared" si="12"/>
        <v>31</v>
      </c>
      <c r="H133" s="1" t="str">
        <f t="shared" si="13"/>
        <v>Saturday</v>
      </c>
      <c r="I133" t="str">
        <f t="shared" si="14"/>
        <v>No</v>
      </c>
      <c r="J133">
        <f t="shared" si="15"/>
        <v>0</v>
      </c>
      <c r="K133">
        <f t="shared" si="16"/>
        <v>1</v>
      </c>
      <c r="L133">
        <f t="shared" si="17"/>
        <v>31</v>
      </c>
    </row>
    <row r="134" spans="1:12" x14ac:dyDescent="0.3">
      <c r="A134">
        <v>152901090</v>
      </c>
      <c r="B134" s="1">
        <v>44822</v>
      </c>
      <c r="C134" s="1">
        <v>44951</v>
      </c>
      <c r="D134" t="s">
        <v>7</v>
      </c>
      <c r="E134">
        <v>39</v>
      </c>
      <c r="F134" t="s">
        <v>6</v>
      </c>
      <c r="G134">
        <f t="shared" si="12"/>
        <v>129</v>
      </c>
      <c r="H134" s="1" t="str">
        <f t="shared" si="13"/>
        <v>Sunday</v>
      </c>
      <c r="I134" t="str">
        <f t="shared" si="14"/>
        <v>No</v>
      </c>
      <c r="J134">
        <f t="shared" si="15"/>
        <v>0</v>
      </c>
      <c r="K134">
        <f t="shared" si="16"/>
        <v>1</v>
      </c>
      <c r="L134">
        <f t="shared" si="17"/>
        <v>129</v>
      </c>
    </row>
    <row r="135" spans="1:12" x14ac:dyDescent="0.3">
      <c r="A135">
        <v>147029752</v>
      </c>
      <c r="B135" s="1">
        <v>44822</v>
      </c>
      <c r="C135" s="1">
        <v>44886</v>
      </c>
      <c r="D135" t="s">
        <v>7</v>
      </c>
      <c r="E135">
        <v>39</v>
      </c>
      <c r="F135" t="s">
        <v>6</v>
      </c>
      <c r="G135">
        <f t="shared" si="12"/>
        <v>64</v>
      </c>
      <c r="H135" s="1" t="str">
        <f t="shared" si="13"/>
        <v>Sunday</v>
      </c>
      <c r="I135" t="str">
        <f t="shared" si="14"/>
        <v>No</v>
      </c>
      <c r="J135">
        <f t="shared" si="15"/>
        <v>0</v>
      </c>
      <c r="K135">
        <f t="shared" si="16"/>
        <v>1</v>
      </c>
      <c r="L135">
        <f t="shared" si="17"/>
        <v>64</v>
      </c>
    </row>
    <row r="136" spans="1:12" x14ac:dyDescent="0.3">
      <c r="A136">
        <v>155809043</v>
      </c>
      <c r="B136" s="1">
        <v>44822</v>
      </c>
      <c r="C136" s="1">
        <v>44903</v>
      </c>
      <c r="D136" t="s">
        <v>7</v>
      </c>
      <c r="E136">
        <v>39</v>
      </c>
      <c r="F136" t="s">
        <v>6</v>
      </c>
      <c r="G136">
        <f t="shared" si="12"/>
        <v>81</v>
      </c>
      <c r="H136" s="1" t="str">
        <f t="shared" si="13"/>
        <v>Sunday</v>
      </c>
      <c r="I136" t="str">
        <f t="shared" si="14"/>
        <v>No</v>
      </c>
      <c r="J136">
        <f t="shared" si="15"/>
        <v>0</v>
      </c>
      <c r="K136">
        <f t="shared" si="16"/>
        <v>1</v>
      </c>
      <c r="L136">
        <f t="shared" si="17"/>
        <v>81</v>
      </c>
    </row>
    <row r="137" spans="1:12" x14ac:dyDescent="0.3">
      <c r="A137">
        <v>155180991</v>
      </c>
      <c r="B137" s="1">
        <v>44822</v>
      </c>
      <c r="C137" s="1">
        <v>44877</v>
      </c>
      <c r="D137" t="s">
        <v>7</v>
      </c>
      <c r="E137">
        <v>39</v>
      </c>
      <c r="F137" t="s">
        <v>6</v>
      </c>
      <c r="G137">
        <f t="shared" si="12"/>
        <v>55</v>
      </c>
      <c r="H137" s="1" t="str">
        <f t="shared" si="13"/>
        <v>Sunday</v>
      </c>
      <c r="I137" t="str">
        <f t="shared" si="14"/>
        <v>No</v>
      </c>
      <c r="J137">
        <f t="shared" si="15"/>
        <v>0</v>
      </c>
      <c r="K137">
        <f t="shared" si="16"/>
        <v>1</v>
      </c>
      <c r="L137">
        <f t="shared" si="17"/>
        <v>55</v>
      </c>
    </row>
    <row r="138" spans="1:12" ht="14.4" customHeight="1" x14ac:dyDescent="0.3">
      <c r="A138">
        <v>155713732</v>
      </c>
      <c r="B138" s="1">
        <v>44822</v>
      </c>
      <c r="C138" s="1">
        <v>44834</v>
      </c>
      <c r="D138" t="s">
        <v>7</v>
      </c>
      <c r="E138">
        <v>39</v>
      </c>
      <c r="F138" t="s">
        <v>6</v>
      </c>
      <c r="G138">
        <f t="shared" si="12"/>
        <v>12</v>
      </c>
      <c r="H138" s="1" t="str">
        <f t="shared" si="13"/>
        <v>Sunday</v>
      </c>
      <c r="I138" t="str">
        <f t="shared" si="14"/>
        <v>No</v>
      </c>
      <c r="J138">
        <f t="shared" si="15"/>
        <v>0</v>
      </c>
      <c r="K138">
        <f t="shared" si="16"/>
        <v>0</v>
      </c>
      <c r="L138">
        <f t="shared" si="17"/>
        <v>12</v>
      </c>
    </row>
    <row r="139" spans="1:12" ht="14.4" customHeight="1" x14ac:dyDescent="0.3">
      <c r="A139">
        <v>155204060</v>
      </c>
      <c r="B139" s="1">
        <v>44822</v>
      </c>
      <c r="C139" s="1">
        <v>44851</v>
      </c>
      <c r="D139" t="s">
        <v>7</v>
      </c>
      <c r="E139">
        <v>39</v>
      </c>
      <c r="F139" t="s">
        <v>6</v>
      </c>
      <c r="G139">
        <f t="shared" si="12"/>
        <v>29</v>
      </c>
      <c r="H139" s="1" t="str">
        <f t="shared" si="13"/>
        <v>Sunday</v>
      </c>
      <c r="I139" t="str">
        <f t="shared" si="14"/>
        <v>No</v>
      </c>
      <c r="J139">
        <f t="shared" si="15"/>
        <v>0</v>
      </c>
      <c r="K139">
        <f t="shared" si="16"/>
        <v>0</v>
      </c>
      <c r="L139">
        <f t="shared" si="17"/>
        <v>29</v>
      </c>
    </row>
    <row r="140" spans="1:12" ht="14.4" customHeight="1" x14ac:dyDescent="0.3">
      <c r="A140">
        <v>136817161</v>
      </c>
      <c r="B140" s="1">
        <v>44823</v>
      </c>
      <c r="C140" s="1">
        <v>44851</v>
      </c>
      <c r="D140" t="s">
        <v>8</v>
      </c>
      <c r="E140">
        <v>39</v>
      </c>
      <c r="F140" t="s">
        <v>6</v>
      </c>
      <c r="G140">
        <f t="shared" si="12"/>
        <v>28</v>
      </c>
      <c r="H140" s="1" t="str">
        <f t="shared" si="13"/>
        <v>Monday</v>
      </c>
      <c r="I140" t="str">
        <f t="shared" si="14"/>
        <v>No</v>
      </c>
      <c r="J140">
        <f t="shared" si="15"/>
        <v>0</v>
      </c>
      <c r="K140">
        <f t="shared" si="16"/>
        <v>0</v>
      </c>
      <c r="L140">
        <f t="shared" si="17"/>
        <v>28</v>
      </c>
    </row>
    <row r="141" spans="1:12" ht="14.4" customHeight="1" x14ac:dyDescent="0.3">
      <c r="A141">
        <v>126212861</v>
      </c>
      <c r="B141" s="1">
        <v>44823</v>
      </c>
      <c r="C141" s="1">
        <v>44823</v>
      </c>
      <c r="D141" t="s">
        <v>7</v>
      </c>
      <c r="E141">
        <v>39</v>
      </c>
      <c r="F141" t="s">
        <v>6</v>
      </c>
      <c r="G141">
        <f t="shared" si="12"/>
        <v>0</v>
      </c>
      <c r="H141" s="1" t="str">
        <f t="shared" si="13"/>
        <v>Monday</v>
      </c>
      <c r="I141" t="str">
        <f t="shared" si="14"/>
        <v>Yes</v>
      </c>
      <c r="J141">
        <f t="shared" si="15"/>
        <v>1</v>
      </c>
      <c r="K141">
        <f t="shared" si="16"/>
        <v>0</v>
      </c>
      <c r="L141">
        <f t="shared" si="17"/>
        <v>0</v>
      </c>
    </row>
    <row r="142" spans="1:12" x14ac:dyDescent="0.3">
      <c r="A142">
        <v>155265877</v>
      </c>
      <c r="B142" s="1">
        <v>44823</v>
      </c>
      <c r="C142" s="1">
        <v>44967</v>
      </c>
      <c r="D142" t="s">
        <v>7</v>
      </c>
      <c r="E142">
        <v>39</v>
      </c>
      <c r="F142" t="s">
        <v>6</v>
      </c>
      <c r="G142">
        <f t="shared" si="12"/>
        <v>144</v>
      </c>
      <c r="H142" s="1" t="str">
        <f t="shared" si="13"/>
        <v>Monday</v>
      </c>
      <c r="I142" t="str">
        <f t="shared" si="14"/>
        <v>No</v>
      </c>
      <c r="J142">
        <f t="shared" si="15"/>
        <v>0</v>
      </c>
      <c r="K142">
        <f t="shared" si="16"/>
        <v>1</v>
      </c>
      <c r="L142">
        <f t="shared" si="17"/>
        <v>144</v>
      </c>
    </row>
    <row r="143" spans="1:12" x14ac:dyDescent="0.3">
      <c r="A143">
        <v>155916753</v>
      </c>
      <c r="B143" s="1">
        <v>44823</v>
      </c>
      <c r="C143" s="1">
        <v>44976</v>
      </c>
      <c r="D143" t="s">
        <v>7</v>
      </c>
      <c r="E143">
        <v>39</v>
      </c>
      <c r="F143" t="s">
        <v>6</v>
      </c>
      <c r="G143">
        <f t="shared" si="12"/>
        <v>153</v>
      </c>
      <c r="H143" s="1" t="str">
        <f t="shared" si="13"/>
        <v>Monday</v>
      </c>
      <c r="I143" t="str">
        <f t="shared" si="14"/>
        <v>No</v>
      </c>
      <c r="J143">
        <f t="shared" si="15"/>
        <v>0</v>
      </c>
      <c r="K143">
        <f t="shared" si="16"/>
        <v>1</v>
      </c>
      <c r="L143">
        <f t="shared" si="17"/>
        <v>153</v>
      </c>
    </row>
    <row r="144" spans="1:12" x14ac:dyDescent="0.3">
      <c r="A144">
        <v>155927984</v>
      </c>
      <c r="B144" s="1">
        <v>44823</v>
      </c>
      <c r="C144" s="1">
        <v>44912</v>
      </c>
      <c r="D144" t="s">
        <v>7</v>
      </c>
      <c r="E144">
        <v>39</v>
      </c>
      <c r="F144" t="s">
        <v>6</v>
      </c>
      <c r="G144">
        <f t="shared" si="12"/>
        <v>89</v>
      </c>
      <c r="H144" s="1" t="str">
        <f t="shared" si="13"/>
        <v>Monday</v>
      </c>
      <c r="I144" t="str">
        <f t="shared" si="14"/>
        <v>No</v>
      </c>
      <c r="J144">
        <f t="shared" si="15"/>
        <v>0</v>
      </c>
      <c r="K144">
        <f t="shared" si="16"/>
        <v>1</v>
      </c>
      <c r="L144">
        <f t="shared" si="17"/>
        <v>89</v>
      </c>
    </row>
    <row r="145" spans="1:12" x14ac:dyDescent="0.3">
      <c r="A145">
        <v>155876104</v>
      </c>
      <c r="B145" s="1">
        <v>44823</v>
      </c>
      <c r="C145" s="1">
        <v>44909</v>
      </c>
      <c r="D145" t="s">
        <v>7</v>
      </c>
      <c r="E145">
        <v>39</v>
      </c>
      <c r="F145" t="s">
        <v>6</v>
      </c>
      <c r="G145">
        <f t="shared" si="12"/>
        <v>86</v>
      </c>
      <c r="H145" s="1" t="str">
        <f t="shared" si="13"/>
        <v>Monday</v>
      </c>
      <c r="I145" t="str">
        <f t="shared" si="14"/>
        <v>No</v>
      </c>
      <c r="J145">
        <f t="shared" si="15"/>
        <v>0</v>
      </c>
      <c r="K145">
        <f t="shared" si="16"/>
        <v>1</v>
      </c>
      <c r="L145">
        <f t="shared" si="17"/>
        <v>86</v>
      </c>
    </row>
    <row r="146" spans="1:12" ht="14.4" customHeight="1" x14ac:dyDescent="0.3">
      <c r="A146">
        <v>155733164</v>
      </c>
      <c r="B146" s="1">
        <v>44823</v>
      </c>
      <c r="C146" s="1">
        <v>44823</v>
      </c>
      <c r="D146" t="s">
        <v>7</v>
      </c>
      <c r="E146">
        <v>39</v>
      </c>
      <c r="F146" t="s">
        <v>6</v>
      </c>
      <c r="G146">
        <f t="shared" si="12"/>
        <v>0</v>
      </c>
      <c r="H146" s="1" t="str">
        <f t="shared" si="13"/>
        <v>Monday</v>
      </c>
      <c r="I146" t="str">
        <f t="shared" si="14"/>
        <v>Yes</v>
      </c>
      <c r="J146">
        <f t="shared" si="15"/>
        <v>1</v>
      </c>
      <c r="K146">
        <f t="shared" si="16"/>
        <v>0</v>
      </c>
      <c r="L146">
        <f t="shared" si="17"/>
        <v>0</v>
      </c>
    </row>
    <row r="147" spans="1:12" ht="14.4" customHeight="1" x14ac:dyDescent="0.3">
      <c r="A147">
        <v>153832728</v>
      </c>
      <c r="B147" s="1">
        <v>44823</v>
      </c>
      <c r="C147" s="1">
        <v>44852</v>
      </c>
      <c r="D147" t="s">
        <v>7</v>
      </c>
      <c r="E147">
        <v>39</v>
      </c>
      <c r="F147" t="s">
        <v>6</v>
      </c>
      <c r="G147">
        <f t="shared" si="12"/>
        <v>29</v>
      </c>
      <c r="H147" s="1" t="str">
        <f t="shared" si="13"/>
        <v>Monday</v>
      </c>
      <c r="I147" t="str">
        <f t="shared" si="14"/>
        <v>No</v>
      </c>
      <c r="J147">
        <f t="shared" si="15"/>
        <v>0</v>
      </c>
      <c r="K147">
        <f t="shared" si="16"/>
        <v>0</v>
      </c>
      <c r="L147">
        <f t="shared" si="17"/>
        <v>29</v>
      </c>
    </row>
    <row r="148" spans="1:12" x14ac:dyDescent="0.3">
      <c r="A148">
        <v>155876188</v>
      </c>
      <c r="B148" s="1">
        <v>44823</v>
      </c>
      <c r="C148" s="1">
        <v>44854</v>
      </c>
      <c r="D148" t="s">
        <v>7</v>
      </c>
      <c r="E148">
        <v>39</v>
      </c>
      <c r="F148" t="s">
        <v>6</v>
      </c>
      <c r="G148">
        <f t="shared" si="12"/>
        <v>31</v>
      </c>
      <c r="H148" s="1" t="str">
        <f t="shared" si="13"/>
        <v>Monday</v>
      </c>
      <c r="I148" t="str">
        <f t="shared" si="14"/>
        <v>No</v>
      </c>
      <c r="J148">
        <f t="shared" si="15"/>
        <v>0</v>
      </c>
      <c r="K148">
        <f t="shared" si="16"/>
        <v>1</v>
      </c>
      <c r="L148">
        <f t="shared" si="17"/>
        <v>31</v>
      </c>
    </row>
    <row r="149" spans="1:12" ht="14.4" customHeight="1" x14ac:dyDescent="0.3">
      <c r="A149">
        <v>150687940</v>
      </c>
      <c r="B149" s="1">
        <v>44823</v>
      </c>
      <c r="C149" s="1">
        <v>44852</v>
      </c>
      <c r="D149" t="s">
        <v>7</v>
      </c>
      <c r="E149">
        <v>39</v>
      </c>
      <c r="F149" t="s">
        <v>6</v>
      </c>
      <c r="G149">
        <f t="shared" si="12"/>
        <v>29</v>
      </c>
      <c r="H149" s="1" t="str">
        <f t="shared" si="13"/>
        <v>Monday</v>
      </c>
      <c r="I149" t="str">
        <f t="shared" si="14"/>
        <v>No</v>
      </c>
      <c r="J149">
        <f t="shared" si="15"/>
        <v>0</v>
      </c>
      <c r="K149">
        <f t="shared" si="16"/>
        <v>0</v>
      </c>
      <c r="L149">
        <f t="shared" si="17"/>
        <v>29</v>
      </c>
    </row>
    <row r="150" spans="1:12" ht="14.4" customHeight="1" x14ac:dyDescent="0.3">
      <c r="A150">
        <v>155967446</v>
      </c>
      <c r="B150" s="1">
        <v>44824</v>
      </c>
      <c r="D150" t="s">
        <v>7</v>
      </c>
      <c r="E150">
        <v>39</v>
      </c>
      <c r="F150" t="s">
        <v>6</v>
      </c>
      <c r="G150" t="str">
        <f t="shared" si="12"/>
        <v/>
      </c>
      <c r="H150" s="1" t="str">
        <f t="shared" si="13"/>
        <v>Tuesday</v>
      </c>
      <c r="I150" t="str">
        <f t="shared" si="14"/>
        <v>No</v>
      </c>
      <c r="J150">
        <f t="shared" si="15"/>
        <v>0</v>
      </c>
      <c r="K150">
        <f t="shared" si="16"/>
        <v>0</v>
      </c>
      <c r="L150" t="str">
        <f t="shared" si="17"/>
        <v/>
      </c>
    </row>
    <row r="151" spans="1:12" x14ac:dyDescent="0.3">
      <c r="A151">
        <v>155687378</v>
      </c>
      <c r="B151" s="1">
        <v>44824</v>
      </c>
      <c r="C151" s="1">
        <v>45012</v>
      </c>
      <c r="D151" t="s">
        <v>7</v>
      </c>
      <c r="E151">
        <v>39</v>
      </c>
      <c r="F151" t="s">
        <v>6</v>
      </c>
      <c r="G151">
        <f t="shared" si="12"/>
        <v>188</v>
      </c>
      <c r="H151" s="1" t="str">
        <f t="shared" si="13"/>
        <v>Tuesday</v>
      </c>
      <c r="I151" t="str">
        <f t="shared" si="14"/>
        <v>No</v>
      </c>
      <c r="J151">
        <f t="shared" si="15"/>
        <v>0</v>
      </c>
      <c r="K151">
        <f t="shared" si="16"/>
        <v>1</v>
      </c>
      <c r="L151">
        <f t="shared" si="17"/>
        <v>188</v>
      </c>
    </row>
    <row r="152" spans="1:12" x14ac:dyDescent="0.3">
      <c r="A152">
        <v>156020667</v>
      </c>
      <c r="B152" s="1">
        <v>44824</v>
      </c>
      <c r="C152" s="1">
        <v>45055</v>
      </c>
      <c r="D152" t="s">
        <v>7</v>
      </c>
      <c r="E152">
        <v>39</v>
      </c>
      <c r="F152" t="s">
        <v>6</v>
      </c>
      <c r="G152">
        <f t="shared" si="12"/>
        <v>231</v>
      </c>
      <c r="H152" s="1" t="str">
        <f t="shared" si="13"/>
        <v>Tuesday</v>
      </c>
      <c r="I152" t="str">
        <f t="shared" si="14"/>
        <v>No</v>
      </c>
      <c r="J152">
        <f t="shared" si="15"/>
        <v>0</v>
      </c>
      <c r="K152">
        <f t="shared" si="16"/>
        <v>1</v>
      </c>
      <c r="L152">
        <f t="shared" si="17"/>
        <v>231</v>
      </c>
    </row>
    <row r="153" spans="1:12" x14ac:dyDescent="0.3">
      <c r="A153">
        <v>155869412</v>
      </c>
      <c r="B153" s="1">
        <v>44824</v>
      </c>
      <c r="C153" s="1">
        <v>44916</v>
      </c>
      <c r="D153" t="s">
        <v>7</v>
      </c>
      <c r="E153">
        <v>39</v>
      </c>
      <c r="F153" t="s">
        <v>6</v>
      </c>
      <c r="G153">
        <f t="shared" si="12"/>
        <v>92</v>
      </c>
      <c r="H153" s="1" t="str">
        <f t="shared" si="13"/>
        <v>Tuesday</v>
      </c>
      <c r="I153" t="str">
        <f t="shared" si="14"/>
        <v>No</v>
      </c>
      <c r="J153">
        <f t="shared" si="15"/>
        <v>0</v>
      </c>
      <c r="K153">
        <f t="shared" si="16"/>
        <v>1</v>
      </c>
      <c r="L153">
        <f t="shared" si="17"/>
        <v>92</v>
      </c>
    </row>
    <row r="154" spans="1:12" x14ac:dyDescent="0.3">
      <c r="A154">
        <v>156042204</v>
      </c>
      <c r="B154" s="1">
        <v>44824</v>
      </c>
      <c r="C154" s="1">
        <v>44873</v>
      </c>
      <c r="D154" t="s">
        <v>7</v>
      </c>
      <c r="E154">
        <v>39</v>
      </c>
      <c r="F154" t="s">
        <v>6</v>
      </c>
      <c r="G154">
        <f t="shared" si="12"/>
        <v>49</v>
      </c>
      <c r="H154" s="1" t="str">
        <f t="shared" si="13"/>
        <v>Tuesday</v>
      </c>
      <c r="I154" t="str">
        <f t="shared" si="14"/>
        <v>No</v>
      </c>
      <c r="J154">
        <f t="shared" si="15"/>
        <v>0</v>
      </c>
      <c r="K154">
        <f t="shared" si="16"/>
        <v>1</v>
      </c>
      <c r="L154">
        <f t="shared" si="17"/>
        <v>49</v>
      </c>
    </row>
    <row r="155" spans="1:12" ht="14.4" customHeight="1" x14ac:dyDescent="0.3">
      <c r="A155">
        <v>153568990</v>
      </c>
      <c r="B155" s="1">
        <v>44824</v>
      </c>
      <c r="C155" s="1">
        <v>44834</v>
      </c>
      <c r="D155" t="s">
        <v>7</v>
      </c>
      <c r="E155">
        <v>39</v>
      </c>
      <c r="F155" t="s">
        <v>6</v>
      </c>
      <c r="G155">
        <f t="shared" si="12"/>
        <v>10</v>
      </c>
      <c r="H155" s="1" t="str">
        <f t="shared" si="13"/>
        <v>Tuesday</v>
      </c>
      <c r="I155" t="str">
        <f t="shared" si="14"/>
        <v>No</v>
      </c>
      <c r="J155">
        <f t="shared" si="15"/>
        <v>0</v>
      </c>
      <c r="K155">
        <f t="shared" si="16"/>
        <v>0</v>
      </c>
      <c r="L155">
        <f t="shared" si="17"/>
        <v>10</v>
      </c>
    </row>
    <row r="156" spans="1:12" x14ac:dyDescent="0.3">
      <c r="A156">
        <v>155327111</v>
      </c>
      <c r="B156" s="1">
        <v>44824</v>
      </c>
      <c r="C156" s="1">
        <v>44865</v>
      </c>
      <c r="D156" t="s">
        <v>7</v>
      </c>
      <c r="E156">
        <v>39</v>
      </c>
      <c r="F156" t="s">
        <v>6</v>
      </c>
      <c r="G156">
        <f t="shared" si="12"/>
        <v>41</v>
      </c>
      <c r="H156" s="1" t="str">
        <f t="shared" si="13"/>
        <v>Tuesday</v>
      </c>
      <c r="I156" t="str">
        <f t="shared" si="14"/>
        <v>No</v>
      </c>
      <c r="J156">
        <f t="shared" si="15"/>
        <v>0</v>
      </c>
      <c r="K156">
        <f t="shared" si="16"/>
        <v>1</v>
      </c>
      <c r="L156">
        <f t="shared" si="17"/>
        <v>41</v>
      </c>
    </row>
    <row r="157" spans="1:12" x14ac:dyDescent="0.3">
      <c r="A157">
        <v>155270521</v>
      </c>
      <c r="B157" s="1">
        <v>44824</v>
      </c>
      <c r="C157" s="1">
        <v>45146</v>
      </c>
      <c r="D157" t="s">
        <v>7</v>
      </c>
      <c r="E157">
        <v>39</v>
      </c>
      <c r="F157" t="s">
        <v>6</v>
      </c>
      <c r="G157">
        <f t="shared" si="12"/>
        <v>322</v>
      </c>
      <c r="H157" s="1" t="str">
        <f t="shared" si="13"/>
        <v>Tuesday</v>
      </c>
      <c r="I157" t="str">
        <f t="shared" si="14"/>
        <v>No</v>
      </c>
      <c r="J157">
        <f t="shared" si="15"/>
        <v>0</v>
      </c>
      <c r="K157">
        <f t="shared" si="16"/>
        <v>1</v>
      </c>
      <c r="L157">
        <f t="shared" si="17"/>
        <v>322</v>
      </c>
    </row>
    <row r="158" spans="1:12" x14ac:dyDescent="0.3">
      <c r="A158">
        <v>155991618</v>
      </c>
      <c r="B158" s="1">
        <v>44825</v>
      </c>
      <c r="C158" s="1">
        <v>45105</v>
      </c>
      <c r="D158" t="s">
        <v>7</v>
      </c>
      <c r="E158">
        <v>39</v>
      </c>
      <c r="F158" t="s">
        <v>6</v>
      </c>
      <c r="G158">
        <f t="shared" si="12"/>
        <v>280</v>
      </c>
      <c r="H158" s="1" t="str">
        <f t="shared" si="13"/>
        <v>Wednesday</v>
      </c>
      <c r="I158" t="str">
        <f t="shared" si="14"/>
        <v>No</v>
      </c>
      <c r="J158">
        <f t="shared" si="15"/>
        <v>0</v>
      </c>
      <c r="K158">
        <f t="shared" si="16"/>
        <v>1</v>
      </c>
      <c r="L158">
        <f t="shared" si="17"/>
        <v>280</v>
      </c>
    </row>
    <row r="159" spans="1:12" x14ac:dyDescent="0.3">
      <c r="A159">
        <v>156045144</v>
      </c>
      <c r="B159" s="1">
        <v>44825</v>
      </c>
      <c r="C159" s="1">
        <v>44901</v>
      </c>
      <c r="D159" t="s">
        <v>7</v>
      </c>
      <c r="E159">
        <v>39</v>
      </c>
      <c r="F159" t="s">
        <v>6</v>
      </c>
      <c r="G159">
        <f t="shared" si="12"/>
        <v>76</v>
      </c>
      <c r="H159" s="1" t="str">
        <f t="shared" si="13"/>
        <v>Wednesday</v>
      </c>
      <c r="I159" t="str">
        <f t="shared" si="14"/>
        <v>No</v>
      </c>
      <c r="J159">
        <f t="shared" si="15"/>
        <v>0</v>
      </c>
      <c r="K159">
        <f t="shared" si="16"/>
        <v>1</v>
      </c>
      <c r="L159">
        <f t="shared" si="17"/>
        <v>76</v>
      </c>
    </row>
    <row r="160" spans="1:12" x14ac:dyDescent="0.3">
      <c r="A160">
        <v>155439932</v>
      </c>
      <c r="B160" s="1">
        <v>44825</v>
      </c>
      <c r="C160" s="1">
        <v>44879</v>
      </c>
      <c r="D160" t="s">
        <v>7</v>
      </c>
      <c r="E160">
        <v>39</v>
      </c>
      <c r="F160" t="s">
        <v>6</v>
      </c>
      <c r="G160">
        <f t="shared" si="12"/>
        <v>54</v>
      </c>
      <c r="H160" s="1" t="str">
        <f t="shared" si="13"/>
        <v>Wednesday</v>
      </c>
      <c r="I160" t="str">
        <f t="shared" si="14"/>
        <v>No</v>
      </c>
      <c r="J160">
        <f t="shared" si="15"/>
        <v>0</v>
      </c>
      <c r="K160">
        <f t="shared" si="16"/>
        <v>1</v>
      </c>
      <c r="L160">
        <f t="shared" si="17"/>
        <v>54</v>
      </c>
    </row>
    <row r="161" spans="1:12" ht="14.4" customHeight="1" x14ac:dyDescent="0.3">
      <c r="A161">
        <v>152674430</v>
      </c>
      <c r="B161" s="1">
        <v>44825</v>
      </c>
      <c r="C161" s="1">
        <v>44837</v>
      </c>
      <c r="D161" t="s">
        <v>7</v>
      </c>
      <c r="E161">
        <v>39</v>
      </c>
      <c r="F161" t="s">
        <v>6</v>
      </c>
      <c r="G161">
        <f t="shared" si="12"/>
        <v>12</v>
      </c>
      <c r="H161" s="1" t="str">
        <f t="shared" si="13"/>
        <v>Wednesday</v>
      </c>
      <c r="I161" t="str">
        <f t="shared" si="14"/>
        <v>No</v>
      </c>
      <c r="J161">
        <f t="shared" si="15"/>
        <v>0</v>
      </c>
      <c r="K161">
        <f t="shared" si="16"/>
        <v>0</v>
      </c>
      <c r="L161">
        <f t="shared" si="17"/>
        <v>12</v>
      </c>
    </row>
    <row r="162" spans="1:12" ht="14.4" customHeight="1" x14ac:dyDescent="0.3">
      <c r="A162">
        <v>156135106</v>
      </c>
      <c r="B162" s="1">
        <v>44826</v>
      </c>
      <c r="D162" t="s">
        <v>7</v>
      </c>
      <c r="E162">
        <v>39</v>
      </c>
      <c r="F162" t="s">
        <v>6</v>
      </c>
      <c r="G162" t="str">
        <f t="shared" si="12"/>
        <v/>
      </c>
      <c r="H162" s="1" t="str">
        <f t="shared" si="13"/>
        <v>Thursday</v>
      </c>
      <c r="I162" t="str">
        <f t="shared" si="14"/>
        <v>No</v>
      </c>
      <c r="J162">
        <f t="shared" si="15"/>
        <v>0</v>
      </c>
      <c r="K162">
        <f t="shared" si="16"/>
        <v>0</v>
      </c>
      <c r="L162" t="str">
        <f t="shared" si="17"/>
        <v/>
      </c>
    </row>
    <row r="163" spans="1:12" x14ac:dyDescent="0.3">
      <c r="A163">
        <v>156185490</v>
      </c>
      <c r="B163" s="1">
        <v>44826</v>
      </c>
      <c r="C163" s="1">
        <v>45048</v>
      </c>
      <c r="D163" t="s">
        <v>7</v>
      </c>
      <c r="E163">
        <v>39</v>
      </c>
      <c r="F163" t="s">
        <v>6</v>
      </c>
      <c r="G163">
        <f t="shared" si="12"/>
        <v>222</v>
      </c>
      <c r="H163" s="1" t="str">
        <f t="shared" si="13"/>
        <v>Thursday</v>
      </c>
      <c r="I163" t="str">
        <f t="shared" si="14"/>
        <v>No</v>
      </c>
      <c r="J163">
        <f t="shared" si="15"/>
        <v>0</v>
      </c>
      <c r="K163">
        <f t="shared" si="16"/>
        <v>1</v>
      </c>
      <c r="L163">
        <f t="shared" si="17"/>
        <v>222</v>
      </c>
    </row>
    <row r="164" spans="1:12" x14ac:dyDescent="0.3">
      <c r="A164">
        <v>156180312</v>
      </c>
      <c r="B164" s="1">
        <v>44826</v>
      </c>
      <c r="C164" s="1">
        <v>44880</v>
      </c>
      <c r="D164" t="s">
        <v>7</v>
      </c>
      <c r="E164">
        <v>39</v>
      </c>
      <c r="F164" t="s">
        <v>6</v>
      </c>
      <c r="G164">
        <f t="shared" si="12"/>
        <v>54</v>
      </c>
      <c r="H164" s="1" t="str">
        <f t="shared" si="13"/>
        <v>Thursday</v>
      </c>
      <c r="I164" t="str">
        <f t="shared" si="14"/>
        <v>No</v>
      </c>
      <c r="J164">
        <f t="shared" si="15"/>
        <v>0</v>
      </c>
      <c r="K164">
        <f t="shared" si="16"/>
        <v>1</v>
      </c>
      <c r="L164">
        <f t="shared" si="17"/>
        <v>54</v>
      </c>
    </row>
    <row r="165" spans="1:12" x14ac:dyDescent="0.3">
      <c r="A165">
        <v>151263484</v>
      </c>
      <c r="B165" s="1">
        <v>44826</v>
      </c>
      <c r="C165" s="1">
        <v>44863</v>
      </c>
      <c r="D165" t="s">
        <v>7</v>
      </c>
      <c r="E165">
        <v>39</v>
      </c>
      <c r="F165" t="s">
        <v>6</v>
      </c>
      <c r="G165">
        <f t="shared" si="12"/>
        <v>37</v>
      </c>
      <c r="H165" s="1" t="str">
        <f t="shared" si="13"/>
        <v>Thursday</v>
      </c>
      <c r="I165" t="str">
        <f t="shared" si="14"/>
        <v>No</v>
      </c>
      <c r="J165">
        <f t="shared" si="15"/>
        <v>0</v>
      </c>
      <c r="K165">
        <f t="shared" si="16"/>
        <v>1</v>
      </c>
      <c r="L165">
        <f t="shared" si="17"/>
        <v>37</v>
      </c>
    </row>
    <row r="166" spans="1:12" ht="14.4" customHeight="1" x14ac:dyDescent="0.3">
      <c r="A166">
        <v>156008989</v>
      </c>
      <c r="B166" s="1">
        <v>44826</v>
      </c>
      <c r="C166" s="1">
        <v>44855</v>
      </c>
      <c r="D166" t="s">
        <v>7</v>
      </c>
      <c r="E166">
        <v>39</v>
      </c>
      <c r="F166" t="s">
        <v>6</v>
      </c>
      <c r="G166">
        <f t="shared" si="12"/>
        <v>29</v>
      </c>
      <c r="H166" s="1" t="str">
        <f t="shared" si="13"/>
        <v>Thursday</v>
      </c>
      <c r="I166" t="str">
        <f t="shared" si="14"/>
        <v>No</v>
      </c>
      <c r="J166">
        <f t="shared" si="15"/>
        <v>0</v>
      </c>
      <c r="K166">
        <f t="shared" si="16"/>
        <v>0</v>
      </c>
      <c r="L166">
        <f t="shared" si="17"/>
        <v>29</v>
      </c>
    </row>
    <row r="167" spans="1:12" x14ac:dyDescent="0.3">
      <c r="A167">
        <v>147687218</v>
      </c>
      <c r="B167" s="1">
        <v>44826</v>
      </c>
      <c r="C167" s="1">
        <v>44863</v>
      </c>
      <c r="D167" t="s">
        <v>7</v>
      </c>
      <c r="E167">
        <v>39</v>
      </c>
      <c r="F167" t="s">
        <v>6</v>
      </c>
      <c r="G167">
        <f t="shared" si="12"/>
        <v>37</v>
      </c>
      <c r="H167" s="1" t="str">
        <f t="shared" si="13"/>
        <v>Thursday</v>
      </c>
      <c r="I167" t="str">
        <f t="shared" si="14"/>
        <v>No</v>
      </c>
      <c r="J167">
        <f t="shared" si="15"/>
        <v>0</v>
      </c>
      <c r="K167">
        <f t="shared" si="16"/>
        <v>1</v>
      </c>
      <c r="L167">
        <f t="shared" si="17"/>
        <v>37</v>
      </c>
    </row>
    <row r="168" spans="1:12" ht="14.4" customHeight="1" x14ac:dyDescent="0.3">
      <c r="A168">
        <v>156235650</v>
      </c>
      <c r="B168" s="1">
        <v>44827</v>
      </c>
      <c r="D168" t="s">
        <v>7</v>
      </c>
      <c r="E168">
        <v>39</v>
      </c>
      <c r="F168" t="s">
        <v>6</v>
      </c>
      <c r="G168" t="str">
        <f t="shared" si="12"/>
        <v/>
      </c>
      <c r="H168" s="1" t="str">
        <f t="shared" si="13"/>
        <v>Friday</v>
      </c>
      <c r="I168" t="str">
        <f t="shared" si="14"/>
        <v>No</v>
      </c>
      <c r="J168">
        <f t="shared" si="15"/>
        <v>0</v>
      </c>
      <c r="K168">
        <f t="shared" si="16"/>
        <v>0</v>
      </c>
      <c r="L168" t="str">
        <f t="shared" si="17"/>
        <v/>
      </c>
    </row>
    <row r="169" spans="1:12" x14ac:dyDescent="0.3">
      <c r="A169">
        <v>131128612</v>
      </c>
      <c r="B169" s="1">
        <v>44827</v>
      </c>
      <c r="C169" s="1">
        <v>44942</v>
      </c>
      <c r="D169" t="s">
        <v>7</v>
      </c>
      <c r="E169">
        <v>39</v>
      </c>
      <c r="F169" t="s">
        <v>6</v>
      </c>
      <c r="G169">
        <f t="shared" si="12"/>
        <v>115</v>
      </c>
      <c r="H169" s="1" t="str">
        <f t="shared" si="13"/>
        <v>Friday</v>
      </c>
      <c r="I169" t="str">
        <f t="shared" si="14"/>
        <v>No</v>
      </c>
      <c r="J169">
        <f t="shared" si="15"/>
        <v>0</v>
      </c>
      <c r="K169">
        <f t="shared" si="16"/>
        <v>1</v>
      </c>
      <c r="L169">
        <f t="shared" si="17"/>
        <v>115</v>
      </c>
    </row>
    <row r="170" spans="1:12" x14ac:dyDescent="0.3">
      <c r="A170">
        <v>156198840</v>
      </c>
      <c r="B170" s="1">
        <v>44827</v>
      </c>
      <c r="C170" s="1">
        <v>44947</v>
      </c>
      <c r="D170" t="s">
        <v>7</v>
      </c>
      <c r="E170">
        <v>39</v>
      </c>
      <c r="F170" t="s">
        <v>6</v>
      </c>
      <c r="G170">
        <f t="shared" si="12"/>
        <v>120</v>
      </c>
      <c r="H170" s="1" t="str">
        <f t="shared" si="13"/>
        <v>Friday</v>
      </c>
      <c r="I170" t="str">
        <f t="shared" si="14"/>
        <v>No</v>
      </c>
      <c r="J170">
        <f t="shared" si="15"/>
        <v>0</v>
      </c>
      <c r="K170">
        <f t="shared" si="16"/>
        <v>1</v>
      </c>
      <c r="L170">
        <f t="shared" si="17"/>
        <v>120</v>
      </c>
    </row>
    <row r="171" spans="1:12" ht="14.4" customHeight="1" x14ac:dyDescent="0.3">
      <c r="A171">
        <v>144166296</v>
      </c>
      <c r="B171" s="1">
        <v>44827</v>
      </c>
      <c r="C171" s="1">
        <v>44853</v>
      </c>
      <c r="D171" t="s">
        <v>7</v>
      </c>
      <c r="E171">
        <v>39</v>
      </c>
      <c r="F171" t="s">
        <v>6</v>
      </c>
      <c r="G171">
        <f t="shared" si="12"/>
        <v>26</v>
      </c>
      <c r="H171" s="1" t="str">
        <f t="shared" si="13"/>
        <v>Friday</v>
      </c>
      <c r="I171" t="str">
        <f t="shared" si="14"/>
        <v>No</v>
      </c>
      <c r="J171">
        <f t="shared" si="15"/>
        <v>0</v>
      </c>
      <c r="K171">
        <f t="shared" si="16"/>
        <v>0</v>
      </c>
      <c r="L171">
        <f t="shared" si="17"/>
        <v>26</v>
      </c>
    </row>
    <row r="172" spans="1:12" x14ac:dyDescent="0.3">
      <c r="A172">
        <v>136108848</v>
      </c>
      <c r="B172" s="1">
        <v>44827</v>
      </c>
      <c r="C172" s="1">
        <v>44895</v>
      </c>
      <c r="D172" t="s">
        <v>7</v>
      </c>
      <c r="E172">
        <v>39</v>
      </c>
      <c r="F172" t="s">
        <v>6</v>
      </c>
      <c r="G172">
        <f t="shared" si="12"/>
        <v>68</v>
      </c>
      <c r="H172" s="1" t="str">
        <f t="shared" si="13"/>
        <v>Friday</v>
      </c>
      <c r="I172" t="str">
        <f t="shared" si="14"/>
        <v>No</v>
      </c>
      <c r="J172">
        <f t="shared" si="15"/>
        <v>0</v>
      </c>
      <c r="K172">
        <f t="shared" si="16"/>
        <v>1</v>
      </c>
      <c r="L172">
        <f t="shared" si="17"/>
        <v>68</v>
      </c>
    </row>
    <row r="173" spans="1:12" ht="14.4" customHeight="1" x14ac:dyDescent="0.3">
      <c r="A173">
        <v>156225482</v>
      </c>
      <c r="B173" s="1">
        <v>44827</v>
      </c>
      <c r="C173" s="1">
        <v>44848</v>
      </c>
      <c r="D173" t="s">
        <v>7</v>
      </c>
      <c r="E173">
        <v>39</v>
      </c>
      <c r="F173" t="s">
        <v>6</v>
      </c>
      <c r="G173">
        <f t="shared" si="12"/>
        <v>21</v>
      </c>
      <c r="H173" s="1" t="str">
        <f t="shared" si="13"/>
        <v>Friday</v>
      </c>
      <c r="I173" t="str">
        <f t="shared" si="14"/>
        <v>No</v>
      </c>
      <c r="J173">
        <f t="shared" si="15"/>
        <v>0</v>
      </c>
      <c r="K173">
        <f t="shared" si="16"/>
        <v>0</v>
      </c>
      <c r="L173">
        <f t="shared" si="17"/>
        <v>21</v>
      </c>
    </row>
    <row r="174" spans="1:12" x14ac:dyDescent="0.3">
      <c r="A174">
        <v>156209360</v>
      </c>
      <c r="B174" s="1">
        <v>44827</v>
      </c>
      <c r="C174" s="1">
        <v>44864</v>
      </c>
      <c r="D174" t="s">
        <v>7</v>
      </c>
      <c r="E174">
        <v>39</v>
      </c>
      <c r="F174" t="s">
        <v>6</v>
      </c>
      <c r="G174">
        <f t="shared" si="12"/>
        <v>37</v>
      </c>
      <c r="H174" s="1" t="str">
        <f t="shared" si="13"/>
        <v>Friday</v>
      </c>
      <c r="I174" t="str">
        <f t="shared" si="14"/>
        <v>No</v>
      </c>
      <c r="J174">
        <f t="shared" si="15"/>
        <v>0</v>
      </c>
      <c r="K174">
        <f t="shared" si="16"/>
        <v>1</v>
      </c>
      <c r="L174">
        <f t="shared" si="17"/>
        <v>37</v>
      </c>
    </row>
    <row r="175" spans="1:12" x14ac:dyDescent="0.3">
      <c r="A175">
        <v>153492199</v>
      </c>
      <c r="B175" s="1">
        <v>44828</v>
      </c>
      <c r="C175" s="1">
        <v>44896</v>
      </c>
      <c r="D175" t="s">
        <v>7</v>
      </c>
      <c r="E175">
        <v>39</v>
      </c>
      <c r="F175" t="s">
        <v>6</v>
      </c>
      <c r="G175">
        <f t="shared" si="12"/>
        <v>68</v>
      </c>
      <c r="H175" s="1" t="str">
        <f t="shared" si="13"/>
        <v>Saturday</v>
      </c>
      <c r="I175" t="str">
        <f t="shared" si="14"/>
        <v>No</v>
      </c>
      <c r="J175">
        <f t="shared" si="15"/>
        <v>0</v>
      </c>
      <c r="K175">
        <f t="shared" si="16"/>
        <v>1</v>
      </c>
      <c r="L175">
        <f t="shared" si="17"/>
        <v>68</v>
      </c>
    </row>
    <row r="176" spans="1:12" x14ac:dyDescent="0.3">
      <c r="A176">
        <v>156127439</v>
      </c>
      <c r="B176" s="1">
        <v>44828</v>
      </c>
      <c r="C176" s="1">
        <v>44866</v>
      </c>
      <c r="D176" t="s">
        <v>7</v>
      </c>
      <c r="E176">
        <v>39</v>
      </c>
      <c r="F176" t="s">
        <v>6</v>
      </c>
      <c r="G176">
        <f t="shared" si="12"/>
        <v>38</v>
      </c>
      <c r="H176" s="1" t="str">
        <f t="shared" si="13"/>
        <v>Saturday</v>
      </c>
      <c r="I176" t="str">
        <f t="shared" si="14"/>
        <v>No</v>
      </c>
      <c r="J176">
        <f t="shared" si="15"/>
        <v>0</v>
      </c>
      <c r="K176">
        <f t="shared" si="16"/>
        <v>1</v>
      </c>
      <c r="L176">
        <f t="shared" si="17"/>
        <v>38</v>
      </c>
    </row>
    <row r="177" spans="1:12" x14ac:dyDescent="0.3">
      <c r="A177">
        <v>156197748</v>
      </c>
      <c r="B177" s="1">
        <v>44828</v>
      </c>
      <c r="C177" s="1">
        <v>44860</v>
      </c>
      <c r="D177" t="s">
        <v>7</v>
      </c>
      <c r="E177">
        <v>39</v>
      </c>
      <c r="F177" t="s">
        <v>6</v>
      </c>
      <c r="G177">
        <f t="shared" si="12"/>
        <v>32</v>
      </c>
      <c r="H177" s="1" t="str">
        <f t="shared" si="13"/>
        <v>Saturday</v>
      </c>
      <c r="I177" t="str">
        <f t="shared" si="14"/>
        <v>No</v>
      </c>
      <c r="J177">
        <f t="shared" si="15"/>
        <v>0</v>
      </c>
      <c r="K177">
        <f t="shared" si="16"/>
        <v>1</v>
      </c>
      <c r="L177">
        <f t="shared" si="17"/>
        <v>32</v>
      </c>
    </row>
    <row r="178" spans="1:12" ht="14.4" customHeight="1" x14ac:dyDescent="0.3">
      <c r="A178">
        <v>156292980</v>
      </c>
      <c r="B178" s="1">
        <v>44829</v>
      </c>
      <c r="D178" t="s">
        <v>7</v>
      </c>
      <c r="E178">
        <v>39</v>
      </c>
      <c r="F178" t="s">
        <v>6</v>
      </c>
      <c r="G178" t="str">
        <f t="shared" si="12"/>
        <v/>
      </c>
      <c r="H178" s="1" t="str">
        <f t="shared" si="13"/>
        <v>Sunday</v>
      </c>
      <c r="I178" t="str">
        <f t="shared" si="14"/>
        <v>No</v>
      </c>
      <c r="J178">
        <f t="shared" si="15"/>
        <v>0</v>
      </c>
      <c r="K178">
        <f t="shared" si="16"/>
        <v>0</v>
      </c>
      <c r="L178" t="str">
        <f t="shared" si="17"/>
        <v/>
      </c>
    </row>
    <row r="179" spans="1:12" x14ac:dyDescent="0.3">
      <c r="A179">
        <v>129284681</v>
      </c>
      <c r="B179" s="1">
        <v>44829</v>
      </c>
      <c r="C179" s="1">
        <v>44866</v>
      </c>
      <c r="D179" t="s">
        <v>7</v>
      </c>
      <c r="E179">
        <v>39</v>
      </c>
      <c r="F179" t="s">
        <v>6</v>
      </c>
      <c r="G179">
        <f t="shared" si="12"/>
        <v>37</v>
      </c>
      <c r="H179" s="1" t="str">
        <f t="shared" si="13"/>
        <v>Sunday</v>
      </c>
      <c r="I179" t="str">
        <f t="shared" si="14"/>
        <v>No</v>
      </c>
      <c r="J179">
        <f t="shared" si="15"/>
        <v>0</v>
      </c>
      <c r="K179">
        <f t="shared" si="16"/>
        <v>1</v>
      </c>
      <c r="L179">
        <f t="shared" si="17"/>
        <v>37</v>
      </c>
    </row>
    <row r="180" spans="1:12" x14ac:dyDescent="0.3">
      <c r="A180">
        <v>156249750</v>
      </c>
      <c r="B180" s="1">
        <v>44829</v>
      </c>
      <c r="C180" s="1">
        <v>44867</v>
      </c>
      <c r="D180" t="s">
        <v>7</v>
      </c>
      <c r="E180">
        <v>39</v>
      </c>
      <c r="F180" t="s">
        <v>6</v>
      </c>
      <c r="G180">
        <f t="shared" si="12"/>
        <v>38</v>
      </c>
      <c r="H180" s="1" t="str">
        <f t="shared" si="13"/>
        <v>Sunday</v>
      </c>
      <c r="I180" t="str">
        <f t="shared" si="14"/>
        <v>No</v>
      </c>
      <c r="J180">
        <f t="shared" si="15"/>
        <v>0</v>
      </c>
      <c r="K180">
        <f t="shared" si="16"/>
        <v>1</v>
      </c>
      <c r="L180">
        <f t="shared" si="17"/>
        <v>38</v>
      </c>
    </row>
    <row r="181" spans="1:12" x14ac:dyDescent="0.3">
      <c r="A181">
        <v>155143974</v>
      </c>
      <c r="B181" s="1">
        <v>44829</v>
      </c>
      <c r="C181" s="1">
        <v>44883</v>
      </c>
      <c r="D181" t="s">
        <v>7</v>
      </c>
      <c r="E181">
        <v>39</v>
      </c>
      <c r="F181" t="s">
        <v>6</v>
      </c>
      <c r="G181">
        <f t="shared" si="12"/>
        <v>54</v>
      </c>
      <c r="H181" s="1" t="str">
        <f t="shared" si="13"/>
        <v>Sunday</v>
      </c>
      <c r="I181" t="str">
        <f t="shared" si="14"/>
        <v>No</v>
      </c>
      <c r="J181">
        <f t="shared" si="15"/>
        <v>0</v>
      </c>
      <c r="K181">
        <f t="shared" si="16"/>
        <v>1</v>
      </c>
      <c r="L181">
        <f t="shared" si="17"/>
        <v>54</v>
      </c>
    </row>
    <row r="182" spans="1:12" x14ac:dyDescent="0.3">
      <c r="A182">
        <v>151354965</v>
      </c>
      <c r="B182" s="1">
        <v>44829</v>
      </c>
      <c r="C182" s="1">
        <v>44863</v>
      </c>
      <c r="D182" t="s">
        <v>7</v>
      </c>
      <c r="E182">
        <v>39</v>
      </c>
      <c r="F182" t="s">
        <v>6</v>
      </c>
      <c r="G182">
        <f t="shared" si="12"/>
        <v>34</v>
      </c>
      <c r="H182" s="1" t="str">
        <f t="shared" si="13"/>
        <v>Sunday</v>
      </c>
      <c r="I182" t="str">
        <f t="shared" si="14"/>
        <v>No</v>
      </c>
      <c r="J182">
        <f t="shared" si="15"/>
        <v>0</v>
      </c>
      <c r="K182">
        <f t="shared" si="16"/>
        <v>1</v>
      </c>
      <c r="L182">
        <f t="shared" si="17"/>
        <v>34</v>
      </c>
    </row>
    <row r="183" spans="1:12" ht="14.4" customHeight="1" x14ac:dyDescent="0.3">
      <c r="A183">
        <v>156178486</v>
      </c>
      <c r="B183" s="1">
        <v>44829</v>
      </c>
      <c r="C183" s="1">
        <v>44858</v>
      </c>
      <c r="D183" t="s">
        <v>7</v>
      </c>
      <c r="E183">
        <v>39</v>
      </c>
      <c r="F183" t="s">
        <v>6</v>
      </c>
      <c r="G183">
        <f t="shared" si="12"/>
        <v>29</v>
      </c>
      <c r="H183" s="1" t="str">
        <f t="shared" si="13"/>
        <v>Sunday</v>
      </c>
      <c r="I183" t="str">
        <f t="shared" si="14"/>
        <v>No</v>
      </c>
      <c r="J183">
        <f t="shared" si="15"/>
        <v>0</v>
      </c>
      <c r="K183">
        <f t="shared" si="16"/>
        <v>0</v>
      </c>
      <c r="L183">
        <f t="shared" si="17"/>
        <v>29</v>
      </c>
    </row>
    <row r="184" spans="1:12" x14ac:dyDescent="0.3">
      <c r="A184">
        <v>132314522</v>
      </c>
      <c r="B184" s="1">
        <v>44830</v>
      </c>
      <c r="C184" s="1">
        <v>44899</v>
      </c>
      <c r="D184" t="s">
        <v>7</v>
      </c>
      <c r="E184">
        <v>39</v>
      </c>
      <c r="F184" t="s">
        <v>6</v>
      </c>
      <c r="G184">
        <f t="shared" si="12"/>
        <v>69</v>
      </c>
      <c r="H184" s="1" t="str">
        <f t="shared" si="13"/>
        <v>Monday</v>
      </c>
      <c r="I184" t="str">
        <f t="shared" si="14"/>
        <v>No</v>
      </c>
      <c r="J184">
        <f t="shared" si="15"/>
        <v>0</v>
      </c>
      <c r="K184">
        <f t="shared" si="16"/>
        <v>1</v>
      </c>
      <c r="L184">
        <f t="shared" si="17"/>
        <v>69</v>
      </c>
    </row>
    <row r="185" spans="1:12" x14ac:dyDescent="0.3">
      <c r="A185">
        <v>152505897</v>
      </c>
      <c r="B185" s="1">
        <v>44830</v>
      </c>
      <c r="C185" s="1">
        <v>45023</v>
      </c>
      <c r="D185" t="s">
        <v>7</v>
      </c>
      <c r="E185">
        <v>39</v>
      </c>
      <c r="F185" t="s">
        <v>6</v>
      </c>
      <c r="G185">
        <f t="shared" si="12"/>
        <v>193</v>
      </c>
      <c r="H185" s="1" t="str">
        <f t="shared" si="13"/>
        <v>Monday</v>
      </c>
      <c r="I185" t="str">
        <f t="shared" si="14"/>
        <v>No</v>
      </c>
      <c r="J185">
        <f t="shared" si="15"/>
        <v>0</v>
      </c>
      <c r="K185">
        <f t="shared" si="16"/>
        <v>1</v>
      </c>
      <c r="L185">
        <f t="shared" si="17"/>
        <v>193</v>
      </c>
    </row>
    <row r="186" spans="1:12" x14ac:dyDescent="0.3">
      <c r="A186">
        <v>151086770</v>
      </c>
      <c r="B186" s="1">
        <v>44830</v>
      </c>
      <c r="C186" s="1">
        <v>44949</v>
      </c>
      <c r="D186" t="s">
        <v>7</v>
      </c>
      <c r="E186">
        <v>39</v>
      </c>
      <c r="F186" t="s">
        <v>6</v>
      </c>
      <c r="G186">
        <f t="shared" si="12"/>
        <v>119</v>
      </c>
      <c r="H186" s="1" t="str">
        <f t="shared" si="13"/>
        <v>Monday</v>
      </c>
      <c r="I186" t="str">
        <f t="shared" si="14"/>
        <v>No</v>
      </c>
      <c r="J186">
        <f t="shared" si="15"/>
        <v>0</v>
      </c>
      <c r="K186">
        <f t="shared" si="16"/>
        <v>1</v>
      </c>
      <c r="L186">
        <f t="shared" si="17"/>
        <v>119</v>
      </c>
    </row>
    <row r="187" spans="1:12" x14ac:dyDescent="0.3">
      <c r="A187">
        <v>148713821</v>
      </c>
      <c r="B187" s="1">
        <v>44830</v>
      </c>
      <c r="C187" s="1">
        <v>44967</v>
      </c>
      <c r="D187" t="s">
        <v>7</v>
      </c>
      <c r="E187">
        <v>39</v>
      </c>
      <c r="F187" t="s">
        <v>6</v>
      </c>
      <c r="G187">
        <f t="shared" si="12"/>
        <v>137</v>
      </c>
      <c r="H187" s="1" t="str">
        <f t="shared" si="13"/>
        <v>Monday</v>
      </c>
      <c r="I187" t="str">
        <f t="shared" si="14"/>
        <v>No</v>
      </c>
      <c r="J187">
        <f t="shared" si="15"/>
        <v>0</v>
      </c>
      <c r="K187">
        <f t="shared" si="16"/>
        <v>1</v>
      </c>
      <c r="L187">
        <f t="shared" si="17"/>
        <v>137</v>
      </c>
    </row>
    <row r="188" spans="1:12" x14ac:dyDescent="0.3">
      <c r="A188">
        <v>146422602</v>
      </c>
      <c r="B188" s="1">
        <v>44830</v>
      </c>
      <c r="C188" s="1">
        <v>44868</v>
      </c>
      <c r="D188" t="s">
        <v>7</v>
      </c>
      <c r="E188">
        <v>39</v>
      </c>
      <c r="F188" t="s">
        <v>6</v>
      </c>
      <c r="G188">
        <f t="shared" si="12"/>
        <v>38</v>
      </c>
      <c r="H188" s="1" t="str">
        <f t="shared" si="13"/>
        <v>Monday</v>
      </c>
      <c r="I188" t="str">
        <f t="shared" si="14"/>
        <v>No</v>
      </c>
      <c r="J188">
        <f t="shared" si="15"/>
        <v>0</v>
      </c>
      <c r="K188">
        <f t="shared" si="16"/>
        <v>1</v>
      </c>
      <c r="L188">
        <f t="shared" si="17"/>
        <v>38</v>
      </c>
    </row>
    <row r="189" spans="1:12" x14ac:dyDescent="0.3">
      <c r="A189">
        <v>156460574</v>
      </c>
      <c r="B189" s="1">
        <v>44830</v>
      </c>
      <c r="C189" s="1">
        <v>44882</v>
      </c>
      <c r="D189" t="s">
        <v>7</v>
      </c>
      <c r="E189">
        <v>39</v>
      </c>
      <c r="F189" t="s">
        <v>6</v>
      </c>
      <c r="G189">
        <f t="shared" si="12"/>
        <v>52</v>
      </c>
      <c r="H189" s="1" t="str">
        <f t="shared" si="13"/>
        <v>Monday</v>
      </c>
      <c r="I189" t="str">
        <f t="shared" si="14"/>
        <v>No</v>
      </c>
      <c r="J189">
        <f t="shared" si="15"/>
        <v>0</v>
      </c>
      <c r="K189">
        <f t="shared" si="16"/>
        <v>1</v>
      </c>
      <c r="L189">
        <f t="shared" si="17"/>
        <v>52</v>
      </c>
    </row>
    <row r="190" spans="1:12" x14ac:dyDescent="0.3">
      <c r="A190">
        <v>156364063</v>
      </c>
      <c r="B190" s="1">
        <v>44830</v>
      </c>
      <c r="C190" s="1">
        <v>44879</v>
      </c>
      <c r="D190" t="s">
        <v>7</v>
      </c>
      <c r="E190">
        <v>39</v>
      </c>
      <c r="F190" t="s">
        <v>6</v>
      </c>
      <c r="G190">
        <f t="shared" si="12"/>
        <v>49</v>
      </c>
      <c r="H190" s="1" t="str">
        <f t="shared" si="13"/>
        <v>Monday</v>
      </c>
      <c r="I190" t="str">
        <f t="shared" si="14"/>
        <v>No</v>
      </c>
      <c r="J190">
        <f t="shared" si="15"/>
        <v>0</v>
      </c>
      <c r="K190">
        <f t="shared" si="16"/>
        <v>1</v>
      </c>
      <c r="L190">
        <f t="shared" si="17"/>
        <v>49</v>
      </c>
    </row>
    <row r="191" spans="1:12" ht="14.4" customHeight="1" x14ac:dyDescent="0.3">
      <c r="A191">
        <v>149139298</v>
      </c>
      <c r="B191" s="1">
        <v>44830</v>
      </c>
      <c r="C191" s="1">
        <v>44860</v>
      </c>
      <c r="D191" t="s">
        <v>7</v>
      </c>
      <c r="E191">
        <v>39</v>
      </c>
      <c r="F191" t="s">
        <v>6</v>
      </c>
      <c r="G191">
        <f t="shared" si="12"/>
        <v>30</v>
      </c>
      <c r="H191" s="1" t="str">
        <f t="shared" si="13"/>
        <v>Monday</v>
      </c>
      <c r="I191" t="str">
        <f t="shared" si="14"/>
        <v>No</v>
      </c>
      <c r="J191">
        <f t="shared" si="15"/>
        <v>0</v>
      </c>
      <c r="K191">
        <f t="shared" si="16"/>
        <v>0</v>
      </c>
      <c r="L191">
        <f t="shared" si="17"/>
        <v>30</v>
      </c>
    </row>
    <row r="192" spans="1:12" ht="14.4" customHeight="1" x14ac:dyDescent="0.3">
      <c r="A192">
        <v>156371514</v>
      </c>
      <c r="B192" s="1">
        <v>44830</v>
      </c>
      <c r="C192" s="1">
        <v>44858</v>
      </c>
      <c r="D192" t="s">
        <v>7</v>
      </c>
      <c r="E192">
        <v>39</v>
      </c>
      <c r="F192" t="s">
        <v>6</v>
      </c>
      <c r="G192">
        <f t="shared" si="12"/>
        <v>28</v>
      </c>
      <c r="H192" s="1" t="str">
        <f t="shared" si="13"/>
        <v>Monday</v>
      </c>
      <c r="I192" t="str">
        <f t="shared" si="14"/>
        <v>No</v>
      </c>
      <c r="J192">
        <f t="shared" si="15"/>
        <v>0</v>
      </c>
      <c r="K192">
        <f t="shared" si="16"/>
        <v>0</v>
      </c>
      <c r="L192">
        <f t="shared" si="17"/>
        <v>28</v>
      </c>
    </row>
    <row r="193" spans="1:12" x14ac:dyDescent="0.3">
      <c r="A193">
        <v>156423167</v>
      </c>
      <c r="B193" s="1">
        <v>44831</v>
      </c>
      <c r="C193" s="1">
        <v>44944</v>
      </c>
      <c r="D193" t="s">
        <v>7</v>
      </c>
      <c r="E193">
        <v>39</v>
      </c>
      <c r="F193" t="s">
        <v>6</v>
      </c>
      <c r="G193">
        <f t="shared" si="12"/>
        <v>113</v>
      </c>
      <c r="H193" s="1" t="str">
        <f t="shared" si="13"/>
        <v>Tuesday</v>
      </c>
      <c r="I193" t="str">
        <f t="shared" si="14"/>
        <v>No</v>
      </c>
      <c r="J193">
        <f t="shared" si="15"/>
        <v>0</v>
      </c>
      <c r="K193">
        <f t="shared" si="16"/>
        <v>1</v>
      </c>
      <c r="L193">
        <f t="shared" si="17"/>
        <v>113</v>
      </c>
    </row>
    <row r="194" spans="1:12" x14ac:dyDescent="0.3">
      <c r="A194">
        <v>155199164</v>
      </c>
      <c r="B194" s="1">
        <v>44831</v>
      </c>
      <c r="C194" s="1">
        <v>44929</v>
      </c>
      <c r="D194" t="s">
        <v>7</v>
      </c>
      <c r="E194">
        <v>39</v>
      </c>
      <c r="F194" t="s">
        <v>6</v>
      </c>
      <c r="G194">
        <f t="shared" ref="G194:G257" si="18">IF(C194="","",C194-B194)</f>
        <v>98</v>
      </c>
      <c r="H194" s="1" t="str">
        <f t="shared" si="13"/>
        <v>Tuesday</v>
      </c>
      <c r="I194" t="str">
        <f t="shared" si="14"/>
        <v>No</v>
      </c>
      <c r="J194">
        <f t="shared" si="15"/>
        <v>0</v>
      </c>
      <c r="K194">
        <f t="shared" si="16"/>
        <v>1</v>
      </c>
      <c r="L194">
        <f t="shared" si="17"/>
        <v>98</v>
      </c>
    </row>
    <row r="195" spans="1:12" x14ac:dyDescent="0.3">
      <c r="A195">
        <v>156373191</v>
      </c>
      <c r="B195" s="1">
        <v>44831</v>
      </c>
      <c r="C195" s="1">
        <v>44923</v>
      </c>
      <c r="D195" t="s">
        <v>7</v>
      </c>
      <c r="E195">
        <v>39</v>
      </c>
      <c r="F195" t="s">
        <v>6</v>
      </c>
      <c r="G195">
        <f t="shared" si="18"/>
        <v>92</v>
      </c>
      <c r="H195" s="1" t="str">
        <f t="shared" ref="H195:H258" si="19">TEXT(B195,"dddd")</f>
        <v>Tuesday</v>
      </c>
      <c r="I195" t="str">
        <f t="shared" ref="I195:I258" si="20">IF(B195=C195,"Yes","No")</f>
        <v>No</v>
      </c>
      <c r="J195">
        <f t="shared" ref="J195:J258" si="21">IF(AND(C195&lt;&gt;"",C195-B195&lt;=2),1,0)</f>
        <v>0</v>
      </c>
      <c r="K195">
        <f t="shared" ref="K195:K258" si="22">IF(AND(C195&lt;&gt;"",C195-B195&gt;30),1,0)</f>
        <v>1</v>
      </c>
      <c r="L195">
        <f t="shared" ref="L195:L258" si="23">IF(C195="","",C195-B195)</f>
        <v>92</v>
      </c>
    </row>
    <row r="196" spans="1:12" ht="14.4" customHeight="1" x14ac:dyDescent="0.3">
      <c r="A196">
        <v>156517374</v>
      </c>
      <c r="B196" s="1">
        <v>44831</v>
      </c>
      <c r="C196" s="1">
        <v>44831</v>
      </c>
      <c r="D196" t="s">
        <v>7</v>
      </c>
      <c r="E196">
        <v>39</v>
      </c>
      <c r="F196" t="s">
        <v>6</v>
      </c>
      <c r="G196">
        <f t="shared" si="18"/>
        <v>0</v>
      </c>
      <c r="H196" s="1" t="str">
        <f t="shared" si="19"/>
        <v>Tuesday</v>
      </c>
      <c r="I196" t="str">
        <f t="shared" si="20"/>
        <v>Yes</v>
      </c>
      <c r="J196">
        <f t="shared" si="21"/>
        <v>1</v>
      </c>
      <c r="K196">
        <f t="shared" si="22"/>
        <v>0</v>
      </c>
      <c r="L196">
        <f t="shared" si="23"/>
        <v>0</v>
      </c>
    </row>
    <row r="197" spans="1:12" ht="14.4" customHeight="1" x14ac:dyDescent="0.3">
      <c r="A197">
        <v>156032089</v>
      </c>
      <c r="B197" s="1">
        <v>44832</v>
      </c>
      <c r="D197" t="s">
        <v>7</v>
      </c>
      <c r="E197">
        <v>39</v>
      </c>
      <c r="F197" t="s">
        <v>6</v>
      </c>
      <c r="G197" t="str">
        <f t="shared" si="18"/>
        <v/>
      </c>
      <c r="H197" s="1" t="str">
        <f t="shared" si="19"/>
        <v>Wednesday</v>
      </c>
      <c r="I197" t="str">
        <f t="shared" si="20"/>
        <v>No</v>
      </c>
      <c r="J197">
        <f t="shared" si="21"/>
        <v>0</v>
      </c>
      <c r="K197">
        <f t="shared" si="22"/>
        <v>0</v>
      </c>
      <c r="L197" t="str">
        <f t="shared" si="23"/>
        <v/>
      </c>
    </row>
    <row r="198" spans="1:12" x14ac:dyDescent="0.3">
      <c r="A198">
        <v>154563706</v>
      </c>
      <c r="B198" s="1">
        <v>44832</v>
      </c>
      <c r="C198" s="1">
        <v>45010</v>
      </c>
      <c r="D198" t="s">
        <v>7</v>
      </c>
      <c r="E198">
        <v>39</v>
      </c>
      <c r="F198" t="s">
        <v>6</v>
      </c>
      <c r="G198">
        <f t="shared" si="18"/>
        <v>178</v>
      </c>
      <c r="H198" s="1" t="str">
        <f t="shared" si="19"/>
        <v>Wednesday</v>
      </c>
      <c r="I198" t="str">
        <f t="shared" si="20"/>
        <v>No</v>
      </c>
      <c r="J198">
        <f t="shared" si="21"/>
        <v>0</v>
      </c>
      <c r="K198">
        <f t="shared" si="22"/>
        <v>1</v>
      </c>
      <c r="L198">
        <f t="shared" si="23"/>
        <v>178</v>
      </c>
    </row>
    <row r="199" spans="1:12" x14ac:dyDescent="0.3">
      <c r="A199">
        <v>124481723</v>
      </c>
      <c r="B199" s="1">
        <v>44832</v>
      </c>
      <c r="C199" s="1">
        <v>44887</v>
      </c>
      <c r="D199" t="s">
        <v>7</v>
      </c>
      <c r="E199">
        <v>39</v>
      </c>
      <c r="F199" t="s">
        <v>6</v>
      </c>
      <c r="G199">
        <f t="shared" si="18"/>
        <v>55</v>
      </c>
      <c r="H199" s="1" t="str">
        <f t="shared" si="19"/>
        <v>Wednesday</v>
      </c>
      <c r="I199" t="str">
        <f t="shared" si="20"/>
        <v>No</v>
      </c>
      <c r="J199">
        <f t="shared" si="21"/>
        <v>0</v>
      </c>
      <c r="K199">
        <f t="shared" si="22"/>
        <v>1</v>
      </c>
      <c r="L199">
        <f t="shared" si="23"/>
        <v>55</v>
      </c>
    </row>
    <row r="200" spans="1:12" x14ac:dyDescent="0.3">
      <c r="A200">
        <v>146861757</v>
      </c>
      <c r="B200" s="1">
        <v>44832</v>
      </c>
      <c r="C200" s="1">
        <v>44917</v>
      </c>
      <c r="D200" t="s">
        <v>7</v>
      </c>
      <c r="E200">
        <v>39</v>
      </c>
      <c r="F200" t="s">
        <v>6</v>
      </c>
      <c r="G200">
        <f t="shared" si="18"/>
        <v>85</v>
      </c>
      <c r="H200" s="1" t="str">
        <f t="shared" si="19"/>
        <v>Wednesday</v>
      </c>
      <c r="I200" t="str">
        <f t="shared" si="20"/>
        <v>No</v>
      </c>
      <c r="J200">
        <f t="shared" si="21"/>
        <v>0</v>
      </c>
      <c r="K200">
        <f t="shared" si="22"/>
        <v>1</v>
      </c>
      <c r="L200">
        <f t="shared" si="23"/>
        <v>85</v>
      </c>
    </row>
    <row r="201" spans="1:12" x14ac:dyDescent="0.3">
      <c r="A201">
        <v>152476124</v>
      </c>
      <c r="B201" s="1">
        <v>44832</v>
      </c>
      <c r="C201" s="1">
        <v>44893</v>
      </c>
      <c r="D201" t="s">
        <v>7</v>
      </c>
      <c r="E201">
        <v>39</v>
      </c>
      <c r="F201" t="s">
        <v>6</v>
      </c>
      <c r="G201">
        <f t="shared" si="18"/>
        <v>61</v>
      </c>
      <c r="H201" s="1" t="str">
        <f t="shared" si="19"/>
        <v>Wednesday</v>
      </c>
      <c r="I201" t="str">
        <f t="shared" si="20"/>
        <v>No</v>
      </c>
      <c r="J201">
        <f t="shared" si="21"/>
        <v>0</v>
      </c>
      <c r="K201">
        <f t="shared" si="22"/>
        <v>1</v>
      </c>
      <c r="L201">
        <f t="shared" si="23"/>
        <v>61</v>
      </c>
    </row>
    <row r="202" spans="1:12" x14ac:dyDescent="0.3">
      <c r="A202">
        <v>156192628</v>
      </c>
      <c r="B202" s="1">
        <v>44832</v>
      </c>
      <c r="C202" s="1">
        <v>44885</v>
      </c>
      <c r="D202" t="s">
        <v>7</v>
      </c>
      <c r="E202">
        <v>39</v>
      </c>
      <c r="F202" t="s">
        <v>6</v>
      </c>
      <c r="G202">
        <f t="shared" si="18"/>
        <v>53</v>
      </c>
      <c r="H202" s="1" t="str">
        <f t="shared" si="19"/>
        <v>Wednesday</v>
      </c>
      <c r="I202" t="str">
        <f t="shared" si="20"/>
        <v>No</v>
      </c>
      <c r="J202">
        <f t="shared" si="21"/>
        <v>0</v>
      </c>
      <c r="K202">
        <f t="shared" si="22"/>
        <v>1</v>
      </c>
      <c r="L202">
        <f t="shared" si="23"/>
        <v>53</v>
      </c>
    </row>
    <row r="203" spans="1:12" ht="14.4" customHeight="1" x14ac:dyDescent="0.3">
      <c r="A203">
        <v>152109538</v>
      </c>
      <c r="B203" s="1">
        <v>44832</v>
      </c>
      <c r="C203" s="1">
        <v>44853</v>
      </c>
      <c r="D203" t="s">
        <v>7</v>
      </c>
      <c r="E203">
        <v>39</v>
      </c>
      <c r="F203" t="s">
        <v>6</v>
      </c>
      <c r="G203">
        <f t="shared" si="18"/>
        <v>21</v>
      </c>
      <c r="H203" s="1" t="str">
        <f t="shared" si="19"/>
        <v>Wednesday</v>
      </c>
      <c r="I203" t="str">
        <f t="shared" si="20"/>
        <v>No</v>
      </c>
      <c r="J203">
        <f t="shared" si="21"/>
        <v>0</v>
      </c>
      <c r="K203">
        <f t="shared" si="22"/>
        <v>0</v>
      </c>
      <c r="L203">
        <f t="shared" si="23"/>
        <v>21</v>
      </c>
    </row>
    <row r="204" spans="1:12" ht="14.4" customHeight="1" x14ac:dyDescent="0.3">
      <c r="A204">
        <v>156659071</v>
      </c>
      <c r="B204" s="1">
        <v>44832</v>
      </c>
      <c r="C204" s="1">
        <v>44833</v>
      </c>
      <c r="D204" t="s">
        <v>7</v>
      </c>
      <c r="E204">
        <v>39</v>
      </c>
      <c r="F204" t="s">
        <v>6</v>
      </c>
      <c r="G204">
        <f t="shared" si="18"/>
        <v>1</v>
      </c>
      <c r="H204" s="1" t="str">
        <f t="shared" si="19"/>
        <v>Wednesday</v>
      </c>
      <c r="I204" t="str">
        <f t="shared" si="20"/>
        <v>No</v>
      </c>
      <c r="J204">
        <f t="shared" si="21"/>
        <v>1</v>
      </c>
      <c r="K204">
        <f t="shared" si="22"/>
        <v>0</v>
      </c>
      <c r="L204">
        <f t="shared" si="23"/>
        <v>1</v>
      </c>
    </row>
    <row r="205" spans="1:12" x14ac:dyDescent="0.3">
      <c r="A205">
        <v>156717075</v>
      </c>
      <c r="B205" s="1">
        <v>44833</v>
      </c>
      <c r="C205" s="1">
        <v>45030</v>
      </c>
      <c r="D205" t="s">
        <v>7</v>
      </c>
      <c r="E205">
        <v>39</v>
      </c>
      <c r="F205" t="s">
        <v>6</v>
      </c>
      <c r="G205">
        <f t="shared" si="18"/>
        <v>197</v>
      </c>
      <c r="H205" s="1" t="str">
        <f t="shared" si="19"/>
        <v>Thursday</v>
      </c>
      <c r="I205" t="str">
        <f t="shared" si="20"/>
        <v>No</v>
      </c>
      <c r="J205">
        <f t="shared" si="21"/>
        <v>0</v>
      </c>
      <c r="K205">
        <f t="shared" si="22"/>
        <v>1</v>
      </c>
      <c r="L205">
        <f t="shared" si="23"/>
        <v>197</v>
      </c>
    </row>
    <row r="206" spans="1:12" x14ac:dyDescent="0.3">
      <c r="A206">
        <v>156715443</v>
      </c>
      <c r="B206" s="1">
        <v>44833</v>
      </c>
      <c r="C206" s="1">
        <v>44924</v>
      </c>
      <c r="D206" t="s">
        <v>7</v>
      </c>
      <c r="E206">
        <v>39</v>
      </c>
      <c r="F206" t="s">
        <v>6</v>
      </c>
      <c r="G206">
        <f t="shared" si="18"/>
        <v>91</v>
      </c>
      <c r="H206" s="1" t="str">
        <f t="shared" si="19"/>
        <v>Thursday</v>
      </c>
      <c r="I206" t="str">
        <f t="shared" si="20"/>
        <v>No</v>
      </c>
      <c r="J206">
        <f t="shared" si="21"/>
        <v>0</v>
      </c>
      <c r="K206">
        <f t="shared" si="22"/>
        <v>1</v>
      </c>
      <c r="L206">
        <f t="shared" si="23"/>
        <v>91</v>
      </c>
    </row>
    <row r="207" spans="1:12" x14ac:dyDescent="0.3">
      <c r="A207">
        <v>147656952</v>
      </c>
      <c r="B207" s="1">
        <v>44833</v>
      </c>
      <c r="C207" s="1">
        <v>44923</v>
      </c>
      <c r="D207" t="s">
        <v>7</v>
      </c>
      <c r="E207">
        <v>39</v>
      </c>
      <c r="F207" t="s">
        <v>6</v>
      </c>
      <c r="G207">
        <f t="shared" si="18"/>
        <v>90</v>
      </c>
      <c r="H207" s="1" t="str">
        <f t="shared" si="19"/>
        <v>Thursday</v>
      </c>
      <c r="I207" t="str">
        <f t="shared" si="20"/>
        <v>No</v>
      </c>
      <c r="J207">
        <f t="shared" si="21"/>
        <v>0</v>
      </c>
      <c r="K207">
        <f t="shared" si="22"/>
        <v>1</v>
      </c>
      <c r="L207">
        <f t="shared" si="23"/>
        <v>90</v>
      </c>
    </row>
    <row r="208" spans="1:12" x14ac:dyDescent="0.3">
      <c r="A208">
        <v>152918862</v>
      </c>
      <c r="B208" s="1">
        <v>44833</v>
      </c>
      <c r="C208" s="1">
        <v>44885</v>
      </c>
      <c r="D208" t="s">
        <v>7</v>
      </c>
      <c r="E208">
        <v>39</v>
      </c>
      <c r="F208" t="s">
        <v>6</v>
      </c>
      <c r="G208">
        <f t="shared" si="18"/>
        <v>52</v>
      </c>
      <c r="H208" s="1" t="str">
        <f t="shared" si="19"/>
        <v>Thursday</v>
      </c>
      <c r="I208" t="str">
        <f t="shared" si="20"/>
        <v>No</v>
      </c>
      <c r="J208">
        <f t="shared" si="21"/>
        <v>0</v>
      </c>
      <c r="K208">
        <f t="shared" si="22"/>
        <v>1</v>
      </c>
      <c r="L208">
        <f t="shared" si="23"/>
        <v>52</v>
      </c>
    </row>
    <row r="209" spans="1:12" ht="14.4" customHeight="1" x14ac:dyDescent="0.3">
      <c r="A209">
        <v>146866890</v>
      </c>
      <c r="B209" s="1">
        <v>44833</v>
      </c>
      <c r="C209" s="1">
        <v>44858</v>
      </c>
      <c r="D209" t="s">
        <v>7</v>
      </c>
      <c r="E209">
        <v>39</v>
      </c>
      <c r="F209" t="s">
        <v>6</v>
      </c>
      <c r="G209">
        <f t="shared" si="18"/>
        <v>25</v>
      </c>
      <c r="H209" s="1" t="str">
        <f t="shared" si="19"/>
        <v>Thursday</v>
      </c>
      <c r="I209" t="str">
        <f t="shared" si="20"/>
        <v>No</v>
      </c>
      <c r="J209">
        <f t="shared" si="21"/>
        <v>0</v>
      </c>
      <c r="K209">
        <f t="shared" si="22"/>
        <v>0</v>
      </c>
      <c r="L209">
        <f t="shared" si="23"/>
        <v>25</v>
      </c>
    </row>
    <row r="210" spans="1:12" ht="14.4" customHeight="1" x14ac:dyDescent="0.3">
      <c r="A210">
        <v>151735444</v>
      </c>
      <c r="B210" s="1">
        <v>44834</v>
      </c>
      <c r="D210" t="s">
        <v>7</v>
      </c>
      <c r="E210">
        <v>39</v>
      </c>
      <c r="F210" t="s">
        <v>6</v>
      </c>
      <c r="G210" t="str">
        <f t="shared" si="18"/>
        <v/>
      </c>
      <c r="H210" s="1" t="str">
        <f t="shared" si="19"/>
        <v>Friday</v>
      </c>
      <c r="I210" t="str">
        <f t="shared" si="20"/>
        <v>No</v>
      </c>
      <c r="J210">
        <f t="shared" si="21"/>
        <v>0</v>
      </c>
      <c r="K210">
        <f t="shared" si="22"/>
        <v>0</v>
      </c>
      <c r="L210" t="str">
        <f t="shared" si="23"/>
        <v/>
      </c>
    </row>
    <row r="211" spans="1:12" ht="14.4" customHeight="1" x14ac:dyDescent="0.3">
      <c r="A211">
        <v>155608371</v>
      </c>
      <c r="B211" s="1">
        <v>44834</v>
      </c>
      <c r="C211" s="1">
        <v>44835</v>
      </c>
      <c r="D211" t="s">
        <v>8</v>
      </c>
      <c r="E211">
        <v>39</v>
      </c>
      <c r="F211" t="s">
        <v>6</v>
      </c>
      <c r="G211">
        <f t="shared" si="18"/>
        <v>1</v>
      </c>
      <c r="H211" s="1" t="str">
        <f t="shared" si="19"/>
        <v>Friday</v>
      </c>
      <c r="I211" t="str">
        <f t="shared" si="20"/>
        <v>No</v>
      </c>
      <c r="J211">
        <f t="shared" si="21"/>
        <v>1</v>
      </c>
      <c r="K211">
        <f t="shared" si="22"/>
        <v>0</v>
      </c>
      <c r="L211">
        <f t="shared" si="23"/>
        <v>1</v>
      </c>
    </row>
    <row r="212" spans="1:12" x14ac:dyDescent="0.3">
      <c r="A212">
        <v>156809544</v>
      </c>
      <c r="B212" s="1">
        <v>44834</v>
      </c>
      <c r="C212" s="1">
        <v>45013</v>
      </c>
      <c r="D212" t="s">
        <v>7</v>
      </c>
      <c r="E212">
        <v>39</v>
      </c>
      <c r="F212" t="s">
        <v>6</v>
      </c>
      <c r="G212">
        <f t="shared" si="18"/>
        <v>179</v>
      </c>
      <c r="H212" s="1" t="str">
        <f t="shared" si="19"/>
        <v>Friday</v>
      </c>
      <c r="I212" t="str">
        <f t="shared" si="20"/>
        <v>No</v>
      </c>
      <c r="J212">
        <f t="shared" si="21"/>
        <v>0</v>
      </c>
      <c r="K212">
        <f t="shared" si="22"/>
        <v>1</v>
      </c>
      <c r="L212">
        <f t="shared" si="23"/>
        <v>179</v>
      </c>
    </row>
    <row r="213" spans="1:12" x14ac:dyDescent="0.3">
      <c r="A213">
        <v>156813288</v>
      </c>
      <c r="B213" s="1">
        <v>44834</v>
      </c>
      <c r="C213" s="1">
        <v>45066</v>
      </c>
      <c r="D213" t="s">
        <v>7</v>
      </c>
      <c r="E213">
        <v>39</v>
      </c>
      <c r="F213" t="s">
        <v>6</v>
      </c>
      <c r="G213">
        <f t="shared" si="18"/>
        <v>232</v>
      </c>
      <c r="H213" s="1" t="str">
        <f t="shared" si="19"/>
        <v>Friday</v>
      </c>
      <c r="I213" t="str">
        <f t="shared" si="20"/>
        <v>No</v>
      </c>
      <c r="J213">
        <f t="shared" si="21"/>
        <v>0</v>
      </c>
      <c r="K213">
        <f t="shared" si="22"/>
        <v>1</v>
      </c>
      <c r="L213">
        <f t="shared" si="23"/>
        <v>232</v>
      </c>
    </row>
    <row r="214" spans="1:12" x14ac:dyDescent="0.3">
      <c r="A214">
        <v>156817946</v>
      </c>
      <c r="B214" s="1">
        <v>44834</v>
      </c>
      <c r="C214" s="1">
        <v>45080</v>
      </c>
      <c r="D214" t="s">
        <v>7</v>
      </c>
      <c r="E214">
        <v>39</v>
      </c>
      <c r="F214" t="s">
        <v>6</v>
      </c>
      <c r="G214">
        <f t="shared" si="18"/>
        <v>246</v>
      </c>
      <c r="H214" s="1" t="str">
        <f t="shared" si="19"/>
        <v>Friday</v>
      </c>
      <c r="I214" t="str">
        <f t="shared" si="20"/>
        <v>No</v>
      </c>
      <c r="J214">
        <f t="shared" si="21"/>
        <v>0</v>
      </c>
      <c r="K214">
        <f t="shared" si="22"/>
        <v>1</v>
      </c>
      <c r="L214">
        <f t="shared" si="23"/>
        <v>246</v>
      </c>
    </row>
    <row r="215" spans="1:12" x14ac:dyDescent="0.3">
      <c r="A215">
        <v>156194905</v>
      </c>
      <c r="B215" s="1">
        <v>44834</v>
      </c>
      <c r="C215" s="1">
        <v>45022</v>
      </c>
      <c r="D215" t="s">
        <v>7</v>
      </c>
      <c r="E215">
        <v>39</v>
      </c>
      <c r="F215" t="s">
        <v>6</v>
      </c>
      <c r="G215">
        <f t="shared" si="18"/>
        <v>188</v>
      </c>
      <c r="H215" s="1" t="str">
        <f t="shared" si="19"/>
        <v>Friday</v>
      </c>
      <c r="I215" t="str">
        <f t="shared" si="20"/>
        <v>No</v>
      </c>
      <c r="J215">
        <f t="shared" si="21"/>
        <v>0</v>
      </c>
      <c r="K215">
        <f t="shared" si="22"/>
        <v>1</v>
      </c>
      <c r="L215">
        <f t="shared" si="23"/>
        <v>188</v>
      </c>
    </row>
    <row r="216" spans="1:12" x14ac:dyDescent="0.3">
      <c r="A216">
        <v>148568942</v>
      </c>
      <c r="B216" s="1">
        <v>44834</v>
      </c>
      <c r="C216" s="1">
        <v>44932</v>
      </c>
      <c r="D216" t="s">
        <v>7</v>
      </c>
      <c r="E216">
        <v>39</v>
      </c>
      <c r="F216" t="s">
        <v>6</v>
      </c>
      <c r="G216">
        <f t="shared" si="18"/>
        <v>98</v>
      </c>
      <c r="H216" s="1" t="str">
        <f t="shared" si="19"/>
        <v>Friday</v>
      </c>
      <c r="I216" t="str">
        <f t="shared" si="20"/>
        <v>No</v>
      </c>
      <c r="J216">
        <f t="shared" si="21"/>
        <v>0</v>
      </c>
      <c r="K216">
        <f t="shared" si="22"/>
        <v>1</v>
      </c>
      <c r="L216">
        <f t="shared" si="23"/>
        <v>98</v>
      </c>
    </row>
    <row r="217" spans="1:12" x14ac:dyDescent="0.3">
      <c r="A217">
        <v>151154171</v>
      </c>
      <c r="B217" s="1">
        <v>44834</v>
      </c>
      <c r="C217" s="1">
        <v>44894</v>
      </c>
      <c r="D217" t="s">
        <v>7</v>
      </c>
      <c r="E217">
        <v>39</v>
      </c>
      <c r="F217" t="s">
        <v>6</v>
      </c>
      <c r="G217">
        <f t="shared" si="18"/>
        <v>60</v>
      </c>
      <c r="H217" s="1" t="str">
        <f t="shared" si="19"/>
        <v>Friday</v>
      </c>
      <c r="I217" t="str">
        <f t="shared" si="20"/>
        <v>No</v>
      </c>
      <c r="J217">
        <f t="shared" si="21"/>
        <v>0</v>
      </c>
      <c r="K217">
        <f t="shared" si="22"/>
        <v>1</v>
      </c>
      <c r="L217">
        <f t="shared" si="23"/>
        <v>60</v>
      </c>
    </row>
    <row r="218" spans="1:12" x14ac:dyDescent="0.3">
      <c r="A218">
        <v>122921842</v>
      </c>
      <c r="B218" s="1">
        <v>44834</v>
      </c>
      <c r="C218" s="1">
        <v>44871</v>
      </c>
      <c r="D218" t="s">
        <v>7</v>
      </c>
      <c r="E218">
        <v>39</v>
      </c>
      <c r="F218" t="s">
        <v>6</v>
      </c>
      <c r="G218">
        <f t="shared" si="18"/>
        <v>37</v>
      </c>
      <c r="H218" s="1" t="str">
        <f t="shared" si="19"/>
        <v>Friday</v>
      </c>
      <c r="I218" t="str">
        <f t="shared" si="20"/>
        <v>No</v>
      </c>
      <c r="J218">
        <f t="shared" si="21"/>
        <v>0</v>
      </c>
      <c r="K218">
        <f t="shared" si="22"/>
        <v>1</v>
      </c>
      <c r="L218">
        <f t="shared" si="23"/>
        <v>37</v>
      </c>
    </row>
    <row r="219" spans="1:12" ht="14.4" customHeight="1" x14ac:dyDescent="0.3">
      <c r="A219">
        <v>156754286</v>
      </c>
      <c r="B219" s="1">
        <v>44835</v>
      </c>
      <c r="D219" t="s">
        <v>7</v>
      </c>
      <c r="E219">
        <v>39</v>
      </c>
      <c r="F219" t="s">
        <v>6</v>
      </c>
      <c r="G219" t="str">
        <f t="shared" si="18"/>
        <v/>
      </c>
      <c r="H219" s="1" t="str">
        <f t="shared" si="19"/>
        <v>Saturday</v>
      </c>
      <c r="I219" t="str">
        <f t="shared" si="20"/>
        <v>No</v>
      </c>
      <c r="J219">
        <f t="shared" si="21"/>
        <v>0</v>
      </c>
      <c r="K219">
        <f t="shared" si="22"/>
        <v>0</v>
      </c>
      <c r="L219" t="str">
        <f t="shared" si="23"/>
        <v/>
      </c>
    </row>
    <row r="220" spans="1:12" ht="14.4" customHeight="1" x14ac:dyDescent="0.3">
      <c r="A220">
        <v>144160302</v>
      </c>
      <c r="B220" s="1">
        <v>44835</v>
      </c>
      <c r="C220" s="1">
        <v>44836</v>
      </c>
      <c r="D220" t="s">
        <v>7</v>
      </c>
      <c r="E220">
        <v>39</v>
      </c>
      <c r="F220" t="s">
        <v>6</v>
      </c>
      <c r="G220">
        <f t="shared" si="18"/>
        <v>1</v>
      </c>
      <c r="H220" s="1" t="str">
        <f t="shared" si="19"/>
        <v>Saturday</v>
      </c>
      <c r="I220" t="str">
        <f t="shared" si="20"/>
        <v>No</v>
      </c>
      <c r="J220">
        <f t="shared" si="21"/>
        <v>1</v>
      </c>
      <c r="K220">
        <f t="shared" si="22"/>
        <v>0</v>
      </c>
      <c r="L220">
        <f t="shared" si="23"/>
        <v>1</v>
      </c>
    </row>
    <row r="221" spans="1:12" x14ac:dyDescent="0.3">
      <c r="A221">
        <v>155045053</v>
      </c>
      <c r="B221" s="1">
        <v>44835</v>
      </c>
      <c r="C221" s="1">
        <v>44927</v>
      </c>
      <c r="D221" t="s">
        <v>7</v>
      </c>
      <c r="E221">
        <v>39</v>
      </c>
      <c r="F221" t="s">
        <v>6</v>
      </c>
      <c r="G221">
        <f t="shared" si="18"/>
        <v>92</v>
      </c>
      <c r="H221" s="1" t="str">
        <f t="shared" si="19"/>
        <v>Saturday</v>
      </c>
      <c r="I221" t="str">
        <f t="shared" si="20"/>
        <v>No</v>
      </c>
      <c r="J221">
        <f t="shared" si="21"/>
        <v>0</v>
      </c>
      <c r="K221">
        <f t="shared" si="22"/>
        <v>1</v>
      </c>
      <c r="L221">
        <f t="shared" si="23"/>
        <v>92</v>
      </c>
    </row>
    <row r="222" spans="1:12" x14ac:dyDescent="0.3">
      <c r="A222">
        <v>133869989</v>
      </c>
      <c r="B222" s="1">
        <v>44835</v>
      </c>
      <c r="C222" s="1">
        <v>44867</v>
      </c>
      <c r="D222" t="s">
        <v>7</v>
      </c>
      <c r="E222">
        <v>39</v>
      </c>
      <c r="F222" t="s">
        <v>6</v>
      </c>
      <c r="G222">
        <f t="shared" si="18"/>
        <v>32</v>
      </c>
      <c r="H222" s="1" t="str">
        <f t="shared" si="19"/>
        <v>Saturday</v>
      </c>
      <c r="I222" t="str">
        <f t="shared" si="20"/>
        <v>No</v>
      </c>
      <c r="J222">
        <f t="shared" si="21"/>
        <v>0</v>
      </c>
      <c r="K222">
        <f t="shared" si="22"/>
        <v>1</v>
      </c>
      <c r="L222">
        <f t="shared" si="23"/>
        <v>32</v>
      </c>
    </row>
    <row r="223" spans="1:12" x14ac:dyDescent="0.3">
      <c r="A223">
        <v>156863940</v>
      </c>
      <c r="B223" s="1">
        <v>44835</v>
      </c>
      <c r="C223" s="1">
        <v>44867</v>
      </c>
      <c r="D223" t="s">
        <v>7</v>
      </c>
      <c r="E223">
        <v>39</v>
      </c>
      <c r="F223" t="s">
        <v>6</v>
      </c>
      <c r="G223">
        <f t="shared" si="18"/>
        <v>32</v>
      </c>
      <c r="H223" s="1" t="str">
        <f t="shared" si="19"/>
        <v>Saturday</v>
      </c>
      <c r="I223" t="str">
        <f t="shared" si="20"/>
        <v>No</v>
      </c>
      <c r="J223">
        <f t="shared" si="21"/>
        <v>0</v>
      </c>
      <c r="K223">
        <f t="shared" si="22"/>
        <v>1</v>
      </c>
      <c r="L223">
        <f t="shared" si="23"/>
        <v>32</v>
      </c>
    </row>
    <row r="224" spans="1:12" ht="14.4" customHeight="1" x14ac:dyDescent="0.3">
      <c r="A224">
        <v>156884323</v>
      </c>
      <c r="B224" s="1">
        <v>44835</v>
      </c>
      <c r="C224" s="1">
        <v>44859</v>
      </c>
      <c r="D224" t="s">
        <v>7</v>
      </c>
      <c r="E224">
        <v>39</v>
      </c>
      <c r="F224" t="s">
        <v>6</v>
      </c>
      <c r="G224">
        <f t="shared" si="18"/>
        <v>24</v>
      </c>
      <c r="H224" s="1" t="str">
        <f t="shared" si="19"/>
        <v>Saturday</v>
      </c>
      <c r="I224" t="str">
        <f t="shared" si="20"/>
        <v>No</v>
      </c>
      <c r="J224">
        <f t="shared" si="21"/>
        <v>0</v>
      </c>
      <c r="K224">
        <f t="shared" si="22"/>
        <v>0</v>
      </c>
      <c r="L224">
        <f t="shared" si="23"/>
        <v>24</v>
      </c>
    </row>
    <row r="225" spans="1:12" ht="14.4" customHeight="1" x14ac:dyDescent="0.3">
      <c r="A225">
        <v>156365410</v>
      </c>
      <c r="B225" s="1">
        <v>44835</v>
      </c>
      <c r="C225" s="1">
        <v>44863</v>
      </c>
      <c r="D225" t="s">
        <v>7</v>
      </c>
      <c r="E225">
        <v>39</v>
      </c>
      <c r="F225" t="s">
        <v>6</v>
      </c>
      <c r="G225">
        <f t="shared" si="18"/>
        <v>28</v>
      </c>
      <c r="H225" s="1" t="str">
        <f t="shared" si="19"/>
        <v>Saturday</v>
      </c>
      <c r="I225" t="str">
        <f t="shared" si="20"/>
        <v>No</v>
      </c>
      <c r="J225">
        <f t="shared" si="21"/>
        <v>0</v>
      </c>
      <c r="K225">
        <f t="shared" si="22"/>
        <v>0</v>
      </c>
      <c r="L225">
        <f t="shared" si="23"/>
        <v>28</v>
      </c>
    </row>
    <row r="226" spans="1:12" ht="14.4" customHeight="1" x14ac:dyDescent="0.3">
      <c r="A226">
        <v>153957162</v>
      </c>
      <c r="B226" s="1">
        <v>44836</v>
      </c>
      <c r="D226" t="s">
        <v>7</v>
      </c>
      <c r="E226">
        <v>39</v>
      </c>
      <c r="F226" t="s">
        <v>6</v>
      </c>
      <c r="G226" t="str">
        <f t="shared" si="18"/>
        <v/>
      </c>
      <c r="H226" s="1" t="str">
        <f t="shared" si="19"/>
        <v>Sunday</v>
      </c>
      <c r="I226" t="str">
        <f t="shared" si="20"/>
        <v>No</v>
      </c>
      <c r="J226">
        <f t="shared" si="21"/>
        <v>0</v>
      </c>
      <c r="K226">
        <f t="shared" si="22"/>
        <v>0</v>
      </c>
      <c r="L226" t="str">
        <f t="shared" si="23"/>
        <v/>
      </c>
    </row>
    <row r="227" spans="1:12" ht="14.4" customHeight="1" x14ac:dyDescent="0.3">
      <c r="A227">
        <v>152436949</v>
      </c>
      <c r="B227" s="1">
        <v>44836</v>
      </c>
      <c r="C227" s="1">
        <v>44837</v>
      </c>
      <c r="D227" t="s">
        <v>8</v>
      </c>
      <c r="E227">
        <v>39</v>
      </c>
      <c r="F227" t="s">
        <v>6</v>
      </c>
      <c r="G227">
        <f t="shared" si="18"/>
        <v>1</v>
      </c>
      <c r="H227" s="1" t="str">
        <f t="shared" si="19"/>
        <v>Sunday</v>
      </c>
      <c r="I227" t="str">
        <f t="shared" si="20"/>
        <v>No</v>
      </c>
      <c r="J227">
        <f t="shared" si="21"/>
        <v>1</v>
      </c>
      <c r="K227">
        <f t="shared" si="22"/>
        <v>0</v>
      </c>
      <c r="L227">
        <f t="shared" si="23"/>
        <v>1</v>
      </c>
    </row>
    <row r="228" spans="1:12" x14ac:dyDescent="0.3">
      <c r="A228">
        <v>156403612</v>
      </c>
      <c r="B228" s="1">
        <v>44836</v>
      </c>
      <c r="C228" s="1">
        <v>44952</v>
      </c>
      <c r="D228" t="s">
        <v>7</v>
      </c>
      <c r="E228">
        <v>39</v>
      </c>
      <c r="F228" t="s">
        <v>6</v>
      </c>
      <c r="G228">
        <f t="shared" si="18"/>
        <v>116</v>
      </c>
      <c r="H228" s="1" t="str">
        <f t="shared" si="19"/>
        <v>Sunday</v>
      </c>
      <c r="I228" t="str">
        <f t="shared" si="20"/>
        <v>No</v>
      </c>
      <c r="J228">
        <f t="shared" si="21"/>
        <v>0</v>
      </c>
      <c r="K228">
        <f t="shared" si="22"/>
        <v>1</v>
      </c>
      <c r="L228">
        <f t="shared" si="23"/>
        <v>116</v>
      </c>
    </row>
    <row r="229" spans="1:12" x14ac:dyDescent="0.3">
      <c r="A229">
        <v>154198756</v>
      </c>
      <c r="B229" s="1">
        <v>44836</v>
      </c>
      <c r="C229" s="1">
        <v>44879</v>
      </c>
      <c r="D229" t="s">
        <v>7</v>
      </c>
      <c r="E229">
        <v>39</v>
      </c>
      <c r="F229" t="s">
        <v>6</v>
      </c>
      <c r="G229">
        <f t="shared" si="18"/>
        <v>43</v>
      </c>
      <c r="H229" s="1" t="str">
        <f t="shared" si="19"/>
        <v>Sunday</v>
      </c>
      <c r="I229" t="str">
        <f t="shared" si="20"/>
        <v>No</v>
      </c>
      <c r="J229">
        <f t="shared" si="21"/>
        <v>0</v>
      </c>
      <c r="K229">
        <f t="shared" si="22"/>
        <v>1</v>
      </c>
      <c r="L229">
        <f t="shared" si="23"/>
        <v>43</v>
      </c>
    </row>
    <row r="230" spans="1:12" ht="14.4" customHeight="1" x14ac:dyDescent="0.3">
      <c r="A230">
        <v>156917754</v>
      </c>
      <c r="B230" s="1">
        <v>44836</v>
      </c>
      <c r="C230" s="1">
        <v>44862</v>
      </c>
      <c r="D230" t="s">
        <v>7</v>
      </c>
      <c r="E230">
        <v>39</v>
      </c>
      <c r="F230" t="s">
        <v>6</v>
      </c>
      <c r="G230">
        <f t="shared" si="18"/>
        <v>26</v>
      </c>
      <c r="H230" s="1" t="str">
        <f t="shared" si="19"/>
        <v>Sunday</v>
      </c>
      <c r="I230" t="str">
        <f t="shared" si="20"/>
        <v>No</v>
      </c>
      <c r="J230">
        <f t="shared" si="21"/>
        <v>0</v>
      </c>
      <c r="K230">
        <f t="shared" si="22"/>
        <v>0</v>
      </c>
      <c r="L230">
        <f t="shared" si="23"/>
        <v>26</v>
      </c>
    </row>
    <row r="231" spans="1:12" ht="14.4" customHeight="1" x14ac:dyDescent="0.3">
      <c r="A231">
        <v>134975906</v>
      </c>
      <c r="B231" s="1">
        <v>44837</v>
      </c>
      <c r="C231" s="1">
        <v>44861</v>
      </c>
      <c r="D231" t="s">
        <v>7</v>
      </c>
      <c r="E231">
        <v>39</v>
      </c>
      <c r="F231" t="s">
        <v>6</v>
      </c>
      <c r="G231">
        <f t="shared" si="18"/>
        <v>24</v>
      </c>
      <c r="H231" s="1" t="str">
        <f t="shared" si="19"/>
        <v>Monday</v>
      </c>
      <c r="I231" t="str">
        <f t="shared" si="20"/>
        <v>No</v>
      </c>
      <c r="J231">
        <f t="shared" si="21"/>
        <v>0</v>
      </c>
      <c r="K231">
        <f t="shared" si="22"/>
        <v>0</v>
      </c>
      <c r="L231">
        <f t="shared" si="23"/>
        <v>24</v>
      </c>
    </row>
    <row r="232" spans="1:12" x14ac:dyDescent="0.3">
      <c r="A232">
        <v>156955735</v>
      </c>
      <c r="B232" s="1">
        <v>44837</v>
      </c>
      <c r="C232" s="1">
        <v>45109</v>
      </c>
      <c r="D232" t="s">
        <v>7</v>
      </c>
      <c r="E232">
        <v>39</v>
      </c>
      <c r="F232" t="s">
        <v>6</v>
      </c>
      <c r="G232">
        <f t="shared" si="18"/>
        <v>272</v>
      </c>
      <c r="H232" s="1" t="str">
        <f t="shared" si="19"/>
        <v>Monday</v>
      </c>
      <c r="I232" t="str">
        <f t="shared" si="20"/>
        <v>No</v>
      </c>
      <c r="J232">
        <f t="shared" si="21"/>
        <v>0</v>
      </c>
      <c r="K232">
        <f t="shared" si="22"/>
        <v>1</v>
      </c>
      <c r="L232">
        <f t="shared" si="23"/>
        <v>272</v>
      </c>
    </row>
    <row r="233" spans="1:12" x14ac:dyDescent="0.3">
      <c r="A233">
        <v>156982750</v>
      </c>
      <c r="B233" s="1">
        <v>44837</v>
      </c>
      <c r="C233" s="1">
        <v>44963</v>
      </c>
      <c r="D233" t="s">
        <v>7</v>
      </c>
      <c r="E233">
        <v>39</v>
      </c>
      <c r="F233" t="s">
        <v>6</v>
      </c>
      <c r="G233">
        <f t="shared" si="18"/>
        <v>126</v>
      </c>
      <c r="H233" s="1" t="str">
        <f t="shared" si="19"/>
        <v>Monday</v>
      </c>
      <c r="I233" t="str">
        <f t="shared" si="20"/>
        <v>No</v>
      </c>
      <c r="J233">
        <f t="shared" si="21"/>
        <v>0</v>
      </c>
      <c r="K233">
        <f t="shared" si="22"/>
        <v>1</v>
      </c>
      <c r="L233">
        <f t="shared" si="23"/>
        <v>126</v>
      </c>
    </row>
    <row r="234" spans="1:12" x14ac:dyDescent="0.3">
      <c r="A234">
        <v>156953312</v>
      </c>
      <c r="B234" s="1">
        <v>44837</v>
      </c>
      <c r="C234" s="1">
        <v>45002</v>
      </c>
      <c r="D234" t="s">
        <v>7</v>
      </c>
      <c r="E234">
        <v>39</v>
      </c>
      <c r="F234" t="s">
        <v>6</v>
      </c>
      <c r="G234">
        <f t="shared" si="18"/>
        <v>165</v>
      </c>
      <c r="H234" s="1" t="str">
        <f t="shared" si="19"/>
        <v>Monday</v>
      </c>
      <c r="I234" t="str">
        <f t="shared" si="20"/>
        <v>No</v>
      </c>
      <c r="J234">
        <f t="shared" si="21"/>
        <v>0</v>
      </c>
      <c r="K234">
        <f t="shared" si="22"/>
        <v>1</v>
      </c>
      <c r="L234">
        <f t="shared" si="23"/>
        <v>165</v>
      </c>
    </row>
    <row r="235" spans="1:12" x14ac:dyDescent="0.3">
      <c r="A235">
        <v>124642102</v>
      </c>
      <c r="B235" s="1">
        <v>44837</v>
      </c>
      <c r="C235" s="1">
        <v>44929</v>
      </c>
      <c r="D235" t="s">
        <v>7</v>
      </c>
      <c r="E235">
        <v>39</v>
      </c>
      <c r="F235" t="s">
        <v>6</v>
      </c>
      <c r="G235">
        <f t="shared" si="18"/>
        <v>92</v>
      </c>
      <c r="H235" s="1" t="str">
        <f t="shared" si="19"/>
        <v>Monday</v>
      </c>
      <c r="I235" t="str">
        <f t="shared" si="20"/>
        <v>No</v>
      </c>
      <c r="J235">
        <f t="shared" si="21"/>
        <v>0</v>
      </c>
      <c r="K235">
        <f t="shared" si="22"/>
        <v>1</v>
      </c>
      <c r="L235">
        <f t="shared" si="23"/>
        <v>92</v>
      </c>
    </row>
    <row r="236" spans="1:12" x14ac:dyDescent="0.3">
      <c r="A236">
        <v>156940530</v>
      </c>
      <c r="B236" s="1">
        <v>44837</v>
      </c>
      <c r="C236" s="1">
        <v>44936</v>
      </c>
      <c r="D236" t="s">
        <v>7</v>
      </c>
      <c r="E236">
        <v>39</v>
      </c>
      <c r="F236" t="s">
        <v>6</v>
      </c>
      <c r="G236">
        <f t="shared" si="18"/>
        <v>99</v>
      </c>
      <c r="H236" s="1" t="str">
        <f t="shared" si="19"/>
        <v>Monday</v>
      </c>
      <c r="I236" t="str">
        <f t="shared" si="20"/>
        <v>No</v>
      </c>
      <c r="J236">
        <f t="shared" si="21"/>
        <v>0</v>
      </c>
      <c r="K236">
        <f t="shared" si="22"/>
        <v>1</v>
      </c>
      <c r="L236">
        <f t="shared" si="23"/>
        <v>99</v>
      </c>
    </row>
    <row r="237" spans="1:12" x14ac:dyDescent="0.3">
      <c r="A237">
        <v>155602780</v>
      </c>
      <c r="B237" s="1">
        <v>44837</v>
      </c>
      <c r="C237" s="1">
        <v>44946</v>
      </c>
      <c r="D237" t="s">
        <v>7</v>
      </c>
      <c r="E237">
        <v>39</v>
      </c>
      <c r="F237" t="s">
        <v>6</v>
      </c>
      <c r="G237">
        <f t="shared" si="18"/>
        <v>109</v>
      </c>
      <c r="H237" s="1" t="str">
        <f t="shared" si="19"/>
        <v>Monday</v>
      </c>
      <c r="I237" t="str">
        <f t="shared" si="20"/>
        <v>No</v>
      </c>
      <c r="J237">
        <f t="shared" si="21"/>
        <v>0</v>
      </c>
      <c r="K237">
        <f t="shared" si="22"/>
        <v>1</v>
      </c>
      <c r="L237">
        <f t="shared" si="23"/>
        <v>109</v>
      </c>
    </row>
    <row r="238" spans="1:12" x14ac:dyDescent="0.3">
      <c r="A238">
        <v>149635726</v>
      </c>
      <c r="B238" s="1">
        <v>44837</v>
      </c>
      <c r="C238" s="1">
        <v>44873</v>
      </c>
      <c r="D238" t="s">
        <v>7</v>
      </c>
      <c r="E238">
        <v>39</v>
      </c>
      <c r="F238" t="s">
        <v>6</v>
      </c>
      <c r="G238">
        <f t="shared" si="18"/>
        <v>36</v>
      </c>
      <c r="H238" s="1" t="str">
        <f t="shared" si="19"/>
        <v>Monday</v>
      </c>
      <c r="I238" t="str">
        <f t="shared" si="20"/>
        <v>No</v>
      </c>
      <c r="J238">
        <f t="shared" si="21"/>
        <v>0</v>
      </c>
      <c r="K238">
        <f t="shared" si="22"/>
        <v>1</v>
      </c>
      <c r="L238">
        <f t="shared" si="23"/>
        <v>36</v>
      </c>
    </row>
    <row r="239" spans="1:12" x14ac:dyDescent="0.3">
      <c r="A239">
        <v>152660102</v>
      </c>
      <c r="B239" s="1">
        <v>44837</v>
      </c>
      <c r="C239" s="1">
        <v>44893</v>
      </c>
      <c r="D239" t="s">
        <v>7</v>
      </c>
      <c r="E239">
        <v>39</v>
      </c>
      <c r="F239" t="s">
        <v>6</v>
      </c>
      <c r="G239">
        <f t="shared" si="18"/>
        <v>56</v>
      </c>
      <c r="H239" s="1" t="str">
        <f t="shared" si="19"/>
        <v>Monday</v>
      </c>
      <c r="I239" t="str">
        <f t="shared" si="20"/>
        <v>No</v>
      </c>
      <c r="J239">
        <f t="shared" si="21"/>
        <v>0</v>
      </c>
      <c r="K239">
        <f t="shared" si="22"/>
        <v>1</v>
      </c>
      <c r="L239">
        <f t="shared" si="23"/>
        <v>56</v>
      </c>
    </row>
    <row r="240" spans="1:12" x14ac:dyDescent="0.3">
      <c r="A240">
        <v>153620734</v>
      </c>
      <c r="B240" s="1">
        <v>44837</v>
      </c>
      <c r="C240" s="1">
        <v>44894</v>
      </c>
      <c r="D240" t="s">
        <v>7</v>
      </c>
      <c r="E240">
        <v>39</v>
      </c>
      <c r="F240" t="s">
        <v>6</v>
      </c>
      <c r="G240">
        <f t="shared" si="18"/>
        <v>57</v>
      </c>
      <c r="H240" s="1" t="str">
        <f t="shared" si="19"/>
        <v>Monday</v>
      </c>
      <c r="I240" t="str">
        <f t="shared" si="20"/>
        <v>No</v>
      </c>
      <c r="J240">
        <f t="shared" si="21"/>
        <v>0</v>
      </c>
      <c r="K240">
        <f t="shared" si="22"/>
        <v>1</v>
      </c>
      <c r="L240">
        <f t="shared" si="23"/>
        <v>57</v>
      </c>
    </row>
    <row r="241" spans="1:12" ht="14.4" customHeight="1" x14ac:dyDescent="0.3">
      <c r="A241">
        <v>156940254</v>
      </c>
      <c r="B241" s="1">
        <v>44837</v>
      </c>
      <c r="C241" s="1">
        <v>44837</v>
      </c>
      <c r="D241" t="s">
        <v>7</v>
      </c>
      <c r="E241">
        <v>39</v>
      </c>
      <c r="F241" t="s">
        <v>6</v>
      </c>
      <c r="G241">
        <f t="shared" si="18"/>
        <v>0</v>
      </c>
      <c r="H241" s="1" t="str">
        <f t="shared" si="19"/>
        <v>Monday</v>
      </c>
      <c r="I241" t="str">
        <f t="shared" si="20"/>
        <v>Yes</v>
      </c>
      <c r="J241">
        <f t="shared" si="21"/>
        <v>1</v>
      </c>
      <c r="K241">
        <f t="shared" si="22"/>
        <v>0</v>
      </c>
      <c r="L241">
        <f t="shared" si="23"/>
        <v>0</v>
      </c>
    </row>
    <row r="242" spans="1:12" ht="14.4" customHeight="1" x14ac:dyDescent="0.3">
      <c r="A242">
        <v>156940060</v>
      </c>
      <c r="B242" s="1">
        <v>44837</v>
      </c>
      <c r="C242" s="1">
        <v>44844</v>
      </c>
      <c r="D242" t="s">
        <v>7</v>
      </c>
      <c r="E242">
        <v>39</v>
      </c>
      <c r="F242" t="s">
        <v>6</v>
      </c>
      <c r="G242">
        <f t="shared" si="18"/>
        <v>7</v>
      </c>
      <c r="H242" s="1" t="str">
        <f t="shared" si="19"/>
        <v>Monday</v>
      </c>
      <c r="I242" t="str">
        <f t="shared" si="20"/>
        <v>No</v>
      </c>
      <c r="J242">
        <f t="shared" si="21"/>
        <v>0</v>
      </c>
      <c r="K242">
        <f t="shared" si="22"/>
        <v>0</v>
      </c>
      <c r="L242">
        <f t="shared" si="23"/>
        <v>7</v>
      </c>
    </row>
    <row r="243" spans="1:12" ht="14.4" customHeight="1" x14ac:dyDescent="0.3">
      <c r="A243">
        <v>156938938</v>
      </c>
      <c r="B243" s="1">
        <v>44837</v>
      </c>
      <c r="C243" s="1">
        <v>44837</v>
      </c>
      <c r="D243" t="s">
        <v>7</v>
      </c>
      <c r="E243">
        <v>39</v>
      </c>
      <c r="F243" t="s">
        <v>6</v>
      </c>
      <c r="G243">
        <f t="shared" si="18"/>
        <v>0</v>
      </c>
      <c r="H243" s="1" t="str">
        <f t="shared" si="19"/>
        <v>Monday</v>
      </c>
      <c r="I243" t="str">
        <f t="shared" si="20"/>
        <v>Yes</v>
      </c>
      <c r="J243">
        <f t="shared" si="21"/>
        <v>1</v>
      </c>
      <c r="K243">
        <f t="shared" si="22"/>
        <v>0</v>
      </c>
      <c r="L243">
        <f t="shared" si="23"/>
        <v>0</v>
      </c>
    </row>
    <row r="244" spans="1:12" x14ac:dyDescent="0.3">
      <c r="A244">
        <v>156955272</v>
      </c>
      <c r="B244" s="1">
        <v>44838</v>
      </c>
      <c r="C244" s="1">
        <v>45037</v>
      </c>
      <c r="D244" t="s">
        <v>7</v>
      </c>
      <c r="E244">
        <v>39</v>
      </c>
      <c r="F244" t="s">
        <v>6</v>
      </c>
      <c r="G244">
        <f t="shared" si="18"/>
        <v>199</v>
      </c>
      <c r="H244" s="1" t="str">
        <f t="shared" si="19"/>
        <v>Tuesday</v>
      </c>
      <c r="I244" t="str">
        <f t="shared" si="20"/>
        <v>No</v>
      </c>
      <c r="J244">
        <f t="shared" si="21"/>
        <v>0</v>
      </c>
      <c r="K244">
        <f t="shared" si="22"/>
        <v>1</v>
      </c>
      <c r="L244">
        <f t="shared" si="23"/>
        <v>199</v>
      </c>
    </row>
    <row r="245" spans="1:12" x14ac:dyDescent="0.3">
      <c r="A245">
        <v>156941638</v>
      </c>
      <c r="B245" s="1">
        <v>44838</v>
      </c>
      <c r="C245" s="1">
        <v>45000</v>
      </c>
      <c r="D245" t="s">
        <v>7</v>
      </c>
      <c r="E245">
        <v>39</v>
      </c>
      <c r="F245" t="s">
        <v>6</v>
      </c>
      <c r="G245">
        <f t="shared" si="18"/>
        <v>162</v>
      </c>
      <c r="H245" s="1" t="str">
        <f t="shared" si="19"/>
        <v>Tuesday</v>
      </c>
      <c r="I245" t="str">
        <f t="shared" si="20"/>
        <v>No</v>
      </c>
      <c r="J245">
        <f t="shared" si="21"/>
        <v>0</v>
      </c>
      <c r="K245">
        <f t="shared" si="22"/>
        <v>1</v>
      </c>
      <c r="L245">
        <f t="shared" si="23"/>
        <v>162</v>
      </c>
    </row>
    <row r="246" spans="1:12" x14ac:dyDescent="0.3">
      <c r="A246">
        <v>157154624</v>
      </c>
      <c r="B246" s="1">
        <v>44838</v>
      </c>
      <c r="C246" s="1">
        <v>44956</v>
      </c>
      <c r="D246" t="s">
        <v>7</v>
      </c>
      <c r="E246">
        <v>39</v>
      </c>
      <c r="F246" t="s">
        <v>6</v>
      </c>
      <c r="G246">
        <f t="shared" si="18"/>
        <v>118</v>
      </c>
      <c r="H246" s="1" t="str">
        <f t="shared" si="19"/>
        <v>Tuesday</v>
      </c>
      <c r="I246" t="str">
        <f t="shared" si="20"/>
        <v>No</v>
      </c>
      <c r="J246">
        <f t="shared" si="21"/>
        <v>0</v>
      </c>
      <c r="K246">
        <f t="shared" si="22"/>
        <v>1</v>
      </c>
      <c r="L246">
        <f t="shared" si="23"/>
        <v>118</v>
      </c>
    </row>
    <row r="247" spans="1:12" x14ac:dyDescent="0.3">
      <c r="A247">
        <v>151677119</v>
      </c>
      <c r="B247" s="1">
        <v>44838</v>
      </c>
      <c r="C247" s="1">
        <v>44909</v>
      </c>
      <c r="D247" t="s">
        <v>7</v>
      </c>
      <c r="E247">
        <v>39</v>
      </c>
      <c r="F247" t="s">
        <v>6</v>
      </c>
      <c r="G247">
        <f t="shared" si="18"/>
        <v>71</v>
      </c>
      <c r="H247" s="1" t="str">
        <f t="shared" si="19"/>
        <v>Tuesday</v>
      </c>
      <c r="I247" t="str">
        <f t="shared" si="20"/>
        <v>No</v>
      </c>
      <c r="J247">
        <f t="shared" si="21"/>
        <v>0</v>
      </c>
      <c r="K247">
        <f t="shared" si="22"/>
        <v>1</v>
      </c>
      <c r="L247">
        <f t="shared" si="23"/>
        <v>71</v>
      </c>
    </row>
    <row r="248" spans="1:12" x14ac:dyDescent="0.3">
      <c r="A248">
        <v>139465940</v>
      </c>
      <c r="B248" s="1">
        <v>44838</v>
      </c>
      <c r="C248" s="1">
        <v>44870</v>
      </c>
      <c r="D248" t="s">
        <v>7</v>
      </c>
      <c r="E248">
        <v>39</v>
      </c>
      <c r="F248" t="s">
        <v>6</v>
      </c>
      <c r="G248">
        <f t="shared" si="18"/>
        <v>32</v>
      </c>
      <c r="H248" s="1" t="str">
        <f t="shared" si="19"/>
        <v>Tuesday</v>
      </c>
      <c r="I248" t="str">
        <f t="shared" si="20"/>
        <v>No</v>
      </c>
      <c r="J248">
        <f t="shared" si="21"/>
        <v>0</v>
      </c>
      <c r="K248">
        <f t="shared" si="22"/>
        <v>1</v>
      </c>
      <c r="L248">
        <f t="shared" si="23"/>
        <v>32</v>
      </c>
    </row>
    <row r="249" spans="1:12" ht="14.4" customHeight="1" x14ac:dyDescent="0.3">
      <c r="A249">
        <v>156895692</v>
      </c>
      <c r="B249" s="1">
        <v>44839</v>
      </c>
      <c r="D249" t="s">
        <v>7</v>
      </c>
      <c r="E249">
        <v>39</v>
      </c>
      <c r="F249" t="s">
        <v>6</v>
      </c>
      <c r="G249" t="str">
        <f t="shared" si="18"/>
        <v/>
      </c>
      <c r="H249" s="1" t="str">
        <f t="shared" si="19"/>
        <v>Wednesday</v>
      </c>
      <c r="I249" t="str">
        <f t="shared" si="20"/>
        <v>No</v>
      </c>
      <c r="J249">
        <f t="shared" si="21"/>
        <v>0</v>
      </c>
      <c r="K249">
        <f t="shared" si="22"/>
        <v>0</v>
      </c>
      <c r="L249" t="str">
        <f t="shared" si="23"/>
        <v/>
      </c>
    </row>
    <row r="250" spans="1:12" ht="14.4" customHeight="1" x14ac:dyDescent="0.3">
      <c r="A250">
        <v>153587226</v>
      </c>
      <c r="B250" s="1">
        <v>44839</v>
      </c>
      <c r="D250" t="s">
        <v>7</v>
      </c>
      <c r="E250">
        <v>39</v>
      </c>
      <c r="F250" t="s">
        <v>6</v>
      </c>
      <c r="G250" t="str">
        <f t="shared" si="18"/>
        <v/>
      </c>
      <c r="H250" s="1" t="str">
        <f t="shared" si="19"/>
        <v>Wednesday</v>
      </c>
      <c r="I250" t="str">
        <f t="shared" si="20"/>
        <v>No</v>
      </c>
      <c r="J250">
        <f t="shared" si="21"/>
        <v>0</v>
      </c>
      <c r="K250">
        <f t="shared" si="22"/>
        <v>0</v>
      </c>
      <c r="L250" t="str">
        <f t="shared" si="23"/>
        <v/>
      </c>
    </row>
    <row r="251" spans="1:12" x14ac:dyDescent="0.3">
      <c r="A251">
        <v>157295262</v>
      </c>
      <c r="B251" s="1">
        <v>44839</v>
      </c>
      <c r="C251" s="1">
        <v>45019</v>
      </c>
      <c r="D251" t="s">
        <v>7</v>
      </c>
      <c r="E251">
        <v>39</v>
      </c>
      <c r="F251" t="s">
        <v>6</v>
      </c>
      <c r="G251">
        <f t="shared" si="18"/>
        <v>180</v>
      </c>
      <c r="H251" s="1" t="str">
        <f t="shared" si="19"/>
        <v>Wednesday</v>
      </c>
      <c r="I251" t="str">
        <f t="shared" si="20"/>
        <v>No</v>
      </c>
      <c r="J251">
        <f t="shared" si="21"/>
        <v>0</v>
      </c>
      <c r="K251">
        <f t="shared" si="22"/>
        <v>1</v>
      </c>
      <c r="L251">
        <f t="shared" si="23"/>
        <v>180</v>
      </c>
    </row>
    <row r="252" spans="1:12" x14ac:dyDescent="0.3">
      <c r="A252">
        <v>157284386</v>
      </c>
      <c r="B252" s="1">
        <v>44839</v>
      </c>
      <c r="C252" s="1">
        <v>45018</v>
      </c>
      <c r="D252" t="s">
        <v>7</v>
      </c>
      <c r="E252">
        <v>39</v>
      </c>
      <c r="F252" t="s">
        <v>6</v>
      </c>
      <c r="G252">
        <f t="shared" si="18"/>
        <v>179</v>
      </c>
      <c r="H252" s="1" t="str">
        <f t="shared" si="19"/>
        <v>Wednesday</v>
      </c>
      <c r="I252" t="str">
        <f t="shared" si="20"/>
        <v>No</v>
      </c>
      <c r="J252">
        <f t="shared" si="21"/>
        <v>0</v>
      </c>
      <c r="K252">
        <f t="shared" si="22"/>
        <v>1</v>
      </c>
      <c r="L252">
        <f t="shared" si="23"/>
        <v>179</v>
      </c>
    </row>
    <row r="253" spans="1:12" x14ac:dyDescent="0.3">
      <c r="A253">
        <v>148762867</v>
      </c>
      <c r="B253" s="1">
        <v>44839</v>
      </c>
      <c r="C253" s="1">
        <v>45100</v>
      </c>
      <c r="D253" t="s">
        <v>7</v>
      </c>
      <c r="E253">
        <v>39</v>
      </c>
      <c r="F253" t="s">
        <v>6</v>
      </c>
      <c r="G253">
        <f t="shared" si="18"/>
        <v>261</v>
      </c>
      <c r="H253" s="1" t="str">
        <f t="shared" si="19"/>
        <v>Wednesday</v>
      </c>
      <c r="I253" t="str">
        <f t="shared" si="20"/>
        <v>No</v>
      </c>
      <c r="J253">
        <f t="shared" si="21"/>
        <v>0</v>
      </c>
      <c r="K253">
        <f t="shared" si="22"/>
        <v>1</v>
      </c>
      <c r="L253">
        <f t="shared" si="23"/>
        <v>261</v>
      </c>
    </row>
    <row r="254" spans="1:12" x14ac:dyDescent="0.3">
      <c r="A254">
        <v>150433978</v>
      </c>
      <c r="B254" s="1">
        <v>44839</v>
      </c>
      <c r="C254" s="1">
        <v>44870</v>
      </c>
      <c r="D254" t="s">
        <v>7</v>
      </c>
      <c r="E254">
        <v>39</v>
      </c>
      <c r="F254" t="s">
        <v>6</v>
      </c>
      <c r="G254">
        <f t="shared" si="18"/>
        <v>31</v>
      </c>
      <c r="H254" s="1" t="str">
        <f t="shared" si="19"/>
        <v>Wednesday</v>
      </c>
      <c r="I254" t="str">
        <f t="shared" si="20"/>
        <v>No</v>
      </c>
      <c r="J254">
        <f t="shared" si="21"/>
        <v>0</v>
      </c>
      <c r="K254">
        <f t="shared" si="22"/>
        <v>1</v>
      </c>
      <c r="L254">
        <f t="shared" si="23"/>
        <v>31</v>
      </c>
    </row>
    <row r="255" spans="1:12" x14ac:dyDescent="0.3">
      <c r="A255">
        <v>157272487</v>
      </c>
      <c r="B255" s="1">
        <v>44839</v>
      </c>
      <c r="C255" s="1">
        <v>44902</v>
      </c>
      <c r="D255" t="s">
        <v>7</v>
      </c>
      <c r="E255">
        <v>39</v>
      </c>
      <c r="F255" t="s">
        <v>6</v>
      </c>
      <c r="G255">
        <f t="shared" si="18"/>
        <v>63</v>
      </c>
      <c r="H255" s="1" t="str">
        <f t="shared" si="19"/>
        <v>Wednesday</v>
      </c>
      <c r="I255" t="str">
        <f t="shared" si="20"/>
        <v>No</v>
      </c>
      <c r="J255">
        <f t="shared" si="21"/>
        <v>0</v>
      </c>
      <c r="K255">
        <f t="shared" si="22"/>
        <v>1</v>
      </c>
      <c r="L255">
        <f t="shared" si="23"/>
        <v>63</v>
      </c>
    </row>
    <row r="256" spans="1:12" x14ac:dyDescent="0.3">
      <c r="A256">
        <v>153776370</v>
      </c>
      <c r="B256" s="1">
        <v>44840</v>
      </c>
      <c r="C256" s="1">
        <v>44901</v>
      </c>
      <c r="D256" t="s">
        <v>7</v>
      </c>
      <c r="E256">
        <v>39</v>
      </c>
      <c r="F256" t="s">
        <v>6</v>
      </c>
      <c r="G256">
        <f t="shared" si="18"/>
        <v>61</v>
      </c>
      <c r="H256" s="1" t="str">
        <f t="shared" si="19"/>
        <v>Thursday</v>
      </c>
      <c r="I256" t="str">
        <f t="shared" si="20"/>
        <v>No</v>
      </c>
      <c r="J256">
        <f t="shared" si="21"/>
        <v>0</v>
      </c>
      <c r="K256">
        <f t="shared" si="22"/>
        <v>1</v>
      </c>
      <c r="L256">
        <f t="shared" si="23"/>
        <v>61</v>
      </c>
    </row>
    <row r="257" spans="1:12" x14ac:dyDescent="0.3">
      <c r="A257">
        <v>157371444</v>
      </c>
      <c r="B257" s="1">
        <v>44840</v>
      </c>
      <c r="C257" s="1">
        <v>44903</v>
      </c>
      <c r="D257" t="s">
        <v>7</v>
      </c>
      <c r="E257">
        <v>39</v>
      </c>
      <c r="F257" t="s">
        <v>6</v>
      </c>
      <c r="G257">
        <f t="shared" si="18"/>
        <v>63</v>
      </c>
      <c r="H257" s="1" t="str">
        <f t="shared" si="19"/>
        <v>Thursday</v>
      </c>
      <c r="I257" t="str">
        <f t="shared" si="20"/>
        <v>No</v>
      </c>
      <c r="J257">
        <f t="shared" si="21"/>
        <v>0</v>
      </c>
      <c r="K257">
        <f t="shared" si="22"/>
        <v>1</v>
      </c>
      <c r="L257">
        <f t="shared" si="23"/>
        <v>63</v>
      </c>
    </row>
    <row r="258" spans="1:12" x14ac:dyDescent="0.3">
      <c r="A258">
        <v>157095464</v>
      </c>
      <c r="B258" s="1">
        <v>44840</v>
      </c>
      <c r="C258" s="1">
        <v>45120</v>
      </c>
      <c r="D258" t="s">
        <v>7</v>
      </c>
      <c r="E258">
        <v>39</v>
      </c>
      <c r="F258" t="s">
        <v>6</v>
      </c>
      <c r="G258">
        <f t="shared" ref="G258:G321" si="24">IF(C258="","",C258-B258)</f>
        <v>280</v>
      </c>
      <c r="H258" s="1" t="str">
        <f t="shared" si="19"/>
        <v>Thursday</v>
      </c>
      <c r="I258" t="str">
        <f t="shared" si="20"/>
        <v>No</v>
      </c>
      <c r="J258">
        <f t="shared" si="21"/>
        <v>0</v>
      </c>
      <c r="K258">
        <f t="shared" si="22"/>
        <v>1</v>
      </c>
      <c r="L258">
        <f t="shared" si="23"/>
        <v>280</v>
      </c>
    </row>
    <row r="259" spans="1:12" ht="14.4" customHeight="1" x14ac:dyDescent="0.3">
      <c r="A259">
        <v>153554190</v>
      </c>
      <c r="B259" s="1">
        <v>44841</v>
      </c>
      <c r="D259" t="s">
        <v>7</v>
      </c>
      <c r="E259">
        <v>39</v>
      </c>
      <c r="F259" t="s">
        <v>6</v>
      </c>
      <c r="G259" t="str">
        <f t="shared" si="24"/>
        <v/>
      </c>
      <c r="H259" s="1" t="str">
        <f t="shared" ref="H259:H322" si="25">TEXT(B259,"dddd")</f>
        <v>Friday</v>
      </c>
      <c r="I259" t="str">
        <f t="shared" ref="I259:I322" si="26">IF(B259=C259,"Yes","No")</f>
        <v>No</v>
      </c>
      <c r="J259">
        <f t="shared" ref="J259:J322" si="27">IF(AND(C259&lt;&gt;"",C259-B259&lt;=2),1,0)</f>
        <v>0</v>
      </c>
      <c r="K259">
        <f t="shared" ref="K259:K322" si="28">IF(AND(C259&lt;&gt;"",C259-B259&gt;30),1,0)</f>
        <v>0</v>
      </c>
      <c r="L259" t="str">
        <f t="shared" ref="L259:L322" si="29">IF(C259="","",C259-B259)</f>
        <v/>
      </c>
    </row>
    <row r="260" spans="1:12" ht="14.4" customHeight="1" x14ac:dyDescent="0.3">
      <c r="A260">
        <v>157411994</v>
      </c>
      <c r="B260" s="1">
        <v>44841</v>
      </c>
      <c r="D260" t="s">
        <v>7</v>
      </c>
      <c r="E260">
        <v>39</v>
      </c>
      <c r="F260" t="s">
        <v>6</v>
      </c>
      <c r="G260" t="str">
        <f t="shared" si="24"/>
        <v/>
      </c>
      <c r="H260" s="1" t="str">
        <f t="shared" si="25"/>
        <v>Friday</v>
      </c>
      <c r="I260" t="str">
        <f t="shared" si="26"/>
        <v>No</v>
      </c>
      <c r="J260">
        <f t="shared" si="27"/>
        <v>0</v>
      </c>
      <c r="K260">
        <f t="shared" si="28"/>
        <v>0</v>
      </c>
      <c r="L260" t="str">
        <f t="shared" si="29"/>
        <v/>
      </c>
    </row>
    <row r="261" spans="1:12" x14ac:dyDescent="0.3">
      <c r="A261">
        <v>157374056</v>
      </c>
      <c r="B261" s="1">
        <v>44841</v>
      </c>
      <c r="C261" s="1">
        <v>44872</v>
      </c>
      <c r="D261" t="s">
        <v>7</v>
      </c>
      <c r="E261">
        <v>39</v>
      </c>
      <c r="F261" t="s">
        <v>6</v>
      </c>
      <c r="G261">
        <f t="shared" si="24"/>
        <v>31</v>
      </c>
      <c r="H261" s="1" t="str">
        <f t="shared" si="25"/>
        <v>Friday</v>
      </c>
      <c r="I261" t="str">
        <f t="shared" si="26"/>
        <v>No</v>
      </c>
      <c r="J261">
        <f t="shared" si="27"/>
        <v>0</v>
      </c>
      <c r="K261">
        <f t="shared" si="28"/>
        <v>1</v>
      </c>
      <c r="L261">
        <f t="shared" si="29"/>
        <v>31</v>
      </c>
    </row>
    <row r="262" spans="1:12" ht="14.4" customHeight="1" x14ac:dyDescent="0.3">
      <c r="A262">
        <v>157397941</v>
      </c>
      <c r="B262" s="1">
        <v>44841</v>
      </c>
      <c r="C262" s="1">
        <v>44868</v>
      </c>
      <c r="D262" t="s">
        <v>7</v>
      </c>
      <c r="E262">
        <v>39</v>
      </c>
      <c r="F262" t="s">
        <v>6</v>
      </c>
      <c r="G262">
        <f t="shared" si="24"/>
        <v>27</v>
      </c>
      <c r="H262" s="1" t="str">
        <f t="shared" si="25"/>
        <v>Friday</v>
      </c>
      <c r="I262" t="str">
        <f t="shared" si="26"/>
        <v>No</v>
      </c>
      <c r="J262">
        <f t="shared" si="27"/>
        <v>0</v>
      </c>
      <c r="K262">
        <f t="shared" si="28"/>
        <v>0</v>
      </c>
      <c r="L262">
        <f t="shared" si="29"/>
        <v>27</v>
      </c>
    </row>
    <row r="263" spans="1:12" ht="14.4" customHeight="1" x14ac:dyDescent="0.3">
      <c r="A263">
        <v>157234944</v>
      </c>
      <c r="B263" s="1">
        <v>44841</v>
      </c>
      <c r="C263" s="1">
        <v>44858</v>
      </c>
      <c r="D263" t="s">
        <v>7</v>
      </c>
      <c r="E263">
        <v>39</v>
      </c>
      <c r="F263" t="s">
        <v>6</v>
      </c>
      <c r="G263">
        <f t="shared" si="24"/>
        <v>17</v>
      </c>
      <c r="H263" s="1" t="str">
        <f t="shared" si="25"/>
        <v>Friday</v>
      </c>
      <c r="I263" t="str">
        <f t="shared" si="26"/>
        <v>No</v>
      </c>
      <c r="J263">
        <f t="shared" si="27"/>
        <v>0</v>
      </c>
      <c r="K263">
        <f t="shared" si="28"/>
        <v>0</v>
      </c>
      <c r="L263">
        <f t="shared" si="29"/>
        <v>17</v>
      </c>
    </row>
    <row r="264" spans="1:12" x14ac:dyDescent="0.3">
      <c r="A264">
        <v>157490039</v>
      </c>
      <c r="B264" s="1">
        <v>44842</v>
      </c>
      <c r="C264" s="1">
        <v>45000</v>
      </c>
      <c r="D264" t="s">
        <v>7</v>
      </c>
      <c r="E264">
        <v>39</v>
      </c>
      <c r="F264" t="s">
        <v>6</v>
      </c>
      <c r="G264">
        <f t="shared" si="24"/>
        <v>158</v>
      </c>
      <c r="H264" s="1" t="str">
        <f t="shared" si="25"/>
        <v>Saturday</v>
      </c>
      <c r="I264" t="str">
        <f t="shared" si="26"/>
        <v>No</v>
      </c>
      <c r="J264">
        <f t="shared" si="27"/>
        <v>0</v>
      </c>
      <c r="K264">
        <f t="shared" si="28"/>
        <v>1</v>
      </c>
      <c r="L264">
        <f t="shared" si="29"/>
        <v>158</v>
      </c>
    </row>
    <row r="265" spans="1:12" x14ac:dyDescent="0.3">
      <c r="A265">
        <v>157484010</v>
      </c>
      <c r="B265" s="1">
        <v>44842</v>
      </c>
      <c r="C265" s="1">
        <v>45000</v>
      </c>
      <c r="D265" t="s">
        <v>7</v>
      </c>
      <c r="E265">
        <v>39</v>
      </c>
      <c r="F265" t="s">
        <v>6</v>
      </c>
      <c r="G265">
        <f t="shared" si="24"/>
        <v>158</v>
      </c>
      <c r="H265" s="1" t="str">
        <f t="shared" si="25"/>
        <v>Saturday</v>
      </c>
      <c r="I265" t="str">
        <f t="shared" si="26"/>
        <v>No</v>
      </c>
      <c r="J265">
        <f t="shared" si="27"/>
        <v>0</v>
      </c>
      <c r="K265">
        <f t="shared" si="28"/>
        <v>1</v>
      </c>
      <c r="L265">
        <f t="shared" si="29"/>
        <v>158</v>
      </c>
    </row>
    <row r="266" spans="1:12" x14ac:dyDescent="0.3">
      <c r="A266">
        <v>125038257</v>
      </c>
      <c r="B266" s="1">
        <v>44842</v>
      </c>
      <c r="C266" s="1">
        <v>44882</v>
      </c>
      <c r="D266" t="s">
        <v>7</v>
      </c>
      <c r="E266">
        <v>39</v>
      </c>
      <c r="F266" t="s">
        <v>6</v>
      </c>
      <c r="G266">
        <f t="shared" si="24"/>
        <v>40</v>
      </c>
      <c r="H266" s="1" t="str">
        <f t="shared" si="25"/>
        <v>Saturday</v>
      </c>
      <c r="I266" t="str">
        <f t="shared" si="26"/>
        <v>No</v>
      </c>
      <c r="J266">
        <f t="shared" si="27"/>
        <v>0</v>
      </c>
      <c r="K266">
        <f t="shared" si="28"/>
        <v>1</v>
      </c>
      <c r="L266">
        <f t="shared" si="29"/>
        <v>40</v>
      </c>
    </row>
    <row r="267" spans="1:12" ht="14.4" customHeight="1" x14ac:dyDescent="0.3">
      <c r="A267">
        <v>157400730</v>
      </c>
      <c r="B267" s="1">
        <v>44842</v>
      </c>
      <c r="C267" s="1">
        <v>44860</v>
      </c>
      <c r="D267" t="s">
        <v>7</v>
      </c>
      <c r="E267">
        <v>39</v>
      </c>
      <c r="F267" t="s">
        <v>6</v>
      </c>
      <c r="G267">
        <f t="shared" si="24"/>
        <v>18</v>
      </c>
      <c r="H267" s="1" t="str">
        <f t="shared" si="25"/>
        <v>Saturday</v>
      </c>
      <c r="I267" t="str">
        <f t="shared" si="26"/>
        <v>No</v>
      </c>
      <c r="J267">
        <f t="shared" si="27"/>
        <v>0</v>
      </c>
      <c r="K267">
        <f t="shared" si="28"/>
        <v>0</v>
      </c>
      <c r="L267">
        <f t="shared" si="29"/>
        <v>18</v>
      </c>
    </row>
    <row r="268" spans="1:12" ht="14.4" customHeight="1" x14ac:dyDescent="0.3">
      <c r="A268">
        <v>157450645</v>
      </c>
      <c r="B268" s="1">
        <v>44842</v>
      </c>
      <c r="C268" s="1">
        <v>44852</v>
      </c>
      <c r="D268" t="s">
        <v>7</v>
      </c>
      <c r="E268">
        <v>39</v>
      </c>
      <c r="F268" t="s">
        <v>6</v>
      </c>
      <c r="G268">
        <f t="shared" si="24"/>
        <v>10</v>
      </c>
      <c r="H268" s="1" t="str">
        <f t="shared" si="25"/>
        <v>Saturday</v>
      </c>
      <c r="I268" t="str">
        <f t="shared" si="26"/>
        <v>No</v>
      </c>
      <c r="J268">
        <f t="shared" si="27"/>
        <v>0</v>
      </c>
      <c r="K268">
        <f t="shared" si="28"/>
        <v>0</v>
      </c>
      <c r="L268">
        <f t="shared" si="29"/>
        <v>10</v>
      </c>
    </row>
    <row r="269" spans="1:12" ht="14.4" customHeight="1" x14ac:dyDescent="0.3">
      <c r="A269">
        <v>156943008</v>
      </c>
      <c r="B269" s="1">
        <v>44843</v>
      </c>
      <c r="C269" s="1">
        <v>44844</v>
      </c>
      <c r="D269" t="s">
        <v>7</v>
      </c>
      <c r="E269">
        <v>39</v>
      </c>
      <c r="F269" t="s">
        <v>6</v>
      </c>
      <c r="G269">
        <f t="shared" si="24"/>
        <v>1</v>
      </c>
      <c r="H269" s="1" t="str">
        <f t="shared" si="25"/>
        <v>Sunday</v>
      </c>
      <c r="I269" t="str">
        <f t="shared" si="26"/>
        <v>No</v>
      </c>
      <c r="J269">
        <f t="shared" si="27"/>
        <v>1</v>
      </c>
      <c r="K269">
        <f t="shared" si="28"/>
        <v>0</v>
      </c>
      <c r="L269">
        <f t="shared" si="29"/>
        <v>1</v>
      </c>
    </row>
    <row r="270" spans="1:12" x14ac:dyDescent="0.3">
      <c r="A270">
        <v>127328047</v>
      </c>
      <c r="B270" s="1">
        <v>44843</v>
      </c>
      <c r="C270" s="1">
        <v>44942</v>
      </c>
      <c r="D270" t="s">
        <v>7</v>
      </c>
      <c r="E270">
        <v>39</v>
      </c>
      <c r="F270" t="s">
        <v>6</v>
      </c>
      <c r="G270">
        <f t="shared" si="24"/>
        <v>99</v>
      </c>
      <c r="H270" s="1" t="str">
        <f t="shared" si="25"/>
        <v>Sunday</v>
      </c>
      <c r="I270" t="str">
        <f t="shared" si="26"/>
        <v>No</v>
      </c>
      <c r="J270">
        <f t="shared" si="27"/>
        <v>0</v>
      </c>
      <c r="K270">
        <f t="shared" si="28"/>
        <v>1</v>
      </c>
      <c r="L270">
        <f t="shared" si="29"/>
        <v>99</v>
      </c>
    </row>
    <row r="271" spans="1:12" x14ac:dyDescent="0.3">
      <c r="A271">
        <v>157506842</v>
      </c>
      <c r="B271" s="1">
        <v>44843</v>
      </c>
      <c r="C271" s="1">
        <v>44880</v>
      </c>
      <c r="D271" t="s">
        <v>7</v>
      </c>
      <c r="E271">
        <v>39</v>
      </c>
      <c r="F271" t="s">
        <v>6</v>
      </c>
      <c r="G271">
        <f t="shared" si="24"/>
        <v>37</v>
      </c>
      <c r="H271" s="1" t="str">
        <f t="shared" si="25"/>
        <v>Sunday</v>
      </c>
      <c r="I271" t="str">
        <f t="shared" si="26"/>
        <v>No</v>
      </c>
      <c r="J271">
        <f t="shared" si="27"/>
        <v>0</v>
      </c>
      <c r="K271">
        <f t="shared" si="28"/>
        <v>1</v>
      </c>
      <c r="L271">
        <f t="shared" si="29"/>
        <v>37</v>
      </c>
    </row>
    <row r="272" spans="1:12" x14ac:dyDescent="0.3">
      <c r="A272">
        <v>150924853</v>
      </c>
      <c r="B272" s="1">
        <v>44843</v>
      </c>
      <c r="C272" s="1">
        <v>44888</v>
      </c>
      <c r="D272" t="s">
        <v>7</v>
      </c>
      <c r="E272">
        <v>39</v>
      </c>
      <c r="F272" t="s">
        <v>6</v>
      </c>
      <c r="G272">
        <f t="shared" si="24"/>
        <v>45</v>
      </c>
      <c r="H272" s="1" t="str">
        <f t="shared" si="25"/>
        <v>Sunday</v>
      </c>
      <c r="I272" t="str">
        <f t="shared" si="26"/>
        <v>No</v>
      </c>
      <c r="J272">
        <f t="shared" si="27"/>
        <v>0</v>
      </c>
      <c r="K272">
        <f t="shared" si="28"/>
        <v>1</v>
      </c>
      <c r="L272">
        <f t="shared" si="29"/>
        <v>45</v>
      </c>
    </row>
    <row r="273" spans="1:12" ht="14.4" customHeight="1" x14ac:dyDescent="0.3">
      <c r="A273">
        <v>156996568</v>
      </c>
      <c r="B273" s="1">
        <v>44844</v>
      </c>
      <c r="D273" t="s">
        <v>7</v>
      </c>
      <c r="E273">
        <v>39</v>
      </c>
      <c r="F273" t="s">
        <v>6</v>
      </c>
      <c r="G273" t="str">
        <f t="shared" si="24"/>
        <v/>
      </c>
      <c r="H273" s="1" t="str">
        <f t="shared" si="25"/>
        <v>Monday</v>
      </c>
      <c r="I273" t="str">
        <f t="shared" si="26"/>
        <v>No</v>
      </c>
      <c r="J273">
        <f t="shared" si="27"/>
        <v>0</v>
      </c>
      <c r="K273">
        <f t="shared" si="28"/>
        <v>0</v>
      </c>
      <c r="L273" t="str">
        <f t="shared" si="29"/>
        <v/>
      </c>
    </row>
    <row r="274" spans="1:12" x14ac:dyDescent="0.3">
      <c r="A274">
        <v>157627904</v>
      </c>
      <c r="B274" s="1">
        <v>44844</v>
      </c>
      <c r="C274" s="1">
        <v>44937</v>
      </c>
      <c r="D274" t="s">
        <v>7</v>
      </c>
      <c r="E274">
        <v>39</v>
      </c>
      <c r="F274" t="s">
        <v>6</v>
      </c>
      <c r="G274">
        <f t="shared" si="24"/>
        <v>93</v>
      </c>
      <c r="H274" s="1" t="str">
        <f t="shared" si="25"/>
        <v>Monday</v>
      </c>
      <c r="I274" t="str">
        <f t="shared" si="26"/>
        <v>No</v>
      </c>
      <c r="J274">
        <f t="shared" si="27"/>
        <v>0</v>
      </c>
      <c r="K274">
        <f t="shared" si="28"/>
        <v>1</v>
      </c>
      <c r="L274">
        <f t="shared" si="29"/>
        <v>93</v>
      </c>
    </row>
    <row r="275" spans="1:12" ht="14.4" customHeight="1" x14ac:dyDescent="0.3">
      <c r="A275">
        <v>157058101</v>
      </c>
      <c r="B275" s="1">
        <v>44844</v>
      </c>
      <c r="C275" s="1">
        <v>44874</v>
      </c>
      <c r="D275" t="s">
        <v>7</v>
      </c>
      <c r="E275">
        <v>39</v>
      </c>
      <c r="F275" t="s">
        <v>6</v>
      </c>
      <c r="G275">
        <f t="shared" si="24"/>
        <v>30</v>
      </c>
      <c r="H275" s="1" t="str">
        <f t="shared" si="25"/>
        <v>Monday</v>
      </c>
      <c r="I275" t="str">
        <f t="shared" si="26"/>
        <v>No</v>
      </c>
      <c r="J275">
        <f t="shared" si="27"/>
        <v>0</v>
      </c>
      <c r="K275">
        <f t="shared" si="28"/>
        <v>0</v>
      </c>
      <c r="L275">
        <f t="shared" si="29"/>
        <v>30</v>
      </c>
    </row>
    <row r="276" spans="1:12" ht="14.4" customHeight="1" x14ac:dyDescent="0.3">
      <c r="A276">
        <v>157394598</v>
      </c>
      <c r="B276" s="1">
        <v>44845</v>
      </c>
      <c r="C276" s="1">
        <v>44846</v>
      </c>
      <c r="D276" t="s">
        <v>8</v>
      </c>
      <c r="E276">
        <v>39</v>
      </c>
      <c r="F276" t="s">
        <v>6</v>
      </c>
      <c r="G276">
        <f t="shared" si="24"/>
        <v>1</v>
      </c>
      <c r="H276" s="1" t="str">
        <f t="shared" si="25"/>
        <v>Tuesday</v>
      </c>
      <c r="I276" t="str">
        <f t="shared" si="26"/>
        <v>No</v>
      </c>
      <c r="J276">
        <f t="shared" si="27"/>
        <v>1</v>
      </c>
      <c r="K276">
        <f t="shared" si="28"/>
        <v>0</v>
      </c>
      <c r="L276">
        <f t="shared" si="29"/>
        <v>1</v>
      </c>
    </row>
    <row r="277" spans="1:12" ht="14.4" customHeight="1" x14ac:dyDescent="0.3">
      <c r="A277">
        <v>157765918</v>
      </c>
      <c r="B277" s="1">
        <v>44845</v>
      </c>
      <c r="C277" s="1">
        <v>44846</v>
      </c>
      <c r="D277" t="s">
        <v>8</v>
      </c>
      <c r="E277">
        <v>39</v>
      </c>
      <c r="F277" t="s">
        <v>6</v>
      </c>
      <c r="G277">
        <f t="shared" si="24"/>
        <v>1</v>
      </c>
      <c r="H277" s="1" t="str">
        <f t="shared" si="25"/>
        <v>Tuesday</v>
      </c>
      <c r="I277" t="str">
        <f t="shared" si="26"/>
        <v>No</v>
      </c>
      <c r="J277">
        <f t="shared" si="27"/>
        <v>1</v>
      </c>
      <c r="K277">
        <f t="shared" si="28"/>
        <v>0</v>
      </c>
      <c r="L277">
        <f t="shared" si="29"/>
        <v>1</v>
      </c>
    </row>
    <row r="278" spans="1:12" x14ac:dyDescent="0.3">
      <c r="A278">
        <v>157746458</v>
      </c>
      <c r="B278" s="1">
        <v>44845</v>
      </c>
      <c r="C278" s="1">
        <v>45041</v>
      </c>
      <c r="D278" t="s">
        <v>7</v>
      </c>
      <c r="E278">
        <v>39</v>
      </c>
      <c r="F278" t="s">
        <v>6</v>
      </c>
      <c r="G278">
        <f t="shared" si="24"/>
        <v>196</v>
      </c>
      <c r="H278" s="1" t="str">
        <f t="shared" si="25"/>
        <v>Tuesday</v>
      </c>
      <c r="I278" t="str">
        <f t="shared" si="26"/>
        <v>No</v>
      </c>
      <c r="J278">
        <f t="shared" si="27"/>
        <v>0</v>
      </c>
      <c r="K278">
        <f t="shared" si="28"/>
        <v>1</v>
      </c>
      <c r="L278">
        <f t="shared" si="29"/>
        <v>196</v>
      </c>
    </row>
    <row r="279" spans="1:12" x14ac:dyDescent="0.3">
      <c r="A279">
        <v>157590918</v>
      </c>
      <c r="B279" s="1">
        <v>44845</v>
      </c>
      <c r="C279" s="1">
        <v>44969</v>
      </c>
      <c r="D279" t="s">
        <v>7</v>
      </c>
      <c r="E279">
        <v>39</v>
      </c>
      <c r="F279" t="s">
        <v>6</v>
      </c>
      <c r="G279">
        <f t="shared" si="24"/>
        <v>124</v>
      </c>
      <c r="H279" s="1" t="str">
        <f t="shared" si="25"/>
        <v>Tuesday</v>
      </c>
      <c r="I279" t="str">
        <f t="shared" si="26"/>
        <v>No</v>
      </c>
      <c r="J279">
        <f t="shared" si="27"/>
        <v>0</v>
      </c>
      <c r="K279">
        <f t="shared" si="28"/>
        <v>1</v>
      </c>
      <c r="L279">
        <f t="shared" si="29"/>
        <v>124</v>
      </c>
    </row>
    <row r="280" spans="1:12" x14ac:dyDescent="0.3">
      <c r="A280">
        <v>157290992</v>
      </c>
      <c r="B280" s="1">
        <v>44845</v>
      </c>
      <c r="C280" s="1">
        <v>44936</v>
      </c>
      <c r="D280" t="s">
        <v>7</v>
      </c>
      <c r="E280">
        <v>39</v>
      </c>
      <c r="F280" t="s">
        <v>6</v>
      </c>
      <c r="G280">
        <f t="shared" si="24"/>
        <v>91</v>
      </c>
      <c r="H280" s="1" t="str">
        <f t="shared" si="25"/>
        <v>Tuesday</v>
      </c>
      <c r="I280" t="str">
        <f t="shared" si="26"/>
        <v>No</v>
      </c>
      <c r="J280">
        <f t="shared" si="27"/>
        <v>0</v>
      </c>
      <c r="K280">
        <f t="shared" si="28"/>
        <v>1</v>
      </c>
      <c r="L280">
        <f t="shared" si="29"/>
        <v>91</v>
      </c>
    </row>
    <row r="281" spans="1:12" x14ac:dyDescent="0.3">
      <c r="A281">
        <v>156895701</v>
      </c>
      <c r="B281" s="1">
        <v>44845</v>
      </c>
      <c r="C281" s="1">
        <v>44913</v>
      </c>
      <c r="D281" t="s">
        <v>7</v>
      </c>
      <c r="E281">
        <v>39</v>
      </c>
      <c r="F281" t="s">
        <v>6</v>
      </c>
      <c r="G281">
        <f t="shared" si="24"/>
        <v>68</v>
      </c>
      <c r="H281" s="1" t="str">
        <f t="shared" si="25"/>
        <v>Tuesday</v>
      </c>
      <c r="I281" t="str">
        <f t="shared" si="26"/>
        <v>No</v>
      </c>
      <c r="J281">
        <f t="shared" si="27"/>
        <v>0</v>
      </c>
      <c r="K281">
        <f t="shared" si="28"/>
        <v>1</v>
      </c>
      <c r="L281">
        <f t="shared" si="29"/>
        <v>68</v>
      </c>
    </row>
    <row r="282" spans="1:12" x14ac:dyDescent="0.3">
      <c r="A282">
        <v>155926313</v>
      </c>
      <c r="B282" s="1">
        <v>44845</v>
      </c>
      <c r="C282" s="1">
        <v>44893</v>
      </c>
      <c r="D282" t="s">
        <v>7</v>
      </c>
      <c r="E282">
        <v>39</v>
      </c>
      <c r="F282" t="s">
        <v>6</v>
      </c>
      <c r="G282">
        <f t="shared" si="24"/>
        <v>48</v>
      </c>
      <c r="H282" s="1" t="str">
        <f t="shared" si="25"/>
        <v>Tuesday</v>
      </c>
      <c r="I282" t="str">
        <f t="shared" si="26"/>
        <v>No</v>
      </c>
      <c r="J282">
        <f t="shared" si="27"/>
        <v>0</v>
      </c>
      <c r="K282">
        <f t="shared" si="28"/>
        <v>1</v>
      </c>
      <c r="L282">
        <f t="shared" si="29"/>
        <v>48</v>
      </c>
    </row>
    <row r="283" spans="1:12" x14ac:dyDescent="0.3">
      <c r="A283">
        <v>156110000</v>
      </c>
      <c r="B283" s="1">
        <v>44845</v>
      </c>
      <c r="C283" s="1">
        <v>44881</v>
      </c>
      <c r="D283" t="s">
        <v>7</v>
      </c>
      <c r="E283">
        <v>39</v>
      </c>
      <c r="F283" t="s">
        <v>6</v>
      </c>
      <c r="G283">
        <f t="shared" si="24"/>
        <v>36</v>
      </c>
      <c r="H283" s="1" t="str">
        <f t="shared" si="25"/>
        <v>Tuesday</v>
      </c>
      <c r="I283" t="str">
        <f t="shared" si="26"/>
        <v>No</v>
      </c>
      <c r="J283">
        <f t="shared" si="27"/>
        <v>0</v>
      </c>
      <c r="K283">
        <f t="shared" si="28"/>
        <v>1</v>
      </c>
      <c r="L283">
        <f t="shared" si="29"/>
        <v>36</v>
      </c>
    </row>
    <row r="284" spans="1:12" x14ac:dyDescent="0.3">
      <c r="A284">
        <v>157851493</v>
      </c>
      <c r="B284" s="1">
        <v>44846</v>
      </c>
      <c r="C284" s="1">
        <v>45020</v>
      </c>
      <c r="D284" t="s">
        <v>7</v>
      </c>
      <c r="E284">
        <v>39</v>
      </c>
      <c r="F284" t="s">
        <v>6</v>
      </c>
      <c r="G284">
        <f t="shared" si="24"/>
        <v>174</v>
      </c>
      <c r="H284" s="1" t="str">
        <f t="shared" si="25"/>
        <v>Wednesday</v>
      </c>
      <c r="I284" t="str">
        <f t="shared" si="26"/>
        <v>No</v>
      </c>
      <c r="J284">
        <f t="shared" si="27"/>
        <v>0</v>
      </c>
      <c r="K284">
        <f t="shared" si="28"/>
        <v>1</v>
      </c>
      <c r="L284">
        <f t="shared" si="29"/>
        <v>174</v>
      </c>
    </row>
    <row r="285" spans="1:12" x14ac:dyDescent="0.3">
      <c r="A285">
        <v>157792408</v>
      </c>
      <c r="B285" s="1">
        <v>44846</v>
      </c>
      <c r="C285" s="1">
        <v>45087</v>
      </c>
      <c r="D285" t="s">
        <v>7</v>
      </c>
      <c r="E285">
        <v>39</v>
      </c>
      <c r="F285" t="s">
        <v>6</v>
      </c>
      <c r="G285">
        <f t="shared" si="24"/>
        <v>241</v>
      </c>
      <c r="H285" s="1" t="str">
        <f t="shared" si="25"/>
        <v>Wednesday</v>
      </c>
      <c r="I285" t="str">
        <f t="shared" si="26"/>
        <v>No</v>
      </c>
      <c r="J285">
        <f t="shared" si="27"/>
        <v>0</v>
      </c>
      <c r="K285">
        <f t="shared" si="28"/>
        <v>1</v>
      </c>
      <c r="L285">
        <f t="shared" si="29"/>
        <v>241</v>
      </c>
    </row>
    <row r="286" spans="1:12" ht="14.4" customHeight="1" x14ac:dyDescent="0.3">
      <c r="A286">
        <v>157868778</v>
      </c>
      <c r="B286" s="1">
        <v>44846</v>
      </c>
      <c r="C286" s="1">
        <v>44872</v>
      </c>
      <c r="D286" t="s">
        <v>7</v>
      </c>
      <c r="E286">
        <v>39</v>
      </c>
      <c r="F286" t="s">
        <v>6</v>
      </c>
      <c r="G286">
        <f t="shared" si="24"/>
        <v>26</v>
      </c>
      <c r="H286" s="1" t="str">
        <f t="shared" si="25"/>
        <v>Wednesday</v>
      </c>
      <c r="I286" t="str">
        <f t="shared" si="26"/>
        <v>No</v>
      </c>
      <c r="J286">
        <f t="shared" si="27"/>
        <v>0</v>
      </c>
      <c r="K286">
        <f t="shared" si="28"/>
        <v>0</v>
      </c>
      <c r="L286">
        <f t="shared" si="29"/>
        <v>26</v>
      </c>
    </row>
    <row r="287" spans="1:12" ht="14.4" customHeight="1" x14ac:dyDescent="0.3">
      <c r="A287">
        <v>157833252</v>
      </c>
      <c r="B287" s="1">
        <v>44846</v>
      </c>
      <c r="C287" s="1">
        <v>44857</v>
      </c>
      <c r="D287" t="s">
        <v>7</v>
      </c>
      <c r="E287">
        <v>39</v>
      </c>
      <c r="F287" t="s">
        <v>6</v>
      </c>
      <c r="G287">
        <f t="shared" si="24"/>
        <v>11</v>
      </c>
      <c r="H287" s="1" t="str">
        <f t="shared" si="25"/>
        <v>Wednesday</v>
      </c>
      <c r="I287" t="str">
        <f t="shared" si="26"/>
        <v>No</v>
      </c>
      <c r="J287">
        <f t="shared" si="27"/>
        <v>0</v>
      </c>
      <c r="K287">
        <f t="shared" si="28"/>
        <v>0</v>
      </c>
      <c r="L287">
        <f t="shared" si="29"/>
        <v>11</v>
      </c>
    </row>
    <row r="288" spans="1:12" ht="14.4" customHeight="1" x14ac:dyDescent="0.3">
      <c r="A288">
        <v>149662340</v>
      </c>
      <c r="B288" s="1">
        <v>44847</v>
      </c>
      <c r="D288" t="s">
        <v>7</v>
      </c>
      <c r="E288">
        <v>39</v>
      </c>
      <c r="F288" t="s">
        <v>6</v>
      </c>
      <c r="G288" t="str">
        <f t="shared" si="24"/>
        <v/>
      </c>
      <c r="H288" s="1" t="str">
        <f t="shared" si="25"/>
        <v>Thursday</v>
      </c>
      <c r="I288" t="str">
        <f t="shared" si="26"/>
        <v>No</v>
      </c>
      <c r="J288">
        <f t="shared" si="27"/>
        <v>0</v>
      </c>
      <c r="K288">
        <f t="shared" si="28"/>
        <v>0</v>
      </c>
      <c r="L288" t="str">
        <f t="shared" si="29"/>
        <v/>
      </c>
    </row>
    <row r="289" spans="1:12" ht="14.4" customHeight="1" x14ac:dyDescent="0.3">
      <c r="A289">
        <v>126918448</v>
      </c>
      <c r="B289" s="1">
        <v>44847</v>
      </c>
      <c r="D289" t="s">
        <v>7</v>
      </c>
      <c r="E289">
        <v>39</v>
      </c>
      <c r="F289" t="s">
        <v>6</v>
      </c>
      <c r="G289" t="str">
        <f t="shared" si="24"/>
        <v/>
      </c>
      <c r="H289" s="1" t="str">
        <f t="shared" si="25"/>
        <v>Thursday</v>
      </c>
      <c r="I289" t="str">
        <f t="shared" si="26"/>
        <v>No</v>
      </c>
      <c r="J289">
        <f t="shared" si="27"/>
        <v>0</v>
      </c>
      <c r="K289">
        <f t="shared" si="28"/>
        <v>0</v>
      </c>
      <c r="L289" t="str">
        <f t="shared" si="29"/>
        <v/>
      </c>
    </row>
    <row r="290" spans="1:12" x14ac:dyDescent="0.3">
      <c r="A290">
        <v>136897370</v>
      </c>
      <c r="B290" s="1">
        <v>44847</v>
      </c>
      <c r="C290" s="1">
        <v>44943</v>
      </c>
      <c r="D290" t="s">
        <v>7</v>
      </c>
      <c r="E290">
        <v>39</v>
      </c>
      <c r="F290" t="s">
        <v>6</v>
      </c>
      <c r="G290">
        <f t="shared" si="24"/>
        <v>96</v>
      </c>
      <c r="H290" s="1" t="str">
        <f t="shared" si="25"/>
        <v>Thursday</v>
      </c>
      <c r="I290" t="str">
        <f t="shared" si="26"/>
        <v>No</v>
      </c>
      <c r="J290">
        <f t="shared" si="27"/>
        <v>0</v>
      </c>
      <c r="K290">
        <f t="shared" si="28"/>
        <v>1</v>
      </c>
      <c r="L290">
        <f t="shared" si="29"/>
        <v>96</v>
      </c>
    </row>
    <row r="291" spans="1:12" x14ac:dyDescent="0.3">
      <c r="A291">
        <v>157921307</v>
      </c>
      <c r="B291" s="1">
        <v>44847</v>
      </c>
      <c r="C291" s="1">
        <v>45076</v>
      </c>
      <c r="D291" t="s">
        <v>7</v>
      </c>
      <c r="E291">
        <v>39</v>
      </c>
      <c r="F291" t="s">
        <v>6</v>
      </c>
      <c r="G291">
        <f t="shared" si="24"/>
        <v>229</v>
      </c>
      <c r="H291" s="1" t="str">
        <f t="shared" si="25"/>
        <v>Thursday</v>
      </c>
      <c r="I291" t="str">
        <f t="shared" si="26"/>
        <v>No</v>
      </c>
      <c r="J291">
        <f t="shared" si="27"/>
        <v>0</v>
      </c>
      <c r="K291">
        <f t="shared" si="28"/>
        <v>1</v>
      </c>
      <c r="L291">
        <f t="shared" si="29"/>
        <v>229</v>
      </c>
    </row>
    <row r="292" spans="1:12" x14ac:dyDescent="0.3">
      <c r="A292">
        <v>157905868</v>
      </c>
      <c r="B292" s="1">
        <v>44847</v>
      </c>
      <c r="C292" s="1">
        <v>44963</v>
      </c>
      <c r="D292" t="s">
        <v>7</v>
      </c>
      <c r="E292">
        <v>39</v>
      </c>
      <c r="F292" t="s">
        <v>6</v>
      </c>
      <c r="G292">
        <f t="shared" si="24"/>
        <v>116</v>
      </c>
      <c r="H292" s="1" t="str">
        <f t="shared" si="25"/>
        <v>Thursday</v>
      </c>
      <c r="I292" t="str">
        <f t="shared" si="26"/>
        <v>No</v>
      </c>
      <c r="J292">
        <f t="shared" si="27"/>
        <v>0</v>
      </c>
      <c r="K292">
        <f t="shared" si="28"/>
        <v>1</v>
      </c>
      <c r="L292">
        <f t="shared" si="29"/>
        <v>116</v>
      </c>
    </row>
    <row r="293" spans="1:12" x14ac:dyDescent="0.3">
      <c r="A293">
        <v>152377785</v>
      </c>
      <c r="B293" s="1">
        <v>44847</v>
      </c>
      <c r="C293" s="1">
        <v>44937</v>
      </c>
      <c r="D293" t="s">
        <v>7</v>
      </c>
      <c r="E293">
        <v>39</v>
      </c>
      <c r="F293" t="s">
        <v>6</v>
      </c>
      <c r="G293">
        <f t="shared" si="24"/>
        <v>90</v>
      </c>
      <c r="H293" s="1" t="str">
        <f t="shared" si="25"/>
        <v>Thursday</v>
      </c>
      <c r="I293" t="str">
        <f t="shared" si="26"/>
        <v>No</v>
      </c>
      <c r="J293">
        <f t="shared" si="27"/>
        <v>0</v>
      </c>
      <c r="K293">
        <f t="shared" si="28"/>
        <v>1</v>
      </c>
      <c r="L293">
        <f t="shared" si="29"/>
        <v>90</v>
      </c>
    </row>
    <row r="294" spans="1:12" ht="14.4" customHeight="1" x14ac:dyDescent="0.3">
      <c r="A294">
        <v>157567612</v>
      </c>
      <c r="B294" s="1">
        <v>44847</v>
      </c>
      <c r="C294" s="1">
        <v>44868</v>
      </c>
      <c r="D294" t="s">
        <v>7</v>
      </c>
      <c r="E294">
        <v>39</v>
      </c>
      <c r="F294" t="s">
        <v>6</v>
      </c>
      <c r="G294">
        <f t="shared" si="24"/>
        <v>21</v>
      </c>
      <c r="H294" s="1" t="str">
        <f t="shared" si="25"/>
        <v>Thursday</v>
      </c>
      <c r="I294" t="str">
        <f t="shared" si="26"/>
        <v>No</v>
      </c>
      <c r="J294">
        <f t="shared" si="27"/>
        <v>0</v>
      </c>
      <c r="K294">
        <f t="shared" si="28"/>
        <v>0</v>
      </c>
      <c r="L294">
        <f t="shared" si="29"/>
        <v>21</v>
      </c>
    </row>
    <row r="295" spans="1:12" ht="14.4" customHeight="1" x14ac:dyDescent="0.3">
      <c r="A295">
        <v>157993772</v>
      </c>
      <c r="B295" s="1">
        <v>44849</v>
      </c>
      <c r="C295" s="1">
        <v>44849</v>
      </c>
      <c r="D295" t="s">
        <v>8</v>
      </c>
      <c r="E295">
        <v>39</v>
      </c>
      <c r="F295" t="s">
        <v>6</v>
      </c>
      <c r="G295">
        <f t="shared" si="24"/>
        <v>0</v>
      </c>
      <c r="H295" s="1" t="str">
        <f t="shared" si="25"/>
        <v>Saturday</v>
      </c>
      <c r="I295" t="str">
        <f t="shared" si="26"/>
        <v>Yes</v>
      </c>
      <c r="J295">
        <f t="shared" si="27"/>
        <v>1</v>
      </c>
      <c r="K295">
        <f t="shared" si="28"/>
        <v>0</v>
      </c>
      <c r="L295">
        <f t="shared" si="29"/>
        <v>0</v>
      </c>
    </row>
    <row r="296" spans="1:12" x14ac:dyDescent="0.3">
      <c r="A296">
        <v>148769034</v>
      </c>
      <c r="B296" s="1">
        <v>44849</v>
      </c>
      <c r="C296" s="1">
        <v>44998</v>
      </c>
      <c r="D296" t="s">
        <v>7</v>
      </c>
      <c r="E296">
        <v>39</v>
      </c>
      <c r="F296" t="s">
        <v>6</v>
      </c>
      <c r="G296">
        <f t="shared" si="24"/>
        <v>149</v>
      </c>
      <c r="H296" s="1" t="str">
        <f t="shared" si="25"/>
        <v>Saturday</v>
      </c>
      <c r="I296" t="str">
        <f t="shared" si="26"/>
        <v>No</v>
      </c>
      <c r="J296">
        <f t="shared" si="27"/>
        <v>0</v>
      </c>
      <c r="K296">
        <f t="shared" si="28"/>
        <v>1</v>
      </c>
      <c r="L296">
        <f t="shared" si="29"/>
        <v>149</v>
      </c>
    </row>
    <row r="297" spans="1:12" x14ac:dyDescent="0.3">
      <c r="A297">
        <v>158050283</v>
      </c>
      <c r="B297" s="1">
        <v>44849</v>
      </c>
      <c r="C297" s="1">
        <v>45114</v>
      </c>
      <c r="D297" t="s">
        <v>7</v>
      </c>
      <c r="E297">
        <v>39</v>
      </c>
      <c r="F297" t="s">
        <v>6</v>
      </c>
      <c r="G297">
        <f t="shared" si="24"/>
        <v>265</v>
      </c>
      <c r="H297" s="1" t="str">
        <f t="shared" si="25"/>
        <v>Saturday</v>
      </c>
      <c r="I297" t="str">
        <f t="shared" si="26"/>
        <v>No</v>
      </c>
      <c r="J297">
        <f t="shared" si="27"/>
        <v>0</v>
      </c>
      <c r="K297">
        <f t="shared" si="28"/>
        <v>1</v>
      </c>
      <c r="L297">
        <f t="shared" si="29"/>
        <v>265</v>
      </c>
    </row>
    <row r="298" spans="1:12" ht="14.4" customHeight="1" x14ac:dyDescent="0.3">
      <c r="A298">
        <v>157436507</v>
      </c>
      <c r="B298" s="1">
        <v>44850</v>
      </c>
      <c r="D298" t="s">
        <v>7</v>
      </c>
      <c r="E298">
        <v>39</v>
      </c>
      <c r="F298" t="s">
        <v>6</v>
      </c>
      <c r="G298" t="str">
        <f t="shared" si="24"/>
        <v/>
      </c>
      <c r="H298" s="1" t="str">
        <f t="shared" si="25"/>
        <v>Sunday</v>
      </c>
      <c r="I298" t="str">
        <f t="shared" si="26"/>
        <v>No</v>
      </c>
      <c r="J298">
        <f t="shared" si="27"/>
        <v>0</v>
      </c>
      <c r="K298">
        <f t="shared" si="28"/>
        <v>0</v>
      </c>
      <c r="L298" t="str">
        <f t="shared" si="29"/>
        <v/>
      </c>
    </row>
    <row r="299" spans="1:12" ht="14.4" customHeight="1" x14ac:dyDescent="0.3">
      <c r="A299">
        <v>123808301</v>
      </c>
      <c r="B299" s="1">
        <v>44850</v>
      </c>
      <c r="C299" s="1">
        <v>44861</v>
      </c>
      <c r="D299" t="s">
        <v>7</v>
      </c>
      <c r="E299">
        <v>39</v>
      </c>
      <c r="F299" t="s">
        <v>6</v>
      </c>
      <c r="G299">
        <f t="shared" si="24"/>
        <v>11</v>
      </c>
      <c r="H299" s="1" t="str">
        <f t="shared" si="25"/>
        <v>Sunday</v>
      </c>
      <c r="I299" t="str">
        <f t="shared" si="26"/>
        <v>No</v>
      </c>
      <c r="J299">
        <f t="shared" si="27"/>
        <v>0</v>
      </c>
      <c r="K299">
        <f t="shared" si="28"/>
        <v>0</v>
      </c>
      <c r="L299">
        <f t="shared" si="29"/>
        <v>11</v>
      </c>
    </row>
    <row r="300" spans="1:12" x14ac:dyDescent="0.3">
      <c r="A300">
        <v>158033452</v>
      </c>
      <c r="B300" s="1">
        <v>44850</v>
      </c>
      <c r="C300" s="1">
        <v>44987</v>
      </c>
      <c r="D300" t="s">
        <v>7</v>
      </c>
      <c r="E300">
        <v>39</v>
      </c>
      <c r="F300" t="s">
        <v>6</v>
      </c>
      <c r="G300">
        <f t="shared" si="24"/>
        <v>137</v>
      </c>
      <c r="H300" s="1" t="str">
        <f t="shared" si="25"/>
        <v>Sunday</v>
      </c>
      <c r="I300" t="str">
        <f t="shared" si="26"/>
        <v>No</v>
      </c>
      <c r="J300">
        <f t="shared" si="27"/>
        <v>0</v>
      </c>
      <c r="K300">
        <f t="shared" si="28"/>
        <v>1</v>
      </c>
      <c r="L300">
        <f t="shared" si="29"/>
        <v>137</v>
      </c>
    </row>
    <row r="301" spans="1:12" x14ac:dyDescent="0.3">
      <c r="A301">
        <v>156796659</v>
      </c>
      <c r="B301" s="1">
        <v>44850</v>
      </c>
      <c r="C301" s="1">
        <v>44994</v>
      </c>
      <c r="D301" t="s">
        <v>7</v>
      </c>
      <c r="E301">
        <v>39</v>
      </c>
      <c r="F301" t="s">
        <v>6</v>
      </c>
      <c r="G301">
        <f t="shared" si="24"/>
        <v>144</v>
      </c>
      <c r="H301" s="1" t="str">
        <f t="shared" si="25"/>
        <v>Sunday</v>
      </c>
      <c r="I301" t="str">
        <f t="shared" si="26"/>
        <v>No</v>
      </c>
      <c r="J301">
        <f t="shared" si="27"/>
        <v>0</v>
      </c>
      <c r="K301">
        <f t="shared" si="28"/>
        <v>1</v>
      </c>
      <c r="L301">
        <f t="shared" si="29"/>
        <v>144</v>
      </c>
    </row>
    <row r="302" spans="1:12" x14ac:dyDescent="0.3">
      <c r="A302">
        <v>158093021</v>
      </c>
      <c r="B302" s="1">
        <v>44850</v>
      </c>
      <c r="C302" s="1">
        <v>44922</v>
      </c>
      <c r="D302" t="s">
        <v>7</v>
      </c>
      <c r="E302">
        <v>39</v>
      </c>
      <c r="F302" t="s">
        <v>6</v>
      </c>
      <c r="G302">
        <f t="shared" si="24"/>
        <v>72</v>
      </c>
      <c r="H302" s="1" t="str">
        <f t="shared" si="25"/>
        <v>Sunday</v>
      </c>
      <c r="I302" t="str">
        <f t="shared" si="26"/>
        <v>No</v>
      </c>
      <c r="J302">
        <f t="shared" si="27"/>
        <v>0</v>
      </c>
      <c r="K302">
        <f t="shared" si="28"/>
        <v>1</v>
      </c>
      <c r="L302">
        <f t="shared" si="29"/>
        <v>72</v>
      </c>
    </row>
    <row r="303" spans="1:12" ht="14.4" customHeight="1" x14ac:dyDescent="0.3">
      <c r="A303">
        <v>157900412</v>
      </c>
      <c r="B303" s="1">
        <v>44850</v>
      </c>
      <c r="C303" s="1">
        <v>44874</v>
      </c>
      <c r="D303" t="s">
        <v>7</v>
      </c>
      <c r="E303">
        <v>39</v>
      </c>
      <c r="F303" t="s">
        <v>6</v>
      </c>
      <c r="G303">
        <f t="shared" si="24"/>
        <v>24</v>
      </c>
      <c r="H303" s="1" t="str">
        <f t="shared" si="25"/>
        <v>Sunday</v>
      </c>
      <c r="I303" t="str">
        <f t="shared" si="26"/>
        <v>No</v>
      </c>
      <c r="J303">
        <f t="shared" si="27"/>
        <v>0</v>
      </c>
      <c r="K303">
        <f t="shared" si="28"/>
        <v>0</v>
      </c>
      <c r="L303">
        <f t="shared" si="29"/>
        <v>24</v>
      </c>
    </row>
    <row r="304" spans="1:12" ht="14.4" customHeight="1" x14ac:dyDescent="0.3">
      <c r="A304">
        <v>152892719</v>
      </c>
      <c r="B304" s="1">
        <v>44850</v>
      </c>
      <c r="C304" s="1">
        <v>44850</v>
      </c>
      <c r="D304" t="s">
        <v>7</v>
      </c>
      <c r="E304">
        <v>39</v>
      </c>
      <c r="F304" t="s">
        <v>6</v>
      </c>
      <c r="G304">
        <f t="shared" si="24"/>
        <v>0</v>
      </c>
      <c r="H304" s="1" t="str">
        <f t="shared" si="25"/>
        <v>Sunday</v>
      </c>
      <c r="I304" t="str">
        <f t="shared" si="26"/>
        <v>Yes</v>
      </c>
      <c r="J304">
        <f t="shared" si="27"/>
        <v>1</v>
      </c>
      <c r="K304">
        <f t="shared" si="28"/>
        <v>0</v>
      </c>
      <c r="L304">
        <f t="shared" si="29"/>
        <v>0</v>
      </c>
    </row>
    <row r="305" spans="1:12" ht="14.4" customHeight="1" x14ac:dyDescent="0.3">
      <c r="A305">
        <v>158009130</v>
      </c>
      <c r="B305" s="1">
        <v>44851</v>
      </c>
      <c r="D305" t="s">
        <v>7</v>
      </c>
      <c r="E305">
        <v>39</v>
      </c>
      <c r="F305" t="s">
        <v>6</v>
      </c>
      <c r="G305" t="str">
        <f t="shared" si="24"/>
        <v/>
      </c>
      <c r="H305" s="1" t="str">
        <f t="shared" si="25"/>
        <v>Monday</v>
      </c>
      <c r="I305" t="str">
        <f t="shared" si="26"/>
        <v>No</v>
      </c>
      <c r="J305">
        <f t="shared" si="27"/>
        <v>0</v>
      </c>
      <c r="K305">
        <f t="shared" si="28"/>
        <v>0</v>
      </c>
      <c r="L305" t="str">
        <f t="shared" si="29"/>
        <v/>
      </c>
    </row>
    <row r="306" spans="1:12" x14ac:dyDescent="0.3">
      <c r="A306">
        <v>157904656</v>
      </c>
      <c r="B306" s="1">
        <v>44851</v>
      </c>
      <c r="C306" s="1">
        <v>44910</v>
      </c>
      <c r="D306" t="s">
        <v>7</v>
      </c>
      <c r="E306">
        <v>39</v>
      </c>
      <c r="F306" t="s">
        <v>6</v>
      </c>
      <c r="G306">
        <f t="shared" si="24"/>
        <v>59</v>
      </c>
      <c r="H306" s="1" t="str">
        <f t="shared" si="25"/>
        <v>Monday</v>
      </c>
      <c r="I306" t="str">
        <f t="shared" si="26"/>
        <v>No</v>
      </c>
      <c r="J306">
        <f t="shared" si="27"/>
        <v>0</v>
      </c>
      <c r="K306">
        <f t="shared" si="28"/>
        <v>1</v>
      </c>
      <c r="L306">
        <f t="shared" si="29"/>
        <v>59</v>
      </c>
    </row>
    <row r="307" spans="1:12" x14ac:dyDescent="0.3">
      <c r="A307">
        <v>157838980</v>
      </c>
      <c r="B307" s="1">
        <v>44851</v>
      </c>
      <c r="C307" s="1">
        <v>44973</v>
      </c>
      <c r="D307" t="s">
        <v>7</v>
      </c>
      <c r="E307">
        <v>39</v>
      </c>
      <c r="F307" t="s">
        <v>6</v>
      </c>
      <c r="G307">
        <f t="shared" si="24"/>
        <v>122</v>
      </c>
      <c r="H307" s="1" t="str">
        <f t="shared" si="25"/>
        <v>Monday</v>
      </c>
      <c r="I307" t="str">
        <f t="shared" si="26"/>
        <v>No</v>
      </c>
      <c r="J307">
        <f t="shared" si="27"/>
        <v>0</v>
      </c>
      <c r="K307">
        <f t="shared" si="28"/>
        <v>1</v>
      </c>
      <c r="L307">
        <f t="shared" si="29"/>
        <v>122</v>
      </c>
    </row>
    <row r="308" spans="1:12" x14ac:dyDescent="0.3">
      <c r="A308">
        <v>123402996</v>
      </c>
      <c r="B308" s="1">
        <v>44851</v>
      </c>
      <c r="C308" s="1">
        <v>44930</v>
      </c>
      <c r="D308" t="s">
        <v>7</v>
      </c>
      <c r="E308">
        <v>39</v>
      </c>
      <c r="F308" t="s">
        <v>6</v>
      </c>
      <c r="G308">
        <f t="shared" si="24"/>
        <v>79</v>
      </c>
      <c r="H308" s="1" t="str">
        <f t="shared" si="25"/>
        <v>Monday</v>
      </c>
      <c r="I308" t="str">
        <f t="shared" si="26"/>
        <v>No</v>
      </c>
      <c r="J308">
        <f t="shared" si="27"/>
        <v>0</v>
      </c>
      <c r="K308">
        <f t="shared" si="28"/>
        <v>1</v>
      </c>
      <c r="L308">
        <f t="shared" si="29"/>
        <v>79</v>
      </c>
    </row>
    <row r="309" spans="1:12" x14ac:dyDescent="0.3">
      <c r="A309">
        <v>158112356</v>
      </c>
      <c r="B309" s="1">
        <v>44851</v>
      </c>
      <c r="C309" s="1">
        <v>44925</v>
      </c>
      <c r="D309" t="s">
        <v>7</v>
      </c>
      <c r="E309">
        <v>39</v>
      </c>
      <c r="F309" t="s">
        <v>6</v>
      </c>
      <c r="G309">
        <f t="shared" si="24"/>
        <v>74</v>
      </c>
      <c r="H309" s="1" t="str">
        <f t="shared" si="25"/>
        <v>Monday</v>
      </c>
      <c r="I309" t="str">
        <f t="shared" si="26"/>
        <v>No</v>
      </c>
      <c r="J309">
        <f t="shared" si="27"/>
        <v>0</v>
      </c>
      <c r="K309">
        <f t="shared" si="28"/>
        <v>1</v>
      </c>
      <c r="L309">
        <f t="shared" si="29"/>
        <v>74</v>
      </c>
    </row>
    <row r="310" spans="1:12" x14ac:dyDescent="0.3">
      <c r="A310">
        <v>152410420</v>
      </c>
      <c r="B310" s="1">
        <v>44851</v>
      </c>
      <c r="C310" s="1">
        <v>44883</v>
      </c>
      <c r="D310" t="s">
        <v>7</v>
      </c>
      <c r="E310">
        <v>39</v>
      </c>
      <c r="F310" t="s">
        <v>6</v>
      </c>
      <c r="G310">
        <f t="shared" si="24"/>
        <v>32</v>
      </c>
      <c r="H310" s="1" t="str">
        <f t="shared" si="25"/>
        <v>Monday</v>
      </c>
      <c r="I310" t="str">
        <f t="shared" si="26"/>
        <v>No</v>
      </c>
      <c r="J310">
        <f t="shared" si="27"/>
        <v>0</v>
      </c>
      <c r="K310">
        <f t="shared" si="28"/>
        <v>1</v>
      </c>
      <c r="L310">
        <f t="shared" si="29"/>
        <v>32</v>
      </c>
    </row>
    <row r="311" spans="1:12" x14ac:dyDescent="0.3">
      <c r="A311">
        <v>158164441</v>
      </c>
      <c r="B311" s="1">
        <v>44851</v>
      </c>
      <c r="C311" s="1">
        <v>44882</v>
      </c>
      <c r="D311" t="s">
        <v>7</v>
      </c>
      <c r="E311">
        <v>39</v>
      </c>
      <c r="F311" t="s">
        <v>6</v>
      </c>
      <c r="G311">
        <f t="shared" si="24"/>
        <v>31</v>
      </c>
      <c r="H311" s="1" t="str">
        <f t="shared" si="25"/>
        <v>Monday</v>
      </c>
      <c r="I311" t="str">
        <f t="shared" si="26"/>
        <v>No</v>
      </c>
      <c r="J311">
        <f t="shared" si="27"/>
        <v>0</v>
      </c>
      <c r="K311">
        <f t="shared" si="28"/>
        <v>1</v>
      </c>
      <c r="L311">
        <f t="shared" si="29"/>
        <v>31</v>
      </c>
    </row>
    <row r="312" spans="1:12" x14ac:dyDescent="0.3">
      <c r="A312">
        <v>153956466</v>
      </c>
      <c r="B312" s="1">
        <v>44851</v>
      </c>
      <c r="C312" s="1">
        <v>44882</v>
      </c>
      <c r="D312" t="s">
        <v>7</v>
      </c>
      <c r="E312">
        <v>39</v>
      </c>
      <c r="F312" t="s">
        <v>6</v>
      </c>
      <c r="G312">
        <f t="shared" si="24"/>
        <v>31</v>
      </c>
      <c r="H312" s="1" t="str">
        <f t="shared" si="25"/>
        <v>Monday</v>
      </c>
      <c r="I312" t="str">
        <f t="shared" si="26"/>
        <v>No</v>
      </c>
      <c r="J312">
        <f t="shared" si="27"/>
        <v>0</v>
      </c>
      <c r="K312">
        <f t="shared" si="28"/>
        <v>1</v>
      </c>
      <c r="L312">
        <f t="shared" si="29"/>
        <v>31</v>
      </c>
    </row>
    <row r="313" spans="1:12" ht="14.4" customHeight="1" x14ac:dyDescent="0.3">
      <c r="A313">
        <v>158100990</v>
      </c>
      <c r="B313" s="1">
        <v>44851</v>
      </c>
      <c r="C313" s="1">
        <v>44879</v>
      </c>
      <c r="D313" t="s">
        <v>7</v>
      </c>
      <c r="E313">
        <v>39</v>
      </c>
      <c r="F313" t="s">
        <v>6</v>
      </c>
      <c r="G313">
        <f t="shared" si="24"/>
        <v>28</v>
      </c>
      <c r="H313" s="1" t="str">
        <f t="shared" si="25"/>
        <v>Monday</v>
      </c>
      <c r="I313" t="str">
        <f t="shared" si="26"/>
        <v>No</v>
      </c>
      <c r="J313">
        <f t="shared" si="27"/>
        <v>0</v>
      </c>
      <c r="K313">
        <f t="shared" si="28"/>
        <v>0</v>
      </c>
      <c r="L313">
        <f t="shared" si="29"/>
        <v>28</v>
      </c>
    </row>
    <row r="314" spans="1:12" ht="14.4" customHeight="1" x14ac:dyDescent="0.3">
      <c r="A314">
        <v>158096894</v>
      </c>
      <c r="B314" s="1">
        <v>44851</v>
      </c>
      <c r="C314" s="1">
        <v>44879</v>
      </c>
      <c r="D314" t="s">
        <v>7</v>
      </c>
      <c r="E314">
        <v>39</v>
      </c>
      <c r="F314" t="s">
        <v>6</v>
      </c>
      <c r="G314">
        <f t="shared" si="24"/>
        <v>28</v>
      </c>
      <c r="H314" s="1" t="str">
        <f t="shared" si="25"/>
        <v>Monday</v>
      </c>
      <c r="I314" t="str">
        <f t="shared" si="26"/>
        <v>No</v>
      </c>
      <c r="J314">
        <f t="shared" si="27"/>
        <v>0</v>
      </c>
      <c r="K314">
        <f t="shared" si="28"/>
        <v>0</v>
      </c>
      <c r="L314">
        <f t="shared" si="29"/>
        <v>28</v>
      </c>
    </row>
    <row r="315" spans="1:12" ht="14.4" customHeight="1" x14ac:dyDescent="0.3">
      <c r="A315">
        <v>158066376</v>
      </c>
      <c r="B315" s="1">
        <v>44851</v>
      </c>
      <c r="C315" s="1">
        <v>44873</v>
      </c>
      <c r="D315" t="s">
        <v>7</v>
      </c>
      <c r="E315">
        <v>39</v>
      </c>
      <c r="F315" t="s">
        <v>6</v>
      </c>
      <c r="G315">
        <f t="shared" si="24"/>
        <v>22</v>
      </c>
      <c r="H315" s="1" t="str">
        <f t="shared" si="25"/>
        <v>Monday</v>
      </c>
      <c r="I315" t="str">
        <f t="shared" si="26"/>
        <v>No</v>
      </c>
      <c r="J315">
        <f t="shared" si="27"/>
        <v>0</v>
      </c>
      <c r="K315">
        <f t="shared" si="28"/>
        <v>0</v>
      </c>
      <c r="L315">
        <f t="shared" si="29"/>
        <v>22</v>
      </c>
    </row>
    <row r="316" spans="1:12" ht="14.4" customHeight="1" x14ac:dyDescent="0.3">
      <c r="A316">
        <v>158220808</v>
      </c>
      <c r="B316" s="1">
        <v>44852</v>
      </c>
      <c r="D316" t="s">
        <v>8</v>
      </c>
      <c r="E316">
        <v>39</v>
      </c>
      <c r="F316" t="s">
        <v>6</v>
      </c>
      <c r="G316" t="str">
        <f t="shared" si="24"/>
        <v/>
      </c>
      <c r="H316" s="1" t="str">
        <f t="shared" si="25"/>
        <v>Tuesday</v>
      </c>
      <c r="I316" t="str">
        <f t="shared" si="26"/>
        <v>No</v>
      </c>
      <c r="J316">
        <f t="shared" si="27"/>
        <v>0</v>
      </c>
      <c r="K316">
        <f t="shared" si="28"/>
        <v>0</v>
      </c>
      <c r="L316" t="str">
        <f t="shared" si="29"/>
        <v/>
      </c>
    </row>
    <row r="317" spans="1:12" x14ac:dyDescent="0.3">
      <c r="A317">
        <v>131779624</v>
      </c>
      <c r="B317" s="1">
        <v>44852</v>
      </c>
      <c r="C317" s="1">
        <v>44890</v>
      </c>
      <c r="D317" t="s">
        <v>7</v>
      </c>
      <c r="E317">
        <v>39</v>
      </c>
      <c r="F317" t="s">
        <v>6</v>
      </c>
      <c r="G317">
        <f t="shared" si="24"/>
        <v>38</v>
      </c>
      <c r="H317" s="1" t="str">
        <f t="shared" si="25"/>
        <v>Tuesday</v>
      </c>
      <c r="I317" t="str">
        <f t="shared" si="26"/>
        <v>No</v>
      </c>
      <c r="J317">
        <f t="shared" si="27"/>
        <v>0</v>
      </c>
      <c r="K317">
        <f t="shared" si="28"/>
        <v>1</v>
      </c>
      <c r="L317">
        <f t="shared" si="29"/>
        <v>38</v>
      </c>
    </row>
    <row r="318" spans="1:12" x14ac:dyDescent="0.3">
      <c r="A318">
        <v>158267390</v>
      </c>
      <c r="B318" s="1">
        <v>44852</v>
      </c>
      <c r="C318" s="1">
        <v>44920</v>
      </c>
      <c r="D318" t="s">
        <v>7</v>
      </c>
      <c r="E318">
        <v>39</v>
      </c>
      <c r="F318" t="s">
        <v>6</v>
      </c>
      <c r="G318">
        <f t="shared" si="24"/>
        <v>68</v>
      </c>
      <c r="H318" s="1" t="str">
        <f t="shared" si="25"/>
        <v>Tuesday</v>
      </c>
      <c r="I318" t="str">
        <f t="shared" si="26"/>
        <v>No</v>
      </c>
      <c r="J318">
        <f t="shared" si="27"/>
        <v>0</v>
      </c>
      <c r="K318">
        <f t="shared" si="28"/>
        <v>1</v>
      </c>
      <c r="L318">
        <f t="shared" si="29"/>
        <v>68</v>
      </c>
    </row>
    <row r="319" spans="1:12" x14ac:dyDescent="0.3">
      <c r="A319">
        <v>152354478</v>
      </c>
      <c r="B319" s="1">
        <v>44852</v>
      </c>
      <c r="C319" s="1">
        <v>44959</v>
      </c>
      <c r="D319" t="s">
        <v>7</v>
      </c>
      <c r="E319">
        <v>39</v>
      </c>
      <c r="F319" t="s">
        <v>6</v>
      </c>
      <c r="G319">
        <f t="shared" si="24"/>
        <v>107</v>
      </c>
      <c r="H319" s="1" t="str">
        <f t="shared" si="25"/>
        <v>Tuesday</v>
      </c>
      <c r="I319" t="str">
        <f t="shared" si="26"/>
        <v>No</v>
      </c>
      <c r="J319">
        <f t="shared" si="27"/>
        <v>0</v>
      </c>
      <c r="K319">
        <f t="shared" si="28"/>
        <v>1</v>
      </c>
      <c r="L319">
        <f t="shared" si="29"/>
        <v>107</v>
      </c>
    </row>
    <row r="320" spans="1:12" x14ac:dyDescent="0.3">
      <c r="A320">
        <v>146376235</v>
      </c>
      <c r="B320" s="1">
        <v>44852</v>
      </c>
      <c r="C320" s="1">
        <v>44902</v>
      </c>
      <c r="D320" t="s">
        <v>7</v>
      </c>
      <c r="E320">
        <v>39</v>
      </c>
      <c r="F320" t="s">
        <v>6</v>
      </c>
      <c r="G320">
        <f t="shared" si="24"/>
        <v>50</v>
      </c>
      <c r="H320" s="1" t="str">
        <f t="shared" si="25"/>
        <v>Tuesday</v>
      </c>
      <c r="I320" t="str">
        <f t="shared" si="26"/>
        <v>No</v>
      </c>
      <c r="J320">
        <f t="shared" si="27"/>
        <v>0</v>
      </c>
      <c r="K320">
        <f t="shared" si="28"/>
        <v>1</v>
      </c>
      <c r="L320">
        <f t="shared" si="29"/>
        <v>50</v>
      </c>
    </row>
    <row r="321" spans="1:12" ht="14.4" customHeight="1" x14ac:dyDescent="0.3">
      <c r="A321">
        <v>153953296</v>
      </c>
      <c r="B321" s="1">
        <v>44852</v>
      </c>
      <c r="C321" s="1">
        <v>44867</v>
      </c>
      <c r="D321" t="s">
        <v>7</v>
      </c>
      <c r="E321">
        <v>39</v>
      </c>
      <c r="F321" t="s">
        <v>6</v>
      </c>
      <c r="G321">
        <f t="shared" si="24"/>
        <v>15</v>
      </c>
      <c r="H321" s="1" t="str">
        <f t="shared" si="25"/>
        <v>Tuesday</v>
      </c>
      <c r="I321" t="str">
        <f t="shared" si="26"/>
        <v>No</v>
      </c>
      <c r="J321">
        <f t="shared" si="27"/>
        <v>0</v>
      </c>
      <c r="K321">
        <f t="shared" si="28"/>
        <v>0</v>
      </c>
      <c r="L321">
        <f t="shared" si="29"/>
        <v>15</v>
      </c>
    </row>
    <row r="322" spans="1:12" ht="14.4" customHeight="1" x14ac:dyDescent="0.3">
      <c r="A322">
        <v>154659594</v>
      </c>
      <c r="B322" s="1">
        <v>44852</v>
      </c>
      <c r="C322" s="1">
        <v>44879</v>
      </c>
      <c r="D322" t="s">
        <v>7</v>
      </c>
      <c r="E322">
        <v>39</v>
      </c>
      <c r="F322" t="s">
        <v>6</v>
      </c>
      <c r="G322">
        <f t="shared" ref="G322:G385" si="30">IF(C322="","",C322-B322)</f>
        <v>27</v>
      </c>
      <c r="H322" s="1" t="str">
        <f t="shared" si="25"/>
        <v>Tuesday</v>
      </c>
      <c r="I322" t="str">
        <f t="shared" si="26"/>
        <v>No</v>
      </c>
      <c r="J322">
        <f t="shared" si="27"/>
        <v>0</v>
      </c>
      <c r="K322">
        <f t="shared" si="28"/>
        <v>0</v>
      </c>
      <c r="L322">
        <f t="shared" si="29"/>
        <v>27</v>
      </c>
    </row>
    <row r="323" spans="1:12" x14ac:dyDescent="0.3">
      <c r="A323">
        <v>157998778</v>
      </c>
      <c r="B323" s="1">
        <v>44852</v>
      </c>
      <c r="C323" s="1">
        <v>44890</v>
      </c>
      <c r="D323" t="s">
        <v>7</v>
      </c>
      <c r="E323">
        <v>39</v>
      </c>
      <c r="F323" t="s">
        <v>6</v>
      </c>
      <c r="G323">
        <f t="shared" si="30"/>
        <v>38</v>
      </c>
      <c r="H323" s="1" t="str">
        <f t="shared" ref="H323:H386" si="31">TEXT(B323,"dddd")</f>
        <v>Tuesday</v>
      </c>
      <c r="I323" t="str">
        <f t="shared" ref="I323:I386" si="32">IF(B323=C323,"Yes","No")</f>
        <v>No</v>
      </c>
      <c r="J323">
        <f t="shared" ref="J323:J386" si="33">IF(AND(C323&lt;&gt;"",C323-B323&lt;=2),1,0)</f>
        <v>0</v>
      </c>
      <c r="K323">
        <f t="shared" ref="K323:K386" si="34">IF(AND(C323&lt;&gt;"",C323-B323&gt;30),1,0)</f>
        <v>1</v>
      </c>
      <c r="L323">
        <f t="shared" ref="L323:L386" si="35">IF(C323="","",C323-B323)</f>
        <v>38</v>
      </c>
    </row>
    <row r="324" spans="1:12" ht="14.4" customHeight="1" x14ac:dyDescent="0.3">
      <c r="A324">
        <v>150668840</v>
      </c>
      <c r="B324" s="1">
        <v>44852</v>
      </c>
      <c r="C324" s="1">
        <v>44866</v>
      </c>
      <c r="D324" t="s">
        <v>7</v>
      </c>
      <c r="E324">
        <v>39</v>
      </c>
      <c r="F324" t="s">
        <v>6</v>
      </c>
      <c r="G324">
        <f t="shared" si="30"/>
        <v>14</v>
      </c>
      <c r="H324" s="1" t="str">
        <f t="shared" si="31"/>
        <v>Tuesday</v>
      </c>
      <c r="I324" t="str">
        <f t="shared" si="32"/>
        <v>No</v>
      </c>
      <c r="J324">
        <f t="shared" si="33"/>
        <v>0</v>
      </c>
      <c r="K324">
        <f t="shared" si="34"/>
        <v>0</v>
      </c>
      <c r="L324">
        <f t="shared" si="35"/>
        <v>14</v>
      </c>
    </row>
    <row r="325" spans="1:12" ht="14.4" customHeight="1" x14ac:dyDescent="0.3">
      <c r="A325">
        <v>158184958</v>
      </c>
      <c r="B325" s="1">
        <v>44852</v>
      </c>
      <c r="C325" s="1">
        <v>44867</v>
      </c>
      <c r="D325" t="s">
        <v>7</v>
      </c>
      <c r="E325">
        <v>39</v>
      </c>
      <c r="F325" t="s">
        <v>6</v>
      </c>
      <c r="G325">
        <f t="shared" si="30"/>
        <v>15</v>
      </c>
      <c r="H325" s="1" t="str">
        <f t="shared" si="31"/>
        <v>Tuesday</v>
      </c>
      <c r="I325" t="str">
        <f t="shared" si="32"/>
        <v>No</v>
      </c>
      <c r="J325">
        <f t="shared" si="33"/>
        <v>0</v>
      </c>
      <c r="K325">
        <f t="shared" si="34"/>
        <v>0</v>
      </c>
      <c r="L325">
        <f t="shared" si="35"/>
        <v>15</v>
      </c>
    </row>
    <row r="326" spans="1:12" x14ac:dyDescent="0.3">
      <c r="A326">
        <v>158362440</v>
      </c>
      <c r="B326" s="1">
        <v>44853</v>
      </c>
      <c r="C326" s="1">
        <v>45065</v>
      </c>
      <c r="D326" t="s">
        <v>7</v>
      </c>
      <c r="E326">
        <v>39</v>
      </c>
      <c r="F326" t="s">
        <v>6</v>
      </c>
      <c r="G326">
        <f t="shared" si="30"/>
        <v>212</v>
      </c>
      <c r="H326" s="1" t="str">
        <f t="shared" si="31"/>
        <v>Wednesday</v>
      </c>
      <c r="I326" t="str">
        <f t="shared" si="32"/>
        <v>No</v>
      </c>
      <c r="J326">
        <f t="shared" si="33"/>
        <v>0</v>
      </c>
      <c r="K326">
        <f t="shared" si="34"/>
        <v>1</v>
      </c>
      <c r="L326">
        <f t="shared" si="35"/>
        <v>212</v>
      </c>
    </row>
    <row r="327" spans="1:12" x14ac:dyDescent="0.3">
      <c r="A327">
        <v>158477370</v>
      </c>
      <c r="B327" s="1">
        <v>44853</v>
      </c>
      <c r="C327" s="1">
        <v>44978</v>
      </c>
      <c r="D327" t="s">
        <v>7</v>
      </c>
      <c r="E327">
        <v>39</v>
      </c>
      <c r="F327" t="s">
        <v>6</v>
      </c>
      <c r="G327">
        <f t="shared" si="30"/>
        <v>125</v>
      </c>
      <c r="H327" s="1" t="str">
        <f t="shared" si="31"/>
        <v>Wednesday</v>
      </c>
      <c r="I327" t="str">
        <f t="shared" si="32"/>
        <v>No</v>
      </c>
      <c r="J327">
        <f t="shared" si="33"/>
        <v>0</v>
      </c>
      <c r="K327">
        <f t="shared" si="34"/>
        <v>1</v>
      </c>
      <c r="L327">
        <f t="shared" si="35"/>
        <v>125</v>
      </c>
    </row>
    <row r="328" spans="1:12" x14ac:dyDescent="0.3">
      <c r="A328">
        <v>158047538</v>
      </c>
      <c r="B328" s="1">
        <v>44853</v>
      </c>
      <c r="C328" s="1">
        <v>44948</v>
      </c>
      <c r="D328" t="s">
        <v>7</v>
      </c>
      <c r="E328">
        <v>39</v>
      </c>
      <c r="F328" t="s">
        <v>6</v>
      </c>
      <c r="G328">
        <f t="shared" si="30"/>
        <v>95</v>
      </c>
      <c r="H328" s="1" t="str">
        <f t="shared" si="31"/>
        <v>Wednesday</v>
      </c>
      <c r="I328" t="str">
        <f t="shared" si="32"/>
        <v>No</v>
      </c>
      <c r="J328">
        <f t="shared" si="33"/>
        <v>0</v>
      </c>
      <c r="K328">
        <f t="shared" si="34"/>
        <v>1</v>
      </c>
      <c r="L328">
        <f t="shared" si="35"/>
        <v>95</v>
      </c>
    </row>
    <row r="329" spans="1:12" x14ac:dyDescent="0.3">
      <c r="A329">
        <v>157910445</v>
      </c>
      <c r="B329" s="1">
        <v>44853</v>
      </c>
      <c r="C329" s="1">
        <v>44941</v>
      </c>
      <c r="D329" t="s">
        <v>7</v>
      </c>
      <c r="E329">
        <v>39</v>
      </c>
      <c r="F329" t="s">
        <v>6</v>
      </c>
      <c r="G329">
        <f t="shared" si="30"/>
        <v>88</v>
      </c>
      <c r="H329" s="1" t="str">
        <f t="shared" si="31"/>
        <v>Wednesday</v>
      </c>
      <c r="I329" t="str">
        <f t="shared" si="32"/>
        <v>No</v>
      </c>
      <c r="J329">
        <f t="shared" si="33"/>
        <v>0</v>
      </c>
      <c r="K329">
        <f t="shared" si="34"/>
        <v>1</v>
      </c>
      <c r="L329">
        <f t="shared" si="35"/>
        <v>88</v>
      </c>
    </row>
    <row r="330" spans="1:12" x14ac:dyDescent="0.3">
      <c r="A330">
        <v>154091460</v>
      </c>
      <c r="B330" s="1">
        <v>44853</v>
      </c>
      <c r="C330" s="1">
        <v>45098</v>
      </c>
      <c r="D330" t="s">
        <v>7</v>
      </c>
      <c r="E330">
        <v>39</v>
      </c>
      <c r="F330" t="s">
        <v>6</v>
      </c>
      <c r="G330">
        <f t="shared" si="30"/>
        <v>245</v>
      </c>
      <c r="H330" s="1" t="str">
        <f t="shared" si="31"/>
        <v>Wednesday</v>
      </c>
      <c r="I330" t="str">
        <f t="shared" si="32"/>
        <v>No</v>
      </c>
      <c r="J330">
        <f t="shared" si="33"/>
        <v>0</v>
      </c>
      <c r="K330">
        <f t="shared" si="34"/>
        <v>1</v>
      </c>
      <c r="L330">
        <f t="shared" si="35"/>
        <v>245</v>
      </c>
    </row>
    <row r="331" spans="1:12" x14ac:dyDescent="0.3">
      <c r="A331">
        <v>158532103</v>
      </c>
      <c r="B331" s="1">
        <v>44854</v>
      </c>
      <c r="C331" s="1">
        <v>45059</v>
      </c>
      <c r="D331" t="s">
        <v>7</v>
      </c>
      <c r="E331">
        <v>39</v>
      </c>
      <c r="F331" t="s">
        <v>6</v>
      </c>
      <c r="G331">
        <f t="shared" si="30"/>
        <v>205</v>
      </c>
      <c r="H331" s="1" t="str">
        <f t="shared" si="31"/>
        <v>Thursday</v>
      </c>
      <c r="I331" t="str">
        <f t="shared" si="32"/>
        <v>No</v>
      </c>
      <c r="J331">
        <f t="shared" si="33"/>
        <v>0</v>
      </c>
      <c r="K331">
        <f t="shared" si="34"/>
        <v>1</v>
      </c>
      <c r="L331">
        <f t="shared" si="35"/>
        <v>205</v>
      </c>
    </row>
    <row r="332" spans="1:12" x14ac:dyDescent="0.3">
      <c r="A332">
        <v>158591698</v>
      </c>
      <c r="B332" s="1">
        <v>44854</v>
      </c>
      <c r="C332" s="1">
        <v>45002</v>
      </c>
      <c r="D332" t="s">
        <v>7</v>
      </c>
      <c r="E332">
        <v>39</v>
      </c>
      <c r="F332" t="s">
        <v>6</v>
      </c>
      <c r="G332">
        <f t="shared" si="30"/>
        <v>148</v>
      </c>
      <c r="H332" s="1" t="str">
        <f t="shared" si="31"/>
        <v>Thursday</v>
      </c>
      <c r="I332" t="str">
        <f t="shared" si="32"/>
        <v>No</v>
      </c>
      <c r="J332">
        <f t="shared" si="33"/>
        <v>0</v>
      </c>
      <c r="K332">
        <f t="shared" si="34"/>
        <v>1</v>
      </c>
      <c r="L332">
        <f t="shared" si="35"/>
        <v>148</v>
      </c>
    </row>
    <row r="333" spans="1:12" x14ac:dyDescent="0.3">
      <c r="A333">
        <v>158533909</v>
      </c>
      <c r="B333" s="1">
        <v>44854</v>
      </c>
      <c r="C333" s="1">
        <v>44953</v>
      </c>
      <c r="D333" t="s">
        <v>7</v>
      </c>
      <c r="E333">
        <v>39</v>
      </c>
      <c r="F333" t="s">
        <v>6</v>
      </c>
      <c r="G333">
        <f t="shared" si="30"/>
        <v>99</v>
      </c>
      <c r="H333" s="1" t="str">
        <f t="shared" si="31"/>
        <v>Thursday</v>
      </c>
      <c r="I333" t="str">
        <f t="shared" si="32"/>
        <v>No</v>
      </c>
      <c r="J333">
        <f t="shared" si="33"/>
        <v>0</v>
      </c>
      <c r="K333">
        <f t="shared" si="34"/>
        <v>1</v>
      </c>
      <c r="L333">
        <f t="shared" si="35"/>
        <v>99</v>
      </c>
    </row>
    <row r="334" spans="1:12" x14ac:dyDescent="0.3">
      <c r="A334">
        <v>156372496</v>
      </c>
      <c r="B334" s="1">
        <v>44854</v>
      </c>
      <c r="C334" s="1">
        <v>44910</v>
      </c>
      <c r="D334" t="s">
        <v>7</v>
      </c>
      <c r="E334">
        <v>39</v>
      </c>
      <c r="F334" t="s">
        <v>6</v>
      </c>
      <c r="G334">
        <f t="shared" si="30"/>
        <v>56</v>
      </c>
      <c r="H334" s="1" t="str">
        <f t="shared" si="31"/>
        <v>Thursday</v>
      </c>
      <c r="I334" t="str">
        <f t="shared" si="32"/>
        <v>No</v>
      </c>
      <c r="J334">
        <f t="shared" si="33"/>
        <v>0</v>
      </c>
      <c r="K334">
        <f t="shared" si="34"/>
        <v>1</v>
      </c>
      <c r="L334">
        <f t="shared" si="35"/>
        <v>56</v>
      </c>
    </row>
    <row r="335" spans="1:12" x14ac:dyDescent="0.3">
      <c r="A335">
        <v>158620475</v>
      </c>
      <c r="B335" s="1">
        <v>44854</v>
      </c>
      <c r="C335" s="1">
        <v>45135</v>
      </c>
      <c r="D335" t="s">
        <v>7</v>
      </c>
      <c r="E335">
        <v>39</v>
      </c>
      <c r="F335" t="s">
        <v>6</v>
      </c>
      <c r="G335">
        <f t="shared" si="30"/>
        <v>281</v>
      </c>
      <c r="H335" s="1" t="str">
        <f t="shared" si="31"/>
        <v>Thursday</v>
      </c>
      <c r="I335" t="str">
        <f t="shared" si="32"/>
        <v>No</v>
      </c>
      <c r="J335">
        <f t="shared" si="33"/>
        <v>0</v>
      </c>
      <c r="K335">
        <f t="shared" si="34"/>
        <v>1</v>
      </c>
      <c r="L335">
        <f t="shared" si="35"/>
        <v>281</v>
      </c>
    </row>
    <row r="336" spans="1:12" x14ac:dyDescent="0.3">
      <c r="A336">
        <v>158539824</v>
      </c>
      <c r="B336" s="1">
        <v>44854</v>
      </c>
      <c r="C336" s="1">
        <v>45097</v>
      </c>
      <c r="D336" t="s">
        <v>7</v>
      </c>
      <c r="E336">
        <v>39</v>
      </c>
      <c r="F336" t="s">
        <v>6</v>
      </c>
      <c r="G336">
        <f t="shared" si="30"/>
        <v>243</v>
      </c>
      <c r="H336" s="1" t="str">
        <f t="shared" si="31"/>
        <v>Thursday</v>
      </c>
      <c r="I336" t="str">
        <f t="shared" si="32"/>
        <v>No</v>
      </c>
      <c r="J336">
        <f t="shared" si="33"/>
        <v>0</v>
      </c>
      <c r="K336">
        <f t="shared" si="34"/>
        <v>1</v>
      </c>
      <c r="L336">
        <f t="shared" si="35"/>
        <v>243</v>
      </c>
    </row>
    <row r="337" spans="1:12" ht="14.4" customHeight="1" x14ac:dyDescent="0.3">
      <c r="A337">
        <v>158499042</v>
      </c>
      <c r="B337" s="1">
        <v>44855</v>
      </c>
      <c r="D337" t="s">
        <v>7</v>
      </c>
      <c r="E337">
        <v>39</v>
      </c>
      <c r="F337" t="s">
        <v>6</v>
      </c>
      <c r="G337" t="str">
        <f t="shared" si="30"/>
        <v/>
      </c>
      <c r="H337" s="1" t="str">
        <f t="shared" si="31"/>
        <v>Friday</v>
      </c>
      <c r="I337" t="str">
        <f t="shared" si="32"/>
        <v>No</v>
      </c>
      <c r="J337">
        <f t="shared" si="33"/>
        <v>0</v>
      </c>
      <c r="K337">
        <f t="shared" si="34"/>
        <v>0</v>
      </c>
      <c r="L337" t="str">
        <f t="shared" si="35"/>
        <v/>
      </c>
    </row>
    <row r="338" spans="1:12" x14ac:dyDescent="0.3">
      <c r="A338">
        <v>158755464</v>
      </c>
      <c r="B338" s="1">
        <v>44855</v>
      </c>
      <c r="C338" s="1">
        <v>44893</v>
      </c>
      <c r="D338" t="s">
        <v>7</v>
      </c>
      <c r="E338">
        <v>39</v>
      </c>
      <c r="F338" t="s">
        <v>6</v>
      </c>
      <c r="G338">
        <f t="shared" si="30"/>
        <v>38</v>
      </c>
      <c r="H338" s="1" t="str">
        <f t="shared" si="31"/>
        <v>Friday</v>
      </c>
      <c r="I338" t="str">
        <f t="shared" si="32"/>
        <v>No</v>
      </c>
      <c r="J338">
        <f t="shared" si="33"/>
        <v>0</v>
      </c>
      <c r="K338">
        <f t="shared" si="34"/>
        <v>1</v>
      </c>
      <c r="L338">
        <f t="shared" si="35"/>
        <v>38</v>
      </c>
    </row>
    <row r="339" spans="1:12" x14ac:dyDescent="0.3">
      <c r="A339">
        <v>149112756</v>
      </c>
      <c r="B339" s="1">
        <v>44855</v>
      </c>
      <c r="C339" s="1">
        <v>45074</v>
      </c>
      <c r="D339" t="s">
        <v>7</v>
      </c>
      <c r="E339">
        <v>39</v>
      </c>
      <c r="F339" t="s">
        <v>6</v>
      </c>
      <c r="G339">
        <f t="shared" si="30"/>
        <v>219</v>
      </c>
      <c r="H339" s="1" t="str">
        <f t="shared" si="31"/>
        <v>Friday</v>
      </c>
      <c r="I339" t="str">
        <f t="shared" si="32"/>
        <v>No</v>
      </c>
      <c r="J339">
        <f t="shared" si="33"/>
        <v>0</v>
      </c>
      <c r="K339">
        <f t="shared" si="34"/>
        <v>1</v>
      </c>
      <c r="L339">
        <f t="shared" si="35"/>
        <v>219</v>
      </c>
    </row>
    <row r="340" spans="1:12" x14ac:dyDescent="0.3">
      <c r="A340">
        <v>149065622</v>
      </c>
      <c r="B340" s="1">
        <v>44855</v>
      </c>
      <c r="C340" s="1">
        <v>44923</v>
      </c>
      <c r="D340" t="s">
        <v>7</v>
      </c>
      <c r="E340">
        <v>39</v>
      </c>
      <c r="F340" t="s">
        <v>6</v>
      </c>
      <c r="G340">
        <f t="shared" si="30"/>
        <v>68</v>
      </c>
      <c r="H340" s="1" t="str">
        <f t="shared" si="31"/>
        <v>Friday</v>
      </c>
      <c r="I340" t="str">
        <f t="shared" si="32"/>
        <v>No</v>
      </c>
      <c r="J340">
        <f t="shared" si="33"/>
        <v>0</v>
      </c>
      <c r="K340">
        <f t="shared" si="34"/>
        <v>1</v>
      </c>
      <c r="L340">
        <f t="shared" si="35"/>
        <v>68</v>
      </c>
    </row>
    <row r="341" spans="1:12" x14ac:dyDescent="0.3">
      <c r="A341">
        <v>158656065</v>
      </c>
      <c r="B341" s="1">
        <v>44855</v>
      </c>
      <c r="C341" s="1">
        <v>44925</v>
      </c>
      <c r="D341" t="s">
        <v>7</v>
      </c>
      <c r="E341">
        <v>39</v>
      </c>
      <c r="F341" t="s">
        <v>6</v>
      </c>
      <c r="G341">
        <f t="shared" si="30"/>
        <v>70</v>
      </c>
      <c r="H341" s="1" t="str">
        <f t="shared" si="31"/>
        <v>Friday</v>
      </c>
      <c r="I341" t="str">
        <f t="shared" si="32"/>
        <v>No</v>
      </c>
      <c r="J341">
        <f t="shared" si="33"/>
        <v>0</v>
      </c>
      <c r="K341">
        <f t="shared" si="34"/>
        <v>1</v>
      </c>
      <c r="L341">
        <f t="shared" si="35"/>
        <v>70</v>
      </c>
    </row>
    <row r="342" spans="1:12" ht="14.4" customHeight="1" x14ac:dyDescent="0.3">
      <c r="A342">
        <v>158756090</v>
      </c>
      <c r="B342" s="1">
        <v>44855</v>
      </c>
      <c r="C342" s="1">
        <v>44867</v>
      </c>
      <c r="D342" t="s">
        <v>7</v>
      </c>
      <c r="E342">
        <v>39</v>
      </c>
      <c r="F342" t="s">
        <v>6</v>
      </c>
      <c r="G342">
        <f t="shared" si="30"/>
        <v>12</v>
      </c>
      <c r="H342" s="1" t="str">
        <f t="shared" si="31"/>
        <v>Friday</v>
      </c>
      <c r="I342" t="str">
        <f t="shared" si="32"/>
        <v>No</v>
      </c>
      <c r="J342">
        <f t="shared" si="33"/>
        <v>0</v>
      </c>
      <c r="K342">
        <f t="shared" si="34"/>
        <v>0</v>
      </c>
      <c r="L342">
        <f t="shared" si="35"/>
        <v>12</v>
      </c>
    </row>
    <row r="343" spans="1:12" ht="14.4" customHeight="1" x14ac:dyDescent="0.3">
      <c r="A343">
        <v>158447710</v>
      </c>
      <c r="B343" s="1">
        <v>44855</v>
      </c>
      <c r="C343" s="1">
        <v>44883</v>
      </c>
      <c r="D343" t="s">
        <v>7</v>
      </c>
      <c r="E343">
        <v>39</v>
      </c>
      <c r="F343" t="s">
        <v>6</v>
      </c>
      <c r="G343">
        <f t="shared" si="30"/>
        <v>28</v>
      </c>
      <c r="H343" s="1" t="str">
        <f t="shared" si="31"/>
        <v>Friday</v>
      </c>
      <c r="I343" t="str">
        <f t="shared" si="32"/>
        <v>No</v>
      </c>
      <c r="J343">
        <f t="shared" si="33"/>
        <v>0</v>
      </c>
      <c r="K343">
        <f t="shared" si="34"/>
        <v>0</v>
      </c>
      <c r="L343">
        <f t="shared" si="35"/>
        <v>28</v>
      </c>
    </row>
    <row r="344" spans="1:12" x14ac:dyDescent="0.3">
      <c r="A344">
        <v>157568391</v>
      </c>
      <c r="B344" s="1">
        <v>44855</v>
      </c>
      <c r="C344" s="1">
        <v>44886</v>
      </c>
      <c r="D344" t="s">
        <v>7</v>
      </c>
      <c r="E344">
        <v>39</v>
      </c>
      <c r="F344" t="s">
        <v>6</v>
      </c>
      <c r="G344">
        <f t="shared" si="30"/>
        <v>31</v>
      </c>
      <c r="H344" s="1" t="str">
        <f t="shared" si="31"/>
        <v>Friday</v>
      </c>
      <c r="I344" t="str">
        <f t="shared" si="32"/>
        <v>No</v>
      </c>
      <c r="J344">
        <f t="shared" si="33"/>
        <v>0</v>
      </c>
      <c r="K344">
        <f t="shared" si="34"/>
        <v>1</v>
      </c>
      <c r="L344">
        <f t="shared" si="35"/>
        <v>31</v>
      </c>
    </row>
    <row r="345" spans="1:12" ht="14.4" customHeight="1" x14ac:dyDescent="0.3">
      <c r="A345">
        <v>157505106</v>
      </c>
      <c r="B345" s="1">
        <v>44856</v>
      </c>
      <c r="D345" t="s">
        <v>7</v>
      </c>
      <c r="E345">
        <v>39</v>
      </c>
      <c r="F345" t="s">
        <v>6</v>
      </c>
      <c r="G345" t="str">
        <f t="shared" si="30"/>
        <v/>
      </c>
      <c r="H345" s="1" t="str">
        <f t="shared" si="31"/>
        <v>Saturday</v>
      </c>
      <c r="I345" t="str">
        <f t="shared" si="32"/>
        <v>No</v>
      </c>
      <c r="J345">
        <f t="shared" si="33"/>
        <v>0</v>
      </c>
      <c r="K345">
        <f t="shared" si="34"/>
        <v>0</v>
      </c>
      <c r="L345" t="str">
        <f t="shared" si="35"/>
        <v/>
      </c>
    </row>
    <row r="346" spans="1:12" x14ac:dyDescent="0.3">
      <c r="A346">
        <v>158761363</v>
      </c>
      <c r="B346" s="1">
        <v>44856</v>
      </c>
      <c r="C346" s="1">
        <v>44983</v>
      </c>
      <c r="D346" t="s">
        <v>7</v>
      </c>
      <c r="E346">
        <v>39</v>
      </c>
      <c r="F346" t="s">
        <v>6</v>
      </c>
      <c r="G346">
        <f t="shared" si="30"/>
        <v>127</v>
      </c>
      <c r="H346" s="1" t="str">
        <f t="shared" si="31"/>
        <v>Saturday</v>
      </c>
      <c r="I346" t="str">
        <f t="shared" si="32"/>
        <v>No</v>
      </c>
      <c r="J346">
        <f t="shared" si="33"/>
        <v>0</v>
      </c>
      <c r="K346">
        <f t="shared" si="34"/>
        <v>1</v>
      </c>
      <c r="L346">
        <f t="shared" si="35"/>
        <v>127</v>
      </c>
    </row>
    <row r="347" spans="1:12" x14ac:dyDescent="0.3">
      <c r="A347">
        <v>144858980</v>
      </c>
      <c r="B347" s="1">
        <v>44856</v>
      </c>
      <c r="C347" s="1">
        <v>44917</v>
      </c>
      <c r="D347" t="s">
        <v>7</v>
      </c>
      <c r="E347">
        <v>39</v>
      </c>
      <c r="F347" t="s">
        <v>6</v>
      </c>
      <c r="G347">
        <f t="shared" si="30"/>
        <v>61</v>
      </c>
      <c r="H347" s="1" t="str">
        <f t="shared" si="31"/>
        <v>Saturday</v>
      </c>
      <c r="I347" t="str">
        <f t="shared" si="32"/>
        <v>No</v>
      </c>
      <c r="J347">
        <f t="shared" si="33"/>
        <v>0</v>
      </c>
      <c r="K347">
        <f t="shared" si="34"/>
        <v>1</v>
      </c>
      <c r="L347">
        <f t="shared" si="35"/>
        <v>61</v>
      </c>
    </row>
    <row r="348" spans="1:12" x14ac:dyDescent="0.3">
      <c r="A348">
        <v>151000288</v>
      </c>
      <c r="B348" s="1">
        <v>44856</v>
      </c>
      <c r="C348" s="1">
        <v>44917</v>
      </c>
      <c r="D348" t="s">
        <v>7</v>
      </c>
      <c r="E348">
        <v>39</v>
      </c>
      <c r="F348" t="s">
        <v>6</v>
      </c>
      <c r="G348">
        <f t="shared" si="30"/>
        <v>61</v>
      </c>
      <c r="H348" s="1" t="str">
        <f t="shared" si="31"/>
        <v>Saturday</v>
      </c>
      <c r="I348" t="str">
        <f t="shared" si="32"/>
        <v>No</v>
      </c>
      <c r="J348">
        <f t="shared" si="33"/>
        <v>0</v>
      </c>
      <c r="K348">
        <f t="shared" si="34"/>
        <v>1</v>
      </c>
      <c r="L348">
        <f t="shared" si="35"/>
        <v>61</v>
      </c>
    </row>
    <row r="349" spans="1:12" x14ac:dyDescent="0.3">
      <c r="A349">
        <v>136276852</v>
      </c>
      <c r="B349" s="1">
        <v>44856</v>
      </c>
      <c r="C349" s="1">
        <v>44887</v>
      </c>
      <c r="D349" t="s">
        <v>7</v>
      </c>
      <c r="E349">
        <v>39</v>
      </c>
      <c r="F349" t="s">
        <v>6</v>
      </c>
      <c r="G349">
        <f t="shared" si="30"/>
        <v>31</v>
      </c>
      <c r="H349" s="1" t="str">
        <f t="shared" si="31"/>
        <v>Saturday</v>
      </c>
      <c r="I349" t="str">
        <f t="shared" si="32"/>
        <v>No</v>
      </c>
      <c r="J349">
        <f t="shared" si="33"/>
        <v>0</v>
      </c>
      <c r="K349">
        <f t="shared" si="34"/>
        <v>1</v>
      </c>
      <c r="L349">
        <f t="shared" si="35"/>
        <v>31</v>
      </c>
    </row>
    <row r="350" spans="1:12" x14ac:dyDescent="0.3">
      <c r="A350">
        <v>158767852</v>
      </c>
      <c r="B350" s="1">
        <v>44856</v>
      </c>
      <c r="C350" s="1">
        <v>44894</v>
      </c>
      <c r="D350" t="s">
        <v>7</v>
      </c>
      <c r="E350">
        <v>39</v>
      </c>
      <c r="F350" t="s">
        <v>6</v>
      </c>
      <c r="G350">
        <f t="shared" si="30"/>
        <v>38</v>
      </c>
      <c r="H350" s="1" t="str">
        <f t="shared" si="31"/>
        <v>Saturday</v>
      </c>
      <c r="I350" t="str">
        <f t="shared" si="32"/>
        <v>No</v>
      </c>
      <c r="J350">
        <f t="shared" si="33"/>
        <v>0</v>
      </c>
      <c r="K350">
        <f t="shared" si="34"/>
        <v>1</v>
      </c>
      <c r="L350">
        <f t="shared" si="35"/>
        <v>38</v>
      </c>
    </row>
    <row r="351" spans="1:12" ht="14.4" customHeight="1" x14ac:dyDescent="0.3">
      <c r="A351">
        <v>158849640</v>
      </c>
      <c r="B351" s="1">
        <v>44857</v>
      </c>
      <c r="D351" t="s">
        <v>7</v>
      </c>
      <c r="E351">
        <v>39</v>
      </c>
      <c r="F351" t="s">
        <v>6</v>
      </c>
      <c r="G351" t="str">
        <f t="shared" si="30"/>
        <v/>
      </c>
      <c r="H351" s="1" t="str">
        <f t="shared" si="31"/>
        <v>Sunday</v>
      </c>
      <c r="I351" t="str">
        <f t="shared" si="32"/>
        <v>No</v>
      </c>
      <c r="J351">
        <f t="shared" si="33"/>
        <v>0</v>
      </c>
      <c r="K351">
        <f t="shared" si="34"/>
        <v>0</v>
      </c>
      <c r="L351" t="str">
        <f t="shared" si="35"/>
        <v/>
      </c>
    </row>
    <row r="352" spans="1:12" ht="14.4" customHeight="1" x14ac:dyDescent="0.3">
      <c r="A352">
        <v>151491892</v>
      </c>
      <c r="B352" s="1">
        <v>44857</v>
      </c>
      <c r="C352" s="1">
        <v>44858</v>
      </c>
      <c r="D352" t="s">
        <v>7</v>
      </c>
      <c r="E352">
        <v>39</v>
      </c>
      <c r="F352" t="s">
        <v>6</v>
      </c>
      <c r="G352">
        <f t="shared" si="30"/>
        <v>1</v>
      </c>
      <c r="H352" s="1" t="str">
        <f t="shared" si="31"/>
        <v>Sunday</v>
      </c>
      <c r="I352" t="str">
        <f t="shared" si="32"/>
        <v>No</v>
      </c>
      <c r="J352">
        <f t="shared" si="33"/>
        <v>1</v>
      </c>
      <c r="K352">
        <f t="shared" si="34"/>
        <v>0</v>
      </c>
      <c r="L352">
        <f t="shared" si="35"/>
        <v>1</v>
      </c>
    </row>
    <row r="353" spans="1:12" x14ac:dyDescent="0.3">
      <c r="A353">
        <v>157474087</v>
      </c>
      <c r="B353" s="1">
        <v>44857</v>
      </c>
      <c r="C353" s="1">
        <v>44925</v>
      </c>
      <c r="D353" t="s">
        <v>7</v>
      </c>
      <c r="E353">
        <v>39</v>
      </c>
      <c r="F353" t="s">
        <v>6</v>
      </c>
      <c r="G353">
        <f t="shared" si="30"/>
        <v>68</v>
      </c>
      <c r="H353" s="1" t="str">
        <f t="shared" si="31"/>
        <v>Sunday</v>
      </c>
      <c r="I353" t="str">
        <f t="shared" si="32"/>
        <v>No</v>
      </c>
      <c r="J353">
        <f t="shared" si="33"/>
        <v>0</v>
      </c>
      <c r="K353">
        <f t="shared" si="34"/>
        <v>1</v>
      </c>
      <c r="L353">
        <f t="shared" si="35"/>
        <v>68</v>
      </c>
    </row>
    <row r="354" spans="1:12" x14ac:dyDescent="0.3">
      <c r="A354">
        <v>157997679</v>
      </c>
      <c r="B354" s="1">
        <v>44857</v>
      </c>
      <c r="C354" s="1">
        <v>45095</v>
      </c>
      <c r="D354" t="s">
        <v>7</v>
      </c>
      <c r="E354">
        <v>39</v>
      </c>
      <c r="F354" t="s">
        <v>6</v>
      </c>
      <c r="G354">
        <f t="shared" si="30"/>
        <v>238</v>
      </c>
      <c r="H354" s="1" t="str">
        <f t="shared" si="31"/>
        <v>Sunday</v>
      </c>
      <c r="I354" t="str">
        <f t="shared" si="32"/>
        <v>No</v>
      </c>
      <c r="J354">
        <f t="shared" si="33"/>
        <v>0</v>
      </c>
      <c r="K354">
        <f t="shared" si="34"/>
        <v>1</v>
      </c>
      <c r="L354">
        <f t="shared" si="35"/>
        <v>238</v>
      </c>
    </row>
    <row r="355" spans="1:12" x14ac:dyDescent="0.3">
      <c r="A355">
        <v>158566772</v>
      </c>
      <c r="B355" s="1">
        <v>44857</v>
      </c>
      <c r="C355" s="1">
        <v>44978</v>
      </c>
      <c r="D355" t="s">
        <v>7</v>
      </c>
      <c r="E355">
        <v>39</v>
      </c>
      <c r="F355" t="s">
        <v>6</v>
      </c>
      <c r="G355">
        <f t="shared" si="30"/>
        <v>121</v>
      </c>
      <c r="H355" s="1" t="str">
        <f t="shared" si="31"/>
        <v>Sunday</v>
      </c>
      <c r="I355" t="str">
        <f t="shared" si="32"/>
        <v>No</v>
      </c>
      <c r="J355">
        <f t="shared" si="33"/>
        <v>0</v>
      </c>
      <c r="K355">
        <f t="shared" si="34"/>
        <v>1</v>
      </c>
      <c r="L355">
        <f t="shared" si="35"/>
        <v>121</v>
      </c>
    </row>
    <row r="356" spans="1:12" x14ac:dyDescent="0.3">
      <c r="A356">
        <v>157788656</v>
      </c>
      <c r="B356" s="1">
        <v>44857</v>
      </c>
      <c r="C356" s="1">
        <v>44915</v>
      </c>
      <c r="D356" t="s">
        <v>7</v>
      </c>
      <c r="E356">
        <v>39</v>
      </c>
      <c r="F356" t="s">
        <v>6</v>
      </c>
      <c r="G356">
        <f t="shared" si="30"/>
        <v>58</v>
      </c>
      <c r="H356" s="1" t="str">
        <f t="shared" si="31"/>
        <v>Sunday</v>
      </c>
      <c r="I356" t="str">
        <f t="shared" si="32"/>
        <v>No</v>
      </c>
      <c r="J356">
        <f t="shared" si="33"/>
        <v>0</v>
      </c>
      <c r="K356">
        <f t="shared" si="34"/>
        <v>1</v>
      </c>
      <c r="L356">
        <f t="shared" si="35"/>
        <v>58</v>
      </c>
    </row>
    <row r="357" spans="1:12" ht="14.4" customHeight="1" x14ac:dyDescent="0.3">
      <c r="A357">
        <v>158832658</v>
      </c>
      <c r="B357" s="1">
        <v>44857</v>
      </c>
      <c r="C357" s="1">
        <v>44867</v>
      </c>
      <c r="D357" t="s">
        <v>7</v>
      </c>
      <c r="E357">
        <v>39</v>
      </c>
      <c r="F357" t="s">
        <v>6</v>
      </c>
      <c r="G357">
        <f t="shared" si="30"/>
        <v>10</v>
      </c>
      <c r="H357" s="1" t="str">
        <f t="shared" si="31"/>
        <v>Sunday</v>
      </c>
      <c r="I357" t="str">
        <f t="shared" si="32"/>
        <v>No</v>
      </c>
      <c r="J357">
        <f t="shared" si="33"/>
        <v>0</v>
      </c>
      <c r="K357">
        <f t="shared" si="34"/>
        <v>0</v>
      </c>
      <c r="L357">
        <f t="shared" si="35"/>
        <v>10</v>
      </c>
    </row>
    <row r="358" spans="1:12" x14ac:dyDescent="0.3">
      <c r="A358">
        <v>130837976</v>
      </c>
      <c r="B358" s="1">
        <v>44857</v>
      </c>
      <c r="C358" s="1">
        <v>44888</v>
      </c>
      <c r="D358" t="s">
        <v>7</v>
      </c>
      <c r="E358">
        <v>39</v>
      </c>
      <c r="F358" t="s">
        <v>6</v>
      </c>
      <c r="G358">
        <f t="shared" si="30"/>
        <v>31</v>
      </c>
      <c r="H358" s="1" t="str">
        <f t="shared" si="31"/>
        <v>Sunday</v>
      </c>
      <c r="I358" t="str">
        <f t="shared" si="32"/>
        <v>No</v>
      </c>
      <c r="J358">
        <f t="shared" si="33"/>
        <v>0</v>
      </c>
      <c r="K358">
        <f t="shared" si="34"/>
        <v>1</v>
      </c>
      <c r="L358">
        <f t="shared" si="35"/>
        <v>31</v>
      </c>
    </row>
    <row r="359" spans="1:12" x14ac:dyDescent="0.3">
      <c r="A359">
        <v>159095030</v>
      </c>
      <c r="B359" s="1">
        <v>44858</v>
      </c>
      <c r="C359" s="1">
        <v>44973</v>
      </c>
      <c r="D359" t="s">
        <v>7</v>
      </c>
      <c r="E359">
        <v>39</v>
      </c>
      <c r="F359" t="s">
        <v>6</v>
      </c>
      <c r="G359">
        <f t="shared" si="30"/>
        <v>115</v>
      </c>
      <c r="H359" s="1" t="str">
        <f t="shared" si="31"/>
        <v>Monday</v>
      </c>
      <c r="I359" t="str">
        <f t="shared" si="32"/>
        <v>No</v>
      </c>
      <c r="J359">
        <f t="shared" si="33"/>
        <v>0</v>
      </c>
      <c r="K359">
        <f t="shared" si="34"/>
        <v>1</v>
      </c>
      <c r="L359">
        <f t="shared" si="35"/>
        <v>115</v>
      </c>
    </row>
    <row r="360" spans="1:12" x14ac:dyDescent="0.3">
      <c r="A360">
        <v>159028041</v>
      </c>
      <c r="B360" s="1">
        <v>44858</v>
      </c>
      <c r="C360" s="1">
        <v>44896</v>
      </c>
      <c r="D360" t="s">
        <v>7</v>
      </c>
      <c r="E360">
        <v>39</v>
      </c>
      <c r="F360" t="s">
        <v>6</v>
      </c>
      <c r="G360">
        <f t="shared" si="30"/>
        <v>38</v>
      </c>
      <c r="H360" s="1" t="str">
        <f t="shared" si="31"/>
        <v>Monday</v>
      </c>
      <c r="I360" t="str">
        <f t="shared" si="32"/>
        <v>No</v>
      </c>
      <c r="J360">
        <f t="shared" si="33"/>
        <v>0</v>
      </c>
      <c r="K360">
        <f t="shared" si="34"/>
        <v>1</v>
      </c>
      <c r="L360">
        <f t="shared" si="35"/>
        <v>38</v>
      </c>
    </row>
    <row r="361" spans="1:12" x14ac:dyDescent="0.3">
      <c r="A361">
        <v>159018168</v>
      </c>
      <c r="B361" s="1">
        <v>44858</v>
      </c>
      <c r="C361" s="1">
        <v>44896</v>
      </c>
      <c r="D361" t="s">
        <v>7</v>
      </c>
      <c r="E361">
        <v>39</v>
      </c>
      <c r="F361" t="s">
        <v>6</v>
      </c>
      <c r="G361">
        <f t="shared" si="30"/>
        <v>38</v>
      </c>
      <c r="H361" s="1" t="str">
        <f t="shared" si="31"/>
        <v>Monday</v>
      </c>
      <c r="I361" t="str">
        <f t="shared" si="32"/>
        <v>No</v>
      </c>
      <c r="J361">
        <f t="shared" si="33"/>
        <v>0</v>
      </c>
      <c r="K361">
        <f t="shared" si="34"/>
        <v>1</v>
      </c>
      <c r="L361">
        <f t="shared" si="35"/>
        <v>38</v>
      </c>
    </row>
    <row r="362" spans="1:12" ht="14.4" customHeight="1" x14ac:dyDescent="0.3">
      <c r="A362">
        <v>157981870</v>
      </c>
      <c r="B362" s="1">
        <v>44858</v>
      </c>
      <c r="C362" s="1">
        <v>44872</v>
      </c>
      <c r="D362" t="s">
        <v>7</v>
      </c>
      <c r="E362">
        <v>39</v>
      </c>
      <c r="F362" t="s">
        <v>6</v>
      </c>
      <c r="G362">
        <f t="shared" si="30"/>
        <v>14</v>
      </c>
      <c r="H362" s="1" t="str">
        <f t="shared" si="31"/>
        <v>Monday</v>
      </c>
      <c r="I362" t="str">
        <f t="shared" si="32"/>
        <v>No</v>
      </c>
      <c r="J362">
        <f t="shared" si="33"/>
        <v>0</v>
      </c>
      <c r="K362">
        <f t="shared" si="34"/>
        <v>0</v>
      </c>
      <c r="L362">
        <f t="shared" si="35"/>
        <v>14</v>
      </c>
    </row>
    <row r="363" spans="1:12" x14ac:dyDescent="0.3">
      <c r="A363">
        <v>153061698</v>
      </c>
      <c r="B363" s="1">
        <v>44858</v>
      </c>
      <c r="C363" s="1">
        <v>44889</v>
      </c>
      <c r="D363" t="s">
        <v>7</v>
      </c>
      <c r="E363">
        <v>39</v>
      </c>
      <c r="F363" t="s">
        <v>6</v>
      </c>
      <c r="G363">
        <f t="shared" si="30"/>
        <v>31</v>
      </c>
      <c r="H363" s="1" t="str">
        <f t="shared" si="31"/>
        <v>Monday</v>
      </c>
      <c r="I363" t="str">
        <f t="shared" si="32"/>
        <v>No</v>
      </c>
      <c r="J363">
        <f t="shared" si="33"/>
        <v>0</v>
      </c>
      <c r="K363">
        <f t="shared" si="34"/>
        <v>1</v>
      </c>
      <c r="L363">
        <f t="shared" si="35"/>
        <v>31</v>
      </c>
    </row>
    <row r="364" spans="1:12" ht="14.4" customHeight="1" x14ac:dyDescent="0.3">
      <c r="A364">
        <v>159204523</v>
      </c>
      <c r="B364" s="1">
        <v>44859</v>
      </c>
      <c r="D364" t="s">
        <v>7</v>
      </c>
      <c r="E364">
        <v>39</v>
      </c>
      <c r="F364" t="s">
        <v>6</v>
      </c>
      <c r="G364" t="str">
        <f t="shared" si="30"/>
        <v/>
      </c>
      <c r="H364" s="1" t="str">
        <f t="shared" si="31"/>
        <v>Tuesday</v>
      </c>
      <c r="I364" t="str">
        <f t="shared" si="32"/>
        <v>No</v>
      </c>
      <c r="J364">
        <f t="shared" si="33"/>
        <v>0</v>
      </c>
      <c r="K364">
        <f t="shared" si="34"/>
        <v>0</v>
      </c>
      <c r="L364" t="str">
        <f t="shared" si="35"/>
        <v/>
      </c>
    </row>
    <row r="365" spans="1:12" ht="14.4" customHeight="1" x14ac:dyDescent="0.3">
      <c r="A365">
        <v>159236268</v>
      </c>
      <c r="B365" s="1">
        <v>44859</v>
      </c>
      <c r="D365" t="s">
        <v>8</v>
      </c>
      <c r="E365">
        <v>39</v>
      </c>
      <c r="F365" t="s">
        <v>6</v>
      </c>
      <c r="G365" t="str">
        <f t="shared" si="30"/>
        <v/>
      </c>
      <c r="H365" s="1" t="str">
        <f t="shared" si="31"/>
        <v>Tuesday</v>
      </c>
      <c r="I365" t="str">
        <f t="shared" si="32"/>
        <v>No</v>
      </c>
      <c r="J365">
        <f t="shared" si="33"/>
        <v>0</v>
      </c>
      <c r="K365">
        <f t="shared" si="34"/>
        <v>0</v>
      </c>
      <c r="L365" t="str">
        <f t="shared" si="35"/>
        <v/>
      </c>
    </row>
    <row r="366" spans="1:12" x14ac:dyDescent="0.3">
      <c r="A366">
        <v>159256553</v>
      </c>
      <c r="B366" s="1">
        <v>44859</v>
      </c>
      <c r="C366" s="1">
        <v>44936</v>
      </c>
      <c r="D366" t="s">
        <v>7</v>
      </c>
      <c r="E366">
        <v>39</v>
      </c>
      <c r="F366" t="s">
        <v>6</v>
      </c>
      <c r="G366">
        <f t="shared" si="30"/>
        <v>77</v>
      </c>
      <c r="H366" s="1" t="str">
        <f t="shared" si="31"/>
        <v>Tuesday</v>
      </c>
      <c r="I366" t="str">
        <f t="shared" si="32"/>
        <v>No</v>
      </c>
      <c r="J366">
        <f t="shared" si="33"/>
        <v>0</v>
      </c>
      <c r="K366">
        <f t="shared" si="34"/>
        <v>1</v>
      </c>
      <c r="L366">
        <f t="shared" si="35"/>
        <v>77</v>
      </c>
    </row>
    <row r="367" spans="1:12" x14ac:dyDescent="0.3">
      <c r="A367">
        <v>159211568</v>
      </c>
      <c r="B367" s="1">
        <v>44859</v>
      </c>
      <c r="C367" s="1">
        <v>44928</v>
      </c>
      <c r="D367" t="s">
        <v>7</v>
      </c>
      <c r="E367">
        <v>39</v>
      </c>
      <c r="F367" t="s">
        <v>6</v>
      </c>
      <c r="G367">
        <f t="shared" si="30"/>
        <v>69</v>
      </c>
      <c r="H367" s="1" t="str">
        <f t="shared" si="31"/>
        <v>Tuesday</v>
      </c>
      <c r="I367" t="str">
        <f t="shared" si="32"/>
        <v>No</v>
      </c>
      <c r="J367">
        <f t="shared" si="33"/>
        <v>0</v>
      </c>
      <c r="K367">
        <f t="shared" si="34"/>
        <v>1</v>
      </c>
      <c r="L367">
        <f t="shared" si="35"/>
        <v>69</v>
      </c>
    </row>
    <row r="368" spans="1:12" x14ac:dyDescent="0.3">
      <c r="A368">
        <v>154778395</v>
      </c>
      <c r="B368" s="1">
        <v>44859</v>
      </c>
      <c r="C368" s="1">
        <v>44893</v>
      </c>
      <c r="D368" t="s">
        <v>7</v>
      </c>
      <c r="E368">
        <v>39</v>
      </c>
      <c r="F368" t="s">
        <v>6</v>
      </c>
      <c r="G368">
        <f t="shared" si="30"/>
        <v>34</v>
      </c>
      <c r="H368" s="1" t="str">
        <f t="shared" si="31"/>
        <v>Tuesday</v>
      </c>
      <c r="I368" t="str">
        <f t="shared" si="32"/>
        <v>No</v>
      </c>
      <c r="J368">
        <f t="shared" si="33"/>
        <v>0</v>
      </c>
      <c r="K368">
        <f t="shared" si="34"/>
        <v>1</v>
      </c>
      <c r="L368">
        <f t="shared" si="35"/>
        <v>34</v>
      </c>
    </row>
    <row r="369" spans="1:12" ht="14.4" customHeight="1" x14ac:dyDescent="0.3">
      <c r="A369">
        <v>157961180</v>
      </c>
      <c r="B369" s="1">
        <v>44859</v>
      </c>
      <c r="C369" s="1">
        <v>44889</v>
      </c>
      <c r="D369" t="s">
        <v>7</v>
      </c>
      <c r="E369">
        <v>39</v>
      </c>
      <c r="F369" t="s">
        <v>6</v>
      </c>
      <c r="G369">
        <f t="shared" si="30"/>
        <v>30</v>
      </c>
      <c r="H369" s="1" t="str">
        <f t="shared" si="31"/>
        <v>Tuesday</v>
      </c>
      <c r="I369" t="str">
        <f t="shared" si="32"/>
        <v>No</v>
      </c>
      <c r="J369">
        <f t="shared" si="33"/>
        <v>0</v>
      </c>
      <c r="K369">
        <f t="shared" si="34"/>
        <v>0</v>
      </c>
      <c r="L369">
        <f t="shared" si="35"/>
        <v>30</v>
      </c>
    </row>
    <row r="370" spans="1:12" ht="14.4" customHeight="1" x14ac:dyDescent="0.3">
      <c r="A370">
        <v>159281338</v>
      </c>
      <c r="B370" s="1">
        <v>44860</v>
      </c>
      <c r="D370" t="s">
        <v>7</v>
      </c>
      <c r="E370">
        <v>39</v>
      </c>
      <c r="F370" t="s">
        <v>6</v>
      </c>
      <c r="G370" t="str">
        <f t="shared" si="30"/>
        <v/>
      </c>
      <c r="H370" s="1" t="str">
        <f t="shared" si="31"/>
        <v>Wednesday</v>
      </c>
      <c r="I370" t="str">
        <f t="shared" si="32"/>
        <v>No</v>
      </c>
      <c r="J370">
        <f t="shared" si="33"/>
        <v>0</v>
      </c>
      <c r="K370">
        <f t="shared" si="34"/>
        <v>0</v>
      </c>
      <c r="L370" t="str">
        <f t="shared" si="35"/>
        <v/>
      </c>
    </row>
    <row r="371" spans="1:12" ht="14.4" customHeight="1" x14ac:dyDescent="0.3">
      <c r="A371">
        <v>159364232</v>
      </c>
      <c r="B371" s="1">
        <v>44860</v>
      </c>
      <c r="D371" t="s">
        <v>7</v>
      </c>
      <c r="E371">
        <v>39</v>
      </c>
      <c r="F371" t="s">
        <v>6</v>
      </c>
      <c r="G371" t="str">
        <f t="shared" si="30"/>
        <v/>
      </c>
      <c r="H371" s="1" t="str">
        <f t="shared" si="31"/>
        <v>Wednesday</v>
      </c>
      <c r="I371" t="str">
        <f t="shared" si="32"/>
        <v>No</v>
      </c>
      <c r="J371">
        <f t="shared" si="33"/>
        <v>0</v>
      </c>
      <c r="K371">
        <f t="shared" si="34"/>
        <v>0</v>
      </c>
      <c r="L371" t="str">
        <f t="shared" si="35"/>
        <v/>
      </c>
    </row>
    <row r="372" spans="1:12" ht="14.4" customHeight="1" x14ac:dyDescent="0.3">
      <c r="A372">
        <v>159276280</v>
      </c>
      <c r="B372" s="1">
        <v>44860</v>
      </c>
      <c r="D372" t="s">
        <v>7</v>
      </c>
      <c r="E372">
        <v>39</v>
      </c>
      <c r="F372" t="s">
        <v>6</v>
      </c>
      <c r="G372" t="str">
        <f t="shared" si="30"/>
        <v/>
      </c>
      <c r="H372" s="1" t="str">
        <f t="shared" si="31"/>
        <v>Wednesday</v>
      </c>
      <c r="I372" t="str">
        <f t="shared" si="32"/>
        <v>No</v>
      </c>
      <c r="J372">
        <f t="shared" si="33"/>
        <v>0</v>
      </c>
      <c r="K372">
        <f t="shared" si="34"/>
        <v>0</v>
      </c>
      <c r="L372" t="str">
        <f t="shared" si="35"/>
        <v/>
      </c>
    </row>
    <row r="373" spans="1:12" ht="14.4" customHeight="1" x14ac:dyDescent="0.3">
      <c r="A373">
        <v>159326830</v>
      </c>
      <c r="B373" s="1">
        <v>44860</v>
      </c>
      <c r="C373" s="1">
        <v>44861</v>
      </c>
      <c r="D373" t="s">
        <v>7</v>
      </c>
      <c r="E373">
        <v>39</v>
      </c>
      <c r="F373" t="s">
        <v>6</v>
      </c>
      <c r="G373">
        <f t="shared" si="30"/>
        <v>1</v>
      </c>
      <c r="H373" s="1" t="str">
        <f t="shared" si="31"/>
        <v>Wednesday</v>
      </c>
      <c r="I373" t="str">
        <f t="shared" si="32"/>
        <v>No</v>
      </c>
      <c r="J373">
        <f t="shared" si="33"/>
        <v>1</v>
      </c>
      <c r="K373">
        <f t="shared" si="34"/>
        <v>0</v>
      </c>
      <c r="L373">
        <f t="shared" si="35"/>
        <v>1</v>
      </c>
    </row>
    <row r="374" spans="1:12" x14ac:dyDescent="0.3">
      <c r="A374">
        <v>158144924</v>
      </c>
      <c r="B374" s="1">
        <v>44860</v>
      </c>
      <c r="C374" s="1">
        <v>44980</v>
      </c>
      <c r="D374" t="s">
        <v>7</v>
      </c>
      <c r="E374">
        <v>39</v>
      </c>
      <c r="F374" t="s">
        <v>6</v>
      </c>
      <c r="G374">
        <f t="shared" si="30"/>
        <v>120</v>
      </c>
      <c r="H374" s="1" t="str">
        <f t="shared" si="31"/>
        <v>Wednesday</v>
      </c>
      <c r="I374" t="str">
        <f t="shared" si="32"/>
        <v>No</v>
      </c>
      <c r="J374">
        <f t="shared" si="33"/>
        <v>0</v>
      </c>
      <c r="K374">
        <f t="shared" si="34"/>
        <v>1</v>
      </c>
      <c r="L374">
        <f t="shared" si="35"/>
        <v>120</v>
      </c>
    </row>
    <row r="375" spans="1:12" x14ac:dyDescent="0.3">
      <c r="A375">
        <v>159239867</v>
      </c>
      <c r="B375" s="1">
        <v>44860</v>
      </c>
      <c r="C375" s="1">
        <v>44910</v>
      </c>
      <c r="D375" t="s">
        <v>7</v>
      </c>
      <c r="E375">
        <v>39</v>
      </c>
      <c r="F375" t="s">
        <v>6</v>
      </c>
      <c r="G375">
        <f t="shared" si="30"/>
        <v>50</v>
      </c>
      <c r="H375" s="1" t="str">
        <f t="shared" si="31"/>
        <v>Wednesday</v>
      </c>
      <c r="I375" t="str">
        <f t="shared" si="32"/>
        <v>No</v>
      </c>
      <c r="J375">
        <f t="shared" si="33"/>
        <v>0</v>
      </c>
      <c r="K375">
        <f t="shared" si="34"/>
        <v>1</v>
      </c>
      <c r="L375">
        <f t="shared" si="35"/>
        <v>50</v>
      </c>
    </row>
    <row r="376" spans="1:12" x14ac:dyDescent="0.3">
      <c r="A376">
        <v>159108970</v>
      </c>
      <c r="B376" s="1">
        <v>44860</v>
      </c>
      <c r="C376" s="1">
        <v>44915</v>
      </c>
      <c r="D376" t="s">
        <v>7</v>
      </c>
      <c r="E376">
        <v>39</v>
      </c>
      <c r="F376" t="s">
        <v>6</v>
      </c>
      <c r="G376">
        <f t="shared" si="30"/>
        <v>55</v>
      </c>
      <c r="H376" s="1" t="str">
        <f t="shared" si="31"/>
        <v>Wednesday</v>
      </c>
      <c r="I376" t="str">
        <f t="shared" si="32"/>
        <v>No</v>
      </c>
      <c r="J376">
        <f t="shared" si="33"/>
        <v>0</v>
      </c>
      <c r="K376">
        <f t="shared" si="34"/>
        <v>1</v>
      </c>
      <c r="L376">
        <f t="shared" si="35"/>
        <v>55</v>
      </c>
    </row>
    <row r="377" spans="1:12" x14ac:dyDescent="0.3">
      <c r="A377">
        <v>158644133</v>
      </c>
      <c r="B377" s="1">
        <v>44860</v>
      </c>
      <c r="C377" s="1">
        <v>44891</v>
      </c>
      <c r="D377" t="s">
        <v>7</v>
      </c>
      <c r="E377">
        <v>39</v>
      </c>
      <c r="F377" t="s">
        <v>6</v>
      </c>
      <c r="G377">
        <f t="shared" si="30"/>
        <v>31</v>
      </c>
      <c r="H377" s="1" t="str">
        <f t="shared" si="31"/>
        <v>Wednesday</v>
      </c>
      <c r="I377" t="str">
        <f t="shared" si="32"/>
        <v>No</v>
      </c>
      <c r="J377">
        <f t="shared" si="33"/>
        <v>0</v>
      </c>
      <c r="K377">
        <f t="shared" si="34"/>
        <v>1</v>
      </c>
      <c r="L377">
        <f t="shared" si="35"/>
        <v>31</v>
      </c>
    </row>
    <row r="378" spans="1:12" ht="14.4" customHeight="1" x14ac:dyDescent="0.3">
      <c r="A378">
        <v>153830193</v>
      </c>
      <c r="B378" s="1">
        <v>44860</v>
      </c>
      <c r="C378" s="1">
        <v>44861</v>
      </c>
      <c r="D378" t="s">
        <v>7</v>
      </c>
      <c r="E378">
        <v>39</v>
      </c>
      <c r="F378" t="s">
        <v>6</v>
      </c>
      <c r="G378">
        <f t="shared" si="30"/>
        <v>1</v>
      </c>
      <c r="H378" s="1" t="str">
        <f t="shared" si="31"/>
        <v>Wednesday</v>
      </c>
      <c r="I378" t="str">
        <f t="shared" si="32"/>
        <v>No</v>
      </c>
      <c r="J378">
        <f t="shared" si="33"/>
        <v>1</v>
      </c>
      <c r="K378">
        <f t="shared" si="34"/>
        <v>0</v>
      </c>
      <c r="L378">
        <f t="shared" si="35"/>
        <v>1</v>
      </c>
    </row>
    <row r="379" spans="1:12" ht="14.4" customHeight="1" x14ac:dyDescent="0.3">
      <c r="A379">
        <v>159664292</v>
      </c>
      <c r="B379" s="1">
        <v>44861</v>
      </c>
      <c r="D379" t="s">
        <v>7</v>
      </c>
      <c r="E379">
        <v>39</v>
      </c>
      <c r="F379" t="s">
        <v>6</v>
      </c>
      <c r="G379" t="str">
        <f t="shared" si="30"/>
        <v/>
      </c>
      <c r="H379" s="1" t="str">
        <f t="shared" si="31"/>
        <v>Thursday</v>
      </c>
      <c r="I379" t="str">
        <f t="shared" si="32"/>
        <v>No</v>
      </c>
      <c r="J379">
        <f t="shared" si="33"/>
        <v>0</v>
      </c>
      <c r="K379">
        <f t="shared" si="34"/>
        <v>0</v>
      </c>
      <c r="L379" t="str">
        <f t="shared" si="35"/>
        <v/>
      </c>
    </row>
    <row r="380" spans="1:12" ht="14.4" customHeight="1" x14ac:dyDescent="0.3">
      <c r="A380">
        <v>152937944</v>
      </c>
      <c r="B380" s="1">
        <v>44861</v>
      </c>
      <c r="C380" s="1">
        <v>44862</v>
      </c>
      <c r="D380" t="s">
        <v>8</v>
      </c>
      <c r="E380">
        <v>39</v>
      </c>
      <c r="F380" t="s">
        <v>6</v>
      </c>
      <c r="G380">
        <f t="shared" si="30"/>
        <v>1</v>
      </c>
      <c r="H380" s="1" t="str">
        <f t="shared" si="31"/>
        <v>Thursday</v>
      </c>
      <c r="I380" t="str">
        <f t="shared" si="32"/>
        <v>No</v>
      </c>
      <c r="J380">
        <f t="shared" si="33"/>
        <v>1</v>
      </c>
      <c r="K380">
        <f t="shared" si="34"/>
        <v>0</v>
      </c>
      <c r="L380">
        <f t="shared" si="35"/>
        <v>1</v>
      </c>
    </row>
    <row r="381" spans="1:12" x14ac:dyDescent="0.3">
      <c r="A381">
        <v>159446393</v>
      </c>
      <c r="B381" s="1">
        <v>44861</v>
      </c>
      <c r="C381" s="1">
        <v>45035</v>
      </c>
      <c r="D381" t="s">
        <v>7</v>
      </c>
      <c r="E381">
        <v>39</v>
      </c>
      <c r="F381" t="s">
        <v>6</v>
      </c>
      <c r="G381">
        <f t="shared" si="30"/>
        <v>174</v>
      </c>
      <c r="H381" s="1" t="str">
        <f t="shared" si="31"/>
        <v>Thursday</v>
      </c>
      <c r="I381" t="str">
        <f t="shared" si="32"/>
        <v>No</v>
      </c>
      <c r="J381">
        <f t="shared" si="33"/>
        <v>0</v>
      </c>
      <c r="K381">
        <f t="shared" si="34"/>
        <v>1</v>
      </c>
      <c r="L381">
        <f t="shared" si="35"/>
        <v>174</v>
      </c>
    </row>
    <row r="382" spans="1:12" x14ac:dyDescent="0.3">
      <c r="A382">
        <v>156837717</v>
      </c>
      <c r="B382" s="1">
        <v>44861</v>
      </c>
      <c r="C382" s="1">
        <v>45088</v>
      </c>
      <c r="D382" t="s">
        <v>7</v>
      </c>
      <c r="E382">
        <v>39</v>
      </c>
      <c r="F382" t="s">
        <v>6</v>
      </c>
      <c r="G382">
        <f t="shared" si="30"/>
        <v>227</v>
      </c>
      <c r="H382" s="1" t="str">
        <f t="shared" si="31"/>
        <v>Thursday</v>
      </c>
      <c r="I382" t="str">
        <f t="shared" si="32"/>
        <v>No</v>
      </c>
      <c r="J382">
        <f t="shared" si="33"/>
        <v>0</v>
      </c>
      <c r="K382">
        <f t="shared" si="34"/>
        <v>1</v>
      </c>
      <c r="L382">
        <f t="shared" si="35"/>
        <v>227</v>
      </c>
    </row>
    <row r="383" spans="1:12" x14ac:dyDescent="0.3">
      <c r="A383">
        <v>149000400</v>
      </c>
      <c r="B383" s="1">
        <v>44861</v>
      </c>
      <c r="C383" s="1">
        <v>44983</v>
      </c>
      <c r="D383" t="s">
        <v>7</v>
      </c>
      <c r="E383">
        <v>39</v>
      </c>
      <c r="F383" t="s">
        <v>6</v>
      </c>
      <c r="G383">
        <f t="shared" si="30"/>
        <v>122</v>
      </c>
      <c r="H383" s="1" t="str">
        <f t="shared" si="31"/>
        <v>Thursday</v>
      </c>
      <c r="I383" t="str">
        <f t="shared" si="32"/>
        <v>No</v>
      </c>
      <c r="J383">
        <f t="shared" si="33"/>
        <v>0</v>
      </c>
      <c r="K383">
        <f t="shared" si="34"/>
        <v>1</v>
      </c>
      <c r="L383">
        <f t="shared" si="35"/>
        <v>122</v>
      </c>
    </row>
    <row r="384" spans="1:12" x14ac:dyDescent="0.3">
      <c r="A384">
        <v>157923615</v>
      </c>
      <c r="B384" s="1">
        <v>44861</v>
      </c>
      <c r="C384" s="1">
        <v>44929</v>
      </c>
      <c r="D384" t="s">
        <v>7</v>
      </c>
      <c r="E384">
        <v>39</v>
      </c>
      <c r="F384" t="s">
        <v>6</v>
      </c>
      <c r="G384">
        <f t="shared" si="30"/>
        <v>68</v>
      </c>
      <c r="H384" s="1" t="str">
        <f t="shared" si="31"/>
        <v>Thursday</v>
      </c>
      <c r="I384" t="str">
        <f t="shared" si="32"/>
        <v>No</v>
      </c>
      <c r="J384">
        <f t="shared" si="33"/>
        <v>0</v>
      </c>
      <c r="K384">
        <f t="shared" si="34"/>
        <v>1</v>
      </c>
      <c r="L384">
        <f t="shared" si="35"/>
        <v>68</v>
      </c>
    </row>
    <row r="385" spans="1:12" ht="14.4" customHeight="1" x14ac:dyDescent="0.3">
      <c r="A385">
        <v>159699736</v>
      </c>
      <c r="B385" s="1">
        <v>44861</v>
      </c>
      <c r="C385" s="1">
        <v>44890</v>
      </c>
      <c r="D385" t="s">
        <v>7</v>
      </c>
      <c r="E385">
        <v>39</v>
      </c>
      <c r="F385" t="s">
        <v>6</v>
      </c>
      <c r="G385">
        <f t="shared" si="30"/>
        <v>29</v>
      </c>
      <c r="H385" s="1" t="str">
        <f t="shared" si="31"/>
        <v>Thursday</v>
      </c>
      <c r="I385" t="str">
        <f t="shared" si="32"/>
        <v>No</v>
      </c>
      <c r="J385">
        <f t="shared" si="33"/>
        <v>0</v>
      </c>
      <c r="K385">
        <f t="shared" si="34"/>
        <v>0</v>
      </c>
      <c r="L385">
        <f t="shared" si="35"/>
        <v>29</v>
      </c>
    </row>
    <row r="386" spans="1:12" ht="14.4" customHeight="1" x14ac:dyDescent="0.3">
      <c r="A386">
        <v>150816815</v>
      </c>
      <c r="B386" s="1">
        <v>44861</v>
      </c>
      <c r="C386" s="1">
        <v>44881</v>
      </c>
      <c r="D386" t="s">
        <v>7</v>
      </c>
      <c r="E386">
        <v>39</v>
      </c>
      <c r="F386" t="s">
        <v>6</v>
      </c>
      <c r="G386">
        <f t="shared" ref="G386:G449" si="36">IF(C386="","",C386-B386)</f>
        <v>20</v>
      </c>
      <c r="H386" s="1" t="str">
        <f t="shared" si="31"/>
        <v>Thursday</v>
      </c>
      <c r="I386" t="str">
        <f t="shared" si="32"/>
        <v>No</v>
      </c>
      <c r="J386">
        <f t="shared" si="33"/>
        <v>0</v>
      </c>
      <c r="K386">
        <f t="shared" si="34"/>
        <v>0</v>
      </c>
      <c r="L386">
        <f t="shared" si="35"/>
        <v>20</v>
      </c>
    </row>
    <row r="387" spans="1:12" x14ac:dyDescent="0.3">
      <c r="A387">
        <v>159634168</v>
      </c>
      <c r="B387" s="1">
        <v>44861</v>
      </c>
      <c r="C387" s="1">
        <v>45107</v>
      </c>
      <c r="D387" t="s">
        <v>7</v>
      </c>
      <c r="E387">
        <v>39</v>
      </c>
      <c r="F387" t="s">
        <v>6</v>
      </c>
      <c r="G387">
        <f t="shared" si="36"/>
        <v>246</v>
      </c>
      <c r="H387" s="1" t="str">
        <f t="shared" ref="H387:H450" si="37">TEXT(B387,"dddd")</f>
        <v>Thursday</v>
      </c>
      <c r="I387" t="str">
        <f t="shared" ref="I387:I450" si="38">IF(B387=C387,"Yes","No")</f>
        <v>No</v>
      </c>
      <c r="J387">
        <f t="shared" ref="J387:J450" si="39">IF(AND(C387&lt;&gt;"",C387-B387&lt;=2),1,0)</f>
        <v>0</v>
      </c>
      <c r="K387">
        <f t="shared" ref="K387:K450" si="40">IF(AND(C387&lt;&gt;"",C387-B387&gt;30),1,0)</f>
        <v>1</v>
      </c>
      <c r="L387">
        <f t="shared" ref="L387:L450" si="41">IF(C387="","",C387-B387)</f>
        <v>246</v>
      </c>
    </row>
    <row r="388" spans="1:12" ht="14.4" customHeight="1" x14ac:dyDescent="0.3">
      <c r="A388">
        <v>158114418</v>
      </c>
      <c r="B388" s="1">
        <v>44862</v>
      </c>
      <c r="D388" t="s">
        <v>7</v>
      </c>
      <c r="E388">
        <v>39</v>
      </c>
      <c r="F388" t="s">
        <v>6</v>
      </c>
      <c r="G388" t="str">
        <f t="shared" si="36"/>
        <v/>
      </c>
      <c r="H388" s="1" t="str">
        <f t="shared" si="37"/>
        <v>Friday</v>
      </c>
      <c r="I388" t="str">
        <f t="shared" si="38"/>
        <v>No</v>
      </c>
      <c r="J388">
        <f t="shared" si="39"/>
        <v>0</v>
      </c>
      <c r="K388">
        <f t="shared" si="40"/>
        <v>0</v>
      </c>
      <c r="L388" t="str">
        <f t="shared" si="41"/>
        <v/>
      </c>
    </row>
    <row r="389" spans="1:12" ht="14.4" customHeight="1" x14ac:dyDescent="0.3">
      <c r="A389">
        <v>159706104</v>
      </c>
      <c r="B389" s="1">
        <v>44862</v>
      </c>
      <c r="D389" t="s">
        <v>7</v>
      </c>
      <c r="E389">
        <v>39</v>
      </c>
      <c r="F389" t="s">
        <v>6</v>
      </c>
      <c r="G389" t="str">
        <f t="shared" si="36"/>
        <v/>
      </c>
      <c r="H389" s="1" t="str">
        <f t="shared" si="37"/>
        <v>Friday</v>
      </c>
      <c r="I389" t="str">
        <f t="shared" si="38"/>
        <v>No</v>
      </c>
      <c r="J389">
        <f t="shared" si="39"/>
        <v>0</v>
      </c>
      <c r="K389">
        <f t="shared" si="40"/>
        <v>0</v>
      </c>
      <c r="L389" t="str">
        <f t="shared" si="41"/>
        <v/>
      </c>
    </row>
    <row r="390" spans="1:12" x14ac:dyDescent="0.3">
      <c r="A390">
        <v>150704581</v>
      </c>
      <c r="B390" s="1">
        <v>44862</v>
      </c>
      <c r="C390" s="1">
        <v>45056</v>
      </c>
      <c r="D390" t="s">
        <v>7</v>
      </c>
      <c r="E390">
        <v>39</v>
      </c>
      <c r="F390" t="s">
        <v>6</v>
      </c>
      <c r="G390">
        <f t="shared" si="36"/>
        <v>194</v>
      </c>
      <c r="H390" s="1" t="str">
        <f t="shared" si="37"/>
        <v>Friday</v>
      </c>
      <c r="I390" t="str">
        <f t="shared" si="38"/>
        <v>No</v>
      </c>
      <c r="J390">
        <f t="shared" si="39"/>
        <v>0</v>
      </c>
      <c r="K390">
        <f t="shared" si="40"/>
        <v>1</v>
      </c>
      <c r="L390">
        <f t="shared" si="41"/>
        <v>194</v>
      </c>
    </row>
    <row r="391" spans="1:12" x14ac:dyDescent="0.3">
      <c r="A391">
        <v>159733207</v>
      </c>
      <c r="B391" s="1">
        <v>44862</v>
      </c>
      <c r="C391" s="1">
        <v>44984</v>
      </c>
      <c r="D391" t="s">
        <v>7</v>
      </c>
      <c r="E391">
        <v>39</v>
      </c>
      <c r="F391" t="s">
        <v>6</v>
      </c>
      <c r="G391">
        <f t="shared" si="36"/>
        <v>122</v>
      </c>
      <c r="H391" s="1" t="str">
        <f t="shared" si="37"/>
        <v>Friday</v>
      </c>
      <c r="I391" t="str">
        <f t="shared" si="38"/>
        <v>No</v>
      </c>
      <c r="J391">
        <f t="shared" si="39"/>
        <v>0</v>
      </c>
      <c r="K391">
        <f t="shared" si="40"/>
        <v>1</v>
      </c>
      <c r="L391">
        <f t="shared" si="41"/>
        <v>122</v>
      </c>
    </row>
    <row r="392" spans="1:12" x14ac:dyDescent="0.3">
      <c r="A392">
        <v>159775056</v>
      </c>
      <c r="B392" s="1">
        <v>44862</v>
      </c>
      <c r="C392" s="1">
        <v>45016</v>
      </c>
      <c r="D392" t="s">
        <v>7</v>
      </c>
      <c r="E392">
        <v>39</v>
      </c>
      <c r="F392" t="s">
        <v>6</v>
      </c>
      <c r="G392">
        <f t="shared" si="36"/>
        <v>154</v>
      </c>
      <c r="H392" s="1" t="str">
        <f t="shared" si="37"/>
        <v>Friday</v>
      </c>
      <c r="I392" t="str">
        <f t="shared" si="38"/>
        <v>No</v>
      </c>
      <c r="J392">
        <f t="shared" si="39"/>
        <v>0</v>
      </c>
      <c r="K392">
        <f t="shared" si="40"/>
        <v>1</v>
      </c>
      <c r="L392">
        <f t="shared" si="41"/>
        <v>154</v>
      </c>
    </row>
    <row r="393" spans="1:12" x14ac:dyDescent="0.3">
      <c r="A393">
        <v>144328609</v>
      </c>
      <c r="B393" s="1">
        <v>44862</v>
      </c>
      <c r="C393" s="1">
        <v>44920</v>
      </c>
      <c r="D393" t="s">
        <v>7</v>
      </c>
      <c r="E393">
        <v>39</v>
      </c>
      <c r="F393" t="s">
        <v>6</v>
      </c>
      <c r="G393">
        <f t="shared" si="36"/>
        <v>58</v>
      </c>
      <c r="H393" s="1" t="str">
        <f t="shared" si="37"/>
        <v>Friday</v>
      </c>
      <c r="I393" t="str">
        <f t="shared" si="38"/>
        <v>No</v>
      </c>
      <c r="J393">
        <f t="shared" si="39"/>
        <v>0</v>
      </c>
      <c r="K393">
        <f t="shared" si="40"/>
        <v>1</v>
      </c>
      <c r="L393">
        <f t="shared" si="41"/>
        <v>58</v>
      </c>
    </row>
    <row r="394" spans="1:12" x14ac:dyDescent="0.3">
      <c r="A394">
        <v>153172687</v>
      </c>
      <c r="B394" s="1">
        <v>44862</v>
      </c>
      <c r="C394" s="1">
        <v>45159</v>
      </c>
      <c r="D394" t="s">
        <v>7</v>
      </c>
      <c r="E394">
        <v>39</v>
      </c>
      <c r="F394" t="s">
        <v>6</v>
      </c>
      <c r="G394">
        <f t="shared" si="36"/>
        <v>297</v>
      </c>
      <c r="H394" s="1" t="str">
        <f t="shared" si="37"/>
        <v>Friday</v>
      </c>
      <c r="I394" t="str">
        <f t="shared" si="38"/>
        <v>No</v>
      </c>
      <c r="J394">
        <f t="shared" si="39"/>
        <v>0</v>
      </c>
      <c r="K394">
        <f t="shared" si="40"/>
        <v>1</v>
      </c>
      <c r="L394">
        <f t="shared" si="41"/>
        <v>297</v>
      </c>
    </row>
    <row r="395" spans="1:12" ht="14.4" customHeight="1" x14ac:dyDescent="0.3">
      <c r="A395">
        <v>159861170</v>
      </c>
      <c r="B395" s="1">
        <v>44863</v>
      </c>
      <c r="D395" t="s">
        <v>7</v>
      </c>
      <c r="E395">
        <v>39</v>
      </c>
      <c r="F395" t="s">
        <v>6</v>
      </c>
      <c r="G395" t="str">
        <f t="shared" si="36"/>
        <v/>
      </c>
      <c r="H395" s="1" t="str">
        <f t="shared" si="37"/>
        <v>Saturday</v>
      </c>
      <c r="I395" t="str">
        <f t="shared" si="38"/>
        <v>No</v>
      </c>
      <c r="J395">
        <f t="shared" si="39"/>
        <v>0</v>
      </c>
      <c r="K395">
        <f t="shared" si="40"/>
        <v>0</v>
      </c>
      <c r="L395" t="str">
        <f t="shared" si="41"/>
        <v/>
      </c>
    </row>
    <row r="396" spans="1:12" x14ac:dyDescent="0.3">
      <c r="A396">
        <v>133474642</v>
      </c>
      <c r="B396" s="1">
        <v>44863</v>
      </c>
      <c r="C396" s="1">
        <v>44915</v>
      </c>
      <c r="D396" t="s">
        <v>7</v>
      </c>
      <c r="E396">
        <v>39</v>
      </c>
      <c r="F396" t="s">
        <v>6</v>
      </c>
      <c r="G396">
        <f t="shared" si="36"/>
        <v>52</v>
      </c>
      <c r="H396" s="1" t="str">
        <f t="shared" si="37"/>
        <v>Saturday</v>
      </c>
      <c r="I396" t="str">
        <f t="shared" si="38"/>
        <v>No</v>
      </c>
      <c r="J396">
        <f t="shared" si="39"/>
        <v>0</v>
      </c>
      <c r="K396">
        <f t="shared" si="40"/>
        <v>1</v>
      </c>
      <c r="L396">
        <f t="shared" si="41"/>
        <v>52</v>
      </c>
    </row>
    <row r="397" spans="1:12" x14ac:dyDescent="0.3">
      <c r="A397">
        <v>159817608</v>
      </c>
      <c r="B397" s="1">
        <v>44863</v>
      </c>
      <c r="C397" s="1">
        <v>45008</v>
      </c>
      <c r="D397" t="s">
        <v>7</v>
      </c>
      <c r="E397">
        <v>39</v>
      </c>
      <c r="F397" t="s">
        <v>6</v>
      </c>
      <c r="G397">
        <f t="shared" si="36"/>
        <v>145</v>
      </c>
      <c r="H397" s="1" t="str">
        <f t="shared" si="37"/>
        <v>Saturday</v>
      </c>
      <c r="I397" t="str">
        <f t="shared" si="38"/>
        <v>No</v>
      </c>
      <c r="J397">
        <f t="shared" si="39"/>
        <v>0</v>
      </c>
      <c r="K397">
        <f t="shared" si="40"/>
        <v>1</v>
      </c>
      <c r="L397">
        <f t="shared" si="41"/>
        <v>145</v>
      </c>
    </row>
    <row r="398" spans="1:12" x14ac:dyDescent="0.3">
      <c r="A398">
        <v>159867686</v>
      </c>
      <c r="B398" s="1">
        <v>44863</v>
      </c>
      <c r="C398" s="1">
        <v>44931</v>
      </c>
      <c r="D398" t="s">
        <v>7</v>
      </c>
      <c r="E398">
        <v>39</v>
      </c>
      <c r="F398" t="s">
        <v>6</v>
      </c>
      <c r="G398">
        <f t="shared" si="36"/>
        <v>68</v>
      </c>
      <c r="H398" s="1" t="str">
        <f t="shared" si="37"/>
        <v>Saturday</v>
      </c>
      <c r="I398" t="str">
        <f t="shared" si="38"/>
        <v>No</v>
      </c>
      <c r="J398">
        <f t="shared" si="39"/>
        <v>0</v>
      </c>
      <c r="K398">
        <f t="shared" si="40"/>
        <v>1</v>
      </c>
      <c r="L398">
        <f t="shared" si="41"/>
        <v>68</v>
      </c>
    </row>
    <row r="399" spans="1:12" x14ac:dyDescent="0.3">
      <c r="A399">
        <v>158484064</v>
      </c>
      <c r="B399" s="1">
        <v>44863</v>
      </c>
      <c r="C399" s="1">
        <v>44931</v>
      </c>
      <c r="D399" t="s">
        <v>7</v>
      </c>
      <c r="E399">
        <v>39</v>
      </c>
      <c r="F399" t="s">
        <v>6</v>
      </c>
      <c r="G399">
        <f t="shared" si="36"/>
        <v>68</v>
      </c>
      <c r="H399" s="1" t="str">
        <f t="shared" si="37"/>
        <v>Saturday</v>
      </c>
      <c r="I399" t="str">
        <f t="shared" si="38"/>
        <v>No</v>
      </c>
      <c r="J399">
        <f t="shared" si="39"/>
        <v>0</v>
      </c>
      <c r="K399">
        <f t="shared" si="40"/>
        <v>1</v>
      </c>
      <c r="L399">
        <f t="shared" si="41"/>
        <v>68</v>
      </c>
    </row>
    <row r="400" spans="1:12" ht="14.4" customHeight="1" x14ac:dyDescent="0.3">
      <c r="A400">
        <v>159829834</v>
      </c>
      <c r="B400" s="1">
        <v>44864</v>
      </c>
      <c r="D400" t="s">
        <v>7</v>
      </c>
      <c r="E400">
        <v>39</v>
      </c>
      <c r="F400" t="s">
        <v>6</v>
      </c>
      <c r="G400" t="str">
        <f t="shared" si="36"/>
        <v/>
      </c>
      <c r="H400" s="1" t="str">
        <f t="shared" si="37"/>
        <v>Sunday</v>
      </c>
      <c r="I400" t="str">
        <f t="shared" si="38"/>
        <v>No</v>
      </c>
      <c r="J400">
        <f t="shared" si="39"/>
        <v>0</v>
      </c>
      <c r="K400">
        <f t="shared" si="40"/>
        <v>0</v>
      </c>
      <c r="L400" t="str">
        <f t="shared" si="41"/>
        <v/>
      </c>
    </row>
    <row r="401" spans="1:12" x14ac:dyDescent="0.3">
      <c r="A401">
        <v>159875790</v>
      </c>
      <c r="B401" s="1">
        <v>44864</v>
      </c>
      <c r="C401" s="1">
        <v>44992</v>
      </c>
      <c r="D401" t="s">
        <v>7</v>
      </c>
      <c r="E401">
        <v>39</v>
      </c>
      <c r="F401" t="s">
        <v>6</v>
      </c>
      <c r="G401">
        <f t="shared" si="36"/>
        <v>128</v>
      </c>
      <c r="H401" s="1" t="str">
        <f t="shared" si="37"/>
        <v>Sunday</v>
      </c>
      <c r="I401" t="str">
        <f t="shared" si="38"/>
        <v>No</v>
      </c>
      <c r="J401">
        <f t="shared" si="39"/>
        <v>0</v>
      </c>
      <c r="K401">
        <f t="shared" si="40"/>
        <v>1</v>
      </c>
      <c r="L401">
        <f t="shared" si="41"/>
        <v>128</v>
      </c>
    </row>
    <row r="402" spans="1:12" x14ac:dyDescent="0.3">
      <c r="A402">
        <v>155520280</v>
      </c>
      <c r="B402" s="1">
        <v>44864</v>
      </c>
      <c r="C402" s="1">
        <v>44902</v>
      </c>
      <c r="D402" t="s">
        <v>7</v>
      </c>
      <c r="E402">
        <v>39</v>
      </c>
      <c r="F402" t="s">
        <v>6</v>
      </c>
      <c r="G402">
        <f t="shared" si="36"/>
        <v>38</v>
      </c>
      <c r="H402" s="1" t="str">
        <f t="shared" si="37"/>
        <v>Sunday</v>
      </c>
      <c r="I402" t="str">
        <f t="shared" si="38"/>
        <v>No</v>
      </c>
      <c r="J402">
        <f t="shared" si="39"/>
        <v>0</v>
      </c>
      <c r="K402">
        <f t="shared" si="40"/>
        <v>1</v>
      </c>
      <c r="L402">
        <f t="shared" si="41"/>
        <v>38</v>
      </c>
    </row>
    <row r="403" spans="1:12" x14ac:dyDescent="0.3">
      <c r="A403">
        <v>159783942</v>
      </c>
      <c r="B403" s="1">
        <v>44864</v>
      </c>
      <c r="C403" s="1">
        <v>44923</v>
      </c>
      <c r="D403" t="s">
        <v>7</v>
      </c>
      <c r="E403">
        <v>39</v>
      </c>
      <c r="F403" t="s">
        <v>6</v>
      </c>
      <c r="G403">
        <f t="shared" si="36"/>
        <v>59</v>
      </c>
      <c r="H403" s="1" t="str">
        <f t="shared" si="37"/>
        <v>Sunday</v>
      </c>
      <c r="I403" t="str">
        <f t="shared" si="38"/>
        <v>No</v>
      </c>
      <c r="J403">
        <f t="shared" si="39"/>
        <v>0</v>
      </c>
      <c r="K403">
        <f t="shared" si="40"/>
        <v>1</v>
      </c>
      <c r="L403">
        <f t="shared" si="41"/>
        <v>59</v>
      </c>
    </row>
    <row r="404" spans="1:12" ht="14.4" customHeight="1" x14ac:dyDescent="0.3">
      <c r="A404">
        <v>149696432</v>
      </c>
      <c r="B404" s="1">
        <v>44864</v>
      </c>
      <c r="C404" s="1">
        <v>44891</v>
      </c>
      <c r="D404" t="s">
        <v>7</v>
      </c>
      <c r="E404">
        <v>39</v>
      </c>
      <c r="F404" t="s">
        <v>6</v>
      </c>
      <c r="G404">
        <f t="shared" si="36"/>
        <v>27</v>
      </c>
      <c r="H404" s="1" t="str">
        <f t="shared" si="37"/>
        <v>Sunday</v>
      </c>
      <c r="I404" t="str">
        <f t="shared" si="38"/>
        <v>No</v>
      </c>
      <c r="J404">
        <f t="shared" si="39"/>
        <v>0</v>
      </c>
      <c r="K404">
        <f t="shared" si="40"/>
        <v>0</v>
      </c>
      <c r="L404">
        <f t="shared" si="41"/>
        <v>27</v>
      </c>
    </row>
    <row r="405" spans="1:12" ht="14.4" customHeight="1" x14ac:dyDescent="0.3">
      <c r="A405">
        <v>159979372</v>
      </c>
      <c r="B405" s="1">
        <v>44865</v>
      </c>
      <c r="D405" t="s">
        <v>7</v>
      </c>
      <c r="E405">
        <v>39</v>
      </c>
      <c r="F405" t="s">
        <v>6</v>
      </c>
      <c r="G405" t="str">
        <f t="shared" si="36"/>
        <v/>
      </c>
      <c r="H405" s="1" t="str">
        <f t="shared" si="37"/>
        <v>Monday</v>
      </c>
      <c r="I405" t="str">
        <f t="shared" si="38"/>
        <v>No</v>
      </c>
      <c r="J405">
        <f t="shared" si="39"/>
        <v>0</v>
      </c>
      <c r="K405">
        <f t="shared" si="40"/>
        <v>0</v>
      </c>
      <c r="L405" t="str">
        <f t="shared" si="41"/>
        <v/>
      </c>
    </row>
    <row r="406" spans="1:12" ht="14.4" customHeight="1" x14ac:dyDescent="0.3">
      <c r="A406">
        <v>153814649</v>
      </c>
      <c r="B406" s="1">
        <v>44865</v>
      </c>
      <c r="D406" t="s">
        <v>7</v>
      </c>
      <c r="E406">
        <v>39</v>
      </c>
      <c r="F406" t="s">
        <v>6</v>
      </c>
      <c r="G406" t="str">
        <f t="shared" si="36"/>
        <v/>
      </c>
      <c r="H406" s="1" t="str">
        <f t="shared" si="37"/>
        <v>Monday</v>
      </c>
      <c r="I406" t="str">
        <f t="shared" si="38"/>
        <v>No</v>
      </c>
      <c r="J406">
        <f t="shared" si="39"/>
        <v>0</v>
      </c>
      <c r="K406">
        <f t="shared" si="40"/>
        <v>0</v>
      </c>
      <c r="L406" t="str">
        <f t="shared" si="41"/>
        <v/>
      </c>
    </row>
    <row r="407" spans="1:12" ht="14.4" customHeight="1" x14ac:dyDescent="0.3">
      <c r="A407">
        <v>159931469</v>
      </c>
      <c r="B407" s="1">
        <v>44865</v>
      </c>
      <c r="D407" t="s">
        <v>7</v>
      </c>
      <c r="E407">
        <v>39</v>
      </c>
      <c r="F407" t="s">
        <v>6</v>
      </c>
      <c r="G407" t="str">
        <f t="shared" si="36"/>
        <v/>
      </c>
      <c r="H407" s="1" t="str">
        <f t="shared" si="37"/>
        <v>Monday</v>
      </c>
      <c r="I407" t="str">
        <f t="shared" si="38"/>
        <v>No</v>
      </c>
      <c r="J407">
        <f t="shared" si="39"/>
        <v>0</v>
      </c>
      <c r="K407">
        <f t="shared" si="40"/>
        <v>0</v>
      </c>
      <c r="L407" t="str">
        <f t="shared" si="41"/>
        <v/>
      </c>
    </row>
    <row r="408" spans="1:12" ht="14.4" customHeight="1" x14ac:dyDescent="0.3">
      <c r="A408">
        <v>138061210</v>
      </c>
      <c r="B408" s="1">
        <v>44865</v>
      </c>
      <c r="C408" s="1">
        <v>44865</v>
      </c>
      <c r="D408" t="s">
        <v>7</v>
      </c>
      <c r="E408">
        <v>39</v>
      </c>
      <c r="F408" t="s">
        <v>6</v>
      </c>
      <c r="G408">
        <f t="shared" si="36"/>
        <v>0</v>
      </c>
      <c r="H408" s="1" t="str">
        <f t="shared" si="37"/>
        <v>Monday</v>
      </c>
      <c r="I408" t="str">
        <f t="shared" si="38"/>
        <v>Yes</v>
      </c>
      <c r="J408">
        <f t="shared" si="39"/>
        <v>1</v>
      </c>
      <c r="K408">
        <f t="shared" si="40"/>
        <v>0</v>
      </c>
      <c r="L408">
        <f t="shared" si="41"/>
        <v>0</v>
      </c>
    </row>
    <row r="409" spans="1:12" x14ac:dyDescent="0.3">
      <c r="A409">
        <v>141403460</v>
      </c>
      <c r="B409" s="1">
        <v>44865</v>
      </c>
      <c r="C409" s="1">
        <v>44942</v>
      </c>
      <c r="D409" t="s">
        <v>7</v>
      </c>
      <c r="E409">
        <v>39</v>
      </c>
      <c r="F409" t="s">
        <v>6</v>
      </c>
      <c r="G409">
        <f t="shared" si="36"/>
        <v>77</v>
      </c>
      <c r="H409" s="1" t="str">
        <f t="shared" si="37"/>
        <v>Monday</v>
      </c>
      <c r="I409" t="str">
        <f t="shared" si="38"/>
        <v>No</v>
      </c>
      <c r="J409">
        <f t="shared" si="39"/>
        <v>0</v>
      </c>
      <c r="K409">
        <f t="shared" si="40"/>
        <v>1</v>
      </c>
      <c r="L409">
        <f t="shared" si="41"/>
        <v>77</v>
      </c>
    </row>
    <row r="410" spans="1:12" x14ac:dyDescent="0.3">
      <c r="A410">
        <v>159991922</v>
      </c>
      <c r="B410" s="1">
        <v>44865</v>
      </c>
      <c r="C410" s="1">
        <v>44912</v>
      </c>
      <c r="D410" t="s">
        <v>7</v>
      </c>
      <c r="E410">
        <v>39</v>
      </c>
      <c r="F410" t="s">
        <v>6</v>
      </c>
      <c r="G410">
        <f t="shared" si="36"/>
        <v>47</v>
      </c>
      <c r="H410" s="1" t="str">
        <f t="shared" si="37"/>
        <v>Monday</v>
      </c>
      <c r="I410" t="str">
        <f t="shared" si="38"/>
        <v>No</v>
      </c>
      <c r="J410">
        <f t="shared" si="39"/>
        <v>0</v>
      </c>
      <c r="K410">
        <f t="shared" si="40"/>
        <v>1</v>
      </c>
      <c r="L410">
        <f t="shared" si="41"/>
        <v>47</v>
      </c>
    </row>
    <row r="411" spans="1:12" x14ac:dyDescent="0.3">
      <c r="A411">
        <v>159241648</v>
      </c>
      <c r="B411" s="1">
        <v>44865</v>
      </c>
      <c r="C411" s="1">
        <v>44909</v>
      </c>
      <c r="D411" t="s">
        <v>7</v>
      </c>
      <c r="E411">
        <v>39</v>
      </c>
      <c r="F411" t="s">
        <v>6</v>
      </c>
      <c r="G411">
        <f t="shared" si="36"/>
        <v>44</v>
      </c>
      <c r="H411" s="1" t="str">
        <f t="shared" si="37"/>
        <v>Monday</v>
      </c>
      <c r="I411" t="str">
        <f t="shared" si="38"/>
        <v>No</v>
      </c>
      <c r="J411">
        <f t="shared" si="39"/>
        <v>0</v>
      </c>
      <c r="K411">
        <f t="shared" si="40"/>
        <v>1</v>
      </c>
      <c r="L411">
        <f t="shared" si="41"/>
        <v>44</v>
      </c>
    </row>
    <row r="412" spans="1:12" x14ac:dyDescent="0.3">
      <c r="A412">
        <v>150703411</v>
      </c>
      <c r="B412" s="1">
        <v>44865</v>
      </c>
      <c r="C412" s="1">
        <v>44896</v>
      </c>
      <c r="D412" t="s">
        <v>7</v>
      </c>
      <c r="E412">
        <v>39</v>
      </c>
      <c r="F412" t="s">
        <v>6</v>
      </c>
      <c r="G412">
        <f t="shared" si="36"/>
        <v>31</v>
      </c>
      <c r="H412" s="1" t="str">
        <f t="shared" si="37"/>
        <v>Monday</v>
      </c>
      <c r="I412" t="str">
        <f t="shared" si="38"/>
        <v>No</v>
      </c>
      <c r="J412">
        <f t="shared" si="39"/>
        <v>0</v>
      </c>
      <c r="K412">
        <f t="shared" si="40"/>
        <v>1</v>
      </c>
      <c r="L412">
        <f t="shared" si="41"/>
        <v>31</v>
      </c>
    </row>
    <row r="413" spans="1:12" ht="14.4" customHeight="1" x14ac:dyDescent="0.3">
      <c r="A413">
        <v>159773641</v>
      </c>
      <c r="B413" s="1">
        <v>44865</v>
      </c>
      <c r="C413" s="1">
        <v>44880</v>
      </c>
      <c r="D413" t="s">
        <v>7</v>
      </c>
      <c r="E413">
        <v>39</v>
      </c>
      <c r="F413" t="s">
        <v>6</v>
      </c>
      <c r="G413">
        <f t="shared" si="36"/>
        <v>15</v>
      </c>
      <c r="H413" s="1" t="str">
        <f t="shared" si="37"/>
        <v>Monday</v>
      </c>
      <c r="I413" t="str">
        <f t="shared" si="38"/>
        <v>No</v>
      </c>
      <c r="J413">
        <f t="shared" si="39"/>
        <v>0</v>
      </c>
      <c r="K413">
        <f t="shared" si="40"/>
        <v>0</v>
      </c>
      <c r="L413">
        <f t="shared" si="41"/>
        <v>15</v>
      </c>
    </row>
    <row r="414" spans="1:12" ht="14.4" customHeight="1" x14ac:dyDescent="0.3">
      <c r="A414">
        <v>128002797</v>
      </c>
      <c r="B414" s="1">
        <v>44865</v>
      </c>
      <c r="C414" s="1">
        <v>44895</v>
      </c>
      <c r="D414" t="s">
        <v>7</v>
      </c>
      <c r="E414">
        <v>39</v>
      </c>
      <c r="F414" t="s">
        <v>6</v>
      </c>
      <c r="G414">
        <f t="shared" si="36"/>
        <v>30</v>
      </c>
      <c r="H414" s="1" t="str">
        <f t="shared" si="37"/>
        <v>Monday</v>
      </c>
      <c r="I414" t="str">
        <f t="shared" si="38"/>
        <v>No</v>
      </c>
      <c r="J414">
        <f t="shared" si="39"/>
        <v>0</v>
      </c>
      <c r="K414">
        <f t="shared" si="40"/>
        <v>0</v>
      </c>
      <c r="L414">
        <f t="shared" si="41"/>
        <v>30</v>
      </c>
    </row>
    <row r="415" spans="1:12" ht="14.4" customHeight="1" x14ac:dyDescent="0.3">
      <c r="A415">
        <v>155807489</v>
      </c>
      <c r="B415" s="1">
        <v>44866</v>
      </c>
      <c r="C415" s="1">
        <v>44867</v>
      </c>
      <c r="D415" t="s">
        <v>8</v>
      </c>
      <c r="E415">
        <v>39</v>
      </c>
      <c r="F415" t="s">
        <v>6</v>
      </c>
      <c r="G415">
        <f t="shared" si="36"/>
        <v>1</v>
      </c>
      <c r="H415" s="1" t="str">
        <f t="shared" si="37"/>
        <v>Tuesday</v>
      </c>
      <c r="I415" t="str">
        <f t="shared" si="38"/>
        <v>No</v>
      </c>
      <c r="J415">
        <f t="shared" si="39"/>
        <v>1</v>
      </c>
      <c r="K415">
        <f t="shared" si="40"/>
        <v>0</v>
      </c>
      <c r="L415">
        <f t="shared" si="41"/>
        <v>1</v>
      </c>
    </row>
    <row r="416" spans="1:12" ht="14.4" customHeight="1" x14ac:dyDescent="0.3">
      <c r="A416">
        <v>143077712</v>
      </c>
      <c r="B416" s="1">
        <v>44866</v>
      </c>
      <c r="C416" s="1">
        <v>44867</v>
      </c>
      <c r="D416" t="s">
        <v>8</v>
      </c>
      <c r="E416">
        <v>39</v>
      </c>
      <c r="F416" t="s">
        <v>6</v>
      </c>
      <c r="G416">
        <f t="shared" si="36"/>
        <v>1</v>
      </c>
      <c r="H416" s="1" t="str">
        <f t="shared" si="37"/>
        <v>Tuesday</v>
      </c>
      <c r="I416" t="str">
        <f t="shared" si="38"/>
        <v>No</v>
      </c>
      <c r="J416">
        <f t="shared" si="39"/>
        <v>1</v>
      </c>
      <c r="K416">
        <f t="shared" si="40"/>
        <v>0</v>
      </c>
      <c r="L416">
        <f t="shared" si="41"/>
        <v>1</v>
      </c>
    </row>
    <row r="417" spans="1:12" x14ac:dyDescent="0.3">
      <c r="A417">
        <v>159745646</v>
      </c>
      <c r="B417" s="1">
        <v>44866</v>
      </c>
      <c r="C417" s="1">
        <v>45030</v>
      </c>
      <c r="D417" t="s">
        <v>7</v>
      </c>
      <c r="E417">
        <v>39</v>
      </c>
      <c r="F417" t="s">
        <v>6</v>
      </c>
      <c r="G417">
        <f t="shared" si="36"/>
        <v>164</v>
      </c>
      <c r="H417" s="1" t="str">
        <f t="shared" si="37"/>
        <v>Tuesday</v>
      </c>
      <c r="I417" t="str">
        <f t="shared" si="38"/>
        <v>No</v>
      </c>
      <c r="J417">
        <f t="shared" si="39"/>
        <v>0</v>
      </c>
      <c r="K417">
        <f t="shared" si="40"/>
        <v>1</v>
      </c>
      <c r="L417">
        <f t="shared" si="41"/>
        <v>164</v>
      </c>
    </row>
    <row r="418" spans="1:12" ht="14.4" customHeight="1" x14ac:dyDescent="0.3">
      <c r="A418">
        <v>139004918</v>
      </c>
      <c r="B418" s="1">
        <v>44866</v>
      </c>
      <c r="C418" s="1">
        <v>44896</v>
      </c>
      <c r="D418" t="s">
        <v>7</v>
      </c>
      <c r="E418">
        <v>39</v>
      </c>
      <c r="F418" t="s">
        <v>6</v>
      </c>
      <c r="G418">
        <f t="shared" si="36"/>
        <v>30</v>
      </c>
      <c r="H418" s="1" t="str">
        <f t="shared" si="37"/>
        <v>Tuesday</v>
      </c>
      <c r="I418" t="str">
        <f t="shared" si="38"/>
        <v>No</v>
      </c>
      <c r="J418">
        <f t="shared" si="39"/>
        <v>0</v>
      </c>
      <c r="K418">
        <f t="shared" si="40"/>
        <v>0</v>
      </c>
      <c r="L418">
        <f t="shared" si="41"/>
        <v>30</v>
      </c>
    </row>
    <row r="419" spans="1:12" x14ac:dyDescent="0.3">
      <c r="A419">
        <v>153255183</v>
      </c>
      <c r="B419" s="1">
        <v>44866</v>
      </c>
      <c r="C419" s="1">
        <v>44973</v>
      </c>
      <c r="D419" t="s">
        <v>7</v>
      </c>
      <c r="E419">
        <v>39</v>
      </c>
      <c r="F419" t="s">
        <v>6</v>
      </c>
      <c r="G419">
        <f t="shared" si="36"/>
        <v>107</v>
      </c>
      <c r="H419" s="1" t="str">
        <f t="shared" si="37"/>
        <v>Tuesday</v>
      </c>
      <c r="I419" t="str">
        <f t="shared" si="38"/>
        <v>No</v>
      </c>
      <c r="J419">
        <f t="shared" si="39"/>
        <v>0</v>
      </c>
      <c r="K419">
        <f t="shared" si="40"/>
        <v>1</v>
      </c>
      <c r="L419">
        <f t="shared" si="41"/>
        <v>107</v>
      </c>
    </row>
    <row r="420" spans="1:12" x14ac:dyDescent="0.3">
      <c r="A420">
        <v>157708746</v>
      </c>
      <c r="B420" s="1">
        <v>44866</v>
      </c>
      <c r="C420" s="1">
        <v>44957</v>
      </c>
      <c r="D420" t="s">
        <v>7</v>
      </c>
      <c r="E420">
        <v>39</v>
      </c>
      <c r="F420" t="s">
        <v>6</v>
      </c>
      <c r="G420">
        <f t="shared" si="36"/>
        <v>91</v>
      </c>
      <c r="H420" s="1" t="str">
        <f t="shared" si="37"/>
        <v>Tuesday</v>
      </c>
      <c r="I420" t="str">
        <f t="shared" si="38"/>
        <v>No</v>
      </c>
      <c r="J420">
        <f t="shared" si="39"/>
        <v>0</v>
      </c>
      <c r="K420">
        <f t="shared" si="40"/>
        <v>1</v>
      </c>
      <c r="L420">
        <f t="shared" si="41"/>
        <v>91</v>
      </c>
    </row>
    <row r="421" spans="1:12" x14ac:dyDescent="0.3">
      <c r="A421">
        <v>155652993</v>
      </c>
      <c r="B421" s="1">
        <v>44866</v>
      </c>
      <c r="C421" s="1">
        <v>44934</v>
      </c>
      <c r="D421" t="s">
        <v>7</v>
      </c>
      <c r="E421">
        <v>39</v>
      </c>
      <c r="F421" t="s">
        <v>6</v>
      </c>
      <c r="G421">
        <f t="shared" si="36"/>
        <v>68</v>
      </c>
      <c r="H421" s="1" t="str">
        <f t="shared" si="37"/>
        <v>Tuesday</v>
      </c>
      <c r="I421" t="str">
        <f t="shared" si="38"/>
        <v>No</v>
      </c>
      <c r="J421">
        <f t="shared" si="39"/>
        <v>0</v>
      </c>
      <c r="K421">
        <f t="shared" si="40"/>
        <v>1</v>
      </c>
      <c r="L421">
        <f t="shared" si="41"/>
        <v>68</v>
      </c>
    </row>
    <row r="422" spans="1:12" x14ac:dyDescent="0.3">
      <c r="A422">
        <v>159977918</v>
      </c>
      <c r="B422" s="1">
        <v>44866</v>
      </c>
      <c r="C422" s="1">
        <v>44950</v>
      </c>
      <c r="D422" t="s">
        <v>7</v>
      </c>
      <c r="E422">
        <v>39</v>
      </c>
      <c r="F422" t="s">
        <v>6</v>
      </c>
      <c r="G422">
        <f t="shared" si="36"/>
        <v>84</v>
      </c>
      <c r="H422" s="1" t="str">
        <f t="shared" si="37"/>
        <v>Tuesday</v>
      </c>
      <c r="I422" t="str">
        <f t="shared" si="38"/>
        <v>No</v>
      </c>
      <c r="J422">
        <f t="shared" si="39"/>
        <v>0</v>
      </c>
      <c r="K422">
        <f t="shared" si="40"/>
        <v>1</v>
      </c>
      <c r="L422">
        <f t="shared" si="41"/>
        <v>84</v>
      </c>
    </row>
    <row r="423" spans="1:12" x14ac:dyDescent="0.3">
      <c r="A423">
        <v>160108159</v>
      </c>
      <c r="B423" s="1">
        <v>44866</v>
      </c>
      <c r="C423" s="1">
        <v>44899</v>
      </c>
      <c r="D423" t="s">
        <v>7</v>
      </c>
      <c r="E423">
        <v>39</v>
      </c>
      <c r="F423" t="s">
        <v>6</v>
      </c>
      <c r="G423">
        <f t="shared" si="36"/>
        <v>33</v>
      </c>
      <c r="H423" s="1" t="str">
        <f t="shared" si="37"/>
        <v>Tuesday</v>
      </c>
      <c r="I423" t="str">
        <f t="shared" si="38"/>
        <v>No</v>
      </c>
      <c r="J423">
        <f t="shared" si="39"/>
        <v>0</v>
      </c>
      <c r="K423">
        <f t="shared" si="40"/>
        <v>1</v>
      </c>
      <c r="L423">
        <f t="shared" si="41"/>
        <v>33</v>
      </c>
    </row>
    <row r="424" spans="1:12" ht="14.4" customHeight="1" x14ac:dyDescent="0.3">
      <c r="A424">
        <v>160051910</v>
      </c>
      <c r="B424" s="1">
        <v>44866</v>
      </c>
      <c r="C424" s="1">
        <v>44874</v>
      </c>
      <c r="D424" t="s">
        <v>7</v>
      </c>
      <c r="E424">
        <v>39</v>
      </c>
      <c r="F424" t="s">
        <v>6</v>
      </c>
      <c r="G424">
        <f t="shared" si="36"/>
        <v>8</v>
      </c>
      <c r="H424" s="1" t="str">
        <f t="shared" si="37"/>
        <v>Tuesday</v>
      </c>
      <c r="I424" t="str">
        <f t="shared" si="38"/>
        <v>No</v>
      </c>
      <c r="J424">
        <f t="shared" si="39"/>
        <v>0</v>
      </c>
      <c r="K424">
        <f t="shared" si="40"/>
        <v>0</v>
      </c>
      <c r="L424">
        <f t="shared" si="41"/>
        <v>8</v>
      </c>
    </row>
    <row r="425" spans="1:12" x14ac:dyDescent="0.3">
      <c r="A425">
        <v>146169043</v>
      </c>
      <c r="B425" s="1">
        <v>44866</v>
      </c>
      <c r="C425" s="1">
        <v>45148</v>
      </c>
      <c r="D425" t="s">
        <v>7</v>
      </c>
      <c r="E425">
        <v>39</v>
      </c>
      <c r="F425" t="s">
        <v>6</v>
      </c>
      <c r="G425">
        <f t="shared" si="36"/>
        <v>282</v>
      </c>
      <c r="H425" s="1" t="str">
        <f t="shared" si="37"/>
        <v>Tuesday</v>
      </c>
      <c r="I425" t="str">
        <f t="shared" si="38"/>
        <v>No</v>
      </c>
      <c r="J425">
        <f t="shared" si="39"/>
        <v>0</v>
      </c>
      <c r="K425">
        <f t="shared" si="40"/>
        <v>1</v>
      </c>
      <c r="L425">
        <f t="shared" si="41"/>
        <v>282</v>
      </c>
    </row>
    <row r="426" spans="1:12" ht="14.4" customHeight="1" x14ac:dyDescent="0.3">
      <c r="A426">
        <v>159927090</v>
      </c>
      <c r="B426" s="1">
        <v>44867</v>
      </c>
      <c r="D426" t="s">
        <v>7</v>
      </c>
      <c r="E426">
        <v>39</v>
      </c>
      <c r="F426" t="s">
        <v>6</v>
      </c>
      <c r="G426" t="str">
        <f t="shared" si="36"/>
        <v/>
      </c>
      <c r="H426" s="1" t="str">
        <f t="shared" si="37"/>
        <v>Wednesday</v>
      </c>
      <c r="I426" t="str">
        <f t="shared" si="38"/>
        <v>No</v>
      </c>
      <c r="J426">
        <f t="shared" si="39"/>
        <v>0</v>
      </c>
      <c r="K426">
        <f t="shared" si="40"/>
        <v>0</v>
      </c>
      <c r="L426" t="str">
        <f t="shared" si="41"/>
        <v/>
      </c>
    </row>
    <row r="427" spans="1:12" ht="14.4" customHeight="1" x14ac:dyDescent="0.3">
      <c r="A427">
        <v>149188028</v>
      </c>
      <c r="B427" s="1">
        <v>44867</v>
      </c>
      <c r="D427" t="s">
        <v>7</v>
      </c>
      <c r="E427">
        <v>39</v>
      </c>
      <c r="F427" t="s">
        <v>6</v>
      </c>
      <c r="G427" t="str">
        <f t="shared" si="36"/>
        <v/>
      </c>
      <c r="H427" s="1" t="str">
        <f t="shared" si="37"/>
        <v>Wednesday</v>
      </c>
      <c r="I427" t="str">
        <f t="shared" si="38"/>
        <v>No</v>
      </c>
      <c r="J427">
        <f t="shared" si="39"/>
        <v>0</v>
      </c>
      <c r="K427">
        <f t="shared" si="40"/>
        <v>0</v>
      </c>
      <c r="L427" t="str">
        <f t="shared" si="41"/>
        <v/>
      </c>
    </row>
    <row r="428" spans="1:12" x14ac:dyDescent="0.3">
      <c r="A428">
        <v>138535334</v>
      </c>
      <c r="B428" s="1">
        <v>44867</v>
      </c>
      <c r="C428" s="1">
        <v>44910</v>
      </c>
      <c r="D428" t="s">
        <v>7</v>
      </c>
      <c r="E428">
        <v>39</v>
      </c>
      <c r="F428" t="s">
        <v>6</v>
      </c>
      <c r="G428">
        <f t="shared" si="36"/>
        <v>43</v>
      </c>
      <c r="H428" s="1" t="str">
        <f t="shared" si="37"/>
        <v>Wednesday</v>
      </c>
      <c r="I428" t="str">
        <f t="shared" si="38"/>
        <v>No</v>
      </c>
      <c r="J428">
        <f t="shared" si="39"/>
        <v>0</v>
      </c>
      <c r="K428">
        <f t="shared" si="40"/>
        <v>1</v>
      </c>
      <c r="L428">
        <f t="shared" si="41"/>
        <v>43</v>
      </c>
    </row>
    <row r="429" spans="1:12" x14ac:dyDescent="0.3">
      <c r="A429">
        <v>159901871</v>
      </c>
      <c r="B429" s="1">
        <v>44867</v>
      </c>
      <c r="C429" s="1">
        <v>44904</v>
      </c>
      <c r="D429" t="s">
        <v>7</v>
      </c>
      <c r="E429">
        <v>39</v>
      </c>
      <c r="F429" t="s">
        <v>6</v>
      </c>
      <c r="G429">
        <f t="shared" si="36"/>
        <v>37</v>
      </c>
      <c r="H429" s="1" t="str">
        <f t="shared" si="37"/>
        <v>Wednesday</v>
      </c>
      <c r="I429" t="str">
        <f t="shared" si="38"/>
        <v>No</v>
      </c>
      <c r="J429">
        <f t="shared" si="39"/>
        <v>0</v>
      </c>
      <c r="K429">
        <f t="shared" si="40"/>
        <v>1</v>
      </c>
      <c r="L429">
        <f t="shared" si="41"/>
        <v>37</v>
      </c>
    </row>
    <row r="430" spans="1:12" x14ac:dyDescent="0.3">
      <c r="A430">
        <v>159620660</v>
      </c>
      <c r="B430" s="1">
        <v>44867</v>
      </c>
      <c r="C430" s="1">
        <v>44907</v>
      </c>
      <c r="D430" t="s">
        <v>7</v>
      </c>
      <c r="E430">
        <v>39</v>
      </c>
      <c r="F430" t="s">
        <v>6</v>
      </c>
      <c r="G430">
        <f t="shared" si="36"/>
        <v>40</v>
      </c>
      <c r="H430" s="1" t="str">
        <f t="shared" si="37"/>
        <v>Wednesday</v>
      </c>
      <c r="I430" t="str">
        <f t="shared" si="38"/>
        <v>No</v>
      </c>
      <c r="J430">
        <f t="shared" si="39"/>
        <v>0</v>
      </c>
      <c r="K430">
        <f t="shared" si="40"/>
        <v>1</v>
      </c>
      <c r="L430">
        <f t="shared" si="41"/>
        <v>40</v>
      </c>
    </row>
    <row r="431" spans="1:12" ht="14.4" customHeight="1" x14ac:dyDescent="0.3">
      <c r="A431">
        <v>160199525</v>
      </c>
      <c r="B431" s="1">
        <v>44867</v>
      </c>
      <c r="C431" s="1">
        <v>44888</v>
      </c>
      <c r="D431" t="s">
        <v>7</v>
      </c>
      <c r="E431">
        <v>39</v>
      </c>
      <c r="F431" t="s">
        <v>6</v>
      </c>
      <c r="G431">
        <f t="shared" si="36"/>
        <v>21</v>
      </c>
      <c r="H431" s="1" t="str">
        <f t="shared" si="37"/>
        <v>Wednesday</v>
      </c>
      <c r="I431" t="str">
        <f t="shared" si="38"/>
        <v>No</v>
      </c>
      <c r="J431">
        <f t="shared" si="39"/>
        <v>0</v>
      </c>
      <c r="K431">
        <f t="shared" si="40"/>
        <v>0</v>
      </c>
      <c r="L431">
        <f t="shared" si="41"/>
        <v>21</v>
      </c>
    </row>
    <row r="432" spans="1:12" ht="14.4" customHeight="1" x14ac:dyDescent="0.3">
      <c r="A432">
        <v>160183686</v>
      </c>
      <c r="B432" s="1">
        <v>44868</v>
      </c>
      <c r="C432" s="1">
        <v>44869</v>
      </c>
      <c r="D432" t="s">
        <v>8</v>
      </c>
      <c r="E432">
        <v>39</v>
      </c>
      <c r="F432" t="s">
        <v>6</v>
      </c>
      <c r="G432">
        <f t="shared" si="36"/>
        <v>1</v>
      </c>
      <c r="H432" s="1" t="str">
        <f t="shared" si="37"/>
        <v>Thursday</v>
      </c>
      <c r="I432" t="str">
        <f t="shared" si="38"/>
        <v>No</v>
      </c>
      <c r="J432">
        <f t="shared" si="39"/>
        <v>1</v>
      </c>
      <c r="K432">
        <f t="shared" si="40"/>
        <v>0</v>
      </c>
      <c r="L432">
        <f t="shared" si="41"/>
        <v>1</v>
      </c>
    </row>
    <row r="433" spans="1:12" x14ac:dyDescent="0.3">
      <c r="A433">
        <v>152504354</v>
      </c>
      <c r="B433" s="1">
        <v>44868</v>
      </c>
      <c r="C433" s="1">
        <v>44988</v>
      </c>
      <c r="D433" t="s">
        <v>7</v>
      </c>
      <c r="E433">
        <v>39</v>
      </c>
      <c r="F433" t="s">
        <v>6</v>
      </c>
      <c r="G433">
        <f t="shared" si="36"/>
        <v>120</v>
      </c>
      <c r="H433" s="1" t="str">
        <f t="shared" si="37"/>
        <v>Thursday</v>
      </c>
      <c r="I433" t="str">
        <f t="shared" si="38"/>
        <v>No</v>
      </c>
      <c r="J433">
        <f t="shared" si="39"/>
        <v>0</v>
      </c>
      <c r="K433">
        <f t="shared" si="40"/>
        <v>1</v>
      </c>
      <c r="L433">
        <f t="shared" si="41"/>
        <v>120</v>
      </c>
    </row>
    <row r="434" spans="1:12" x14ac:dyDescent="0.3">
      <c r="A434">
        <v>143164854</v>
      </c>
      <c r="B434" s="1">
        <v>44868</v>
      </c>
      <c r="C434" s="1">
        <v>44975</v>
      </c>
      <c r="D434" t="s">
        <v>7</v>
      </c>
      <c r="E434">
        <v>39</v>
      </c>
      <c r="F434" t="s">
        <v>6</v>
      </c>
      <c r="G434">
        <f t="shared" si="36"/>
        <v>107</v>
      </c>
      <c r="H434" s="1" t="str">
        <f t="shared" si="37"/>
        <v>Thursday</v>
      </c>
      <c r="I434" t="str">
        <f t="shared" si="38"/>
        <v>No</v>
      </c>
      <c r="J434">
        <f t="shared" si="39"/>
        <v>0</v>
      </c>
      <c r="K434">
        <f t="shared" si="40"/>
        <v>1</v>
      </c>
      <c r="L434">
        <f t="shared" si="41"/>
        <v>107</v>
      </c>
    </row>
    <row r="435" spans="1:12" ht="14.4" customHeight="1" x14ac:dyDescent="0.3">
      <c r="A435">
        <v>160366020</v>
      </c>
      <c r="B435" s="1">
        <v>44868</v>
      </c>
      <c r="C435" s="1">
        <v>44898</v>
      </c>
      <c r="D435" t="s">
        <v>7</v>
      </c>
      <c r="E435">
        <v>39</v>
      </c>
      <c r="F435" t="s">
        <v>6</v>
      </c>
      <c r="G435">
        <f t="shared" si="36"/>
        <v>30</v>
      </c>
      <c r="H435" s="1" t="str">
        <f t="shared" si="37"/>
        <v>Thursday</v>
      </c>
      <c r="I435" t="str">
        <f t="shared" si="38"/>
        <v>No</v>
      </c>
      <c r="J435">
        <f t="shared" si="39"/>
        <v>0</v>
      </c>
      <c r="K435">
        <f t="shared" si="40"/>
        <v>0</v>
      </c>
      <c r="L435">
        <f t="shared" si="41"/>
        <v>30</v>
      </c>
    </row>
    <row r="436" spans="1:12" ht="14.4" customHeight="1" x14ac:dyDescent="0.3">
      <c r="A436">
        <v>160298168</v>
      </c>
      <c r="B436" s="1">
        <v>44868</v>
      </c>
      <c r="C436" s="1">
        <v>44897</v>
      </c>
      <c r="D436" t="s">
        <v>7</v>
      </c>
      <c r="E436">
        <v>39</v>
      </c>
      <c r="F436" t="s">
        <v>6</v>
      </c>
      <c r="G436">
        <f t="shared" si="36"/>
        <v>29</v>
      </c>
      <c r="H436" s="1" t="str">
        <f t="shared" si="37"/>
        <v>Thursday</v>
      </c>
      <c r="I436" t="str">
        <f t="shared" si="38"/>
        <v>No</v>
      </c>
      <c r="J436">
        <f t="shared" si="39"/>
        <v>0</v>
      </c>
      <c r="K436">
        <f t="shared" si="40"/>
        <v>0</v>
      </c>
      <c r="L436">
        <f t="shared" si="41"/>
        <v>29</v>
      </c>
    </row>
    <row r="437" spans="1:12" x14ac:dyDescent="0.3">
      <c r="A437">
        <v>160243008</v>
      </c>
      <c r="B437" s="1">
        <v>44868</v>
      </c>
      <c r="C437" s="1">
        <v>44924</v>
      </c>
      <c r="D437" t="s">
        <v>7</v>
      </c>
      <c r="E437">
        <v>39</v>
      </c>
      <c r="F437" t="s">
        <v>6</v>
      </c>
      <c r="G437">
        <f t="shared" si="36"/>
        <v>56</v>
      </c>
      <c r="H437" s="1" t="str">
        <f t="shared" si="37"/>
        <v>Thursday</v>
      </c>
      <c r="I437" t="str">
        <f t="shared" si="38"/>
        <v>No</v>
      </c>
      <c r="J437">
        <f t="shared" si="39"/>
        <v>0</v>
      </c>
      <c r="K437">
        <f t="shared" si="40"/>
        <v>1</v>
      </c>
      <c r="L437">
        <f t="shared" si="41"/>
        <v>56</v>
      </c>
    </row>
    <row r="438" spans="1:12" x14ac:dyDescent="0.3">
      <c r="A438">
        <v>150878120</v>
      </c>
      <c r="B438" s="1">
        <v>44868</v>
      </c>
      <c r="C438" s="1">
        <v>44905</v>
      </c>
      <c r="D438" t="s">
        <v>7</v>
      </c>
      <c r="E438">
        <v>39</v>
      </c>
      <c r="F438" t="s">
        <v>6</v>
      </c>
      <c r="G438">
        <f t="shared" si="36"/>
        <v>37</v>
      </c>
      <c r="H438" s="1" t="str">
        <f t="shared" si="37"/>
        <v>Thursday</v>
      </c>
      <c r="I438" t="str">
        <f t="shared" si="38"/>
        <v>No</v>
      </c>
      <c r="J438">
        <f t="shared" si="39"/>
        <v>0</v>
      </c>
      <c r="K438">
        <f t="shared" si="40"/>
        <v>1</v>
      </c>
      <c r="L438">
        <f t="shared" si="41"/>
        <v>37</v>
      </c>
    </row>
    <row r="439" spans="1:12" ht="14.4" customHeight="1" x14ac:dyDescent="0.3">
      <c r="A439">
        <v>160208723</v>
      </c>
      <c r="B439" s="1">
        <v>44869</v>
      </c>
      <c r="D439" t="s">
        <v>7</v>
      </c>
      <c r="E439">
        <v>39</v>
      </c>
      <c r="F439" t="s">
        <v>6</v>
      </c>
      <c r="G439" t="str">
        <f t="shared" si="36"/>
        <v/>
      </c>
      <c r="H439" s="1" t="str">
        <f t="shared" si="37"/>
        <v>Friday</v>
      </c>
      <c r="I439" t="str">
        <f t="shared" si="38"/>
        <v>No</v>
      </c>
      <c r="J439">
        <f t="shared" si="39"/>
        <v>0</v>
      </c>
      <c r="K439">
        <f t="shared" si="40"/>
        <v>0</v>
      </c>
      <c r="L439" t="str">
        <f t="shared" si="41"/>
        <v/>
      </c>
    </row>
    <row r="440" spans="1:12" x14ac:dyDescent="0.3">
      <c r="A440">
        <v>153539322</v>
      </c>
      <c r="B440" s="1">
        <v>44869</v>
      </c>
      <c r="C440" s="1">
        <v>44964</v>
      </c>
      <c r="D440" t="s">
        <v>7</v>
      </c>
      <c r="E440">
        <v>39</v>
      </c>
      <c r="F440" t="s">
        <v>6</v>
      </c>
      <c r="G440">
        <f t="shared" si="36"/>
        <v>95</v>
      </c>
      <c r="H440" s="1" t="str">
        <f t="shared" si="37"/>
        <v>Friday</v>
      </c>
      <c r="I440" t="str">
        <f t="shared" si="38"/>
        <v>No</v>
      </c>
      <c r="J440">
        <f t="shared" si="39"/>
        <v>0</v>
      </c>
      <c r="K440">
        <f t="shared" si="40"/>
        <v>1</v>
      </c>
      <c r="L440">
        <f t="shared" si="41"/>
        <v>95</v>
      </c>
    </row>
    <row r="441" spans="1:12" x14ac:dyDescent="0.3">
      <c r="A441">
        <v>160164472</v>
      </c>
      <c r="B441" s="1">
        <v>44869</v>
      </c>
      <c r="C441" s="1">
        <v>44981</v>
      </c>
      <c r="D441" t="s">
        <v>7</v>
      </c>
      <c r="E441">
        <v>39</v>
      </c>
      <c r="F441" t="s">
        <v>6</v>
      </c>
      <c r="G441">
        <f t="shared" si="36"/>
        <v>112</v>
      </c>
      <c r="H441" s="1" t="str">
        <f t="shared" si="37"/>
        <v>Friday</v>
      </c>
      <c r="I441" t="str">
        <f t="shared" si="38"/>
        <v>No</v>
      </c>
      <c r="J441">
        <f t="shared" si="39"/>
        <v>0</v>
      </c>
      <c r="K441">
        <f t="shared" si="40"/>
        <v>1</v>
      </c>
      <c r="L441">
        <f t="shared" si="41"/>
        <v>112</v>
      </c>
    </row>
    <row r="442" spans="1:12" x14ac:dyDescent="0.3">
      <c r="A442">
        <v>160193644</v>
      </c>
      <c r="B442" s="1">
        <v>44869</v>
      </c>
      <c r="C442" s="1">
        <v>44937</v>
      </c>
      <c r="D442" t="s">
        <v>7</v>
      </c>
      <c r="E442">
        <v>39</v>
      </c>
      <c r="F442" t="s">
        <v>6</v>
      </c>
      <c r="G442">
        <f t="shared" si="36"/>
        <v>68</v>
      </c>
      <c r="H442" s="1" t="str">
        <f t="shared" si="37"/>
        <v>Friday</v>
      </c>
      <c r="I442" t="str">
        <f t="shared" si="38"/>
        <v>No</v>
      </c>
      <c r="J442">
        <f t="shared" si="39"/>
        <v>0</v>
      </c>
      <c r="K442">
        <f t="shared" si="40"/>
        <v>1</v>
      </c>
      <c r="L442">
        <f t="shared" si="41"/>
        <v>68</v>
      </c>
    </row>
    <row r="443" spans="1:12" ht="14.4" customHeight="1" x14ac:dyDescent="0.3">
      <c r="A443">
        <v>156294098</v>
      </c>
      <c r="B443" s="1">
        <v>44869</v>
      </c>
      <c r="C443" s="1">
        <v>44898</v>
      </c>
      <c r="D443" t="s">
        <v>7</v>
      </c>
      <c r="E443">
        <v>39</v>
      </c>
      <c r="F443" t="s">
        <v>6</v>
      </c>
      <c r="G443">
        <f t="shared" si="36"/>
        <v>29</v>
      </c>
      <c r="H443" s="1" t="str">
        <f t="shared" si="37"/>
        <v>Friday</v>
      </c>
      <c r="I443" t="str">
        <f t="shared" si="38"/>
        <v>No</v>
      </c>
      <c r="J443">
        <f t="shared" si="39"/>
        <v>0</v>
      </c>
      <c r="K443">
        <f t="shared" si="40"/>
        <v>0</v>
      </c>
      <c r="L443">
        <f t="shared" si="41"/>
        <v>29</v>
      </c>
    </row>
    <row r="444" spans="1:12" ht="14.4" customHeight="1" x14ac:dyDescent="0.3">
      <c r="A444">
        <v>146625866</v>
      </c>
      <c r="B444" s="1">
        <v>44869</v>
      </c>
      <c r="C444" s="1">
        <v>44884</v>
      </c>
      <c r="D444" t="s">
        <v>7</v>
      </c>
      <c r="E444">
        <v>39</v>
      </c>
      <c r="F444" t="s">
        <v>6</v>
      </c>
      <c r="G444">
        <f t="shared" si="36"/>
        <v>15</v>
      </c>
      <c r="H444" s="1" t="str">
        <f t="shared" si="37"/>
        <v>Friday</v>
      </c>
      <c r="I444" t="str">
        <f t="shared" si="38"/>
        <v>No</v>
      </c>
      <c r="J444">
        <f t="shared" si="39"/>
        <v>0</v>
      </c>
      <c r="K444">
        <f t="shared" si="40"/>
        <v>0</v>
      </c>
      <c r="L444">
        <f t="shared" si="41"/>
        <v>15</v>
      </c>
    </row>
    <row r="445" spans="1:12" ht="14.4" customHeight="1" x14ac:dyDescent="0.3">
      <c r="A445">
        <v>157663870</v>
      </c>
      <c r="B445" s="1">
        <v>44870</v>
      </c>
      <c r="C445" s="1">
        <v>44871</v>
      </c>
      <c r="D445" t="s">
        <v>7</v>
      </c>
      <c r="E445">
        <v>39</v>
      </c>
      <c r="F445" t="s">
        <v>6</v>
      </c>
      <c r="G445">
        <f t="shared" si="36"/>
        <v>1</v>
      </c>
      <c r="H445" s="1" t="str">
        <f t="shared" si="37"/>
        <v>Saturday</v>
      </c>
      <c r="I445" t="str">
        <f t="shared" si="38"/>
        <v>No</v>
      </c>
      <c r="J445">
        <f t="shared" si="39"/>
        <v>1</v>
      </c>
      <c r="K445">
        <f t="shared" si="40"/>
        <v>0</v>
      </c>
      <c r="L445">
        <f t="shared" si="41"/>
        <v>1</v>
      </c>
    </row>
    <row r="446" spans="1:12" ht="14.4" customHeight="1" x14ac:dyDescent="0.3">
      <c r="A446">
        <v>159679042</v>
      </c>
      <c r="B446" s="1">
        <v>44870</v>
      </c>
      <c r="C446" s="1">
        <v>44871</v>
      </c>
      <c r="D446" t="s">
        <v>8</v>
      </c>
      <c r="E446">
        <v>39</v>
      </c>
      <c r="F446" t="s">
        <v>6</v>
      </c>
      <c r="G446">
        <f t="shared" si="36"/>
        <v>1</v>
      </c>
      <c r="H446" s="1" t="str">
        <f t="shared" si="37"/>
        <v>Saturday</v>
      </c>
      <c r="I446" t="str">
        <f t="shared" si="38"/>
        <v>No</v>
      </c>
      <c r="J446">
        <f t="shared" si="39"/>
        <v>1</v>
      </c>
      <c r="K446">
        <f t="shared" si="40"/>
        <v>0</v>
      </c>
      <c r="L446">
        <f t="shared" si="41"/>
        <v>1</v>
      </c>
    </row>
    <row r="447" spans="1:12" x14ac:dyDescent="0.3">
      <c r="A447">
        <v>160558904</v>
      </c>
      <c r="B447" s="1">
        <v>44870</v>
      </c>
      <c r="C447" s="1">
        <v>44950</v>
      </c>
      <c r="D447" t="s">
        <v>7</v>
      </c>
      <c r="E447">
        <v>39</v>
      </c>
      <c r="F447" t="s">
        <v>6</v>
      </c>
      <c r="G447">
        <f t="shared" si="36"/>
        <v>80</v>
      </c>
      <c r="H447" s="1" t="str">
        <f t="shared" si="37"/>
        <v>Saturday</v>
      </c>
      <c r="I447" t="str">
        <f t="shared" si="38"/>
        <v>No</v>
      </c>
      <c r="J447">
        <f t="shared" si="39"/>
        <v>0</v>
      </c>
      <c r="K447">
        <f t="shared" si="40"/>
        <v>1</v>
      </c>
      <c r="L447">
        <f t="shared" si="41"/>
        <v>80</v>
      </c>
    </row>
    <row r="448" spans="1:12" ht="14.4" customHeight="1" x14ac:dyDescent="0.3">
      <c r="A448">
        <v>127836197</v>
      </c>
      <c r="B448" s="1">
        <v>44870</v>
      </c>
      <c r="C448" s="1">
        <v>44870</v>
      </c>
      <c r="D448" t="s">
        <v>7</v>
      </c>
      <c r="E448">
        <v>39</v>
      </c>
      <c r="F448" t="s">
        <v>6</v>
      </c>
      <c r="G448">
        <f t="shared" si="36"/>
        <v>0</v>
      </c>
      <c r="H448" s="1" t="str">
        <f t="shared" si="37"/>
        <v>Saturday</v>
      </c>
      <c r="I448" t="str">
        <f t="shared" si="38"/>
        <v>Yes</v>
      </c>
      <c r="J448">
        <f t="shared" si="39"/>
        <v>1</v>
      </c>
      <c r="K448">
        <f t="shared" si="40"/>
        <v>0</v>
      </c>
      <c r="L448">
        <f t="shared" si="41"/>
        <v>0</v>
      </c>
    </row>
    <row r="449" spans="1:12" ht="14.4" customHeight="1" x14ac:dyDescent="0.3">
      <c r="A449">
        <v>155334332</v>
      </c>
      <c r="B449" s="1">
        <v>44870</v>
      </c>
      <c r="C449" s="1">
        <v>44899</v>
      </c>
      <c r="D449" t="s">
        <v>7</v>
      </c>
      <c r="E449">
        <v>39</v>
      </c>
      <c r="F449" t="s">
        <v>6</v>
      </c>
      <c r="G449">
        <f t="shared" si="36"/>
        <v>29</v>
      </c>
      <c r="H449" s="1" t="str">
        <f t="shared" si="37"/>
        <v>Saturday</v>
      </c>
      <c r="I449" t="str">
        <f t="shared" si="38"/>
        <v>No</v>
      </c>
      <c r="J449">
        <f t="shared" si="39"/>
        <v>0</v>
      </c>
      <c r="K449">
        <f t="shared" si="40"/>
        <v>0</v>
      </c>
      <c r="L449">
        <f t="shared" si="41"/>
        <v>29</v>
      </c>
    </row>
    <row r="450" spans="1:12" x14ac:dyDescent="0.3">
      <c r="A450">
        <v>160523170</v>
      </c>
      <c r="B450" s="1">
        <v>44870</v>
      </c>
      <c r="C450" s="1">
        <v>44907</v>
      </c>
      <c r="D450" t="s">
        <v>7</v>
      </c>
      <c r="E450">
        <v>39</v>
      </c>
      <c r="F450" t="s">
        <v>6</v>
      </c>
      <c r="G450">
        <f t="shared" ref="G450:G513" si="42">IF(C450="","",C450-B450)</f>
        <v>37</v>
      </c>
      <c r="H450" s="1" t="str">
        <f t="shared" si="37"/>
        <v>Saturday</v>
      </c>
      <c r="I450" t="str">
        <f t="shared" si="38"/>
        <v>No</v>
      </c>
      <c r="J450">
        <f t="shared" si="39"/>
        <v>0</v>
      </c>
      <c r="K450">
        <f t="shared" si="40"/>
        <v>1</v>
      </c>
      <c r="L450">
        <f t="shared" si="41"/>
        <v>37</v>
      </c>
    </row>
    <row r="451" spans="1:12" ht="14.4" customHeight="1" x14ac:dyDescent="0.3">
      <c r="A451">
        <v>156907890</v>
      </c>
      <c r="B451" s="1">
        <v>44870</v>
      </c>
      <c r="C451" s="1">
        <v>44870</v>
      </c>
      <c r="D451" t="s">
        <v>7</v>
      </c>
      <c r="E451">
        <v>39</v>
      </c>
      <c r="F451" t="s">
        <v>6</v>
      </c>
      <c r="G451">
        <f t="shared" si="42"/>
        <v>0</v>
      </c>
      <c r="H451" s="1" t="str">
        <f t="shared" ref="H451:H514" si="43">TEXT(B451,"dddd")</f>
        <v>Saturday</v>
      </c>
      <c r="I451" t="str">
        <f t="shared" ref="I451:I514" si="44">IF(B451=C451,"Yes","No")</f>
        <v>Yes</v>
      </c>
      <c r="J451">
        <f t="shared" ref="J451:J514" si="45">IF(AND(C451&lt;&gt;"",C451-B451&lt;=2),1,0)</f>
        <v>1</v>
      </c>
      <c r="K451">
        <f t="shared" ref="K451:K514" si="46">IF(AND(C451&lt;&gt;"",C451-B451&gt;30),1,0)</f>
        <v>0</v>
      </c>
      <c r="L451">
        <f t="shared" ref="L451:L514" si="47">IF(C451="","",C451-B451)</f>
        <v>0</v>
      </c>
    </row>
    <row r="452" spans="1:12" x14ac:dyDescent="0.3">
      <c r="A452">
        <v>160608516</v>
      </c>
      <c r="B452" s="1">
        <v>44870</v>
      </c>
      <c r="C452" s="1">
        <v>45141</v>
      </c>
      <c r="D452" t="s">
        <v>7</v>
      </c>
      <c r="E452">
        <v>39</v>
      </c>
      <c r="F452" t="s">
        <v>6</v>
      </c>
      <c r="G452">
        <f t="shared" si="42"/>
        <v>271</v>
      </c>
      <c r="H452" s="1" t="str">
        <f t="shared" si="43"/>
        <v>Saturday</v>
      </c>
      <c r="I452" t="str">
        <f t="shared" si="44"/>
        <v>No</v>
      </c>
      <c r="J452">
        <f t="shared" si="45"/>
        <v>0</v>
      </c>
      <c r="K452">
        <f t="shared" si="46"/>
        <v>1</v>
      </c>
      <c r="L452">
        <f t="shared" si="47"/>
        <v>271</v>
      </c>
    </row>
    <row r="453" spans="1:12" x14ac:dyDescent="0.3">
      <c r="A453">
        <v>113181220</v>
      </c>
      <c r="B453" s="1">
        <v>44870</v>
      </c>
      <c r="C453" s="1">
        <v>45130</v>
      </c>
      <c r="D453" t="s">
        <v>7</v>
      </c>
      <c r="E453">
        <v>39</v>
      </c>
      <c r="F453" t="s">
        <v>6</v>
      </c>
      <c r="G453">
        <f t="shared" si="42"/>
        <v>260</v>
      </c>
      <c r="H453" s="1" t="str">
        <f t="shared" si="43"/>
        <v>Saturday</v>
      </c>
      <c r="I453" t="str">
        <f t="shared" si="44"/>
        <v>No</v>
      </c>
      <c r="J453">
        <f t="shared" si="45"/>
        <v>0</v>
      </c>
      <c r="K453">
        <f t="shared" si="46"/>
        <v>1</v>
      </c>
      <c r="L453">
        <f t="shared" si="47"/>
        <v>260</v>
      </c>
    </row>
    <row r="454" spans="1:12" x14ac:dyDescent="0.3">
      <c r="A454">
        <v>159790393</v>
      </c>
      <c r="B454" s="1">
        <v>44871</v>
      </c>
      <c r="C454" s="1">
        <v>44970</v>
      </c>
      <c r="D454" t="s">
        <v>7</v>
      </c>
      <c r="E454">
        <v>39</v>
      </c>
      <c r="F454" t="s">
        <v>6</v>
      </c>
      <c r="G454">
        <f t="shared" si="42"/>
        <v>99</v>
      </c>
      <c r="H454" s="1" t="str">
        <f t="shared" si="43"/>
        <v>Sunday</v>
      </c>
      <c r="I454" t="str">
        <f t="shared" si="44"/>
        <v>No</v>
      </c>
      <c r="J454">
        <f t="shared" si="45"/>
        <v>0</v>
      </c>
      <c r="K454">
        <f t="shared" si="46"/>
        <v>1</v>
      </c>
      <c r="L454">
        <f t="shared" si="47"/>
        <v>99</v>
      </c>
    </row>
    <row r="455" spans="1:12" x14ac:dyDescent="0.3">
      <c r="A455">
        <v>147813476</v>
      </c>
      <c r="B455" s="1">
        <v>44871</v>
      </c>
      <c r="C455" s="1">
        <v>44953</v>
      </c>
      <c r="D455" t="s">
        <v>7</v>
      </c>
      <c r="E455">
        <v>39</v>
      </c>
      <c r="F455" t="s">
        <v>6</v>
      </c>
      <c r="G455">
        <f t="shared" si="42"/>
        <v>82</v>
      </c>
      <c r="H455" s="1" t="str">
        <f t="shared" si="43"/>
        <v>Sunday</v>
      </c>
      <c r="I455" t="str">
        <f t="shared" si="44"/>
        <v>No</v>
      </c>
      <c r="J455">
        <f t="shared" si="45"/>
        <v>0</v>
      </c>
      <c r="K455">
        <f t="shared" si="46"/>
        <v>1</v>
      </c>
      <c r="L455">
        <f t="shared" si="47"/>
        <v>82</v>
      </c>
    </row>
    <row r="456" spans="1:12" x14ac:dyDescent="0.3">
      <c r="A456">
        <v>156078158</v>
      </c>
      <c r="B456" s="1">
        <v>44871</v>
      </c>
      <c r="C456" s="1">
        <v>44951</v>
      </c>
      <c r="D456" t="s">
        <v>7</v>
      </c>
      <c r="E456">
        <v>39</v>
      </c>
      <c r="F456" t="s">
        <v>6</v>
      </c>
      <c r="G456">
        <f t="shared" si="42"/>
        <v>80</v>
      </c>
      <c r="H456" s="1" t="str">
        <f t="shared" si="43"/>
        <v>Sunday</v>
      </c>
      <c r="I456" t="str">
        <f t="shared" si="44"/>
        <v>No</v>
      </c>
      <c r="J456">
        <f t="shared" si="45"/>
        <v>0</v>
      </c>
      <c r="K456">
        <f t="shared" si="46"/>
        <v>1</v>
      </c>
      <c r="L456">
        <f t="shared" si="47"/>
        <v>80</v>
      </c>
    </row>
    <row r="457" spans="1:12" ht="14.4" customHeight="1" x14ac:dyDescent="0.3">
      <c r="A457">
        <v>154879898</v>
      </c>
      <c r="B457" s="1">
        <v>44871</v>
      </c>
      <c r="C457" s="1">
        <v>44882</v>
      </c>
      <c r="D457" t="s">
        <v>7</v>
      </c>
      <c r="E457">
        <v>39</v>
      </c>
      <c r="F457" t="s">
        <v>6</v>
      </c>
      <c r="G457">
        <f t="shared" si="42"/>
        <v>11</v>
      </c>
      <c r="H457" s="1" t="str">
        <f t="shared" si="43"/>
        <v>Sunday</v>
      </c>
      <c r="I457" t="str">
        <f t="shared" si="44"/>
        <v>No</v>
      </c>
      <c r="J457">
        <f t="shared" si="45"/>
        <v>0</v>
      </c>
      <c r="K457">
        <f t="shared" si="46"/>
        <v>0</v>
      </c>
      <c r="L457">
        <f t="shared" si="47"/>
        <v>11</v>
      </c>
    </row>
    <row r="458" spans="1:12" x14ac:dyDescent="0.3">
      <c r="A458">
        <v>136157937</v>
      </c>
      <c r="B458" s="1">
        <v>44871</v>
      </c>
      <c r="C458" s="1">
        <v>44908</v>
      </c>
      <c r="D458" t="s">
        <v>7</v>
      </c>
      <c r="E458">
        <v>39</v>
      </c>
      <c r="F458" t="s">
        <v>6</v>
      </c>
      <c r="G458">
        <f t="shared" si="42"/>
        <v>37</v>
      </c>
      <c r="H458" s="1" t="str">
        <f t="shared" si="43"/>
        <v>Sunday</v>
      </c>
      <c r="I458" t="str">
        <f t="shared" si="44"/>
        <v>No</v>
      </c>
      <c r="J458">
        <f t="shared" si="45"/>
        <v>0</v>
      </c>
      <c r="K458">
        <f t="shared" si="46"/>
        <v>1</v>
      </c>
      <c r="L458">
        <f t="shared" si="47"/>
        <v>37</v>
      </c>
    </row>
    <row r="459" spans="1:12" ht="14.4" customHeight="1" x14ac:dyDescent="0.3">
      <c r="A459">
        <v>160176868</v>
      </c>
      <c r="B459" s="1">
        <v>44871</v>
      </c>
      <c r="C459" s="1">
        <v>44896</v>
      </c>
      <c r="D459" t="s">
        <v>7</v>
      </c>
      <c r="E459">
        <v>39</v>
      </c>
      <c r="F459" t="s">
        <v>6</v>
      </c>
      <c r="G459">
        <f t="shared" si="42"/>
        <v>25</v>
      </c>
      <c r="H459" s="1" t="str">
        <f t="shared" si="43"/>
        <v>Sunday</v>
      </c>
      <c r="I459" t="str">
        <f t="shared" si="44"/>
        <v>No</v>
      </c>
      <c r="J459">
        <f t="shared" si="45"/>
        <v>0</v>
      </c>
      <c r="K459">
        <f t="shared" si="46"/>
        <v>0</v>
      </c>
      <c r="L459">
        <f t="shared" si="47"/>
        <v>25</v>
      </c>
    </row>
    <row r="460" spans="1:12" ht="14.4" customHeight="1" x14ac:dyDescent="0.3">
      <c r="A460">
        <v>160622888</v>
      </c>
      <c r="B460" s="1">
        <v>44871</v>
      </c>
      <c r="C460" s="1">
        <v>44871</v>
      </c>
      <c r="D460" t="s">
        <v>7</v>
      </c>
      <c r="E460">
        <v>39</v>
      </c>
      <c r="F460" t="s">
        <v>6</v>
      </c>
      <c r="G460">
        <f t="shared" si="42"/>
        <v>0</v>
      </c>
      <c r="H460" s="1" t="str">
        <f t="shared" si="43"/>
        <v>Sunday</v>
      </c>
      <c r="I460" t="str">
        <f t="shared" si="44"/>
        <v>Yes</v>
      </c>
      <c r="J460">
        <f t="shared" si="45"/>
        <v>1</v>
      </c>
      <c r="K460">
        <f t="shared" si="46"/>
        <v>0</v>
      </c>
      <c r="L460">
        <f t="shared" si="47"/>
        <v>0</v>
      </c>
    </row>
    <row r="461" spans="1:12" ht="14.4" customHeight="1" x14ac:dyDescent="0.3">
      <c r="A461">
        <v>158736659</v>
      </c>
      <c r="B461" s="1">
        <v>44872</v>
      </c>
      <c r="D461" t="s">
        <v>7</v>
      </c>
      <c r="E461">
        <v>39</v>
      </c>
      <c r="F461" t="s">
        <v>6</v>
      </c>
      <c r="G461" t="str">
        <f t="shared" si="42"/>
        <v/>
      </c>
      <c r="H461" s="1" t="str">
        <f t="shared" si="43"/>
        <v>Monday</v>
      </c>
      <c r="I461" t="str">
        <f t="shared" si="44"/>
        <v>No</v>
      </c>
      <c r="J461">
        <f t="shared" si="45"/>
        <v>0</v>
      </c>
      <c r="K461">
        <f t="shared" si="46"/>
        <v>0</v>
      </c>
      <c r="L461" t="str">
        <f t="shared" si="47"/>
        <v/>
      </c>
    </row>
    <row r="462" spans="1:12" ht="14.4" customHeight="1" x14ac:dyDescent="0.3">
      <c r="A462">
        <v>160813660</v>
      </c>
      <c r="B462" s="1">
        <v>44872</v>
      </c>
      <c r="D462" t="s">
        <v>7</v>
      </c>
      <c r="E462">
        <v>39</v>
      </c>
      <c r="F462" t="s">
        <v>6</v>
      </c>
      <c r="G462" t="str">
        <f t="shared" si="42"/>
        <v/>
      </c>
      <c r="H462" s="1" t="str">
        <f t="shared" si="43"/>
        <v>Monday</v>
      </c>
      <c r="I462" t="str">
        <f t="shared" si="44"/>
        <v>No</v>
      </c>
      <c r="J462">
        <f t="shared" si="45"/>
        <v>0</v>
      </c>
      <c r="K462">
        <f t="shared" si="46"/>
        <v>0</v>
      </c>
      <c r="L462" t="str">
        <f t="shared" si="47"/>
        <v/>
      </c>
    </row>
    <row r="463" spans="1:12" ht="14.4" customHeight="1" x14ac:dyDescent="0.3">
      <c r="A463">
        <v>158524240</v>
      </c>
      <c r="B463" s="1">
        <v>44872</v>
      </c>
      <c r="D463" t="s">
        <v>7</v>
      </c>
      <c r="E463">
        <v>39</v>
      </c>
      <c r="F463" t="s">
        <v>6</v>
      </c>
      <c r="G463" t="str">
        <f t="shared" si="42"/>
        <v/>
      </c>
      <c r="H463" s="1" t="str">
        <f t="shared" si="43"/>
        <v>Monday</v>
      </c>
      <c r="I463" t="str">
        <f t="shared" si="44"/>
        <v>No</v>
      </c>
      <c r="J463">
        <f t="shared" si="45"/>
        <v>0</v>
      </c>
      <c r="K463">
        <f t="shared" si="46"/>
        <v>0</v>
      </c>
      <c r="L463" t="str">
        <f t="shared" si="47"/>
        <v/>
      </c>
    </row>
    <row r="464" spans="1:12" ht="14.4" customHeight="1" x14ac:dyDescent="0.3">
      <c r="A464">
        <v>160702738</v>
      </c>
      <c r="B464" s="1">
        <v>44872</v>
      </c>
      <c r="D464" t="s">
        <v>7</v>
      </c>
      <c r="E464">
        <v>39</v>
      </c>
      <c r="F464" t="s">
        <v>6</v>
      </c>
      <c r="G464" t="str">
        <f t="shared" si="42"/>
        <v/>
      </c>
      <c r="H464" s="1" t="str">
        <f t="shared" si="43"/>
        <v>Monday</v>
      </c>
      <c r="I464" t="str">
        <f t="shared" si="44"/>
        <v>No</v>
      </c>
      <c r="J464">
        <f t="shared" si="45"/>
        <v>0</v>
      </c>
      <c r="K464">
        <f t="shared" si="46"/>
        <v>0</v>
      </c>
      <c r="L464" t="str">
        <f t="shared" si="47"/>
        <v/>
      </c>
    </row>
    <row r="465" spans="1:12" ht="14.4" customHeight="1" x14ac:dyDescent="0.3">
      <c r="A465">
        <v>138919619</v>
      </c>
      <c r="B465" s="1">
        <v>44872</v>
      </c>
      <c r="C465" s="1">
        <v>44901</v>
      </c>
      <c r="D465" t="s">
        <v>7</v>
      </c>
      <c r="E465">
        <v>39</v>
      </c>
      <c r="F465" t="s">
        <v>6</v>
      </c>
      <c r="G465">
        <f t="shared" si="42"/>
        <v>29</v>
      </c>
      <c r="H465" s="1" t="str">
        <f t="shared" si="43"/>
        <v>Monday</v>
      </c>
      <c r="I465" t="str">
        <f t="shared" si="44"/>
        <v>No</v>
      </c>
      <c r="J465">
        <f t="shared" si="45"/>
        <v>0</v>
      </c>
      <c r="K465">
        <f t="shared" si="46"/>
        <v>0</v>
      </c>
      <c r="L465">
        <f t="shared" si="47"/>
        <v>29</v>
      </c>
    </row>
    <row r="466" spans="1:12" x14ac:dyDescent="0.3">
      <c r="A466">
        <v>121571816</v>
      </c>
      <c r="B466" s="1">
        <v>44872</v>
      </c>
      <c r="C466" s="1">
        <v>45011</v>
      </c>
      <c r="D466" t="s">
        <v>7</v>
      </c>
      <c r="E466">
        <v>39</v>
      </c>
      <c r="F466" t="s">
        <v>6</v>
      </c>
      <c r="G466">
        <f t="shared" si="42"/>
        <v>139</v>
      </c>
      <c r="H466" s="1" t="str">
        <f t="shared" si="43"/>
        <v>Monday</v>
      </c>
      <c r="I466" t="str">
        <f t="shared" si="44"/>
        <v>No</v>
      </c>
      <c r="J466">
        <f t="shared" si="45"/>
        <v>0</v>
      </c>
      <c r="K466">
        <f t="shared" si="46"/>
        <v>1</v>
      </c>
      <c r="L466">
        <f t="shared" si="47"/>
        <v>139</v>
      </c>
    </row>
    <row r="467" spans="1:12" x14ac:dyDescent="0.3">
      <c r="A467">
        <v>160623955</v>
      </c>
      <c r="B467" s="1">
        <v>44872</v>
      </c>
      <c r="C467" s="1">
        <v>45112</v>
      </c>
      <c r="D467" t="s">
        <v>7</v>
      </c>
      <c r="E467">
        <v>39</v>
      </c>
      <c r="F467" t="s">
        <v>6</v>
      </c>
      <c r="G467">
        <f t="shared" si="42"/>
        <v>240</v>
      </c>
      <c r="H467" s="1" t="str">
        <f t="shared" si="43"/>
        <v>Monday</v>
      </c>
      <c r="I467" t="str">
        <f t="shared" si="44"/>
        <v>No</v>
      </c>
      <c r="J467">
        <f t="shared" si="45"/>
        <v>0</v>
      </c>
      <c r="K467">
        <f t="shared" si="46"/>
        <v>1</v>
      </c>
      <c r="L467">
        <f t="shared" si="47"/>
        <v>240</v>
      </c>
    </row>
    <row r="468" spans="1:12" x14ac:dyDescent="0.3">
      <c r="A468">
        <v>160010850</v>
      </c>
      <c r="B468" s="1">
        <v>44872</v>
      </c>
      <c r="C468" s="1">
        <v>44994</v>
      </c>
      <c r="D468" t="s">
        <v>7</v>
      </c>
      <c r="E468">
        <v>39</v>
      </c>
      <c r="F468" t="s">
        <v>6</v>
      </c>
      <c r="G468">
        <f t="shared" si="42"/>
        <v>122</v>
      </c>
      <c r="H468" s="1" t="str">
        <f t="shared" si="43"/>
        <v>Monday</v>
      </c>
      <c r="I468" t="str">
        <f t="shared" si="44"/>
        <v>No</v>
      </c>
      <c r="J468">
        <f t="shared" si="45"/>
        <v>0</v>
      </c>
      <c r="K468">
        <f t="shared" si="46"/>
        <v>1</v>
      </c>
      <c r="L468">
        <f t="shared" si="47"/>
        <v>122</v>
      </c>
    </row>
    <row r="469" spans="1:12" x14ac:dyDescent="0.3">
      <c r="A469">
        <v>160823268</v>
      </c>
      <c r="B469" s="1">
        <v>44872</v>
      </c>
      <c r="C469" s="1">
        <v>44963</v>
      </c>
      <c r="D469" t="s">
        <v>7</v>
      </c>
      <c r="E469">
        <v>39</v>
      </c>
      <c r="F469" t="s">
        <v>6</v>
      </c>
      <c r="G469">
        <f t="shared" si="42"/>
        <v>91</v>
      </c>
      <c r="H469" s="1" t="str">
        <f t="shared" si="43"/>
        <v>Monday</v>
      </c>
      <c r="I469" t="str">
        <f t="shared" si="44"/>
        <v>No</v>
      </c>
      <c r="J469">
        <f t="shared" si="45"/>
        <v>0</v>
      </c>
      <c r="K469">
        <f t="shared" si="46"/>
        <v>1</v>
      </c>
      <c r="L469">
        <f t="shared" si="47"/>
        <v>91</v>
      </c>
    </row>
    <row r="470" spans="1:12" x14ac:dyDescent="0.3">
      <c r="A470">
        <v>158992873</v>
      </c>
      <c r="B470" s="1">
        <v>44872</v>
      </c>
      <c r="C470" s="1">
        <v>44971</v>
      </c>
      <c r="D470" t="s">
        <v>7</v>
      </c>
      <c r="E470">
        <v>39</v>
      </c>
      <c r="F470" t="s">
        <v>6</v>
      </c>
      <c r="G470">
        <f t="shared" si="42"/>
        <v>99</v>
      </c>
      <c r="H470" s="1" t="str">
        <f t="shared" si="43"/>
        <v>Monday</v>
      </c>
      <c r="I470" t="str">
        <f t="shared" si="44"/>
        <v>No</v>
      </c>
      <c r="J470">
        <f t="shared" si="45"/>
        <v>0</v>
      </c>
      <c r="K470">
        <f t="shared" si="46"/>
        <v>1</v>
      </c>
      <c r="L470">
        <f t="shared" si="47"/>
        <v>99</v>
      </c>
    </row>
    <row r="471" spans="1:12" ht="14.4" customHeight="1" x14ac:dyDescent="0.3">
      <c r="A471">
        <v>159878556</v>
      </c>
      <c r="B471" s="1">
        <v>44872</v>
      </c>
      <c r="C471" s="1">
        <v>44902</v>
      </c>
      <c r="D471" t="s">
        <v>7</v>
      </c>
      <c r="E471">
        <v>39</v>
      </c>
      <c r="F471" t="s">
        <v>6</v>
      </c>
      <c r="G471">
        <f t="shared" si="42"/>
        <v>30</v>
      </c>
      <c r="H471" s="1" t="str">
        <f t="shared" si="43"/>
        <v>Monday</v>
      </c>
      <c r="I471" t="str">
        <f t="shared" si="44"/>
        <v>No</v>
      </c>
      <c r="J471">
        <f t="shared" si="45"/>
        <v>0</v>
      </c>
      <c r="K471">
        <f t="shared" si="46"/>
        <v>0</v>
      </c>
      <c r="L471">
        <f t="shared" si="47"/>
        <v>30</v>
      </c>
    </row>
    <row r="472" spans="1:12" x14ac:dyDescent="0.3">
      <c r="A472">
        <v>160833652</v>
      </c>
      <c r="B472" s="1">
        <v>44872</v>
      </c>
      <c r="C472" s="1">
        <v>44909</v>
      </c>
      <c r="D472" t="s">
        <v>7</v>
      </c>
      <c r="E472">
        <v>39</v>
      </c>
      <c r="F472" t="s">
        <v>6</v>
      </c>
      <c r="G472">
        <f t="shared" si="42"/>
        <v>37</v>
      </c>
      <c r="H472" s="1" t="str">
        <f t="shared" si="43"/>
        <v>Monday</v>
      </c>
      <c r="I472" t="str">
        <f t="shared" si="44"/>
        <v>No</v>
      </c>
      <c r="J472">
        <f t="shared" si="45"/>
        <v>0</v>
      </c>
      <c r="K472">
        <f t="shared" si="46"/>
        <v>1</v>
      </c>
      <c r="L472">
        <f t="shared" si="47"/>
        <v>37</v>
      </c>
    </row>
    <row r="473" spans="1:12" x14ac:dyDescent="0.3">
      <c r="A473">
        <v>157663870</v>
      </c>
      <c r="B473" s="1">
        <v>44872</v>
      </c>
      <c r="C473" s="1">
        <v>44903</v>
      </c>
      <c r="D473" t="s">
        <v>7</v>
      </c>
      <c r="E473">
        <v>39</v>
      </c>
      <c r="F473" t="s">
        <v>6</v>
      </c>
      <c r="G473">
        <f t="shared" si="42"/>
        <v>31</v>
      </c>
      <c r="H473" s="1" t="str">
        <f t="shared" si="43"/>
        <v>Monday</v>
      </c>
      <c r="I473" t="str">
        <f t="shared" si="44"/>
        <v>No</v>
      </c>
      <c r="J473">
        <f t="shared" si="45"/>
        <v>0</v>
      </c>
      <c r="K473">
        <f t="shared" si="46"/>
        <v>1</v>
      </c>
      <c r="L473">
        <f t="shared" si="47"/>
        <v>31</v>
      </c>
    </row>
    <row r="474" spans="1:12" x14ac:dyDescent="0.3">
      <c r="A474">
        <v>160615413</v>
      </c>
      <c r="B474" s="1">
        <v>44872</v>
      </c>
      <c r="C474" s="1">
        <v>44920</v>
      </c>
      <c r="D474" t="s">
        <v>7</v>
      </c>
      <c r="E474">
        <v>39</v>
      </c>
      <c r="F474" t="s">
        <v>6</v>
      </c>
      <c r="G474">
        <f t="shared" si="42"/>
        <v>48</v>
      </c>
      <c r="H474" s="1" t="str">
        <f t="shared" si="43"/>
        <v>Monday</v>
      </c>
      <c r="I474" t="str">
        <f t="shared" si="44"/>
        <v>No</v>
      </c>
      <c r="J474">
        <f t="shared" si="45"/>
        <v>0</v>
      </c>
      <c r="K474">
        <f t="shared" si="46"/>
        <v>1</v>
      </c>
      <c r="L474">
        <f t="shared" si="47"/>
        <v>48</v>
      </c>
    </row>
    <row r="475" spans="1:12" ht="14.4" customHeight="1" x14ac:dyDescent="0.3">
      <c r="A475">
        <v>156207052</v>
      </c>
      <c r="B475" s="1">
        <v>44872</v>
      </c>
      <c r="C475" s="1">
        <v>44899</v>
      </c>
      <c r="D475" t="s">
        <v>7</v>
      </c>
      <c r="E475">
        <v>39</v>
      </c>
      <c r="F475" t="s">
        <v>6</v>
      </c>
      <c r="G475">
        <f t="shared" si="42"/>
        <v>27</v>
      </c>
      <c r="H475" s="1" t="str">
        <f t="shared" si="43"/>
        <v>Monday</v>
      </c>
      <c r="I475" t="str">
        <f t="shared" si="44"/>
        <v>No</v>
      </c>
      <c r="J475">
        <f t="shared" si="45"/>
        <v>0</v>
      </c>
      <c r="K475">
        <f t="shared" si="46"/>
        <v>0</v>
      </c>
      <c r="L475">
        <f t="shared" si="47"/>
        <v>27</v>
      </c>
    </row>
    <row r="476" spans="1:12" ht="14.4" customHeight="1" x14ac:dyDescent="0.3">
      <c r="A476">
        <v>160103792</v>
      </c>
      <c r="B476" s="1">
        <v>44872</v>
      </c>
      <c r="C476" s="1">
        <v>44872</v>
      </c>
      <c r="D476" t="s">
        <v>7</v>
      </c>
      <c r="E476">
        <v>39</v>
      </c>
      <c r="F476" t="s">
        <v>6</v>
      </c>
      <c r="G476">
        <f t="shared" si="42"/>
        <v>0</v>
      </c>
      <c r="H476" s="1" t="str">
        <f t="shared" si="43"/>
        <v>Monday</v>
      </c>
      <c r="I476" t="str">
        <f t="shared" si="44"/>
        <v>Yes</v>
      </c>
      <c r="J476">
        <f t="shared" si="45"/>
        <v>1</v>
      </c>
      <c r="K476">
        <f t="shared" si="46"/>
        <v>0</v>
      </c>
      <c r="L476">
        <f t="shared" si="47"/>
        <v>0</v>
      </c>
    </row>
    <row r="477" spans="1:12" x14ac:dyDescent="0.3">
      <c r="A477">
        <v>160969302</v>
      </c>
      <c r="B477" s="1">
        <v>44874</v>
      </c>
      <c r="C477" s="1">
        <v>45168</v>
      </c>
      <c r="D477" t="s">
        <v>7</v>
      </c>
      <c r="E477">
        <v>39</v>
      </c>
      <c r="F477" t="s">
        <v>6</v>
      </c>
      <c r="G477">
        <f t="shared" si="42"/>
        <v>294</v>
      </c>
      <c r="H477" s="1" t="str">
        <f t="shared" si="43"/>
        <v>Wednesday</v>
      </c>
      <c r="I477" t="str">
        <f t="shared" si="44"/>
        <v>No</v>
      </c>
      <c r="J477">
        <f t="shared" si="45"/>
        <v>0</v>
      </c>
      <c r="K477">
        <f t="shared" si="46"/>
        <v>1</v>
      </c>
      <c r="L477">
        <f t="shared" si="47"/>
        <v>294</v>
      </c>
    </row>
    <row r="478" spans="1:12" x14ac:dyDescent="0.3">
      <c r="A478">
        <v>149648746</v>
      </c>
      <c r="B478" s="1">
        <v>44874</v>
      </c>
      <c r="C478" s="1">
        <v>45079</v>
      </c>
      <c r="D478" t="s">
        <v>7</v>
      </c>
      <c r="E478">
        <v>39</v>
      </c>
      <c r="F478" t="s">
        <v>6</v>
      </c>
      <c r="G478">
        <f t="shared" si="42"/>
        <v>205</v>
      </c>
      <c r="H478" s="1" t="str">
        <f t="shared" si="43"/>
        <v>Wednesday</v>
      </c>
      <c r="I478" t="str">
        <f t="shared" si="44"/>
        <v>No</v>
      </c>
      <c r="J478">
        <f t="shared" si="45"/>
        <v>0</v>
      </c>
      <c r="K478">
        <f t="shared" si="46"/>
        <v>1</v>
      </c>
      <c r="L478">
        <f t="shared" si="47"/>
        <v>205</v>
      </c>
    </row>
    <row r="479" spans="1:12" x14ac:dyDescent="0.3">
      <c r="A479">
        <v>155643390</v>
      </c>
      <c r="B479" s="1">
        <v>44874</v>
      </c>
      <c r="C479" s="1">
        <v>45016</v>
      </c>
      <c r="D479" t="s">
        <v>7</v>
      </c>
      <c r="E479">
        <v>39</v>
      </c>
      <c r="F479" t="s">
        <v>6</v>
      </c>
      <c r="G479">
        <f t="shared" si="42"/>
        <v>142</v>
      </c>
      <c r="H479" s="1" t="str">
        <f t="shared" si="43"/>
        <v>Wednesday</v>
      </c>
      <c r="I479" t="str">
        <f t="shared" si="44"/>
        <v>No</v>
      </c>
      <c r="J479">
        <f t="shared" si="45"/>
        <v>0</v>
      </c>
      <c r="K479">
        <f t="shared" si="46"/>
        <v>1</v>
      </c>
      <c r="L479">
        <f t="shared" si="47"/>
        <v>142</v>
      </c>
    </row>
    <row r="480" spans="1:12" x14ac:dyDescent="0.3">
      <c r="A480">
        <v>119294384</v>
      </c>
      <c r="B480" s="1">
        <v>44874</v>
      </c>
      <c r="C480" s="1">
        <v>44987</v>
      </c>
      <c r="D480" t="s">
        <v>7</v>
      </c>
      <c r="E480">
        <v>39</v>
      </c>
      <c r="F480" t="s">
        <v>6</v>
      </c>
      <c r="G480">
        <f t="shared" si="42"/>
        <v>113</v>
      </c>
      <c r="H480" s="1" t="str">
        <f t="shared" si="43"/>
        <v>Wednesday</v>
      </c>
      <c r="I480" t="str">
        <f t="shared" si="44"/>
        <v>No</v>
      </c>
      <c r="J480">
        <f t="shared" si="45"/>
        <v>0</v>
      </c>
      <c r="K480">
        <f t="shared" si="46"/>
        <v>1</v>
      </c>
      <c r="L480">
        <f t="shared" si="47"/>
        <v>113</v>
      </c>
    </row>
    <row r="481" spans="1:12" x14ac:dyDescent="0.3">
      <c r="A481">
        <v>160171541</v>
      </c>
      <c r="B481" s="1">
        <v>44874</v>
      </c>
      <c r="C481" s="1">
        <v>44929</v>
      </c>
      <c r="D481" t="s">
        <v>7</v>
      </c>
      <c r="E481">
        <v>39</v>
      </c>
      <c r="F481" t="s">
        <v>6</v>
      </c>
      <c r="G481">
        <f t="shared" si="42"/>
        <v>55</v>
      </c>
      <c r="H481" s="1" t="str">
        <f t="shared" si="43"/>
        <v>Wednesday</v>
      </c>
      <c r="I481" t="str">
        <f t="shared" si="44"/>
        <v>No</v>
      </c>
      <c r="J481">
        <f t="shared" si="45"/>
        <v>0</v>
      </c>
      <c r="K481">
        <f t="shared" si="46"/>
        <v>1</v>
      </c>
      <c r="L481">
        <f t="shared" si="47"/>
        <v>55</v>
      </c>
    </row>
    <row r="482" spans="1:12" x14ac:dyDescent="0.3">
      <c r="A482">
        <v>150569213</v>
      </c>
      <c r="B482" s="1">
        <v>44874</v>
      </c>
      <c r="C482" s="1">
        <v>44911</v>
      </c>
      <c r="D482" t="s">
        <v>7</v>
      </c>
      <c r="E482">
        <v>39</v>
      </c>
      <c r="F482" t="s">
        <v>6</v>
      </c>
      <c r="G482">
        <f t="shared" si="42"/>
        <v>37</v>
      </c>
      <c r="H482" s="1" t="str">
        <f t="shared" si="43"/>
        <v>Wednesday</v>
      </c>
      <c r="I482" t="str">
        <f t="shared" si="44"/>
        <v>No</v>
      </c>
      <c r="J482">
        <f t="shared" si="45"/>
        <v>0</v>
      </c>
      <c r="K482">
        <f t="shared" si="46"/>
        <v>1</v>
      </c>
      <c r="L482">
        <f t="shared" si="47"/>
        <v>37</v>
      </c>
    </row>
    <row r="483" spans="1:12" x14ac:dyDescent="0.3">
      <c r="A483">
        <v>156710028</v>
      </c>
      <c r="B483" s="1">
        <v>44875</v>
      </c>
      <c r="C483" s="1">
        <v>44992</v>
      </c>
      <c r="D483" t="s">
        <v>7</v>
      </c>
      <c r="E483">
        <v>39</v>
      </c>
      <c r="F483" t="s">
        <v>6</v>
      </c>
      <c r="G483">
        <f t="shared" si="42"/>
        <v>117</v>
      </c>
      <c r="H483" s="1" t="str">
        <f t="shared" si="43"/>
        <v>Thursday</v>
      </c>
      <c r="I483" t="str">
        <f t="shared" si="44"/>
        <v>No</v>
      </c>
      <c r="J483">
        <f t="shared" si="45"/>
        <v>0</v>
      </c>
      <c r="K483">
        <f t="shared" si="46"/>
        <v>1</v>
      </c>
      <c r="L483">
        <f t="shared" si="47"/>
        <v>117</v>
      </c>
    </row>
    <row r="484" spans="1:12" x14ac:dyDescent="0.3">
      <c r="A484">
        <v>157670310</v>
      </c>
      <c r="B484" s="1">
        <v>44875</v>
      </c>
      <c r="C484" s="1">
        <v>44958</v>
      </c>
      <c r="D484" t="s">
        <v>7</v>
      </c>
      <c r="E484">
        <v>39</v>
      </c>
      <c r="F484" t="s">
        <v>6</v>
      </c>
      <c r="G484">
        <f t="shared" si="42"/>
        <v>83</v>
      </c>
      <c r="H484" s="1" t="str">
        <f t="shared" si="43"/>
        <v>Thursday</v>
      </c>
      <c r="I484" t="str">
        <f t="shared" si="44"/>
        <v>No</v>
      </c>
      <c r="J484">
        <f t="shared" si="45"/>
        <v>0</v>
      </c>
      <c r="K484">
        <f t="shared" si="46"/>
        <v>1</v>
      </c>
      <c r="L484">
        <f t="shared" si="47"/>
        <v>83</v>
      </c>
    </row>
    <row r="485" spans="1:12" x14ac:dyDescent="0.3">
      <c r="A485">
        <v>157091067</v>
      </c>
      <c r="B485" s="1">
        <v>44875</v>
      </c>
      <c r="C485" s="1">
        <v>44969</v>
      </c>
      <c r="D485" t="s">
        <v>7</v>
      </c>
      <c r="E485">
        <v>39</v>
      </c>
      <c r="F485" t="s">
        <v>6</v>
      </c>
      <c r="G485">
        <f t="shared" si="42"/>
        <v>94</v>
      </c>
      <c r="H485" s="1" t="str">
        <f t="shared" si="43"/>
        <v>Thursday</v>
      </c>
      <c r="I485" t="str">
        <f t="shared" si="44"/>
        <v>No</v>
      </c>
      <c r="J485">
        <f t="shared" si="45"/>
        <v>0</v>
      </c>
      <c r="K485">
        <f t="shared" si="46"/>
        <v>1</v>
      </c>
      <c r="L485">
        <f t="shared" si="47"/>
        <v>94</v>
      </c>
    </row>
    <row r="486" spans="1:12" ht="14.4" customHeight="1" x14ac:dyDescent="0.3">
      <c r="A486">
        <v>159639128</v>
      </c>
      <c r="B486" s="1">
        <v>44875</v>
      </c>
      <c r="C486" s="1">
        <v>44875</v>
      </c>
      <c r="D486" t="s">
        <v>7</v>
      </c>
      <c r="E486">
        <v>39</v>
      </c>
      <c r="F486" t="s">
        <v>6</v>
      </c>
      <c r="G486">
        <f t="shared" si="42"/>
        <v>0</v>
      </c>
      <c r="H486" s="1" t="str">
        <f t="shared" si="43"/>
        <v>Thursday</v>
      </c>
      <c r="I486" t="str">
        <f t="shared" si="44"/>
        <v>Yes</v>
      </c>
      <c r="J486">
        <f t="shared" si="45"/>
        <v>1</v>
      </c>
      <c r="K486">
        <f t="shared" si="46"/>
        <v>0</v>
      </c>
      <c r="L486">
        <f t="shared" si="47"/>
        <v>0</v>
      </c>
    </row>
    <row r="487" spans="1:12" ht="14.4" customHeight="1" x14ac:dyDescent="0.3">
      <c r="A487">
        <v>149728468</v>
      </c>
      <c r="B487" s="1">
        <v>44876</v>
      </c>
      <c r="C487" s="1">
        <v>44877</v>
      </c>
      <c r="D487" t="s">
        <v>7</v>
      </c>
      <c r="E487">
        <v>39</v>
      </c>
      <c r="F487" t="s">
        <v>6</v>
      </c>
      <c r="G487">
        <f t="shared" si="42"/>
        <v>1</v>
      </c>
      <c r="H487" s="1" t="str">
        <f t="shared" si="43"/>
        <v>Friday</v>
      </c>
      <c r="I487" t="str">
        <f t="shared" si="44"/>
        <v>No</v>
      </c>
      <c r="J487">
        <f t="shared" si="45"/>
        <v>1</v>
      </c>
      <c r="K487">
        <f t="shared" si="46"/>
        <v>0</v>
      </c>
      <c r="L487">
        <f t="shared" si="47"/>
        <v>1</v>
      </c>
    </row>
    <row r="488" spans="1:12" x14ac:dyDescent="0.3">
      <c r="A488">
        <v>160714172</v>
      </c>
      <c r="B488" s="1">
        <v>44876</v>
      </c>
      <c r="C488" s="1">
        <v>44926</v>
      </c>
      <c r="D488" t="s">
        <v>7</v>
      </c>
      <c r="E488">
        <v>39</v>
      </c>
      <c r="F488" t="s">
        <v>6</v>
      </c>
      <c r="G488">
        <f t="shared" si="42"/>
        <v>50</v>
      </c>
      <c r="H488" s="1" t="str">
        <f t="shared" si="43"/>
        <v>Friday</v>
      </c>
      <c r="I488" t="str">
        <f t="shared" si="44"/>
        <v>No</v>
      </c>
      <c r="J488">
        <f t="shared" si="45"/>
        <v>0</v>
      </c>
      <c r="K488">
        <f t="shared" si="46"/>
        <v>1</v>
      </c>
      <c r="L488">
        <f t="shared" si="47"/>
        <v>50</v>
      </c>
    </row>
    <row r="489" spans="1:12" x14ac:dyDescent="0.3">
      <c r="A489">
        <v>161464205</v>
      </c>
      <c r="B489" s="1">
        <v>44876</v>
      </c>
      <c r="C489" s="1">
        <v>44911</v>
      </c>
      <c r="D489" t="s">
        <v>7</v>
      </c>
      <c r="E489">
        <v>39</v>
      </c>
      <c r="F489" t="s">
        <v>6</v>
      </c>
      <c r="G489">
        <f t="shared" si="42"/>
        <v>35</v>
      </c>
      <c r="H489" s="1" t="str">
        <f t="shared" si="43"/>
        <v>Friday</v>
      </c>
      <c r="I489" t="str">
        <f t="shared" si="44"/>
        <v>No</v>
      </c>
      <c r="J489">
        <f t="shared" si="45"/>
        <v>0</v>
      </c>
      <c r="K489">
        <f t="shared" si="46"/>
        <v>1</v>
      </c>
      <c r="L489">
        <f t="shared" si="47"/>
        <v>35</v>
      </c>
    </row>
    <row r="490" spans="1:12" x14ac:dyDescent="0.3">
      <c r="A490">
        <v>141084753</v>
      </c>
      <c r="B490" s="1">
        <v>44877</v>
      </c>
      <c r="C490" s="1">
        <v>45035</v>
      </c>
      <c r="D490" t="s">
        <v>7</v>
      </c>
      <c r="E490">
        <v>39</v>
      </c>
      <c r="F490" t="s">
        <v>6</v>
      </c>
      <c r="G490">
        <f t="shared" si="42"/>
        <v>158</v>
      </c>
      <c r="H490" s="1" t="str">
        <f t="shared" si="43"/>
        <v>Saturday</v>
      </c>
      <c r="I490" t="str">
        <f t="shared" si="44"/>
        <v>No</v>
      </c>
      <c r="J490">
        <f t="shared" si="45"/>
        <v>0</v>
      </c>
      <c r="K490">
        <f t="shared" si="46"/>
        <v>1</v>
      </c>
      <c r="L490">
        <f t="shared" si="47"/>
        <v>158</v>
      </c>
    </row>
    <row r="491" spans="1:12" x14ac:dyDescent="0.3">
      <c r="A491">
        <v>161768948</v>
      </c>
      <c r="B491" s="1">
        <v>44877</v>
      </c>
      <c r="C491" s="1">
        <v>45021</v>
      </c>
      <c r="D491" t="s">
        <v>7</v>
      </c>
      <c r="E491">
        <v>39</v>
      </c>
      <c r="F491" t="s">
        <v>6</v>
      </c>
      <c r="G491">
        <f t="shared" si="42"/>
        <v>144</v>
      </c>
      <c r="H491" s="1" t="str">
        <f t="shared" si="43"/>
        <v>Saturday</v>
      </c>
      <c r="I491" t="str">
        <f t="shared" si="44"/>
        <v>No</v>
      </c>
      <c r="J491">
        <f t="shared" si="45"/>
        <v>0</v>
      </c>
      <c r="K491">
        <f t="shared" si="46"/>
        <v>1</v>
      </c>
      <c r="L491">
        <f t="shared" si="47"/>
        <v>144</v>
      </c>
    </row>
    <row r="492" spans="1:12" x14ac:dyDescent="0.3">
      <c r="A492">
        <v>161692109</v>
      </c>
      <c r="B492" s="1">
        <v>44877</v>
      </c>
      <c r="C492" s="1">
        <v>44976</v>
      </c>
      <c r="D492" t="s">
        <v>7</v>
      </c>
      <c r="E492">
        <v>39</v>
      </c>
      <c r="F492" t="s">
        <v>6</v>
      </c>
      <c r="G492">
        <f t="shared" si="42"/>
        <v>99</v>
      </c>
      <c r="H492" s="1" t="str">
        <f t="shared" si="43"/>
        <v>Saturday</v>
      </c>
      <c r="I492" t="str">
        <f t="shared" si="44"/>
        <v>No</v>
      </c>
      <c r="J492">
        <f t="shared" si="45"/>
        <v>0</v>
      </c>
      <c r="K492">
        <f t="shared" si="46"/>
        <v>1</v>
      </c>
      <c r="L492">
        <f t="shared" si="47"/>
        <v>99</v>
      </c>
    </row>
    <row r="493" spans="1:12" ht="14.4" customHeight="1" x14ac:dyDescent="0.3">
      <c r="A493">
        <v>161424706</v>
      </c>
      <c r="B493" s="1">
        <v>44877</v>
      </c>
      <c r="C493" s="1">
        <v>44904</v>
      </c>
      <c r="D493" t="s">
        <v>7</v>
      </c>
      <c r="E493">
        <v>39</v>
      </c>
      <c r="F493" t="s">
        <v>6</v>
      </c>
      <c r="G493">
        <f t="shared" si="42"/>
        <v>27</v>
      </c>
      <c r="H493" s="1" t="str">
        <f t="shared" si="43"/>
        <v>Saturday</v>
      </c>
      <c r="I493" t="str">
        <f t="shared" si="44"/>
        <v>No</v>
      </c>
      <c r="J493">
        <f t="shared" si="45"/>
        <v>0</v>
      </c>
      <c r="K493">
        <f t="shared" si="46"/>
        <v>0</v>
      </c>
      <c r="L493">
        <f t="shared" si="47"/>
        <v>27</v>
      </c>
    </row>
    <row r="494" spans="1:12" ht="14.4" customHeight="1" x14ac:dyDescent="0.3">
      <c r="A494">
        <v>153186137</v>
      </c>
      <c r="B494" s="1">
        <v>44877</v>
      </c>
      <c r="C494" s="1">
        <v>44877</v>
      </c>
      <c r="D494" t="s">
        <v>7</v>
      </c>
      <c r="E494">
        <v>39</v>
      </c>
      <c r="F494" t="s">
        <v>6</v>
      </c>
      <c r="G494">
        <f t="shared" si="42"/>
        <v>0</v>
      </c>
      <c r="H494" s="1" t="str">
        <f t="shared" si="43"/>
        <v>Saturday</v>
      </c>
      <c r="I494" t="str">
        <f t="shared" si="44"/>
        <v>Yes</v>
      </c>
      <c r="J494">
        <f t="shared" si="45"/>
        <v>1</v>
      </c>
      <c r="K494">
        <f t="shared" si="46"/>
        <v>0</v>
      </c>
      <c r="L494">
        <f t="shared" si="47"/>
        <v>0</v>
      </c>
    </row>
    <row r="495" spans="1:12" x14ac:dyDescent="0.3">
      <c r="A495">
        <v>158906669</v>
      </c>
      <c r="B495" s="1">
        <v>44878</v>
      </c>
      <c r="C495" s="1">
        <v>44969</v>
      </c>
      <c r="D495" t="s">
        <v>7</v>
      </c>
      <c r="E495">
        <v>39</v>
      </c>
      <c r="F495" t="s">
        <v>6</v>
      </c>
      <c r="G495">
        <f t="shared" si="42"/>
        <v>91</v>
      </c>
      <c r="H495" s="1" t="str">
        <f t="shared" si="43"/>
        <v>Sunday</v>
      </c>
      <c r="I495" t="str">
        <f t="shared" si="44"/>
        <v>No</v>
      </c>
      <c r="J495">
        <f t="shared" si="45"/>
        <v>0</v>
      </c>
      <c r="K495">
        <f t="shared" si="46"/>
        <v>1</v>
      </c>
      <c r="L495">
        <f t="shared" si="47"/>
        <v>91</v>
      </c>
    </row>
    <row r="496" spans="1:12" ht="14.4" customHeight="1" x14ac:dyDescent="0.3">
      <c r="A496">
        <v>154085972</v>
      </c>
      <c r="B496" s="1">
        <v>44878</v>
      </c>
      <c r="C496" s="1">
        <v>44900</v>
      </c>
      <c r="D496" t="s">
        <v>7</v>
      </c>
      <c r="E496">
        <v>39</v>
      </c>
      <c r="F496" t="s">
        <v>6</v>
      </c>
      <c r="G496">
        <f t="shared" si="42"/>
        <v>22</v>
      </c>
      <c r="H496" s="1" t="str">
        <f t="shared" si="43"/>
        <v>Sunday</v>
      </c>
      <c r="I496" t="str">
        <f t="shared" si="44"/>
        <v>No</v>
      </c>
      <c r="J496">
        <f t="shared" si="45"/>
        <v>0</v>
      </c>
      <c r="K496">
        <f t="shared" si="46"/>
        <v>0</v>
      </c>
      <c r="L496">
        <f t="shared" si="47"/>
        <v>22</v>
      </c>
    </row>
    <row r="497" spans="1:12" ht="14.4" customHeight="1" x14ac:dyDescent="0.3">
      <c r="A497">
        <v>162409676</v>
      </c>
      <c r="B497" s="1">
        <v>44879</v>
      </c>
      <c r="D497" t="s">
        <v>7</v>
      </c>
      <c r="E497">
        <v>39</v>
      </c>
      <c r="F497" t="s">
        <v>6</v>
      </c>
      <c r="G497" t="str">
        <f t="shared" si="42"/>
        <v/>
      </c>
      <c r="H497" s="1" t="str">
        <f t="shared" si="43"/>
        <v>Monday</v>
      </c>
      <c r="I497" t="str">
        <f t="shared" si="44"/>
        <v>No</v>
      </c>
      <c r="J497">
        <f t="shared" si="45"/>
        <v>0</v>
      </c>
      <c r="K497">
        <f t="shared" si="46"/>
        <v>0</v>
      </c>
      <c r="L497" t="str">
        <f t="shared" si="47"/>
        <v/>
      </c>
    </row>
    <row r="498" spans="1:12" ht="14.4" customHeight="1" x14ac:dyDescent="0.3">
      <c r="A498">
        <v>157438261</v>
      </c>
      <c r="B498" s="1">
        <v>44879</v>
      </c>
      <c r="D498" t="s">
        <v>7</v>
      </c>
      <c r="E498">
        <v>39</v>
      </c>
      <c r="F498" t="s">
        <v>6</v>
      </c>
      <c r="G498" t="str">
        <f t="shared" si="42"/>
        <v/>
      </c>
      <c r="H498" s="1" t="str">
        <f t="shared" si="43"/>
        <v>Monday</v>
      </c>
      <c r="I498" t="str">
        <f t="shared" si="44"/>
        <v>No</v>
      </c>
      <c r="J498">
        <f t="shared" si="45"/>
        <v>0</v>
      </c>
      <c r="K498">
        <f t="shared" si="46"/>
        <v>0</v>
      </c>
      <c r="L498" t="str">
        <f t="shared" si="47"/>
        <v/>
      </c>
    </row>
    <row r="499" spans="1:12" x14ac:dyDescent="0.3">
      <c r="A499">
        <v>132579012</v>
      </c>
      <c r="B499" s="1">
        <v>44879</v>
      </c>
      <c r="C499" s="1">
        <v>44999</v>
      </c>
      <c r="D499" t="s">
        <v>7</v>
      </c>
      <c r="E499">
        <v>39</v>
      </c>
      <c r="F499" t="s">
        <v>6</v>
      </c>
      <c r="G499">
        <f t="shared" si="42"/>
        <v>120</v>
      </c>
      <c r="H499" s="1" t="str">
        <f t="shared" si="43"/>
        <v>Monday</v>
      </c>
      <c r="I499" t="str">
        <f t="shared" si="44"/>
        <v>No</v>
      </c>
      <c r="J499">
        <f t="shared" si="45"/>
        <v>0</v>
      </c>
      <c r="K499">
        <f t="shared" si="46"/>
        <v>1</v>
      </c>
      <c r="L499">
        <f t="shared" si="47"/>
        <v>120</v>
      </c>
    </row>
    <row r="500" spans="1:12" x14ac:dyDescent="0.3">
      <c r="A500">
        <v>129140042</v>
      </c>
      <c r="B500" s="1">
        <v>44879</v>
      </c>
      <c r="C500" s="1">
        <v>44966</v>
      </c>
      <c r="D500" t="s">
        <v>7</v>
      </c>
      <c r="E500">
        <v>39</v>
      </c>
      <c r="F500" t="s">
        <v>6</v>
      </c>
      <c r="G500">
        <f t="shared" si="42"/>
        <v>87</v>
      </c>
      <c r="H500" s="1" t="str">
        <f t="shared" si="43"/>
        <v>Monday</v>
      </c>
      <c r="I500" t="str">
        <f t="shared" si="44"/>
        <v>No</v>
      </c>
      <c r="J500">
        <f t="shared" si="45"/>
        <v>0</v>
      </c>
      <c r="K500">
        <f t="shared" si="46"/>
        <v>1</v>
      </c>
      <c r="L500">
        <f t="shared" si="47"/>
        <v>87</v>
      </c>
    </row>
    <row r="501" spans="1:12" x14ac:dyDescent="0.3">
      <c r="A501">
        <v>147100996</v>
      </c>
      <c r="B501" s="1">
        <v>44879</v>
      </c>
      <c r="C501" s="1">
        <v>44941</v>
      </c>
      <c r="D501" t="s">
        <v>7</v>
      </c>
      <c r="E501">
        <v>39</v>
      </c>
      <c r="F501" t="s">
        <v>6</v>
      </c>
      <c r="G501">
        <f t="shared" si="42"/>
        <v>62</v>
      </c>
      <c r="H501" s="1" t="str">
        <f t="shared" si="43"/>
        <v>Monday</v>
      </c>
      <c r="I501" t="str">
        <f t="shared" si="44"/>
        <v>No</v>
      </c>
      <c r="J501">
        <f t="shared" si="45"/>
        <v>0</v>
      </c>
      <c r="K501">
        <f t="shared" si="46"/>
        <v>1</v>
      </c>
      <c r="L501">
        <f t="shared" si="47"/>
        <v>62</v>
      </c>
    </row>
    <row r="502" spans="1:12" x14ac:dyDescent="0.3">
      <c r="A502">
        <v>158437198</v>
      </c>
      <c r="B502" s="1">
        <v>44879</v>
      </c>
      <c r="C502" s="1">
        <v>45011</v>
      </c>
      <c r="D502" t="s">
        <v>7</v>
      </c>
      <c r="E502">
        <v>39</v>
      </c>
      <c r="F502" t="s">
        <v>6</v>
      </c>
      <c r="G502">
        <f t="shared" si="42"/>
        <v>132</v>
      </c>
      <c r="H502" s="1" t="str">
        <f t="shared" si="43"/>
        <v>Monday</v>
      </c>
      <c r="I502" t="str">
        <f t="shared" si="44"/>
        <v>No</v>
      </c>
      <c r="J502">
        <f t="shared" si="45"/>
        <v>0</v>
      </c>
      <c r="K502">
        <f t="shared" si="46"/>
        <v>1</v>
      </c>
      <c r="L502">
        <f t="shared" si="47"/>
        <v>132</v>
      </c>
    </row>
    <row r="503" spans="1:12" x14ac:dyDescent="0.3">
      <c r="A503">
        <v>162343403</v>
      </c>
      <c r="B503" s="1">
        <v>44879</v>
      </c>
      <c r="C503" s="1">
        <v>45001</v>
      </c>
      <c r="D503" t="s">
        <v>7</v>
      </c>
      <c r="E503">
        <v>39</v>
      </c>
      <c r="F503" t="s">
        <v>6</v>
      </c>
      <c r="G503">
        <f t="shared" si="42"/>
        <v>122</v>
      </c>
      <c r="H503" s="1" t="str">
        <f t="shared" si="43"/>
        <v>Monday</v>
      </c>
      <c r="I503" t="str">
        <f t="shared" si="44"/>
        <v>No</v>
      </c>
      <c r="J503">
        <f t="shared" si="45"/>
        <v>0</v>
      </c>
      <c r="K503">
        <f t="shared" si="46"/>
        <v>1</v>
      </c>
      <c r="L503">
        <f t="shared" si="47"/>
        <v>122</v>
      </c>
    </row>
    <row r="504" spans="1:12" x14ac:dyDescent="0.3">
      <c r="A504">
        <v>162218672</v>
      </c>
      <c r="B504" s="1">
        <v>44879</v>
      </c>
      <c r="C504" s="1">
        <v>44994</v>
      </c>
      <c r="D504" t="s">
        <v>7</v>
      </c>
      <c r="E504">
        <v>39</v>
      </c>
      <c r="F504" t="s">
        <v>6</v>
      </c>
      <c r="G504">
        <f t="shared" si="42"/>
        <v>115</v>
      </c>
      <c r="H504" s="1" t="str">
        <f t="shared" si="43"/>
        <v>Monday</v>
      </c>
      <c r="I504" t="str">
        <f t="shared" si="44"/>
        <v>No</v>
      </c>
      <c r="J504">
        <f t="shared" si="45"/>
        <v>0</v>
      </c>
      <c r="K504">
        <f t="shared" si="46"/>
        <v>1</v>
      </c>
      <c r="L504">
        <f t="shared" si="47"/>
        <v>115</v>
      </c>
    </row>
    <row r="505" spans="1:12" x14ac:dyDescent="0.3">
      <c r="A505">
        <v>120738319</v>
      </c>
      <c r="B505" s="1">
        <v>44879</v>
      </c>
      <c r="C505" s="1">
        <v>45019</v>
      </c>
      <c r="D505" t="s">
        <v>7</v>
      </c>
      <c r="E505">
        <v>39</v>
      </c>
      <c r="F505" t="s">
        <v>6</v>
      </c>
      <c r="G505">
        <f t="shared" si="42"/>
        <v>140</v>
      </c>
      <c r="H505" s="1" t="str">
        <f t="shared" si="43"/>
        <v>Monday</v>
      </c>
      <c r="I505" t="str">
        <f t="shared" si="44"/>
        <v>No</v>
      </c>
      <c r="J505">
        <f t="shared" si="45"/>
        <v>0</v>
      </c>
      <c r="K505">
        <f t="shared" si="46"/>
        <v>1</v>
      </c>
      <c r="L505">
        <f t="shared" si="47"/>
        <v>140</v>
      </c>
    </row>
    <row r="506" spans="1:12" x14ac:dyDescent="0.3">
      <c r="A506">
        <v>162147786</v>
      </c>
      <c r="B506" s="1">
        <v>44879</v>
      </c>
      <c r="C506" s="1">
        <v>45030</v>
      </c>
      <c r="D506" t="s">
        <v>7</v>
      </c>
      <c r="E506">
        <v>39</v>
      </c>
      <c r="F506" t="s">
        <v>6</v>
      </c>
      <c r="G506">
        <f t="shared" si="42"/>
        <v>151</v>
      </c>
      <c r="H506" s="1" t="str">
        <f t="shared" si="43"/>
        <v>Monday</v>
      </c>
      <c r="I506" t="str">
        <f t="shared" si="44"/>
        <v>No</v>
      </c>
      <c r="J506">
        <f t="shared" si="45"/>
        <v>0</v>
      </c>
      <c r="K506">
        <f t="shared" si="46"/>
        <v>1</v>
      </c>
      <c r="L506">
        <f t="shared" si="47"/>
        <v>151</v>
      </c>
    </row>
    <row r="507" spans="1:12" x14ac:dyDescent="0.3">
      <c r="A507">
        <v>153165084</v>
      </c>
      <c r="B507" s="1">
        <v>44879</v>
      </c>
      <c r="C507" s="1">
        <v>44965</v>
      </c>
      <c r="D507" t="s">
        <v>7</v>
      </c>
      <c r="E507">
        <v>39</v>
      </c>
      <c r="F507" t="s">
        <v>6</v>
      </c>
      <c r="G507">
        <f t="shared" si="42"/>
        <v>86</v>
      </c>
      <c r="H507" s="1" t="str">
        <f t="shared" si="43"/>
        <v>Monday</v>
      </c>
      <c r="I507" t="str">
        <f t="shared" si="44"/>
        <v>No</v>
      </c>
      <c r="J507">
        <f t="shared" si="45"/>
        <v>0</v>
      </c>
      <c r="K507">
        <f t="shared" si="46"/>
        <v>1</v>
      </c>
      <c r="L507">
        <f t="shared" si="47"/>
        <v>86</v>
      </c>
    </row>
    <row r="508" spans="1:12" x14ac:dyDescent="0.3">
      <c r="A508">
        <v>161815335</v>
      </c>
      <c r="B508" s="1">
        <v>44879</v>
      </c>
      <c r="C508" s="1">
        <v>44976</v>
      </c>
      <c r="D508" t="s">
        <v>7</v>
      </c>
      <c r="E508">
        <v>39</v>
      </c>
      <c r="F508" t="s">
        <v>6</v>
      </c>
      <c r="G508">
        <f t="shared" si="42"/>
        <v>97</v>
      </c>
      <c r="H508" s="1" t="str">
        <f t="shared" si="43"/>
        <v>Monday</v>
      </c>
      <c r="I508" t="str">
        <f t="shared" si="44"/>
        <v>No</v>
      </c>
      <c r="J508">
        <f t="shared" si="45"/>
        <v>0</v>
      </c>
      <c r="K508">
        <f t="shared" si="46"/>
        <v>1</v>
      </c>
      <c r="L508">
        <f t="shared" si="47"/>
        <v>97</v>
      </c>
    </row>
    <row r="509" spans="1:12" x14ac:dyDescent="0.3">
      <c r="A509">
        <v>162294529</v>
      </c>
      <c r="B509" s="1">
        <v>44879</v>
      </c>
      <c r="C509" s="1">
        <v>44964</v>
      </c>
      <c r="D509" t="s">
        <v>7</v>
      </c>
      <c r="E509">
        <v>39</v>
      </c>
      <c r="F509" t="s">
        <v>6</v>
      </c>
      <c r="G509">
        <f t="shared" si="42"/>
        <v>85</v>
      </c>
      <c r="H509" s="1" t="str">
        <f t="shared" si="43"/>
        <v>Monday</v>
      </c>
      <c r="I509" t="str">
        <f t="shared" si="44"/>
        <v>No</v>
      </c>
      <c r="J509">
        <f t="shared" si="45"/>
        <v>0</v>
      </c>
      <c r="K509">
        <f t="shared" si="46"/>
        <v>1</v>
      </c>
      <c r="L509">
        <f t="shared" si="47"/>
        <v>85</v>
      </c>
    </row>
    <row r="510" spans="1:12" x14ac:dyDescent="0.3">
      <c r="A510">
        <v>162176080</v>
      </c>
      <c r="B510" s="1">
        <v>44879</v>
      </c>
      <c r="C510" s="1">
        <v>44962</v>
      </c>
      <c r="D510" t="s">
        <v>7</v>
      </c>
      <c r="E510">
        <v>39</v>
      </c>
      <c r="F510" t="s">
        <v>6</v>
      </c>
      <c r="G510">
        <f t="shared" si="42"/>
        <v>83</v>
      </c>
      <c r="H510" s="1" t="str">
        <f t="shared" si="43"/>
        <v>Monday</v>
      </c>
      <c r="I510" t="str">
        <f t="shared" si="44"/>
        <v>No</v>
      </c>
      <c r="J510">
        <f t="shared" si="45"/>
        <v>0</v>
      </c>
      <c r="K510">
        <f t="shared" si="46"/>
        <v>1</v>
      </c>
      <c r="L510">
        <f t="shared" si="47"/>
        <v>83</v>
      </c>
    </row>
    <row r="511" spans="1:12" x14ac:dyDescent="0.3">
      <c r="A511">
        <v>162412232</v>
      </c>
      <c r="B511" s="1">
        <v>44879</v>
      </c>
      <c r="C511" s="1">
        <v>44916</v>
      </c>
      <c r="D511" t="s">
        <v>7</v>
      </c>
      <c r="E511">
        <v>39</v>
      </c>
      <c r="F511" t="s">
        <v>6</v>
      </c>
      <c r="G511">
        <f t="shared" si="42"/>
        <v>37</v>
      </c>
      <c r="H511" s="1" t="str">
        <f t="shared" si="43"/>
        <v>Monday</v>
      </c>
      <c r="I511" t="str">
        <f t="shared" si="44"/>
        <v>No</v>
      </c>
      <c r="J511">
        <f t="shared" si="45"/>
        <v>0</v>
      </c>
      <c r="K511">
        <f t="shared" si="46"/>
        <v>1</v>
      </c>
      <c r="L511">
        <f t="shared" si="47"/>
        <v>37</v>
      </c>
    </row>
    <row r="512" spans="1:12" x14ac:dyDescent="0.3">
      <c r="A512">
        <v>158575772</v>
      </c>
      <c r="B512" s="1">
        <v>44879</v>
      </c>
      <c r="C512" s="1">
        <v>44911</v>
      </c>
      <c r="D512" t="s">
        <v>7</v>
      </c>
      <c r="E512">
        <v>39</v>
      </c>
      <c r="F512" t="s">
        <v>6</v>
      </c>
      <c r="G512">
        <f t="shared" si="42"/>
        <v>32</v>
      </c>
      <c r="H512" s="1" t="str">
        <f t="shared" si="43"/>
        <v>Monday</v>
      </c>
      <c r="I512" t="str">
        <f t="shared" si="44"/>
        <v>No</v>
      </c>
      <c r="J512">
        <f t="shared" si="45"/>
        <v>0</v>
      </c>
      <c r="K512">
        <f t="shared" si="46"/>
        <v>1</v>
      </c>
      <c r="L512">
        <f t="shared" si="47"/>
        <v>32</v>
      </c>
    </row>
    <row r="513" spans="1:12" ht="14.4" customHeight="1" x14ac:dyDescent="0.3">
      <c r="A513">
        <v>162247173</v>
      </c>
      <c r="B513" s="1">
        <v>44879</v>
      </c>
      <c r="C513" s="1">
        <v>44906</v>
      </c>
      <c r="D513" t="s">
        <v>7</v>
      </c>
      <c r="E513">
        <v>39</v>
      </c>
      <c r="F513" t="s">
        <v>6</v>
      </c>
      <c r="G513">
        <f t="shared" si="42"/>
        <v>27</v>
      </c>
      <c r="H513" s="1" t="str">
        <f t="shared" si="43"/>
        <v>Monday</v>
      </c>
      <c r="I513" t="str">
        <f t="shared" si="44"/>
        <v>No</v>
      </c>
      <c r="J513">
        <f t="shared" si="45"/>
        <v>0</v>
      </c>
      <c r="K513">
        <f t="shared" si="46"/>
        <v>0</v>
      </c>
      <c r="L513">
        <f t="shared" si="47"/>
        <v>27</v>
      </c>
    </row>
    <row r="514" spans="1:12" ht="14.4" customHeight="1" x14ac:dyDescent="0.3">
      <c r="A514">
        <v>153630282</v>
      </c>
      <c r="B514" s="1">
        <v>44879</v>
      </c>
      <c r="C514" s="1">
        <v>44903</v>
      </c>
      <c r="D514" t="s">
        <v>7</v>
      </c>
      <c r="E514">
        <v>39</v>
      </c>
      <c r="F514" t="s">
        <v>6</v>
      </c>
      <c r="G514">
        <f t="shared" ref="G514:G577" si="48">IF(C514="","",C514-B514)</f>
        <v>24</v>
      </c>
      <c r="H514" s="1" t="str">
        <f t="shared" si="43"/>
        <v>Monday</v>
      </c>
      <c r="I514" t="str">
        <f t="shared" si="44"/>
        <v>No</v>
      </c>
      <c r="J514">
        <f t="shared" si="45"/>
        <v>0</v>
      </c>
      <c r="K514">
        <f t="shared" si="46"/>
        <v>0</v>
      </c>
      <c r="L514">
        <f t="shared" si="47"/>
        <v>24</v>
      </c>
    </row>
    <row r="515" spans="1:12" ht="14.4" customHeight="1" x14ac:dyDescent="0.3">
      <c r="A515">
        <v>156699431</v>
      </c>
      <c r="B515" s="1">
        <v>44879</v>
      </c>
      <c r="C515" s="1">
        <v>44888</v>
      </c>
      <c r="D515" t="s">
        <v>7</v>
      </c>
      <c r="E515">
        <v>39</v>
      </c>
      <c r="F515" t="s">
        <v>6</v>
      </c>
      <c r="G515">
        <f t="shared" si="48"/>
        <v>9</v>
      </c>
      <c r="H515" s="1" t="str">
        <f t="shared" ref="H515:H578" si="49">TEXT(B515,"dddd")</f>
        <v>Monday</v>
      </c>
      <c r="I515" t="str">
        <f t="shared" ref="I515:I578" si="50">IF(B515=C515,"Yes","No")</f>
        <v>No</v>
      </c>
      <c r="J515">
        <f t="shared" ref="J515:J578" si="51">IF(AND(C515&lt;&gt;"",C515-B515&lt;=2),1,0)</f>
        <v>0</v>
      </c>
      <c r="K515">
        <f t="shared" ref="K515:K578" si="52">IF(AND(C515&lt;&gt;"",C515-B515&gt;30),1,0)</f>
        <v>0</v>
      </c>
      <c r="L515">
        <f t="shared" ref="L515:L578" si="53">IF(C515="","",C515-B515)</f>
        <v>9</v>
      </c>
    </row>
    <row r="516" spans="1:12" x14ac:dyDescent="0.3">
      <c r="A516">
        <v>148018000</v>
      </c>
      <c r="B516" s="1">
        <v>44879</v>
      </c>
      <c r="C516" s="1">
        <v>45139</v>
      </c>
      <c r="D516" t="s">
        <v>7</v>
      </c>
      <c r="E516">
        <v>39</v>
      </c>
      <c r="F516" t="s">
        <v>6</v>
      </c>
      <c r="G516">
        <f t="shared" si="48"/>
        <v>260</v>
      </c>
      <c r="H516" s="1" t="str">
        <f t="shared" si="49"/>
        <v>Monday</v>
      </c>
      <c r="I516" t="str">
        <f t="shared" si="50"/>
        <v>No</v>
      </c>
      <c r="J516">
        <f t="shared" si="51"/>
        <v>0</v>
      </c>
      <c r="K516">
        <f t="shared" si="52"/>
        <v>1</v>
      </c>
      <c r="L516">
        <f t="shared" si="53"/>
        <v>260</v>
      </c>
    </row>
    <row r="517" spans="1:12" ht="14.4" customHeight="1" x14ac:dyDescent="0.3">
      <c r="A517">
        <v>161623906</v>
      </c>
      <c r="B517" s="1">
        <v>44880</v>
      </c>
      <c r="D517" t="s">
        <v>7</v>
      </c>
      <c r="E517">
        <v>39</v>
      </c>
      <c r="F517" t="s">
        <v>6</v>
      </c>
      <c r="G517" t="str">
        <f t="shared" si="48"/>
        <v/>
      </c>
      <c r="H517" s="1" t="str">
        <f t="shared" si="49"/>
        <v>Tuesday</v>
      </c>
      <c r="I517" t="str">
        <f t="shared" si="50"/>
        <v>No</v>
      </c>
      <c r="J517">
        <f t="shared" si="51"/>
        <v>0</v>
      </c>
      <c r="K517">
        <f t="shared" si="52"/>
        <v>0</v>
      </c>
      <c r="L517" t="str">
        <f t="shared" si="53"/>
        <v/>
      </c>
    </row>
    <row r="518" spans="1:12" ht="14.4" customHeight="1" x14ac:dyDescent="0.3">
      <c r="A518">
        <v>145664226</v>
      </c>
      <c r="B518" s="1">
        <v>44880</v>
      </c>
      <c r="D518" t="s">
        <v>7</v>
      </c>
      <c r="E518">
        <v>39</v>
      </c>
      <c r="F518" t="s">
        <v>6</v>
      </c>
      <c r="G518" t="str">
        <f t="shared" si="48"/>
        <v/>
      </c>
      <c r="H518" s="1" t="str">
        <f t="shared" si="49"/>
        <v>Tuesday</v>
      </c>
      <c r="I518" t="str">
        <f t="shared" si="50"/>
        <v>No</v>
      </c>
      <c r="J518">
        <f t="shared" si="51"/>
        <v>0</v>
      </c>
      <c r="K518">
        <f t="shared" si="52"/>
        <v>0</v>
      </c>
      <c r="L518" t="str">
        <f t="shared" si="53"/>
        <v/>
      </c>
    </row>
    <row r="519" spans="1:12" x14ac:dyDescent="0.3">
      <c r="A519">
        <v>162529715</v>
      </c>
      <c r="B519" s="1">
        <v>44880</v>
      </c>
      <c r="C519" s="1">
        <v>45007</v>
      </c>
      <c r="D519" t="s">
        <v>7</v>
      </c>
      <c r="E519">
        <v>39</v>
      </c>
      <c r="F519" t="s">
        <v>6</v>
      </c>
      <c r="G519">
        <f t="shared" si="48"/>
        <v>127</v>
      </c>
      <c r="H519" s="1" t="str">
        <f t="shared" si="49"/>
        <v>Tuesday</v>
      </c>
      <c r="I519" t="str">
        <f t="shared" si="50"/>
        <v>No</v>
      </c>
      <c r="J519">
        <f t="shared" si="51"/>
        <v>0</v>
      </c>
      <c r="K519">
        <f t="shared" si="52"/>
        <v>1</v>
      </c>
      <c r="L519">
        <f t="shared" si="53"/>
        <v>127</v>
      </c>
    </row>
    <row r="520" spans="1:12" ht="14.4" customHeight="1" x14ac:dyDescent="0.3">
      <c r="A520">
        <v>162581284</v>
      </c>
      <c r="B520" s="1">
        <v>44880</v>
      </c>
      <c r="C520" s="1">
        <v>44906</v>
      </c>
      <c r="D520" t="s">
        <v>7</v>
      </c>
      <c r="E520">
        <v>39</v>
      </c>
      <c r="F520" t="s">
        <v>6</v>
      </c>
      <c r="G520">
        <f t="shared" si="48"/>
        <v>26</v>
      </c>
      <c r="H520" s="1" t="str">
        <f t="shared" si="49"/>
        <v>Tuesday</v>
      </c>
      <c r="I520" t="str">
        <f t="shared" si="50"/>
        <v>No</v>
      </c>
      <c r="J520">
        <f t="shared" si="51"/>
        <v>0</v>
      </c>
      <c r="K520">
        <f t="shared" si="52"/>
        <v>0</v>
      </c>
      <c r="L520">
        <f t="shared" si="53"/>
        <v>26</v>
      </c>
    </row>
    <row r="521" spans="1:12" x14ac:dyDescent="0.3">
      <c r="A521">
        <v>152655443</v>
      </c>
      <c r="B521" s="1">
        <v>44880</v>
      </c>
      <c r="C521" s="1">
        <v>44950</v>
      </c>
      <c r="D521" t="s">
        <v>7</v>
      </c>
      <c r="E521">
        <v>39</v>
      </c>
      <c r="F521" t="s">
        <v>6</v>
      </c>
      <c r="G521">
        <f t="shared" si="48"/>
        <v>70</v>
      </c>
      <c r="H521" s="1" t="str">
        <f t="shared" si="49"/>
        <v>Tuesday</v>
      </c>
      <c r="I521" t="str">
        <f t="shared" si="50"/>
        <v>No</v>
      </c>
      <c r="J521">
        <f t="shared" si="51"/>
        <v>0</v>
      </c>
      <c r="K521">
        <f t="shared" si="52"/>
        <v>1</v>
      </c>
      <c r="L521">
        <f t="shared" si="53"/>
        <v>70</v>
      </c>
    </row>
    <row r="522" spans="1:12" x14ac:dyDescent="0.3">
      <c r="A522">
        <v>162443327</v>
      </c>
      <c r="B522" s="1">
        <v>44880</v>
      </c>
      <c r="C522" s="1">
        <v>44938</v>
      </c>
      <c r="D522" t="s">
        <v>7</v>
      </c>
      <c r="E522">
        <v>39</v>
      </c>
      <c r="F522" t="s">
        <v>6</v>
      </c>
      <c r="G522">
        <f t="shared" si="48"/>
        <v>58</v>
      </c>
      <c r="H522" s="1" t="str">
        <f t="shared" si="49"/>
        <v>Tuesday</v>
      </c>
      <c r="I522" t="str">
        <f t="shared" si="50"/>
        <v>No</v>
      </c>
      <c r="J522">
        <f t="shared" si="51"/>
        <v>0</v>
      </c>
      <c r="K522">
        <f t="shared" si="52"/>
        <v>1</v>
      </c>
      <c r="L522">
        <f t="shared" si="53"/>
        <v>58</v>
      </c>
    </row>
    <row r="523" spans="1:12" ht="14.4" customHeight="1" x14ac:dyDescent="0.3">
      <c r="A523">
        <v>148348600</v>
      </c>
      <c r="B523" s="1">
        <v>44880</v>
      </c>
      <c r="C523" s="1">
        <v>44908</v>
      </c>
      <c r="D523" t="s">
        <v>7</v>
      </c>
      <c r="E523">
        <v>39</v>
      </c>
      <c r="F523" t="s">
        <v>6</v>
      </c>
      <c r="G523">
        <f t="shared" si="48"/>
        <v>28</v>
      </c>
      <c r="H523" s="1" t="str">
        <f t="shared" si="49"/>
        <v>Tuesday</v>
      </c>
      <c r="I523" t="str">
        <f t="shared" si="50"/>
        <v>No</v>
      </c>
      <c r="J523">
        <f t="shared" si="51"/>
        <v>0</v>
      </c>
      <c r="K523">
        <f t="shared" si="52"/>
        <v>0</v>
      </c>
      <c r="L523">
        <f t="shared" si="53"/>
        <v>28</v>
      </c>
    </row>
    <row r="524" spans="1:12" ht="14.4" customHeight="1" x14ac:dyDescent="0.3">
      <c r="A524">
        <v>162992590</v>
      </c>
      <c r="B524" s="1">
        <v>44881</v>
      </c>
      <c r="D524" t="s">
        <v>7</v>
      </c>
      <c r="E524">
        <v>39</v>
      </c>
      <c r="F524" t="s">
        <v>6</v>
      </c>
      <c r="G524" t="str">
        <f t="shared" si="48"/>
        <v/>
      </c>
      <c r="H524" s="1" t="str">
        <f t="shared" si="49"/>
        <v>Wednesday</v>
      </c>
      <c r="I524" t="str">
        <f t="shared" si="50"/>
        <v>No</v>
      </c>
      <c r="J524">
        <f t="shared" si="51"/>
        <v>0</v>
      </c>
      <c r="K524">
        <f t="shared" si="52"/>
        <v>0</v>
      </c>
      <c r="L524" t="str">
        <f t="shared" si="53"/>
        <v/>
      </c>
    </row>
    <row r="525" spans="1:12" ht="14.4" customHeight="1" x14ac:dyDescent="0.3">
      <c r="A525">
        <v>156633222</v>
      </c>
      <c r="B525" s="1">
        <v>44881</v>
      </c>
      <c r="C525" s="1">
        <v>44881</v>
      </c>
      <c r="D525" t="s">
        <v>8</v>
      </c>
      <c r="E525">
        <v>39</v>
      </c>
      <c r="F525" t="s">
        <v>6</v>
      </c>
      <c r="G525">
        <f t="shared" si="48"/>
        <v>0</v>
      </c>
      <c r="H525" s="1" t="str">
        <f t="shared" si="49"/>
        <v>Wednesday</v>
      </c>
      <c r="I525" t="str">
        <f t="shared" si="50"/>
        <v>Yes</v>
      </c>
      <c r="J525">
        <f t="shared" si="51"/>
        <v>1</v>
      </c>
      <c r="K525">
        <f t="shared" si="52"/>
        <v>0</v>
      </c>
      <c r="L525">
        <f t="shared" si="53"/>
        <v>0</v>
      </c>
    </row>
    <row r="526" spans="1:12" x14ac:dyDescent="0.3">
      <c r="A526">
        <v>133595094</v>
      </c>
      <c r="B526" s="1">
        <v>44881</v>
      </c>
      <c r="C526" s="1">
        <v>44988</v>
      </c>
      <c r="D526" t="s">
        <v>7</v>
      </c>
      <c r="E526">
        <v>39</v>
      </c>
      <c r="F526" t="s">
        <v>6</v>
      </c>
      <c r="G526">
        <f t="shared" si="48"/>
        <v>107</v>
      </c>
      <c r="H526" s="1" t="str">
        <f t="shared" si="49"/>
        <v>Wednesday</v>
      </c>
      <c r="I526" t="str">
        <f t="shared" si="50"/>
        <v>No</v>
      </c>
      <c r="J526">
        <f t="shared" si="51"/>
        <v>0</v>
      </c>
      <c r="K526">
        <f t="shared" si="52"/>
        <v>1</v>
      </c>
      <c r="L526">
        <f t="shared" si="53"/>
        <v>107</v>
      </c>
    </row>
    <row r="527" spans="1:12" x14ac:dyDescent="0.3">
      <c r="A527">
        <v>147770763</v>
      </c>
      <c r="B527" s="1">
        <v>44881</v>
      </c>
      <c r="C527" s="1">
        <v>44988</v>
      </c>
      <c r="D527" t="s">
        <v>7</v>
      </c>
      <c r="E527">
        <v>39</v>
      </c>
      <c r="F527" t="s">
        <v>6</v>
      </c>
      <c r="G527">
        <f t="shared" si="48"/>
        <v>107</v>
      </c>
      <c r="H527" s="1" t="str">
        <f t="shared" si="49"/>
        <v>Wednesday</v>
      </c>
      <c r="I527" t="str">
        <f t="shared" si="50"/>
        <v>No</v>
      </c>
      <c r="J527">
        <f t="shared" si="51"/>
        <v>0</v>
      </c>
      <c r="K527">
        <f t="shared" si="52"/>
        <v>1</v>
      </c>
      <c r="L527">
        <f t="shared" si="53"/>
        <v>107</v>
      </c>
    </row>
    <row r="528" spans="1:12" x14ac:dyDescent="0.3">
      <c r="A528">
        <v>155370139</v>
      </c>
      <c r="B528" s="1">
        <v>44881</v>
      </c>
      <c r="C528" s="1">
        <v>45008</v>
      </c>
      <c r="D528" t="s">
        <v>7</v>
      </c>
      <c r="E528">
        <v>39</v>
      </c>
      <c r="F528" t="s">
        <v>6</v>
      </c>
      <c r="G528">
        <f t="shared" si="48"/>
        <v>127</v>
      </c>
      <c r="H528" s="1" t="str">
        <f t="shared" si="49"/>
        <v>Wednesday</v>
      </c>
      <c r="I528" t="str">
        <f t="shared" si="50"/>
        <v>No</v>
      </c>
      <c r="J528">
        <f t="shared" si="51"/>
        <v>0</v>
      </c>
      <c r="K528">
        <f t="shared" si="52"/>
        <v>1</v>
      </c>
      <c r="L528">
        <f t="shared" si="53"/>
        <v>127</v>
      </c>
    </row>
    <row r="529" spans="1:12" x14ac:dyDescent="0.3">
      <c r="A529">
        <v>151890876</v>
      </c>
      <c r="B529" s="1">
        <v>44881</v>
      </c>
      <c r="C529" s="1">
        <v>44980</v>
      </c>
      <c r="D529" t="s">
        <v>7</v>
      </c>
      <c r="E529">
        <v>39</v>
      </c>
      <c r="F529" t="s">
        <v>6</v>
      </c>
      <c r="G529">
        <f t="shared" si="48"/>
        <v>99</v>
      </c>
      <c r="H529" s="1" t="str">
        <f t="shared" si="49"/>
        <v>Wednesday</v>
      </c>
      <c r="I529" t="str">
        <f t="shared" si="50"/>
        <v>No</v>
      </c>
      <c r="J529">
        <f t="shared" si="51"/>
        <v>0</v>
      </c>
      <c r="K529">
        <f t="shared" si="52"/>
        <v>1</v>
      </c>
      <c r="L529">
        <f t="shared" si="53"/>
        <v>99</v>
      </c>
    </row>
    <row r="530" spans="1:12" x14ac:dyDescent="0.3">
      <c r="A530">
        <v>162920304</v>
      </c>
      <c r="B530" s="1">
        <v>44881</v>
      </c>
      <c r="C530" s="1">
        <v>44941</v>
      </c>
      <c r="D530" t="s">
        <v>7</v>
      </c>
      <c r="E530">
        <v>39</v>
      </c>
      <c r="F530" t="s">
        <v>6</v>
      </c>
      <c r="G530">
        <f t="shared" si="48"/>
        <v>60</v>
      </c>
      <c r="H530" s="1" t="str">
        <f t="shared" si="49"/>
        <v>Wednesday</v>
      </c>
      <c r="I530" t="str">
        <f t="shared" si="50"/>
        <v>No</v>
      </c>
      <c r="J530">
        <f t="shared" si="51"/>
        <v>0</v>
      </c>
      <c r="K530">
        <f t="shared" si="52"/>
        <v>1</v>
      </c>
      <c r="L530">
        <f t="shared" si="53"/>
        <v>60</v>
      </c>
    </row>
    <row r="531" spans="1:12" ht="14.4" customHeight="1" x14ac:dyDescent="0.3">
      <c r="A531">
        <v>148838269</v>
      </c>
      <c r="B531" s="1">
        <v>44881</v>
      </c>
      <c r="C531" s="1">
        <v>44881</v>
      </c>
      <c r="D531" t="s">
        <v>7</v>
      </c>
      <c r="E531">
        <v>39</v>
      </c>
      <c r="F531" t="s">
        <v>6</v>
      </c>
      <c r="G531">
        <f t="shared" si="48"/>
        <v>0</v>
      </c>
      <c r="H531" s="1" t="str">
        <f t="shared" si="49"/>
        <v>Wednesday</v>
      </c>
      <c r="I531" t="str">
        <f t="shared" si="50"/>
        <v>Yes</v>
      </c>
      <c r="J531">
        <f t="shared" si="51"/>
        <v>1</v>
      </c>
      <c r="K531">
        <f t="shared" si="52"/>
        <v>0</v>
      </c>
      <c r="L531">
        <f t="shared" si="53"/>
        <v>0</v>
      </c>
    </row>
    <row r="532" spans="1:12" x14ac:dyDescent="0.3">
      <c r="A532">
        <v>162913792</v>
      </c>
      <c r="B532" s="1">
        <v>44881</v>
      </c>
      <c r="C532" s="1">
        <v>45161</v>
      </c>
      <c r="D532" t="s">
        <v>7</v>
      </c>
      <c r="E532">
        <v>39</v>
      </c>
      <c r="F532" t="s">
        <v>6</v>
      </c>
      <c r="G532">
        <f t="shared" si="48"/>
        <v>280</v>
      </c>
      <c r="H532" s="1" t="str">
        <f t="shared" si="49"/>
        <v>Wednesday</v>
      </c>
      <c r="I532" t="str">
        <f t="shared" si="50"/>
        <v>No</v>
      </c>
      <c r="J532">
        <f t="shared" si="51"/>
        <v>0</v>
      </c>
      <c r="K532">
        <f t="shared" si="52"/>
        <v>1</v>
      </c>
      <c r="L532">
        <f t="shared" si="53"/>
        <v>280</v>
      </c>
    </row>
    <row r="533" spans="1:12" ht="14.4" customHeight="1" x14ac:dyDescent="0.3">
      <c r="A533">
        <v>152316740</v>
      </c>
      <c r="B533" s="1">
        <v>44882</v>
      </c>
      <c r="D533" t="s">
        <v>7</v>
      </c>
      <c r="E533">
        <v>39</v>
      </c>
      <c r="F533" t="s">
        <v>6</v>
      </c>
      <c r="G533" t="str">
        <f t="shared" si="48"/>
        <v/>
      </c>
      <c r="H533" s="1" t="str">
        <f t="shared" si="49"/>
        <v>Thursday</v>
      </c>
      <c r="I533" t="str">
        <f t="shared" si="50"/>
        <v>No</v>
      </c>
      <c r="J533">
        <f t="shared" si="51"/>
        <v>0</v>
      </c>
      <c r="K533">
        <f t="shared" si="52"/>
        <v>0</v>
      </c>
      <c r="L533" t="str">
        <f t="shared" si="53"/>
        <v/>
      </c>
    </row>
    <row r="534" spans="1:12" x14ac:dyDescent="0.3">
      <c r="A534">
        <v>135480868</v>
      </c>
      <c r="B534" s="1">
        <v>44882</v>
      </c>
      <c r="C534" s="1">
        <v>44952</v>
      </c>
      <c r="D534" t="s">
        <v>7</v>
      </c>
      <c r="E534">
        <v>39</v>
      </c>
      <c r="F534" t="s">
        <v>6</v>
      </c>
      <c r="G534">
        <f t="shared" si="48"/>
        <v>70</v>
      </c>
      <c r="H534" s="1" t="str">
        <f t="shared" si="49"/>
        <v>Thursday</v>
      </c>
      <c r="I534" t="str">
        <f t="shared" si="50"/>
        <v>No</v>
      </c>
      <c r="J534">
        <f t="shared" si="51"/>
        <v>0</v>
      </c>
      <c r="K534">
        <f t="shared" si="52"/>
        <v>1</v>
      </c>
      <c r="L534">
        <f t="shared" si="53"/>
        <v>70</v>
      </c>
    </row>
    <row r="535" spans="1:12" x14ac:dyDescent="0.3">
      <c r="A535">
        <v>136315690</v>
      </c>
      <c r="B535" s="1">
        <v>44882</v>
      </c>
      <c r="C535" s="1">
        <v>44981</v>
      </c>
      <c r="D535" t="s">
        <v>7</v>
      </c>
      <c r="E535">
        <v>39</v>
      </c>
      <c r="F535" t="s">
        <v>6</v>
      </c>
      <c r="G535">
        <f t="shared" si="48"/>
        <v>99</v>
      </c>
      <c r="H535" s="1" t="str">
        <f t="shared" si="49"/>
        <v>Thursday</v>
      </c>
      <c r="I535" t="str">
        <f t="shared" si="50"/>
        <v>No</v>
      </c>
      <c r="J535">
        <f t="shared" si="51"/>
        <v>0</v>
      </c>
      <c r="K535">
        <f t="shared" si="52"/>
        <v>1</v>
      </c>
      <c r="L535">
        <f t="shared" si="53"/>
        <v>99</v>
      </c>
    </row>
    <row r="536" spans="1:12" x14ac:dyDescent="0.3">
      <c r="A536">
        <v>163224262</v>
      </c>
      <c r="B536" s="1">
        <v>44882</v>
      </c>
      <c r="C536" s="1">
        <v>44969</v>
      </c>
      <c r="D536" t="s">
        <v>7</v>
      </c>
      <c r="E536">
        <v>39</v>
      </c>
      <c r="F536" t="s">
        <v>6</v>
      </c>
      <c r="G536">
        <f t="shared" si="48"/>
        <v>87</v>
      </c>
      <c r="H536" s="1" t="str">
        <f t="shared" si="49"/>
        <v>Thursday</v>
      </c>
      <c r="I536" t="str">
        <f t="shared" si="50"/>
        <v>No</v>
      </c>
      <c r="J536">
        <f t="shared" si="51"/>
        <v>0</v>
      </c>
      <c r="K536">
        <f t="shared" si="52"/>
        <v>1</v>
      </c>
      <c r="L536">
        <f t="shared" si="53"/>
        <v>87</v>
      </c>
    </row>
    <row r="537" spans="1:12" x14ac:dyDescent="0.3">
      <c r="A537">
        <v>163330072</v>
      </c>
      <c r="B537" s="1">
        <v>44882</v>
      </c>
      <c r="C537" s="1">
        <v>44950</v>
      </c>
      <c r="D537" t="s">
        <v>7</v>
      </c>
      <c r="E537">
        <v>39</v>
      </c>
      <c r="F537" t="s">
        <v>6</v>
      </c>
      <c r="G537">
        <f t="shared" si="48"/>
        <v>68</v>
      </c>
      <c r="H537" s="1" t="str">
        <f t="shared" si="49"/>
        <v>Thursday</v>
      </c>
      <c r="I537" t="str">
        <f t="shared" si="50"/>
        <v>No</v>
      </c>
      <c r="J537">
        <f t="shared" si="51"/>
        <v>0</v>
      </c>
      <c r="K537">
        <f t="shared" si="52"/>
        <v>1</v>
      </c>
      <c r="L537">
        <f t="shared" si="53"/>
        <v>68</v>
      </c>
    </row>
    <row r="538" spans="1:12" x14ac:dyDescent="0.3">
      <c r="A538">
        <v>134646164</v>
      </c>
      <c r="B538" s="1">
        <v>44882</v>
      </c>
      <c r="C538" s="1">
        <v>44919</v>
      </c>
      <c r="D538" t="s">
        <v>7</v>
      </c>
      <c r="E538">
        <v>39</v>
      </c>
      <c r="F538" t="s">
        <v>6</v>
      </c>
      <c r="G538">
        <f t="shared" si="48"/>
        <v>37</v>
      </c>
      <c r="H538" s="1" t="str">
        <f t="shared" si="49"/>
        <v>Thursday</v>
      </c>
      <c r="I538" t="str">
        <f t="shared" si="50"/>
        <v>No</v>
      </c>
      <c r="J538">
        <f t="shared" si="51"/>
        <v>0</v>
      </c>
      <c r="K538">
        <f t="shared" si="52"/>
        <v>1</v>
      </c>
      <c r="L538">
        <f t="shared" si="53"/>
        <v>37</v>
      </c>
    </row>
    <row r="539" spans="1:12" x14ac:dyDescent="0.3">
      <c r="A539">
        <v>163282336</v>
      </c>
      <c r="B539" s="1">
        <v>44882</v>
      </c>
      <c r="C539" s="1">
        <v>45148</v>
      </c>
      <c r="D539" t="s">
        <v>7</v>
      </c>
      <c r="E539">
        <v>39</v>
      </c>
      <c r="F539" t="s">
        <v>6</v>
      </c>
      <c r="G539">
        <f t="shared" si="48"/>
        <v>266</v>
      </c>
      <c r="H539" s="1" t="str">
        <f t="shared" si="49"/>
        <v>Thursday</v>
      </c>
      <c r="I539" t="str">
        <f t="shared" si="50"/>
        <v>No</v>
      </c>
      <c r="J539">
        <f t="shared" si="51"/>
        <v>0</v>
      </c>
      <c r="K539">
        <f t="shared" si="52"/>
        <v>1</v>
      </c>
      <c r="L539">
        <f t="shared" si="53"/>
        <v>266</v>
      </c>
    </row>
    <row r="540" spans="1:12" ht="14.4" customHeight="1" x14ac:dyDescent="0.3">
      <c r="A540">
        <v>162490128</v>
      </c>
      <c r="B540" s="1">
        <v>44883</v>
      </c>
      <c r="D540" t="s">
        <v>7</v>
      </c>
      <c r="E540">
        <v>39</v>
      </c>
      <c r="F540" t="s">
        <v>6</v>
      </c>
      <c r="G540" t="str">
        <f t="shared" si="48"/>
        <v/>
      </c>
      <c r="H540" s="1" t="str">
        <f t="shared" si="49"/>
        <v>Friday</v>
      </c>
      <c r="I540" t="str">
        <f t="shared" si="50"/>
        <v>No</v>
      </c>
      <c r="J540">
        <f t="shared" si="51"/>
        <v>0</v>
      </c>
      <c r="K540">
        <f t="shared" si="52"/>
        <v>0</v>
      </c>
      <c r="L540" t="str">
        <f t="shared" si="53"/>
        <v/>
      </c>
    </row>
    <row r="541" spans="1:12" ht="14.4" customHeight="1" x14ac:dyDescent="0.3">
      <c r="A541">
        <v>147122277</v>
      </c>
      <c r="B541" s="1">
        <v>44883</v>
      </c>
      <c r="C541" s="1">
        <v>44884</v>
      </c>
      <c r="D541" t="s">
        <v>8</v>
      </c>
      <c r="E541">
        <v>39</v>
      </c>
      <c r="F541" t="s">
        <v>6</v>
      </c>
      <c r="G541">
        <f t="shared" si="48"/>
        <v>1</v>
      </c>
      <c r="H541" s="1" t="str">
        <f t="shared" si="49"/>
        <v>Friday</v>
      </c>
      <c r="I541" t="str">
        <f t="shared" si="50"/>
        <v>No</v>
      </c>
      <c r="J541">
        <f t="shared" si="51"/>
        <v>1</v>
      </c>
      <c r="K541">
        <f t="shared" si="52"/>
        <v>0</v>
      </c>
      <c r="L541">
        <f t="shared" si="53"/>
        <v>1</v>
      </c>
    </row>
    <row r="542" spans="1:12" ht="14.4" customHeight="1" x14ac:dyDescent="0.3">
      <c r="A542">
        <v>163623375</v>
      </c>
      <c r="B542" s="1">
        <v>44883</v>
      </c>
      <c r="C542" s="1">
        <v>44884</v>
      </c>
      <c r="D542" t="s">
        <v>8</v>
      </c>
      <c r="E542">
        <v>39</v>
      </c>
      <c r="F542" t="s">
        <v>6</v>
      </c>
      <c r="G542">
        <f t="shared" si="48"/>
        <v>1</v>
      </c>
      <c r="H542" s="1" t="str">
        <f t="shared" si="49"/>
        <v>Friday</v>
      </c>
      <c r="I542" t="str">
        <f t="shared" si="50"/>
        <v>No</v>
      </c>
      <c r="J542">
        <f t="shared" si="51"/>
        <v>1</v>
      </c>
      <c r="K542">
        <f t="shared" si="52"/>
        <v>0</v>
      </c>
      <c r="L542">
        <f t="shared" si="53"/>
        <v>1</v>
      </c>
    </row>
    <row r="543" spans="1:12" x14ac:dyDescent="0.3">
      <c r="A543">
        <v>132918654</v>
      </c>
      <c r="B543" s="1">
        <v>44883</v>
      </c>
      <c r="C543" s="1">
        <v>44944</v>
      </c>
      <c r="D543" t="s">
        <v>7</v>
      </c>
      <c r="E543">
        <v>39</v>
      </c>
      <c r="F543" t="s">
        <v>6</v>
      </c>
      <c r="G543">
        <f t="shared" si="48"/>
        <v>61</v>
      </c>
      <c r="H543" s="1" t="str">
        <f t="shared" si="49"/>
        <v>Friday</v>
      </c>
      <c r="I543" t="str">
        <f t="shared" si="50"/>
        <v>No</v>
      </c>
      <c r="J543">
        <f t="shared" si="51"/>
        <v>0</v>
      </c>
      <c r="K543">
        <f t="shared" si="52"/>
        <v>1</v>
      </c>
      <c r="L543">
        <f t="shared" si="53"/>
        <v>61</v>
      </c>
    </row>
    <row r="544" spans="1:12" x14ac:dyDescent="0.3">
      <c r="A544">
        <v>160601062</v>
      </c>
      <c r="B544" s="1">
        <v>44883</v>
      </c>
      <c r="C544" s="1">
        <v>44935</v>
      </c>
      <c r="D544" t="s">
        <v>7</v>
      </c>
      <c r="E544">
        <v>39</v>
      </c>
      <c r="F544" t="s">
        <v>6</v>
      </c>
      <c r="G544">
        <f t="shared" si="48"/>
        <v>52</v>
      </c>
      <c r="H544" s="1" t="str">
        <f t="shared" si="49"/>
        <v>Friday</v>
      </c>
      <c r="I544" t="str">
        <f t="shared" si="50"/>
        <v>No</v>
      </c>
      <c r="J544">
        <f t="shared" si="51"/>
        <v>0</v>
      </c>
      <c r="K544">
        <f t="shared" si="52"/>
        <v>1</v>
      </c>
      <c r="L544">
        <f t="shared" si="53"/>
        <v>52</v>
      </c>
    </row>
    <row r="545" spans="1:12" x14ac:dyDescent="0.3">
      <c r="A545">
        <v>144573808</v>
      </c>
      <c r="B545" s="1">
        <v>44883</v>
      </c>
      <c r="C545" s="1">
        <v>44944</v>
      </c>
      <c r="D545" t="s">
        <v>7</v>
      </c>
      <c r="E545">
        <v>39</v>
      </c>
      <c r="F545" t="s">
        <v>6</v>
      </c>
      <c r="G545">
        <f t="shared" si="48"/>
        <v>61</v>
      </c>
      <c r="H545" s="1" t="str">
        <f t="shared" si="49"/>
        <v>Friday</v>
      </c>
      <c r="I545" t="str">
        <f t="shared" si="50"/>
        <v>No</v>
      </c>
      <c r="J545">
        <f t="shared" si="51"/>
        <v>0</v>
      </c>
      <c r="K545">
        <f t="shared" si="52"/>
        <v>1</v>
      </c>
      <c r="L545">
        <f t="shared" si="53"/>
        <v>61</v>
      </c>
    </row>
    <row r="546" spans="1:12" ht="14.4" customHeight="1" x14ac:dyDescent="0.3">
      <c r="A546">
        <v>114435366</v>
      </c>
      <c r="B546" s="1">
        <v>44883</v>
      </c>
      <c r="C546" s="1">
        <v>44883</v>
      </c>
      <c r="D546" t="s">
        <v>7</v>
      </c>
      <c r="E546">
        <v>39</v>
      </c>
      <c r="F546" t="s">
        <v>6</v>
      </c>
      <c r="G546">
        <f t="shared" si="48"/>
        <v>0</v>
      </c>
      <c r="H546" s="1" t="str">
        <f t="shared" si="49"/>
        <v>Friday</v>
      </c>
      <c r="I546" t="str">
        <f t="shared" si="50"/>
        <v>Yes</v>
      </c>
      <c r="J546">
        <f t="shared" si="51"/>
        <v>1</v>
      </c>
      <c r="K546">
        <f t="shared" si="52"/>
        <v>0</v>
      </c>
      <c r="L546">
        <f t="shared" si="53"/>
        <v>0</v>
      </c>
    </row>
    <row r="547" spans="1:12" ht="14.4" customHeight="1" x14ac:dyDescent="0.3">
      <c r="A547">
        <v>163399934</v>
      </c>
      <c r="B547" s="1">
        <v>44883</v>
      </c>
      <c r="C547" s="1">
        <v>44883</v>
      </c>
      <c r="D547" t="s">
        <v>7</v>
      </c>
      <c r="E547">
        <v>39</v>
      </c>
      <c r="F547" t="s">
        <v>6</v>
      </c>
      <c r="G547">
        <f t="shared" si="48"/>
        <v>0</v>
      </c>
      <c r="H547" s="1" t="str">
        <f t="shared" si="49"/>
        <v>Friday</v>
      </c>
      <c r="I547" t="str">
        <f t="shared" si="50"/>
        <v>Yes</v>
      </c>
      <c r="J547">
        <f t="shared" si="51"/>
        <v>1</v>
      </c>
      <c r="K547">
        <f t="shared" si="52"/>
        <v>0</v>
      </c>
      <c r="L547">
        <f t="shared" si="53"/>
        <v>0</v>
      </c>
    </row>
    <row r="548" spans="1:12" x14ac:dyDescent="0.3">
      <c r="A548">
        <v>133599090</v>
      </c>
      <c r="B548" s="1">
        <v>44884</v>
      </c>
      <c r="C548" s="1">
        <v>44996</v>
      </c>
      <c r="D548" t="s">
        <v>7</v>
      </c>
      <c r="E548">
        <v>39</v>
      </c>
      <c r="F548" t="s">
        <v>6</v>
      </c>
      <c r="G548">
        <f t="shared" si="48"/>
        <v>112</v>
      </c>
      <c r="H548" s="1" t="str">
        <f t="shared" si="49"/>
        <v>Saturday</v>
      </c>
      <c r="I548" t="str">
        <f t="shared" si="50"/>
        <v>No</v>
      </c>
      <c r="J548">
        <f t="shared" si="51"/>
        <v>0</v>
      </c>
      <c r="K548">
        <f t="shared" si="52"/>
        <v>1</v>
      </c>
      <c r="L548">
        <f t="shared" si="53"/>
        <v>112</v>
      </c>
    </row>
    <row r="549" spans="1:12" x14ac:dyDescent="0.3">
      <c r="A549">
        <v>154767246</v>
      </c>
      <c r="B549" s="1">
        <v>44884</v>
      </c>
      <c r="C549" s="1">
        <v>44915</v>
      </c>
      <c r="D549" t="s">
        <v>7</v>
      </c>
      <c r="E549">
        <v>39</v>
      </c>
      <c r="F549" t="s">
        <v>6</v>
      </c>
      <c r="G549">
        <f t="shared" si="48"/>
        <v>31</v>
      </c>
      <c r="H549" s="1" t="str">
        <f t="shared" si="49"/>
        <v>Saturday</v>
      </c>
      <c r="I549" t="str">
        <f t="shared" si="50"/>
        <v>No</v>
      </c>
      <c r="J549">
        <f t="shared" si="51"/>
        <v>0</v>
      </c>
      <c r="K549">
        <f t="shared" si="52"/>
        <v>1</v>
      </c>
      <c r="L549">
        <f t="shared" si="53"/>
        <v>31</v>
      </c>
    </row>
    <row r="550" spans="1:12" x14ac:dyDescent="0.3">
      <c r="A550">
        <v>164085988</v>
      </c>
      <c r="B550" s="1">
        <v>44884</v>
      </c>
      <c r="C550" s="1">
        <v>44915</v>
      </c>
      <c r="D550" t="s">
        <v>7</v>
      </c>
      <c r="E550">
        <v>39</v>
      </c>
      <c r="F550" t="s">
        <v>6</v>
      </c>
      <c r="G550">
        <f t="shared" si="48"/>
        <v>31</v>
      </c>
      <c r="H550" s="1" t="str">
        <f t="shared" si="49"/>
        <v>Saturday</v>
      </c>
      <c r="I550" t="str">
        <f t="shared" si="50"/>
        <v>No</v>
      </c>
      <c r="J550">
        <f t="shared" si="51"/>
        <v>0</v>
      </c>
      <c r="K550">
        <f t="shared" si="52"/>
        <v>1</v>
      </c>
      <c r="L550">
        <f t="shared" si="53"/>
        <v>31</v>
      </c>
    </row>
    <row r="551" spans="1:12" x14ac:dyDescent="0.3">
      <c r="A551">
        <v>164255751</v>
      </c>
      <c r="B551" s="1">
        <v>44885</v>
      </c>
      <c r="C551" s="1">
        <v>45159</v>
      </c>
      <c r="D551" t="s">
        <v>7</v>
      </c>
      <c r="E551">
        <v>39</v>
      </c>
      <c r="F551" t="s">
        <v>6</v>
      </c>
      <c r="G551">
        <f t="shared" si="48"/>
        <v>274</v>
      </c>
      <c r="H551" s="1" t="str">
        <f t="shared" si="49"/>
        <v>Sunday</v>
      </c>
      <c r="I551" t="str">
        <f t="shared" si="50"/>
        <v>No</v>
      </c>
      <c r="J551">
        <f t="shared" si="51"/>
        <v>0</v>
      </c>
      <c r="K551">
        <f t="shared" si="52"/>
        <v>1</v>
      </c>
      <c r="L551">
        <f t="shared" si="53"/>
        <v>274</v>
      </c>
    </row>
    <row r="552" spans="1:12" x14ac:dyDescent="0.3">
      <c r="A552">
        <v>150663530</v>
      </c>
      <c r="B552" s="1">
        <v>44885</v>
      </c>
      <c r="C552" s="1">
        <v>45043</v>
      </c>
      <c r="D552" t="s">
        <v>7</v>
      </c>
      <c r="E552">
        <v>39</v>
      </c>
      <c r="F552" t="s">
        <v>6</v>
      </c>
      <c r="G552">
        <f t="shared" si="48"/>
        <v>158</v>
      </c>
      <c r="H552" s="1" t="str">
        <f t="shared" si="49"/>
        <v>Sunday</v>
      </c>
      <c r="I552" t="str">
        <f t="shared" si="50"/>
        <v>No</v>
      </c>
      <c r="J552">
        <f t="shared" si="51"/>
        <v>0</v>
      </c>
      <c r="K552">
        <f t="shared" si="52"/>
        <v>1</v>
      </c>
      <c r="L552">
        <f t="shared" si="53"/>
        <v>158</v>
      </c>
    </row>
    <row r="553" spans="1:12" x14ac:dyDescent="0.3">
      <c r="A553">
        <v>155333508</v>
      </c>
      <c r="B553" s="1">
        <v>44885</v>
      </c>
      <c r="C553" s="1">
        <v>44945</v>
      </c>
      <c r="D553" t="s">
        <v>7</v>
      </c>
      <c r="E553">
        <v>39</v>
      </c>
      <c r="F553" t="s">
        <v>6</v>
      </c>
      <c r="G553">
        <f t="shared" si="48"/>
        <v>60</v>
      </c>
      <c r="H553" s="1" t="str">
        <f t="shared" si="49"/>
        <v>Sunday</v>
      </c>
      <c r="I553" t="str">
        <f t="shared" si="50"/>
        <v>No</v>
      </c>
      <c r="J553">
        <f t="shared" si="51"/>
        <v>0</v>
      </c>
      <c r="K553">
        <f t="shared" si="52"/>
        <v>1</v>
      </c>
      <c r="L553">
        <f t="shared" si="53"/>
        <v>60</v>
      </c>
    </row>
    <row r="554" spans="1:12" ht="14.4" customHeight="1" x14ac:dyDescent="0.3">
      <c r="A554">
        <v>163178244</v>
      </c>
      <c r="B554" s="1">
        <v>44886</v>
      </c>
      <c r="D554" t="s">
        <v>8</v>
      </c>
      <c r="E554">
        <v>39</v>
      </c>
      <c r="F554" t="s">
        <v>6</v>
      </c>
      <c r="G554" t="str">
        <f t="shared" si="48"/>
        <v/>
      </c>
      <c r="H554" s="1" t="str">
        <f t="shared" si="49"/>
        <v>Monday</v>
      </c>
      <c r="I554" t="str">
        <f t="shared" si="50"/>
        <v>No</v>
      </c>
      <c r="J554">
        <f t="shared" si="51"/>
        <v>0</v>
      </c>
      <c r="K554">
        <f t="shared" si="52"/>
        <v>0</v>
      </c>
      <c r="L554" t="str">
        <f t="shared" si="53"/>
        <v/>
      </c>
    </row>
    <row r="555" spans="1:12" x14ac:dyDescent="0.3">
      <c r="A555">
        <v>130245484</v>
      </c>
      <c r="B555" s="1">
        <v>44886</v>
      </c>
      <c r="C555" s="1">
        <v>44977</v>
      </c>
      <c r="D555" t="s">
        <v>7</v>
      </c>
      <c r="E555">
        <v>39</v>
      </c>
      <c r="F555" t="s">
        <v>6</v>
      </c>
      <c r="G555">
        <f t="shared" si="48"/>
        <v>91</v>
      </c>
      <c r="H555" s="1" t="str">
        <f t="shared" si="49"/>
        <v>Monday</v>
      </c>
      <c r="I555" t="str">
        <f t="shared" si="50"/>
        <v>No</v>
      </c>
      <c r="J555">
        <f t="shared" si="51"/>
        <v>0</v>
      </c>
      <c r="K555">
        <f t="shared" si="52"/>
        <v>1</v>
      </c>
      <c r="L555">
        <f t="shared" si="53"/>
        <v>91</v>
      </c>
    </row>
    <row r="556" spans="1:12" ht="14.4" customHeight="1" x14ac:dyDescent="0.3">
      <c r="A556">
        <v>164578320</v>
      </c>
      <c r="B556" s="1">
        <v>44886</v>
      </c>
      <c r="C556" s="1">
        <v>44916</v>
      </c>
      <c r="D556" t="s">
        <v>7</v>
      </c>
      <c r="E556">
        <v>39</v>
      </c>
      <c r="F556" t="s">
        <v>6</v>
      </c>
      <c r="G556">
        <f t="shared" si="48"/>
        <v>30</v>
      </c>
      <c r="H556" s="1" t="str">
        <f t="shared" si="49"/>
        <v>Monday</v>
      </c>
      <c r="I556" t="str">
        <f t="shared" si="50"/>
        <v>No</v>
      </c>
      <c r="J556">
        <f t="shared" si="51"/>
        <v>0</v>
      </c>
      <c r="K556">
        <f t="shared" si="52"/>
        <v>0</v>
      </c>
      <c r="L556">
        <f t="shared" si="53"/>
        <v>30</v>
      </c>
    </row>
    <row r="557" spans="1:12" x14ac:dyDescent="0.3">
      <c r="A557">
        <v>164542692</v>
      </c>
      <c r="B557" s="1">
        <v>44886</v>
      </c>
      <c r="C557" s="1">
        <v>44923</v>
      </c>
      <c r="D557" t="s">
        <v>7</v>
      </c>
      <c r="E557">
        <v>39</v>
      </c>
      <c r="F557" t="s">
        <v>6</v>
      </c>
      <c r="G557">
        <f t="shared" si="48"/>
        <v>37</v>
      </c>
      <c r="H557" s="1" t="str">
        <f t="shared" si="49"/>
        <v>Monday</v>
      </c>
      <c r="I557" t="str">
        <f t="shared" si="50"/>
        <v>No</v>
      </c>
      <c r="J557">
        <f t="shared" si="51"/>
        <v>0</v>
      </c>
      <c r="K557">
        <f t="shared" si="52"/>
        <v>1</v>
      </c>
      <c r="L557">
        <f t="shared" si="53"/>
        <v>37</v>
      </c>
    </row>
    <row r="558" spans="1:12" ht="14.4" customHeight="1" x14ac:dyDescent="0.3">
      <c r="A558">
        <v>164087136</v>
      </c>
      <c r="B558" s="1">
        <v>44887</v>
      </c>
      <c r="D558" t="s">
        <v>7</v>
      </c>
      <c r="E558">
        <v>39</v>
      </c>
      <c r="F558" t="s">
        <v>6</v>
      </c>
      <c r="G558" t="str">
        <f t="shared" si="48"/>
        <v/>
      </c>
      <c r="H558" s="1" t="str">
        <f t="shared" si="49"/>
        <v>Tuesday</v>
      </c>
      <c r="I558" t="str">
        <f t="shared" si="50"/>
        <v>No</v>
      </c>
      <c r="J558">
        <f t="shared" si="51"/>
        <v>0</v>
      </c>
      <c r="K558">
        <f t="shared" si="52"/>
        <v>0</v>
      </c>
      <c r="L558" t="str">
        <f t="shared" si="53"/>
        <v/>
      </c>
    </row>
    <row r="559" spans="1:12" ht="14.4" customHeight="1" x14ac:dyDescent="0.3">
      <c r="A559">
        <v>155414052</v>
      </c>
      <c r="B559" s="1">
        <v>44887</v>
      </c>
      <c r="C559" s="1">
        <v>44888</v>
      </c>
      <c r="D559" t="s">
        <v>8</v>
      </c>
      <c r="E559">
        <v>39</v>
      </c>
      <c r="F559" t="s">
        <v>6</v>
      </c>
      <c r="G559">
        <f t="shared" si="48"/>
        <v>1</v>
      </c>
      <c r="H559" s="1" t="str">
        <f t="shared" si="49"/>
        <v>Tuesday</v>
      </c>
      <c r="I559" t="str">
        <f t="shared" si="50"/>
        <v>No</v>
      </c>
      <c r="J559">
        <f t="shared" si="51"/>
        <v>1</v>
      </c>
      <c r="K559">
        <f t="shared" si="52"/>
        <v>0</v>
      </c>
      <c r="L559">
        <f t="shared" si="53"/>
        <v>1</v>
      </c>
    </row>
    <row r="560" spans="1:12" x14ac:dyDescent="0.3">
      <c r="A560">
        <v>152253972</v>
      </c>
      <c r="B560" s="1">
        <v>44887</v>
      </c>
      <c r="C560" s="1">
        <v>45014</v>
      </c>
      <c r="D560" t="s">
        <v>7</v>
      </c>
      <c r="E560">
        <v>39</v>
      </c>
      <c r="F560" t="s">
        <v>6</v>
      </c>
      <c r="G560">
        <f t="shared" si="48"/>
        <v>127</v>
      </c>
      <c r="H560" s="1" t="str">
        <f t="shared" si="49"/>
        <v>Tuesday</v>
      </c>
      <c r="I560" t="str">
        <f t="shared" si="50"/>
        <v>No</v>
      </c>
      <c r="J560">
        <f t="shared" si="51"/>
        <v>0</v>
      </c>
      <c r="K560">
        <f t="shared" si="52"/>
        <v>1</v>
      </c>
      <c r="L560">
        <f t="shared" si="53"/>
        <v>127</v>
      </c>
    </row>
    <row r="561" spans="1:12" x14ac:dyDescent="0.3">
      <c r="A561">
        <v>152754329</v>
      </c>
      <c r="B561" s="1">
        <v>44887</v>
      </c>
      <c r="C561" s="1">
        <v>44949</v>
      </c>
      <c r="D561" t="s">
        <v>7</v>
      </c>
      <c r="E561">
        <v>39</v>
      </c>
      <c r="F561" t="s">
        <v>6</v>
      </c>
      <c r="G561">
        <f t="shared" si="48"/>
        <v>62</v>
      </c>
      <c r="H561" s="1" t="str">
        <f t="shared" si="49"/>
        <v>Tuesday</v>
      </c>
      <c r="I561" t="str">
        <f t="shared" si="50"/>
        <v>No</v>
      </c>
      <c r="J561">
        <f t="shared" si="51"/>
        <v>0</v>
      </c>
      <c r="K561">
        <f t="shared" si="52"/>
        <v>1</v>
      </c>
      <c r="L561">
        <f t="shared" si="53"/>
        <v>62</v>
      </c>
    </row>
    <row r="562" spans="1:12" x14ac:dyDescent="0.3">
      <c r="A562">
        <v>159724071</v>
      </c>
      <c r="B562" s="1">
        <v>44888</v>
      </c>
      <c r="C562" s="1">
        <v>44945</v>
      </c>
      <c r="D562" t="s">
        <v>7</v>
      </c>
      <c r="E562">
        <v>39</v>
      </c>
      <c r="F562" t="s">
        <v>6</v>
      </c>
      <c r="G562">
        <f t="shared" si="48"/>
        <v>57</v>
      </c>
      <c r="H562" s="1" t="str">
        <f t="shared" si="49"/>
        <v>Wednesday</v>
      </c>
      <c r="I562" t="str">
        <f t="shared" si="50"/>
        <v>No</v>
      </c>
      <c r="J562">
        <f t="shared" si="51"/>
        <v>0</v>
      </c>
      <c r="K562">
        <f t="shared" si="52"/>
        <v>1</v>
      </c>
      <c r="L562">
        <f t="shared" si="53"/>
        <v>57</v>
      </c>
    </row>
    <row r="563" spans="1:12" ht="14.4" customHeight="1" x14ac:dyDescent="0.3">
      <c r="A563">
        <v>165164673</v>
      </c>
      <c r="B563" s="1">
        <v>44888</v>
      </c>
      <c r="C563" s="1">
        <v>44891</v>
      </c>
      <c r="D563" t="s">
        <v>7</v>
      </c>
      <c r="E563">
        <v>39</v>
      </c>
      <c r="F563" t="s">
        <v>6</v>
      </c>
      <c r="G563">
        <f t="shared" si="48"/>
        <v>3</v>
      </c>
      <c r="H563" s="1" t="str">
        <f t="shared" si="49"/>
        <v>Wednesday</v>
      </c>
      <c r="I563" t="str">
        <f t="shared" si="50"/>
        <v>No</v>
      </c>
      <c r="J563">
        <f t="shared" si="51"/>
        <v>0</v>
      </c>
      <c r="K563">
        <f t="shared" si="52"/>
        <v>0</v>
      </c>
      <c r="L563">
        <f t="shared" si="53"/>
        <v>3</v>
      </c>
    </row>
    <row r="564" spans="1:12" x14ac:dyDescent="0.3">
      <c r="A564">
        <v>165529460</v>
      </c>
      <c r="B564" s="1">
        <v>44889</v>
      </c>
      <c r="C564" s="1">
        <v>45037</v>
      </c>
      <c r="D564" t="s">
        <v>7</v>
      </c>
      <c r="E564">
        <v>39</v>
      </c>
      <c r="F564" t="s">
        <v>6</v>
      </c>
      <c r="G564">
        <f t="shared" si="48"/>
        <v>148</v>
      </c>
      <c r="H564" s="1" t="str">
        <f t="shared" si="49"/>
        <v>Thursday</v>
      </c>
      <c r="I564" t="str">
        <f t="shared" si="50"/>
        <v>No</v>
      </c>
      <c r="J564">
        <f t="shared" si="51"/>
        <v>0</v>
      </c>
      <c r="K564">
        <f t="shared" si="52"/>
        <v>1</v>
      </c>
      <c r="L564">
        <f t="shared" si="53"/>
        <v>148</v>
      </c>
    </row>
    <row r="565" spans="1:12" ht="14.4" customHeight="1" x14ac:dyDescent="0.3">
      <c r="A565">
        <v>163362190</v>
      </c>
      <c r="B565" s="1">
        <v>44890</v>
      </c>
      <c r="D565" t="s">
        <v>7</v>
      </c>
      <c r="E565">
        <v>39</v>
      </c>
      <c r="F565" t="s">
        <v>6</v>
      </c>
      <c r="G565" t="str">
        <f t="shared" si="48"/>
        <v/>
      </c>
      <c r="H565" s="1" t="str">
        <f t="shared" si="49"/>
        <v>Friday</v>
      </c>
      <c r="I565" t="str">
        <f t="shared" si="50"/>
        <v>No</v>
      </c>
      <c r="J565">
        <f t="shared" si="51"/>
        <v>0</v>
      </c>
      <c r="K565">
        <f t="shared" si="52"/>
        <v>0</v>
      </c>
      <c r="L565" t="str">
        <f t="shared" si="53"/>
        <v/>
      </c>
    </row>
    <row r="566" spans="1:12" ht="14.4" customHeight="1" x14ac:dyDescent="0.3">
      <c r="A566">
        <v>155810350</v>
      </c>
      <c r="B566" s="1">
        <v>44890</v>
      </c>
      <c r="C566" s="1">
        <v>44917</v>
      </c>
      <c r="D566" t="s">
        <v>7</v>
      </c>
      <c r="E566">
        <v>39</v>
      </c>
      <c r="F566" t="s">
        <v>6</v>
      </c>
      <c r="G566">
        <f t="shared" si="48"/>
        <v>27</v>
      </c>
      <c r="H566" s="1" t="str">
        <f t="shared" si="49"/>
        <v>Friday</v>
      </c>
      <c r="I566" t="str">
        <f t="shared" si="50"/>
        <v>No</v>
      </c>
      <c r="J566">
        <f t="shared" si="51"/>
        <v>0</v>
      </c>
      <c r="K566">
        <f t="shared" si="52"/>
        <v>0</v>
      </c>
      <c r="L566">
        <f t="shared" si="53"/>
        <v>27</v>
      </c>
    </row>
    <row r="567" spans="1:12" x14ac:dyDescent="0.3">
      <c r="A567">
        <v>161793136</v>
      </c>
      <c r="B567" s="1">
        <v>44890</v>
      </c>
      <c r="C567" s="1">
        <v>45090</v>
      </c>
      <c r="D567" t="s">
        <v>7</v>
      </c>
      <c r="E567">
        <v>39</v>
      </c>
      <c r="F567" t="s">
        <v>6</v>
      </c>
      <c r="G567">
        <f t="shared" si="48"/>
        <v>200</v>
      </c>
      <c r="H567" s="1" t="str">
        <f t="shared" si="49"/>
        <v>Friday</v>
      </c>
      <c r="I567" t="str">
        <f t="shared" si="50"/>
        <v>No</v>
      </c>
      <c r="J567">
        <f t="shared" si="51"/>
        <v>0</v>
      </c>
      <c r="K567">
        <f t="shared" si="52"/>
        <v>1</v>
      </c>
      <c r="L567">
        <f t="shared" si="53"/>
        <v>200</v>
      </c>
    </row>
    <row r="568" spans="1:12" x14ac:dyDescent="0.3">
      <c r="A568">
        <v>159255776</v>
      </c>
      <c r="B568" s="1">
        <v>44890</v>
      </c>
      <c r="C568" s="1">
        <v>45006</v>
      </c>
      <c r="D568" t="s">
        <v>7</v>
      </c>
      <c r="E568">
        <v>39</v>
      </c>
      <c r="F568" t="s">
        <v>6</v>
      </c>
      <c r="G568">
        <f t="shared" si="48"/>
        <v>116</v>
      </c>
      <c r="H568" s="1" t="str">
        <f t="shared" si="49"/>
        <v>Friday</v>
      </c>
      <c r="I568" t="str">
        <f t="shared" si="50"/>
        <v>No</v>
      </c>
      <c r="J568">
        <f t="shared" si="51"/>
        <v>0</v>
      </c>
      <c r="K568">
        <f t="shared" si="52"/>
        <v>1</v>
      </c>
      <c r="L568">
        <f t="shared" si="53"/>
        <v>116</v>
      </c>
    </row>
    <row r="569" spans="1:12" x14ac:dyDescent="0.3">
      <c r="A569">
        <v>165807144</v>
      </c>
      <c r="B569" s="1">
        <v>44890</v>
      </c>
      <c r="C569" s="1">
        <v>44958</v>
      </c>
      <c r="D569" t="s">
        <v>7</v>
      </c>
      <c r="E569">
        <v>39</v>
      </c>
      <c r="F569" t="s">
        <v>6</v>
      </c>
      <c r="G569">
        <f t="shared" si="48"/>
        <v>68</v>
      </c>
      <c r="H569" s="1" t="str">
        <f t="shared" si="49"/>
        <v>Friday</v>
      </c>
      <c r="I569" t="str">
        <f t="shared" si="50"/>
        <v>No</v>
      </c>
      <c r="J569">
        <f t="shared" si="51"/>
        <v>0</v>
      </c>
      <c r="K569">
        <f t="shared" si="52"/>
        <v>1</v>
      </c>
      <c r="L569">
        <f t="shared" si="53"/>
        <v>68</v>
      </c>
    </row>
    <row r="570" spans="1:12" x14ac:dyDescent="0.3">
      <c r="A570">
        <v>165788743</v>
      </c>
      <c r="B570" s="1">
        <v>44890</v>
      </c>
      <c r="C570" s="1">
        <v>44975</v>
      </c>
      <c r="D570" t="s">
        <v>7</v>
      </c>
      <c r="E570">
        <v>39</v>
      </c>
      <c r="F570" t="s">
        <v>6</v>
      </c>
      <c r="G570">
        <f t="shared" si="48"/>
        <v>85</v>
      </c>
      <c r="H570" s="1" t="str">
        <f t="shared" si="49"/>
        <v>Friday</v>
      </c>
      <c r="I570" t="str">
        <f t="shared" si="50"/>
        <v>No</v>
      </c>
      <c r="J570">
        <f t="shared" si="51"/>
        <v>0</v>
      </c>
      <c r="K570">
        <f t="shared" si="52"/>
        <v>1</v>
      </c>
      <c r="L570">
        <f t="shared" si="53"/>
        <v>85</v>
      </c>
    </row>
    <row r="571" spans="1:12" x14ac:dyDescent="0.3">
      <c r="A571">
        <v>162513776</v>
      </c>
      <c r="B571" s="1">
        <v>44890</v>
      </c>
      <c r="C571" s="1">
        <v>44956</v>
      </c>
      <c r="D571" t="s">
        <v>7</v>
      </c>
      <c r="E571">
        <v>39</v>
      </c>
      <c r="F571" t="s">
        <v>6</v>
      </c>
      <c r="G571">
        <f t="shared" si="48"/>
        <v>66</v>
      </c>
      <c r="H571" s="1" t="str">
        <f t="shared" si="49"/>
        <v>Friday</v>
      </c>
      <c r="I571" t="str">
        <f t="shared" si="50"/>
        <v>No</v>
      </c>
      <c r="J571">
        <f t="shared" si="51"/>
        <v>0</v>
      </c>
      <c r="K571">
        <f t="shared" si="52"/>
        <v>1</v>
      </c>
      <c r="L571">
        <f t="shared" si="53"/>
        <v>66</v>
      </c>
    </row>
    <row r="572" spans="1:12" x14ac:dyDescent="0.3">
      <c r="A572">
        <v>161841028</v>
      </c>
      <c r="B572" s="1">
        <v>44890</v>
      </c>
      <c r="C572" s="1">
        <v>44951</v>
      </c>
      <c r="D572" t="s">
        <v>7</v>
      </c>
      <c r="E572">
        <v>39</v>
      </c>
      <c r="F572" t="s">
        <v>6</v>
      </c>
      <c r="G572">
        <f t="shared" si="48"/>
        <v>61</v>
      </c>
      <c r="H572" s="1" t="str">
        <f t="shared" si="49"/>
        <v>Friday</v>
      </c>
      <c r="I572" t="str">
        <f t="shared" si="50"/>
        <v>No</v>
      </c>
      <c r="J572">
        <f t="shared" si="51"/>
        <v>0</v>
      </c>
      <c r="K572">
        <f t="shared" si="52"/>
        <v>1</v>
      </c>
      <c r="L572">
        <f t="shared" si="53"/>
        <v>61</v>
      </c>
    </row>
    <row r="573" spans="1:12" ht="14.4" customHeight="1" x14ac:dyDescent="0.3">
      <c r="A573">
        <v>160597612</v>
      </c>
      <c r="B573" s="1">
        <v>44890</v>
      </c>
      <c r="C573" s="1">
        <v>44906</v>
      </c>
      <c r="D573" t="s">
        <v>7</v>
      </c>
      <c r="E573">
        <v>39</v>
      </c>
      <c r="F573" t="s">
        <v>6</v>
      </c>
      <c r="G573">
        <f t="shared" si="48"/>
        <v>16</v>
      </c>
      <c r="H573" s="1" t="str">
        <f t="shared" si="49"/>
        <v>Friday</v>
      </c>
      <c r="I573" t="str">
        <f t="shared" si="50"/>
        <v>No</v>
      </c>
      <c r="J573">
        <f t="shared" si="51"/>
        <v>0</v>
      </c>
      <c r="K573">
        <f t="shared" si="52"/>
        <v>0</v>
      </c>
      <c r="L573">
        <f t="shared" si="53"/>
        <v>16</v>
      </c>
    </row>
    <row r="574" spans="1:12" ht="14.4" customHeight="1" x14ac:dyDescent="0.3">
      <c r="A574">
        <v>165937140</v>
      </c>
      <c r="B574" s="1">
        <v>44891</v>
      </c>
      <c r="C574" s="1">
        <v>44892</v>
      </c>
      <c r="D574" t="s">
        <v>8</v>
      </c>
      <c r="E574">
        <v>39</v>
      </c>
      <c r="F574" t="s">
        <v>6</v>
      </c>
      <c r="G574">
        <f t="shared" si="48"/>
        <v>1</v>
      </c>
      <c r="H574" s="1" t="str">
        <f t="shared" si="49"/>
        <v>Saturday</v>
      </c>
      <c r="I574" t="str">
        <f t="shared" si="50"/>
        <v>No</v>
      </c>
      <c r="J574">
        <f t="shared" si="51"/>
        <v>1</v>
      </c>
      <c r="K574">
        <f t="shared" si="52"/>
        <v>0</v>
      </c>
      <c r="L574">
        <f t="shared" si="53"/>
        <v>1</v>
      </c>
    </row>
    <row r="575" spans="1:12" x14ac:dyDescent="0.3">
      <c r="A575">
        <v>165613975</v>
      </c>
      <c r="B575" s="1">
        <v>44891</v>
      </c>
      <c r="C575" s="1">
        <v>45053</v>
      </c>
      <c r="D575" t="s">
        <v>7</v>
      </c>
      <c r="E575">
        <v>39</v>
      </c>
      <c r="F575" t="s">
        <v>6</v>
      </c>
      <c r="G575">
        <f t="shared" si="48"/>
        <v>162</v>
      </c>
      <c r="H575" s="1" t="str">
        <f t="shared" si="49"/>
        <v>Saturday</v>
      </c>
      <c r="I575" t="str">
        <f t="shared" si="50"/>
        <v>No</v>
      </c>
      <c r="J575">
        <f t="shared" si="51"/>
        <v>0</v>
      </c>
      <c r="K575">
        <f t="shared" si="52"/>
        <v>1</v>
      </c>
      <c r="L575">
        <f t="shared" si="53"/>
        <v>162</v>
      </c>
    </row>
    <row r="576" spans="1:12" x14ac:dyDescent="0.3">
      <c r="A576">
        <v>164662173</v>
      </c>
      <c r="B576" s="1">
        <v>44891</v>
      </c>
      <c r="C576" s="1">
        <v>44952</v>
      </c>
      <c r="D576" t="s">
        <v>7</v>
      </c>
      <c r="E576">
        <v>39</v>
      </c>
      <c r="F576" t="s">
        <v>6</v>
      </c>
      <c r="G576">
        <f t="shared" si="48"/>
        <v>61</v>
      </c>
      <c r="H576" s="1" t="str">
        <f t="shared" si="49"/>
        <v>Saturday</v>
      </c>
      <c r="I576" t="str">
        <f t="shared" si="50"/>
        <v>No</v>
      </c>
      <c r="J576">
        <f t="shared" si="51"/>
        <v>0</v>
      </c>
      <c r="K576">
        <f t="shared" si="52"/>
        <v>1</v>
      </c>
      <c r="L576">
        <f t="shared" si="53"/>
        <v>61</v>
      </c>
    </row>
    <row r="577" spans="1:12" x14ac:dyDescent="0.3">
      <c r="A577">
        <v>162411394</v>
      </c>
      <c r="B577" s="1">
        <v>44891</v>
      </c>
      <c r="C577" s="1">
        <v>44930</v>
      </c>
      <c r="D577" t="s">
        <v>7</v>
      </c>
      <c r="E577">
        <v>39</v>
      </c>
      <c r="F577" t="s">
        <v>6</v>
      </c>
      <c r="G577">
        <f t="shared" si="48"/>
        <v>39</v>
      </c>
      <c r="H577" s="1" t="str">
        <f t="shared" si="49"/>
        <v>Saturday</v>
      </c>
      <c r="I577" t="str">
        <f t="shared" si="50"/>
        <v>No</v>
      </c>
      <c r="J577">
        <f t="shared" si="51"/>
        <v>0</v>
      </c>
      <c r="K577">
        <f t="shared" si="52"/>
        <v>1</v>
      </c>
      <c r="L577">
        <f t="shared" si="53"/>
        <v>39</v>
      </c>
    </row>
    <row r="578" spans="1:12" ht="14.4" customHeight="1" x14ac:dyDescent="0.3">
      <c r="A578">
        <v>121439836</v>
      </c>
      <c r="B578" s="1">
        <v>44892</v>
      </c>
      <c r="D578" t="s">
        <v>7</v>
      </c>
      <c r="E578">
        <v>39</v>
      </c>
      <c r="F578" t="s">
        <v>6</v>
      </c>
      <c r="G578" t="str">
        <f t="shared" ref="G578:G641" si="54">IF(C578="","",C578-B578)</f>
        <v/>
      </c>
      <c r="H578" s="1" t="str">
        <f t="shared" si="49"/>
        <v>Sunday</v>
      </c>
      <c r="I578" t="str">
        <f t="shared" si="50"/>
        <v>No</v>
      </c>
      <c r="J578">
        <f t="shared" si="51"/>
        <v>0</v>
      </c>
      <c r="K578">
        <f t="shared" si="52"/>
        <v>0</v>
      </c>
      <c r="L578" t="str">
        <f t="shared" si="53"/>
        <v/>
      </c>
    </row>
    <row r="579" spans="1:12" ht="14.4" customHeight="1" x14ac:dyDescent="0.3">
      <c r="A579">
        <v>157353623</v>
      </c>
      <c r="B579" s="1">
        <v>44892</v>
      </c>
      <c r="C579" s="1">
        <v>44892</v>
      </c>
      <c r="D579" t="s">
        <v>8</v>
      </c>
      <c r="E579">
        <v>39</v>
      </c>
      <c r="F579" t="s">
        <v>6</v>
      </c>
      <c r="G579">
        <f t="shared" si="54"/>
        <v>0</v>
      </c>
      <c r="H579" s="1" t="str">
        <f t="shared" ref="H579:H642" si="55">TEXT(B579,"dddd")</f>
        <v>Sunday</v>
      </c>
      <c r="I579" t="str">
        <f t="shared" ref="I579:I642" si="56">IF(B579=C579,"Yes","No")</f>
        <v>Yes</v>
      </c>
      <c r="J579">
        <f t="shared" ref="J579:J642" si="57">IF(AND(C579&lt;&gt;"",C579-B579&lt;=2),1,0)</f>
        <v>1</v>
      </c>
      <c r="K579">
        <f t="shared" ref="K579:K642" si="58">IF(AND(C579&lt;&gt;"",C579-B579&gt;30),1,0)</f>
        <v>0</v>
      </c>
      <c r="L579">
        <f t="shared" ref="L579:L642" si="59">IF(C579="","",C579-B579)</f>
        <v>0</v>
      </c>
    </row>
    <row r="580" spans="1:12" x14ac:dyDescent="0.3">
      <c r="A580">
        <v>165953219</v>
      </c>
      <c r="B580" s="1">
        <v>44892</v>
      </c>
      <c r="C580" s="1">
        <v>44929</v>
      </c>
      <c r="D580" t="s">
        <v>7</v>
      </c>
      <c r="E580">
        <v>39</v>
      </c>
      <c r="F580" t="s">
        <v>6</v>
      </c>
      <c r="G580">
        <f t="shared" si="54"/>
        <v>37</v>
      </c>
      <c r="H580" s="1" t="str">
        <f t="shared" si="55"/>
        <v>Sunday</v>
      </c>
      <c r="I580" t="str">
        <f t="shared" si="56"/>
        <v>No</v>
      </c>
      <c r="J580">
        <f t="shared" si="57"/>
        <v>0</v>
      </c>
      <c r="K580">
        <f t="shared" si="58"/>
        <v>1</v>
      </c>
      <c r="L580">
        <f t="shared" si="59"/>
        <v>37</v>
      </c>
    </row>
    <row r="581" spans="1:12" ht="14.4" customHeight="1" x14ac:dyDescent="0.3">
      <c r="A581">
        <v>154710805</v>
      </c>
      <c r="B581" s="1">
        <v>44893</v>
      </c>
      <c r="D581" t="s">
        <v>7</v>
      </c>
      <c r="E581">
        <v>39</v>
      </c>
      <c r="F581" t="s">
        <v>6</v>
      </c>
      <c r="G581" t="str">
        <f t="shared" si="54"/>
        <v/>
      </c>
      <c r="H581" s="1" t="str">
        <f t="shared" si="55"/>
        <v>Monday</v>
      </c>
      <c r="I581" t="str">
        <f t="shared" si="56"/>
        <v>No</v>
      </c>
      <c r="J581">
        <f t="shared" si="57"/>
        <v>0</v>
      </c>
      <c r="K581">
        <f t="shared" si="58"/>
        <v>0</v>
      </c>
      <c r="L581" t="str">
        <f t="shared" si="59"/>
        <v/>
      </c>
    </row>
    <row r="582" spans="1:12" ht="14.4" customHeight="1" x14ac:dyDescent="0.3">
      <c r="A582">
        <v>164084318</v>
      </c>
      <c r="B582" s="1">
        <v>44893</v>
      </c>
      <c r="D582" t="s">
        <v>7</v>
      </c>
      <c r="E582">
        <v>39</v>
      </c>
      <c r="F582" t="s">
        <v>6</v>
      </c>
      <c r="G582" t="str">
        <f t="shared" si="54"/>
        <v/>
      </c>
      <c r="H582" s="1" t="str">
        <f t="shared" si="55"/>
        <v>Monday</v>
      </c>
      <c r="I582" t="str">
        <f t="shared" si="56"/>
        <v>No</v>
      </c>
      <c r="J582">
        <f t="shared" si="57"/>
        <v>0</v>
      </c>
      <c r="K582">
        <f t="shared" si="58"/>
        <v>0</v>
      </c>
      <c r="L582" t="str">
        <f t="shared" si="59"/>
        <v/>
      </c>
    </row>
    <row r="583" spans="1:12" ht="14.4" customHeight="1" x14ac:dyDescent="0.3">
      <c r="A583">
        <v>160043327</v>
      </c>
      <c r="B583" s="1">
        <v>44893</v>
      </c>
      <c r="C583" s="1">
        <v>44894</v>
      </c>
      <c r="D583" t="s">
        <v>8</v>
      </c>
      <c r="E583">
        <v>39</v>
      </c>
      <c r="F583" t="s">
        <v>6</v>
      </c>
      <c r="G583">
        <f t="shared" si="54"/>
        <v>1</v>
      </c>
      <c r="H583" s="1" t="str">
        <f t="shared" si="55"/>
        <v>Monday</v>
      </c>
      <c r="I583" t="str">
        <f t="shared" si="56"/>
        <v>No</v>
      </c>
      <c r="J583">
        <f t="shared" si="57"/>
        <v>1</v>
      </c>
      <c r="K583">
        <f t="shared" si="58"/>
        <v>0</v>
      </c>
      <c r="L583">
        <f t="shared" si="59"/>
        <v>1</v>
      </c>
    </row>
    <row r="584" spans="1:12" x14ac:dyDescent="0.3">
      <c r="A584">
        <v>131166579</v>
      </c>
      <c r="B584" s="1">
        <v>44893</v>
      </c>
      <c r="C584" s="1">
        <v>44930</v>
      </c>
      <c r="D584" t="s">
        <v>7</v>
      </c>
      <c r="E584">
        <v>39</v>
      </c>
      <c r="F584" t="s">
        <v>6</v>
      </c>
      <c r="G584">
        <f t="shared" si="54"/>
        <v>37</v>
      </c>
      <c r="H584" s="1" t="str">
        <f t="shared" si="55"/>
        <v>Monday</v>
      </c>
      <c r="I584" t="str">
        <f t="shared" si="56"/>
        <v>No</v>
      </c>
      <c r="J584">
        <f t="shared" si="57"/>
        <v>0</v>
      </c>
      <c r="K584">
        <f t="shared" si="58"/>
        <v>1</v>
      </c>
      <c r="L584">
        <f t="shared" si="59"/>
        <v>37</v>
      </c>
    </row>
    <row r="585" spans="1:12" x14ac:dyDescent="0.3">
      <c r="A585">
        <v>166109726</v>
      </c>
      <c r="B585" s="1">
        <v>44893</v>
      </c>
      <c r="C585" s="1">
        <v>44938</v>
      </c>
      <c r="D585" t="s">
        <v>7</v>
      </c>
      <c r="E585">
        <v>39</v>
      </c>
      <c r="F585" t="s">
        <v>6</v>
      </c>
      <c r="G585">
        <f t="shared" si="54"/>
        <v>45</v>
      </c>
      <c r="H585" s="1" t="str">
        <f t="shared" si="55"/>
        <v>Monday</v>
      </c>
      <c r="I585" t="str">
        <f t="shared" si="56"/>
        <v>No</v>
      </c>
      <c r="J585">
        <f t="shared" si="57"/>
        <v>0</v>
      </c>
      <c r="K585">
        <f t="shared" si="58"/>
        <v>1</v>
      </c>
      <c r="L585">
        <f t="shared" si="59"/>
        <v>45</v>
      </c>
    </row>
    <row r="586" spans="1:12" x14ac:dyDescent="0.3">
      <c r="A586">
        <v>155446081</v>
      </c>
      <c r="B586" s="1">
        <v>44893</v>
      </c>
      <c r="C586" s="1">
        <v>44927</v>
      </c>
      <c r="D586" t="s">
        <v>7</v>
      </c>
      <c r="E586">
        <v>39</v>
      </c>
      <c r="F586" t="s">
        <v>6</v>
      </c>
      <c r="G586">
        <f t="shared" si="54"/>
        <v>34</v>
      </c>
      <c r="H586" s="1" t="str">
        <f t="shared" si="55"/>
        <v>Monday</v>
      </c>
      <c r="I586" t="str">
        <f t="shared" si="56"/>
        <v>No</v>
      </c>
      <c r="J586">
        <f t="shared" si="57"/>
        <v>0</v>
      </c>
      <c r="K586">
        <f t="shared" si="58"/>
        <v>1</v>
      </c>
      <c r="L586">
        <f t="shared" si="59"/>
        <v>34</v>
      </c>
    </row>
    <row r="587" spans="1:12" ht="14.4" customHeight="1" x14ac:dyDescent="0.3">
      <c r="A587">
        <v>166342075</v>
      </c>
      <c r="B587" s="1">
        <v>44893</v>
      </c>
      <c r="C587" s="1">
        <v>44923</v>
      </c>
      <c r="D587" t="s">
        <v>7</v>
      </c>
      <c r="E587">
        <v>39</v>
      </c>
      <c r="F587" t="s">
        <v>6</v>
      </c>
      <c r="G587">
        <f t="shared" si="54"/>
        <v>30</v>
      </c>
      <c r="H587" s="1" t="str">
        <f t="shared" si="55"/>
        <v>Monday</v>
      </c>
      <c r="I587" t="str">
        <f t="shared" si="56"/>
        <v>No</v>
      </c>
      <c r="J587">
        <f t="shared" si="57"/>
        <v>0</v>
      </c>
      <c r="K587">
        <f t="shared" si="58"/>
        <v>0</v>
      </c>
      <c r="L587">
        <f t="shared" si="59"/>
        <v>30</v>
      </c>
    </row>
    <row r="588" spans="1:12" x14ac:dyDescent="0.3">
      <c r="A588">
        <v>154063985</v>
      </c>
      <c r="B588" s="1">
        <v>44893</v>
      </c>
      <c r="C588" s="1">
        <v>45142</v>
      </c>
      <c r="D588" t="s">
        <v>7</v>
      </c>
      <c r="E588">
        <v>39</v>
      </c>
      <c r="F588" t="s">
        <v>6</v>
      </c>
      <c r="G588">
        <f t="shared" si="54"/>
        <v>249</v>
      </c>
      <c r="H588" s="1" t="str">
        <f t="shared" si="55"/>
        <v>Monday</v>
      </c>
      <c r="I588" t="str">
        <f t="shared" si="56"/>
        <v>No</v>
      </c>
      <c r="J588">
        <f t="shared" si="57"/>
        <v>0</v>
      </c>
      <c r="K588">
        <f t="shared" si="58"/>
        <v>1</v>
      </c>
      <c r="L588">
        <f t="shared" si="59"/>
        <v>249</v>
      </c>
    </row>
    <row r="589" spans="1:12" ht="14.4" customHeight="1" x14ac:dyDescent="0.3">
      <c r="A589">
        <v>164141888</v>
      </c>
      <c r="B589" s="1">
        <v>44894</v>
      </c>
      <c r="D589" t="s">
        <v>7</v>
      </c>
      <c r="E589">
        <v>39</v>
      </c>
      <c r="F589" t="s">
        <v>6</v>
      </c>
      <c r="G589" t="str">
        <f t="shared" si="54"/>
        <v/>
      </c>
      <c r="H589" s="1" t="str">
        <f t="shared" si="55"/>
        <v>Tuesday</v>
      </c>
      <c r="I589" t="str">
        <f t="shared" si="56"/>
        <v>No</v>
      </c>
      <c r="J589">
        <f t="shared" si="57"/>
        <v>0</v>
      </c>
      <c r="K589">
        <f t="shared" si="58"/>
        <v>0</v>
      </c>
      <c r="L589" t="str">
        <f t="shared" si="59"/>
        <v/>
      </c>
    </row>
    <row r="590" spans="1:12" x14ac:dyDescent="0.3">
      <c r="A590">
        <v>165244044</v>
      </c>
      <c r="B590" s="1">
        <v>44894</v>
      </c>
      <c r="C590" s="1">
        <v>45061</v>
      </c>
      <c r="D590" t="s">
        <v>7</v>
      </c>
      <c r="E590">
        <v>39</v>
      </c>
      <c r="F590" t="s">
        <v>6</v>
      </c>
      <c r="G590">
        <f t="shared" si="54"/>
        <v>167</v>
      </c>
      <c r="H590" s="1" t="str">
        <f t="shared" si="55"/>
        <v>Tuesday</v>
      </c>
      <c r="I590" t="str">
        <f t="shared" si="56"/>
        <v>No</v>
      </c>
      <c r="J590">
        <f t="shared" si="57"/>
        <v>0</v>
      </c>
      <c r="K590">
        <f t="shared" si="58"/>
        <v>1</v>
      </c>
      <c r="L590">
        <f t="shared" si="59"/>
        <v>167</v>
      </c>
    </row>
    <row r="591" spans="1:12" x14ac:dyDescent="0.3">
      <c r="A591">
        <v>136149379</v>
      </c>
      <c r="B591" s="1">
        <v>44894</v>
      </c>
      <c r="C591" s="1">
        <v>45018</v>
      </c>
      <c r="D591" t="s">
        <v>7</v>
      </c>
      <c r="E591">
        <v>39</v>
      </c>
      <c r="F591" t="s">
        <v>6</v>
      </c>
      <c r="G591">
        <f t="shared" si="54"/>
        <v>124</v>
      </c>
      <c r="H591" s="1" t="str">
        <f t="shared" si="55"/>
        <v>Tuesday</v>
      </c>
      <c r="I591" t="str">
        <f t="shared" si="56"/>
        <v>No</v>
      </c>
      <c r="J591">
        <f t="shared" si="57"/>
        <v>0</v>
      </c>
      <c r="K591">
        <f t="shared" si="58"/>
        <v>1</v>
      </c>
      <c r="L591">
        <f t="shared" si="59"/>
        <v>124</v>
      </c>
    </row>
    <row r="592" spans="1:12" x14ac:dyDescent="0.3">
      <c r="A592">
        <v>158227426</v>
      </c>
      <c r="B592" s="1">
        <v>44894</v>
      </c>
      <c r="C592" s="1">
        <v>44986</v>
      </c>
      <c r="D592" t="s">
        <v>7</v>
      </c>
      <c r="E592">
        <v>39</v>
      </c>
      <c r="F592" t="s">
        <v>6</v>
      </c>
      <c r="G592">
        <f t="shared" si="54"/>
        <v>92</v>
      </c>
      <c r="H592" s="1" t="str">
        <f t="shared" si="55"/>
        <v>Tuesday</v>
      </c>
      <c r="I592" t="str">
        <f t="shared" si="56"/>
        <v>No</v>
      </c>
      <c r="J592">
        <f t="shared" si="57"/>
        <v>0</v>
      </c>
      <c r="K592">
        <f t="shared" si="58"/>
        <v>1</v>
      </c>
      <c r="L592">
        <f t="shared" si="59"/>
        <v>92</v>
      </c>
    </row>
    <row r="593" spans="1:12" x14ac:dyDescent="0.3">
      <c r="A593">
        <v>166366125</v>
      </c>
      <c r="B593" s="1">
        <v>44894</v>
      </c>
      <c r="C593" s="1">
        <v>44994</v>
      </c>
      <c r="D593" t="s">
        <v>7</v>
      </c>
      <c r="E593">
        <v>39</v>
      </c>
      <c r="F593" t="s">
        <v>6</v>
      </c>
      <c r="G593">
        <f t="shared" si="54"/>
        <v>100</v>
      </c>
      <c r="H593" s="1" t="str">
        <f t="shared" si="55"/>
        <v>Tuesday</v>
      </c>
      <c r="I593" t="str">
        <f t="shared" si="56"/>
        <v>No</v>
      </c>
      <c r="J593">
        <f t="shared" si="57"/>
        <v>0</v>
      </c>
      <c r="K593">
        <f t="shared" si="58"/>
        <v>1</v>
      </c>
      <c r="L593">
        <f t="shared" si="59"/>
        <v>100</v>
      </c>
    </row>
    <row r="594" spans="1:12" x14ac:dyDescent="0.3">
      <c r="A594">
        <v>166753946</v>
      </c>
      <c r="B594" s="1">
        <v>44894</v>
      </c>
      <c r="C594" s="1">
        <v>44962</v>
      </c>
      <c r="D594" t="s">
        <v>7</v>
      </c>
      <c r="E594">
        <v>39</v>
      </c>
      <c r="F594" t="s">
        <v>6</v>
      </c>
      <c r="G594">
        <f t="shared" si="54"/>
        <v>68</v>
      </c>
      <c r="H594" s="1" t="str">
        <f t="shared" si="55"/>
        <v>Tuesday</v>
      </c>
      <c r="I594" t="str">
        <f t="shared" si="56"/>
        <v>No</v>
      </c>
      <c r="J594">
        <f t="shared" si="57"/>
        <v>0</v>
      </c>
      <c r="K594">
        <f t="shared" si="58"/>
        <v>1</v>
      </c>
      <c r="L594">
        <f t="shared" si="59"/>
        <v>68</v>
      </c>
    </row>
    <row r="595" spans="1:12" x14ac:dyDescent="0.3">
      <c r="A595">
        <v>157883110</v>
      </c>
      <c r="B595" s="1">
        <v>44894</v>
      </c>
      <c r="C595" s="1">
        <v>44949</v>
      </c>
      <c r="D595" t="s">
        <v>7</v>
      </c>
      <c r="E595">
        <v>39</v>
      </c>
      <c r="F595" t="s">
        <v>6</v>
      </c>
      <c r="G595">
        <f t="shared" si="54"/>
        <v>55</v>
      </c>
      <c r="H595" s="1" t="str">
        <f t="shared" si="55"/>
        <v>Tuesday</v>
      </c>
      <c r="I595" t="str">
        <f t="shared" si="56"/>
        <v>No</v>
      </c>
      <c r="J595">
        <f t="shared" si="57"/>
        <v>0</v>
      </c>
      <c r="K595">
        <f t="shared" si="58"/>
        <v>1</v>
      </c>
      <c r="L595">
        <f t="shared" si="59"/>
        <v>55</v>
      </c>
    </row>
    <row r="596" spans="1:12" ht="14.4" customHeight="1" x14ac:dyDescent="0.3">
      <c r="A596">
        <v>138475621</v>
      </c>
      <c r="B596" s="1">
        <v>44894</v>
      </c>
      <c r="C596" s="1">
        <v>44910</v>
      </c>
      <c r="D596" t="s">
        <v>7</v>
      </c>
      <c r="E596">
        <v>39</v>
      </c>
      <c r="F596" t="s">
        <v>6</v>
      </c>
      <c r="G596">
        <f t="shared" si="54"/>
        <v>16</v>
      </c>
      <c r="H596" s="1" t="str">
        <f t="shared" si="55"/>
        <v>Tuesday</v>
      </c>
      <c r="I596" t="str">
        <f t="shared" si="56"/>
        <v>No</v>
      </c>
      <c r="J596">
        <f t="shared" si="57"/>
        <v>0</v>
      </c>
      <c r="K596">
        <f t="shared" si="58"/>
        <v>0</v>
      </c>
      <c r="L596">
        <f t="shared" si="59"/>
        <v>16</v>
      </c>
    </row>
    <row r="597" spans="1:12" ht="14.4" customHeight="1" x14ac:dyDescent="0.3">
      <c r="A597">
        <v>166529240</v>
      </c>
      <c r="B597" s="1">
        <v>44895</v>
      </c>
      <c r="D597" t="s">
        <v>7</v>
      </c>
      <c r="E597">
        <v>39</v>
      </c>
      <c r="F597" t="s">
        <v>6</v>
      </c>
      <c r="G597" t="str">
        <f t="shared" si="54"/>
        <v/>
      </c>
      <c r="H597" s="1" t="str">
        <f t="shared" si="55"/>
        <v>Wednesday</v>
      </c>
      <c r="I597" t="str">
        <f t="shared" si="56"/>
        <v>No</v>
      </c>
      <c r="J597">
        <f t="shared" si="57"/>
        <v>0</v>
      </c>
      <c r="K597">
        <f t="shared" si="58"/>
        <v>0</v>
      </c>
      <c r="L597" t="str">
        <f t="shared" si="59"/>
        <v/>
      </c>
    </row>
    <row r="598" spans="1:12" x14ac:dyDescent="0.3">
      <c r="A598">
        <v>125828506</v>
      </c>
      <c r="B598" s="1">
        <v>44895</v>
      </c>
      <c r="C598" s="1">
        <v>44971</v>
      </c>
      <c r="D598" t="s">
        <v>7</v>
      </c>
      <c r="E598">
        <v>39</v>
      </c>
      <c r="F598" t="s">
        <v>6</v>
      </c>
      <c r="G598">
        <f t="shared" si="54"/>
        <v>76</v>
      </c>
      <c r="H598" s="1" t="str">
        <f t="shared" si="55"/>
        <v>Wednesday</v>
      </c>
      <c r="I598" t="str">
        <f t="shared" si="56"/>
        <v>No</v>
      </c>
      <c r="J598">
        <f t="shared" si="57"/>
        <v>0</v>
      </c>
      <c r="K598">
        <f t="shared" si="58"/>
        <v>1</v>
      </c>
      <c r="L598">
        <f t="shared" si="59"/>
        <v>76</v>
      </c>
    </row>
    <row r="599" spans="1:12" x14ac:dyDescent="0.3">
      <c r="A599">
        <v>148869381</v>
      </c>
      <c r="B599" s="1">
        <v>44895</v>
      </c>
      <c r="C599" s="1">
        <v>44957</v>
      </c>
      <c r="D599" t="s">
        <v>7</v>
      </c>
      <c r="E599">
        <v>39</v>
      </c>
      <c r="F599" t="s">
        <v>6</v>
      </c>
      <c r="G599">
        <f t="shared" si="54"/>
        <v>62</v>
      </c>
      <c r="H599" s="1" t="str">
        <f t="shared" si="55"/>
        <v>Wednesday</v>
      </c>
      <c r="I599" t="str">
        <f t="shared" si="56"/>
        <v>No</v>
      </c>
      <c r="J599">
        <f t="shared" si="57"/>
        <v>0</v>
      </c>
      <c r="K599">
        <f t="shared" si="58"/>
        <v>1</v>
      </c>
      <c r="L599">
        <f t="shared" si="59"/>
        <v>62</v>
      </c>
    </row>
    <row r="600" spans="1:12" x14ac:dyDescent="0.3">
      <c r="A600">
        <v>134825962</v>
      </c>
      <c r="B600" s="1">
        <v>44895</v>
      </c>
      <c r="C600" s="1">
        <v>44927</v>
      </c>
      <c r="D600" t="s">
        <v>7</v>
      </c>
      <c r="E600">
        <v>39</v>
      </c>
      <c r="F600" t="s">
        <v>6</v>
      </c>
      <c r="G600">
        <f t="shared" si="54"/>
        <v>32</v>
      </c>
      <c r="H600" s="1" t="str">
        <f t="shared" si="55"/>
        <v>Wednesday</v>
      </c>
      <c r="I600" t="str">
        <f t="shared" si="56"/>
        <v>No</v>
      </c>
      <c r="J600">
        <f t="shared" si="57"/>
        <v>0</v>
      </c>
      <c r="K600">
        <f t="shared" si="58"/>
        <v>1</v>
      </c>
      <c r="L600">
        <f t="shared" si="59"/>
        <v>32</v>
      </c>
    </row>
    <row r="601" spans="1:12" x14ac:dyDescent="0.3">
      <c r="A601">
        <v>151163143</v>
      </c>
      <c r="B601" s="1">
        <v>44895</v>
      </c>
      <c r="C601" s="1">
        <v>44932</v>
      </c>
      <c r="D601" t="s">
        <v>7</v>
      </c>
      <c r="E601">
        <v>39</v>
      </c>
      <c r="F601" t="s">
        <v>6</v>
      </c>
      <c r="G601">
        <f t="shared" si="54"/>
        <v>37</v>
      </c>
      <c r="H601" s="1" t="str">
        <f t="shared" si="55"/>
        <v>Wednesday</v>
      </c>
      <c r="I601" t="str">
        <f t="shared" si="56"/>
        <v>No</v>
      </c>
      <c r="J601">
        <f t="shared" si="57"/>
        <v>0</v>
      </c>
      <c r="K601">
        <f t="shared" si="58"/>
        <v>1</v>
      </c>
      <c r="L601">
        <f t="shared" si="59"/>
        <v>37</v>
      </c>
    </row>
    <row r="602" spans="1:12" ht="14.4" customHeight="1" x14ac:dyDescent="0.3">
      <c r="A602">
        <v>156111982</v>
      </c>
      <c r="B602" s="1">
        <v>44895</v>
      </c>
      <c r="C602" s="1">
        <v>44918</v>
      </c>
      <c r="D602" t="s">
        <v>7</v>
      </c>
      <c r="E602">
        <v>39</v>
      </c>
      <c r="F602" t="s">
        <v>6</v>
      </c>
      <c r="G602">
        <f t="shared" si="54"/>
        <v>23</v>
      </c>
      <c r="H602" s="1" t="str">
        <f t="shared" si="55"/>
        <v>Wednesday</v>
      </c>
      <c r="I602" t="str">
        <f t="shared" si="56"/>
        <v>No</v>
      </c>
      <c r="J602">
        <f t="shared" si="57"/>
        <v>0</v>
      </c>
      <c r="K602">
        <f t="shared" si="58"/>
        <v>0</v>
      </c>
      <c r="L602">
        <f t="shared" si="59"/>
        <v>23</v>
      </c>
    </row>
    <row r="603" spans="1:12" ht="14.4" customHeight="1" x14ac:dyDescent="0.3">
      <c r="A603">
        <v>166546201</v>
      </c>
      <c r="B603" s="1">
        <v>44895</v>
      </c>
      <c r="C603" s="1">
        <v>44906</v>
      </c>
      <c r="D603" t="s">
        <v>7</v>
      </c>
      <c r="E603">
        <v>39</v>
      </c>
      <c r="F603" t="s">
        <v>6</v>
      </c>
      <c r="G603">
        <f t="shared" si="54"/>
        <v>11</v>
      </c>
      <c r="H603" s="1" t="str">
        <f t="shared" si="55"/>
        <v>Wednesday</v>
      </c>
      <c r="I603" t="str">
        <f t="shared" si="56"/>
        <v>No</v>
      </c>
      <c r="J603">
        <f t="shared" si="57"/>
        <v>0</v>
      </c>
      <c r="K603">
        <f t="shared" si="58"/>
        <v>0</v>
      </c>
      <c r="L603">
        <f t="shared" si="59"/>
        <v>11</v>
      </c>
    </row>
    <row r="604" spans="1:12" ht="14.4" customHeight="1" x14ac:dyDescent="0.3">
      <c r="A604">
        <v>162126074</v>
      </c>
      <c r="B604" s="1">
        <v>44896</v>
      </c>
      <c r="D604" t="s">
        <v>7</v>
      </c>
      <c r="E604">
        <v>39</v>
      </c>
      <c r="F604" t="s">
        <v>6</v>
      </c>
      <c r="G604" t="str">
        <f t="shared" si="54"/>
        <v/>
      </c>
      <c r="H604" s="1" t="str">
        <f t="shared" si="55"/>
        <v>Thursday</v>
      </c>
      <c r="I604" t="str">
        <f t="shared" si="56"/>
        <v>No</v>
      </c>
      <c r="J604">
        <f t="shared" si="57"/>
        <v>0</v>
      </c>
      <c r="K604">
        <f t="shared" si="58"/>
        <v>0</v>
      </c>
      <c r="L604" t="str">
        <f t="shared" si="59"/>
        <v/>
      </c>
    </row>
    <row r="605" spans="1:12" ht="14.4" customHeight="1" x14ac:dyDescent="0.3">
      <c r="A605">
        <v>162640429</v>
      </c>
      <c r="B605" s="1">
        <v>44896</v>
      </c>
      <c r="D605" t="s">
        <v>7</v>
      </c>
      <c r="E605">
        <v>39</v>
      </c>
      <c r="F605" t="s">
        <v>6</v>
      </c>
      <c r="G605" t="str">
        <f t="shared" si="54"/>
        <v/>
      </c>
      <c r="H605" s="1" t="str">
        <f t="shared" si="55"/>
        <v>Thursday</v>
      </c>
      <c r="I605" t="str">
        <f t="shared" si="56"/>
        <v>No</v>
      </c>
      <c r="J605">
        <f t="shared" si="57"/>
        <v>0</v>
      </c>
      <c r="K605">
        <f t="shared" si="58"/>
        <v>0</v>
      </c>
      <c r="L605" t="str">
        <f t="shared" si="59"/>
        <v/>
      </c>
    </row>
    <row r="606" spans="1:12" ht="14.4" customHeight="1" x14ac:dyDescent="0.3">
      <c r="A606">
        <v>164413682</v>
      </c>
      <c r="B606" s="1">
        <v>44896</v>
      </c>
      <c r="D606" t="s">
        <v>7</v>
      </c>
      <c r="E606">
        <v>39</v>
      </c>
      <c r="F606" t="s">
        <v>6</v>
      </c>
      <c r="G606" t="str">
        <f t="shared" si="54"/>
        <v/>
      </c>
      <c r="H606" s="1" t="str">
        <f t="shared" si="55"/>
        <v>Thursday</v>
      </c>
      <c r="I606" t="str">
        <f t="shared" si="56"/>
        <v>No</v>
      </c>
      <c r="J606">
        <f t="shared" si="57"/>
        <v>0</v>
      </c>
      <c r="K606">
        <f t="shared" si="58"/>
        <v>0</v>
      </c>
      <c r="L606" t="str">
        <f t="shared" si="59"/>
        <v/>
      </c>
    </row>
    <row r="607" spans="1:12" ht="14.4" customHeight="1" x14ac:dyDescent="0.3">
      <c r="A607">
        <v>162850052</v>
      </c>
      <c r="B607" s="1">
        <v>44896</v>
      </c>
      <c r="D607" t="s">
        <v>7</v>
      </c>
      <c r="E607">
        <v>39</v>
      </c>
      <c r="F607" t="s">
        <v>6</v>
      </c>
      <c r="G607" t="str">
        <f t="shared" si="54"/>
        <v/>
      </c>
      <c r="H607" s="1" t="str">
        <f t="shared" si="55"/>
        <v>Thursday</v>
      </c>
      <c r="I607" t="str">
        <f t="shared" si="56"/>
        <v>No</v>
      </c>
      <c r="J607">
        <f t="shared" si="57"/>
        <v>0</v>
      </c>
      <c r="K607">
        <f t="shared" si="58"/>
        <v>0</v>
      </c>
      <c r="L607" t="str">
        <f t="shared" si="59"/>
        <v/>
      </c>
    </row>
    <row r="608" spans="1:12" ht="14.4" customHeight="1" x14ac:dyDescent="0.3">
      <c r="A608">
        <v>162177746</v>
      </c>
      <c r="B608" s="1">
        <v>44896</v>
      </c>
      <c r="C608" s="1">
        <v>44924</v>
      </c>
      <c r="D608" t="s">
        <v>7</v>
      </c>
      <c r="E608">
        <v>39</v>
      </c>
      <c r="F608" t="s">
        <v>6</v>
      </c>
      <c r="G608">
        <f t="shared" si="54"/>
        <v>28</v>
      </c>
      <c r="H608" s="1" t="str">
        <f t="shared" si="55"/>
        <v>Thursday</v>
      </c>
      <c r="I608" t="str">
        <f t="shared" si="56"/>
        <v>No</v>
      </c>
      <c r="J608">
        <f t="shared" si="57"/>
        <v>0</v>
      </c>
      <c r="K608">
        <f t="shared" si="58"/>
        <v>0</v>
      </c>
      <c r="L608">
        <f t="shared" si="59"/>
        <v>28</v>
      </c>
    </row>
    <row r="609" spans="1:12" x14ac:dyDescent="0.3">
      <c r="A609">
        <v>135587508</v>
      </c>
      <c r="B609" s="1">
        <v>44896</v>
      </c>
      <c r="C609" s="1">
        <v>44966</v>
      </c>
      <c r="D609" t="s">
        <v>7</v>
      </c>
      <c r="E609">
        <v>39</v>
      </c>
      <c r="F609" t="s">
        <v>6</v>
      </c>
      <c r="G609">
        <f t="shared" si="54"/>
        <v>70</v>
      </c>
      <c r="H609" s="1" t="str">
        <f t="shared" si="55"/>
        <v>Thursday</v>
      </c>
      <c r="I609" t="str">
        <f t="shared" si="56"/>
        <v>No</v>
      </c>
      <c r="J609">
        <f t="shared" si="57"/>
        <v>0</v>
      </c>
      <c r="K609">
        <f t="shared" si="58"/>
        <v>1</v>
      </c>
      <c r="L609">
        <f t="shared" si="59"/>
        <v>70</v>
      </c>
    </row>
    <row r="610" spans="1:12" x14ac:dyDescent="0.3">
      <c r="A610">
        <v>161428649</v>
      </c>
      <c r="B610" s="1">
        <v>44896</v>
      </c>
      <c r="C610" s="1">
        <v>45024</v>
      </c>
      <c r="D610" t="s">
        <v>7</v>
      </c>
      <c r="E610">
        <v>39</v>
      </c>
      <c r="F610" t="s">
        <v>6</v>
      </c>
      <c r="G610">
        <f t="shared" si="54"/>
        <v>128</v>
      </c>
      <c r="H610" s="1" t="str">
        <f t="shared" si="55"/>
        <v>Thursday</v>
      </c>
      <c r="I610" t="str">
        <f t="shared" si="56"/>
        <v>No</v>
      </c>
      <c r="J610">
        <f t="shared" si="57"/>
        <v>0</v>
      </c>
      <c r="K610">
        <f t="shared" si="58"/>
        <v>1</v>
      </c>
      <c r="L610">
        <f t="shared" si="59"/>
        <v>128</v>
      </c>
    </row>
    <row r="611" spans="1:12" x14ac:dyDescent="0.3">
      <c r="A611">
        <v>166977144</v>
      </c>
      <c r="B611" s="1">
        <v>44896</v>
      </c>
      <c r="C611" s="1">
        <v>45024</v>
      </c>
      <c r="D611" t="s">
        <v>7</v>
      </c>
      <c r="E611">
        <v>39</v>
      </c>
      <c r="F611" t="s">
        <v>6</v>
      </c>
      <c r="G611">
        <f t="shared" si="54"/>
        <v>128</v>
      </c>
      <c r="H611" s="1" t="str">
        <f t="shared" si="55"/>
        <v>Thursday</v>
      </c>
      <c r="I611" t="str">
        <f t="shared" si="56"/>
        <v>No</v>
      </c>
      <c r="J611">
        <f t="shared" si="57"/>
        <v>0</v>
      </c>
      <c r="K611">
        <f t="shared" si="58"/>
        <v>1</v>
      </c>
      <c r="L611">
        <f t="shared" si="59"/>
        <v>128</v>
      </c>
    </row>
    <row r="612" spans="1:12" x14ac:dyDescent="0.3">
      <c r="A612">
        <v>161640666</v>
      </c>
      <c r="B612" s="1">
        <v>44896</v>
      </c>
      <c r="C612" s="1">
        <v>44986</v>
      </c>
      <c r="D612" t="s">
        <v>7</v>
      </c>
      <c r="E612">
        <v>39</v>
      </c>
      <c r="F612" t="s">
        <v>6</v>
      </c>
      <c r="G612">
        <f t="shared" si="54"/>
        <v>90</v>
      </c>
      <c r="H612" s="1" t="str">
        <f t="shared" si="55"/>
        <v>Thursday</v>
      </c>
      <c r="I612" t="str">
        <f t="shared" si="56"/>
        <v>No</v>
      </c>
      <c r="J612">
        <f t="shared" si="57"/>
        <v>0</v>
      </c>
      <c r="K612">
        <f t="shared" si="58"/>
        <v>1</v>
      </c>
      <c r="L612">
        <f t="shared" si="59"/>
        <v>90</v>
      </c>
    </row>
    <row r="613" spans="1:12" x14ac:dyDescent="0.3">
      <c r="A613">
        <v>165932696</v>
      </c>
      <c r="B613" s="1">
        <v>44896</v>
      </c>
      <c r="C613" s="1">
        <v>44986</v>
      </c>
      <c r="D613" t="s">
        <v>7</v>
      </c>
      <c r="E613">
        <v>39</v>
      </c>
      <c r="F613" t="s">
        <v>6</v>
      </c>
      <c r="G613">
        <f t="shared" si="54"/>
        <v>90</v>
      </c>
      <c r="H613" s="1" t="str">
        <f t="shared" si="55"/>
        <v>Thursday</v>
      </c>
      <c r="I613" t="str">
        <f t="shared" si="56"/>
        <v>No</v>
      </c>
      <c r="J613">
        <f t="shared" si="57"/>
        <v>0</v>
      </c>
      <c r="K613">
        <f t="shared" si="58"/>
        <v>1</v>
      </c>
      <c r="L613">
        <f t="shared" si="59"/>
        <v>90</v>
      </c>
    </row>
    <row r="614" spans="1:12" x14ac:dyDescent="0.3">
      <c r="A614">
        <v>165204032</v>
      </c>
      <c r="B614" s="1">
        <v>44896</v>
      </c>
      <c r="C614" s="1">
        <v>44971</v>
      </c>
      <c r="D614" t="s">
        <v>7</v>
      </c>
      <c r="E614">
        <v>39</v>
      </c>
      <c r="F614" t="s">
        <v>6</v>
      </c>
      <c r="G614">
        <f t="shared" si="54"/>
        <v>75</v>
      </c>
      <c r="H614" s="1" t="str">
        <f t="shared" si="55"/>
        <v>Thursday</v>
      </c>
      <c r="I614" t="str">
        <f t="shared" si="56"/>
        <v>No</v>
      </c>
      <c r="J614">
        <f t="shared" si="57"/>
        <v>0</v>
      </c>
      <c r="K614">
        <f t="shared" si="58"/>
        <v>1</v>
      </c>
      <c r="L614">
        <f t="shared" si="59"/>
        <v>75</v>
      </c>
    </row>
    <row r="615" spans="1:12" x14ac:dyDescent="0.3">
      <c r="A615">
        <v>162469903</v>
      </c>
      <c r="B615" s="1">
        <v>44896</v>
      </c>
      <c r="C615" s="1">
        <v>44965</v>
      </c>
      <c r="D615" t="s">
        <v>7</v>
      </c>
      <c r="E615">
        <v>39</v>
      </c>
      <c r="F615" t="s">
        <v>6</v>
      </c>
      <c r="G615">
        <f t="shared" si="54"/>
        <v>69</v>
      </c>
      <c r="H615" s="1" t="str">
        <f t="shared" si="55"/>
        <v>Thursday</v>
      </c>
      <c r="I615" t="str">
        <f t="shared" si="56"/>
        <v>No</v>
      </c>
      <c r="J615">
        <f t="shared" si="57"/>
        <v>0</v>
      </c>
      <c r="K615">
        <f t="shared" si="58"/>
        <v>1</v>
      </c>
      <c r="L615">
        <f t="shared" si="59"/>
        <v>69</v>
      </c>
    </row>
    <row r="616" spans="1:12" x14ac:dyDescent="0.3">
      <c r="A616">
        <v>166515564</v>
      </c>
      <c r="B616" s="1">
        <v>44896</v>
      </c>
      <c r="C616" s="1">
        <v>44945</v>
      </c>
      <c r="D616" t="s">
        <v>7</v>
      </c>
      <c r="E616">
        <v>39</v>
      </c>
      <c r="F616" t="s">
        <v>6</v>
      </c>
      <c r="G616">
        <f t="shared" si="54"/>
        <v>49</v>
      </c>
      <c r="H616" s="1" t="str">
        <f t="shared" si="55"/>
        <v>Thursday</v>
      </c>
      <c r="I616" t="str">
        <f t="shared" si="56"/>
        <v>No</v>
      </c>
      <c r="J616">
        <f t="shared" si="57"/>
        <v>0</v>
      </c>
      <c r="K616">
        <f t="shared" si="58"/>
        <v>1</v>
      </c>
      <c r="L616">
        <f t="shared" si="59"/>
        <v>49</v>
      </c>
    </row>
    <row r="617" spans="1:12" x14ac:dyDescent="0.3">
      <c r="A617">
        <v>139323228</v>
      </c>
      <c r="B617" s="1">
        <v>44896</v>
      </c>
      <c r="C617" s="1">
        <v>44950</v>
      </c>
      <c r="D617" t="s">
        <v>7</v>
      </c>
      <c r="E617">
        <v>39</v>
      </c>
      <c r="F617" t="s">
        <v>6</v>
      </c>
      <c r="G617">
        <f t="shared" si="54"/>
        <v>54</v>
      </c>
      <c r="H617" s="1" t="str">
        <f t="shared" si="55"/>
        <v>Thursday</v>
      </c>
      <c r="I617" t="str">
        <f t="shared" si="56"/>
        <v>No</v>
      </c>
      <c r="J617">
        <f t="shared" si="57"/>
        <v>0</v>
      </c>
      <c r="K617">
        <f t="shared" si="58"/>
        <v>1</v>
      </c>
      <c r="L617">
        <f t="shared" si="59"/>
        <v>54</v>
      </c>
    </row>
    <row r="618" spans="1:12" ht="14.4" customHeight="1" x14ac:dyDescent="0.3">
      <c r="A618">
        <v>162569750</v>
      </c>
      <c r="B618" s="1">
        <v>44896</v>
      </c>
      <c r="C618" s="1">
        <v>44899</v>
      </c>
      <c r="D618" t="s">
        <v>7</v>
      </c>
      <c r="E618">
        <v>39</v>
      </c>
      <c r="F618" t="s">
        <v>6</v>
      </c>
      <c r="G618">
        <f t="shared" si="54"/>
        <v>3</v>
      </c>
      <c r="H618" s="1" t="str">
        <f t="shared" si="55"/>
        <v>Thursday</v>
      </c>
      <c r="I618" t="str">
        <f t="shared" si="56"/>
        <v>No</v>
      </c>
      <c r="J618">
        <f t="shared" si="57"/>
        <v>0</v>
      </c>
      <c r="K618">
        <f t="shared" si="58"/>
        <v>0</v>
      </c>
      <c r="L618">
        <f t="shared" si="59"/>
        <v>3</v>
      </c>
    </row>
    <row r="619" spans="1:12" ht="14.4" customHeight="1" x14ac:dyDescent="0.3">
      <c r="A619">
        <v>165959602</v>
      </c>
      <c r="B619" s="1">
        <v>44896</v>
      </c>
      <c r="C619" s="1">
        <v>44918</v>
      </c>
      <c r="D619" t="s">
        <v>7</v>
      </c>
      <c r="E619">
        <v>39</v>
      </c>
      <c r="F619" t="s">
        <v>6</v>
      </c>
      <c r="G619">
        <f t="shared" si="54"/>
        <v>22</v>
      </c>
      <c r="H619" s="1" t="str">
        <f t="shared" si="55"/>
        <v>Thursday</v>
      </c>
      <c r="I619" t="str">
        <f t="shared" si="56"/>
        <v>No</v>
      </c>
      <c r="J619">
        <f t="shared" si="57"/>
        <v>0</v>
      </c>
      <c r="K619">
        <f t="shared" si="58"/>
        <v>0</v>
      </c>
      <c r="L619">
        <f t="shared" si="59"/>
        <v>22</v>
      </c>
    </row>
    <row r="620" spans="1:12" x14ac:dyDescent="0.3">
      <c r="A620">
        <v>160968524</v>
      </c>
      <c r="B620" s="1">
        <v>44896</v>
      </c>
      <c r="C620" s="1">
        <v>45127</v>
      </c>
      <c r="D620" t="s">
        <v>7</v>
      </c>
      <c r="E620">
        <v>39</v>
      </c>
      <c r="F620" t="s">
        <v>6</v>
      </c>
      <c r="G620">
        <f t="shared" si="54"/>
        <v>231</v>
      </c>
      <c r="H620" s="1" t="str">
        <f t="shared" si="55"/>
        <v>Thursday</v>
      </c>
      <c r="I620" t="str">
        <f t="shared" si="56"/>
        <v>No</v>
      </c>
      <c r="J620">
        <f t="shared" si="57"/>
        <v>0</v>
      </c>
      <c r="K620">
        <f t="shared" si="58"/>
        <v>1</v>
      </c>
      <c r="L620">
        <f t="shared" si="59"/>
        <v>231</v>
      </c>
    </row>
    <row r="621" spans="1:12" ht="14.4" customHeight="1" x14ac:dyDescent="0.3">
      <c r="A621">
        <v>163258260</v>
      </c>
      <c r="B621" s="1">
        <v>44897</v>
      </c>
      <c r="D621" t="s">
        <v>7</v>
      </c>
      <c r="E621">
        <v>39</v>
      </c>
      <c r="F621" t="s">
        <v>6</v>
      </c>
      <c r="G621" t="str">
        <f t="shared" si="54"/>
        <v/>
      </c>
      <c r="H621" s="1" t="str">
        <f t="shared" si="55"/>
        <v>Friday</v>
      </c>
      <c r="I621" t="str">
        <f t="shared" si="56"/>
        <v>No</v>
      </c>
      <c r="J621">
        <f t="shared" si="57"/>
        <v>0</v>
      </c>
      <c r="K621">
        <f t="shared" si="58"/>
        <v>0</v>
      </c>
      <c r="L621" t="str">
        <f t="shared" si="59"/>
        <v/>
      </c>
    </row>
    <row r="622" spans="1:12" ht="14.4" customHeight="1" x14ac:dyDescent="0.3">
      <c r="A622">
        <v>167051046</v>
      </c>
      <c r="B622" s="1">
        <v>44897</v>
      </c>
      <c r="D622" t="s">
        <v>7</v>
      </c>
      <c r="E622">
        <v>39</v>
      </c>
      <c r="F622" t="s">
        <v>6</v>
      </c>
      <c r="G622" t="str">
        <f t="shared" si="54"/>
        <v/>
      </c>
      <c r="H622" s="1" t="str">
        <f t="shared" si="55"/>
        <v>Friday</v>
      </c>
      <c r="I622" t="str">
        <f t="shared" si="56"/>
        <v>No</v>
      </c>
      <c r="J622">
        <f t="shared" si="57"/>
        <v>0</v>
      </c>
      <c r="K622">
        <f t="shared" si="58"/>
        <v>0</v>
      </c>
      <c r="L622" t="str">
        <f t="shared" si="59"/>
        <v/>
      </c>
    </row>
    <row r="623" spans="1:12" ht="14.4" customHeight="1" x14ac:dyDescent="0.3">
      <c r="A623">
        <v>161182367</v>
      </c>
      <c r="B623" s="1">
        <v>44897</v>
      </c>
      <c r="C623" s="1">
        <v>44898</v>
      </c>
      <c r="D623" t="s">
        <v>7</v>
      </c>
      <c r="E623">
        <v>39</v>
      </c>
      <c r="F623" t="s">
        <v>6</v>
      </c>
      <c r="G623">
        <f t="shared" si="54"/>
        <v>1</v>
      </c>
      <c r="H623" s="1" t="str">
        <f t="shared" si="55"/>
        <v>Friday</v>
      </c>
      <c r="I623" t="str">
        <f t="shared" si="56"/>
        <v>No</v>
      </c>
      <c r="J623">
        <f t="shared" si="57"/>
        <v>1</v>
      </c>
      <c r="K623">
        <f t="shared" si="58"/>
        <v>0</v>
      </c>
      <c r="L623">
        <f t="shared" si="59"/>
        <v>1</v>
      </c>
    </row>
    <row r="624" spans="1:12" ht="14.4" customHeight="1" x14ac:dyDescent="0.3">
      <c r="A624">
        <v>167292985</v>
      </c>
      <c r="B624" s="1">
        <v>44897</v>
      </c>
      <c r="C624" s="1">
        <v>44898</v>
      </c>
      <c r="D624" t="s">
        <v>8</v>
      </c>
      <c r="E624">
        <v>39</v>
      </c>
      <c r="F624" t="s">
        <v>6</v>
      </c>
      <c r="G624">
        <f t="shared" si="54"/>
        <v>1</v>
      </c>
      <c r="H624" s="1" t="str">
        <f t="shared" si="55"/>
        <v>Friday</v>
      </c>
      <c r="I624" t="str">
        <f t="shared" si="56"/>
        <v>No</v>
      </c>
      <c r="J624">
        <f t="shared" si="57"/>
        <v>1</v>
      </c>
      <c r="K624">
        <f t="shared" si="58"/>
        <v>0</v>
      </c>
      <c r="L624">
        <f t="shared" si="59"/>
        <v>1</v>
      </c>
    </row>
    <row r="625" spans="1:12" ht="14.4" customHeight="1" x14ac:dyDescent="0.3">
      <c r="A625">
        <v>166183014</v>
      </c>
      <c r="B625" s="1">
        <v>44897</v>
      </c>
      <c r="C625" s="1">
        <v>44898</v>
      </c>
      <c r="D625" t="s">
        <v>8</v>
      </c>
      <c r="E625">
        <v>39</v>
      </c>
      <c r="F625" t="s">
        <v>6</v>
      </c>
      <c r="G625">
        <f t="shared" si="54"/>
        <v>1</v>
      </c>
      <c r="H625" s="1" t="str">
        <f t="shared" si="55"/>
        <v>Friday</v>
      </c>
      <c r="I625" t="str">
        <f t="shared" si="56"/>
        <v>No</v>
      </c>
      <c r="J625">
        <f t="shared" si="57"/>
        <v>1</v>
      </c>
      <c r="K625">
        <f t="shared" si="58"/>
        <v>0</v>
      </c>
      <c r="L625">
        <f t="shared" si="59"/>
        <v>1</v>
      </c>
    </row>
    <row r="626" spans="1:12" x14ac:dyDescent="0.3">
      <c r="A626">
        <v>165143920</v>
      </c>
      <c r="B626" s="1">
        <v>44897</v>
      </c>
      <c r="C626" s="1">
        <v>45079</v>
      </c>
      <c r="D626" t="s">
        <v>7</v>
      </c>
      <c r="E626">
        <v>39</v>
      </c>
      <c r="F626" t="s">
        <v>6</v>
      </c>
      <c r="G626">
        <f t="shared" si="54"/>
        <v>182</v>
      </c>
      <c r="H626" s="1" t="str">
        <f t="shared" si="55"/>
        <v>Friday</v>
      </c>
      <c r="I626" t="str">
        <f t="shared" si="56"/>
        <v>No</v>
      </c>
      <c r="J626">
        <f t="shared" si="57"/>
        <v>0</v>
      </c>
      <c r="K626">
        <f t="shared" si="58"/>
        <v>1</v>
      </c>
      <c r="L626">
        <f t="shared" si="59"/>
        <v>182</v>
      </c>
    </row>
    <row r="627" spans="1:12" x14ac:dyDescent="0.3">
      <c r="A627">
        <v>165958089</v>
      </c>
      <c r="B627" s="1">
        <v>44897</v>
      </c>
      <c r="C627" s="1">
        <v>44966</v>
      </c>
      <c r="D627" t="s">
        <v>7</v>
      </c>
      <c r="E627">
        <v>39</v>
      </c>
      <c r="F627" t="s">
        <v>6</v>
      </c>
      <c r="G627">
        <f t="shared" si="54"/>
        <v>69</v>
      </c>
      <c r="H627" s="1" t="str">
        <f t="shared" si="55"/>
        <v>Friday</v>
      </c>
      <c r="I627" t="str">
        <f t="shared" si="56"/>
        <v>No</v>
      </c>
      <c r="J627">
        <f t="shared" si="57"/>
        <v>0</v>
      </c>
      <c r="K627">
        <f t="shared" si="58"/>
        <v>1</v>
      </c>
      <c r="L627">
        <f t="shared" si="59"/>
        <v>69</v>
      </c>
    </row>
    <row r="628" spans="1:12" x14ac:dyDescent="0.3">
      <c r="A628">
        <v>165431576</v>
      </c>
      <c r="B628" s="1">
        <v>44897</v>
      </c>
      <c r="C628" s="1">
        <v>44958</v>
      </c>
      <c r="D628" t="s">
        <v>7</v>
      </c>
      <c r="E628">
        <v>39</v>
      </c>
      <c r="F628" t="s">
        <v>6</v>
      </c>
      <c r="G628">
        <f t="shared" si="54"/>
        <v>61</v>
      </c>
      <c r="H628" s="1" t="str">
        <f t="shared" si="55"/>
        <v>Friday</v>
      </c>
      <c r="I628" t="str">
        <f t="shared" si="56"/>
        <v>No</v>
      </c>
      <c r="J628">
        <f t="shared" si="57"/>
        <v>0</v>
      </c>
      <c r="K628">
        <f t="shared" si="58"/>
        <v>1</v>
      </c>
      <c r="L628">
        <f t="shared" si="59"/>
        <v>61</v>
      </c>
    </row>
    <row r="629" spans="1:12" ht="14.4" customHeight="1" x14ac:dyDescent="0.3">
      <c r="A629">
        <v>163708513</v>
      </c>
      <c r="B629" s="1">
        <v>44897</v>
      </c>
      <c r="C629" s="1">
        <v>44925</v>
      </c>
      <c r="D629" t="s">
        <v>7</v>
      </c>
      <c r="E629">
        <v>39</v>
      </c>
      <c r="F629" t="s">
        <v>6</v>
      </c>
      <c r="G629">
        <f t="shared" si="54"/>
        <v>28</v>
      </c>
      <c r="H629" s="1" t="str">
        <f t="shared" si="55"/>
        <v>Friday</v>
      </c>
      <c r="I629" t="str">
        <f t="shared" si="56"/>
        <v>No</v>
      </c>
      <c r="J629">
        <f t="shared" si="57"/>
        <v>0</v>
      </c>
      <c r="K629">
        <f t="shared" si="58"/>
        <v>0</v>
      </c>
      <c r="L629">
        <f t="shared" si="59"/>
        <v>28</v>
      </c>
    </row>
    <row r="630" spans="1:12" ht="14.4" customHeight="1" x14ac:dyDescent="0.3">
      <c r="A630">
        <v>164521419</v>
      </c>
      <c r="B630" s="1">
        <v>44897</v>
      </c>
      <c r="C630" s="1">
        <v>44924</v>
      </c>
      <c r="D630" t="s">
        <v>7</v>
      </c>
      <c r="E630">
        <v>39</v>
      </c>
      <c r="F630" t="s">
        <v>6</v>
      </c>
      <c r="G630">
        <f t="shared" si="54"/>
        <v>27</v>
      </c>
      <c r="H630" s="1" t="str">
        <f t="shared" si="55"/>
        <v>Friday</v>
      </c>
      <c r="I630" t="str">
        <f t="shared" si="56"/>
        <v>No</v>
      </c>
      <c r="J630">
        <f t="shared" si="57"/>
        <v>0</v>
      </c>
      <c r="K630">
        <f t="shared" si="58"/>
        <v>0</v>
      </c>
      <c r="L630">
        <f t="shared" si="59"/>
        <v>27</v>
      </c>
    </row>
    <row r="631" spans="1:12" ht="14.4" customHeight="1" x14ac:dyDescent="0.3">
      <c r="A631">
        <v>166257164</v>
      </c>
      <c r="B631" s="1">
        <v>44897</v>
      </c>
      <c r="C631" s="1">
        <v>44916</v>
      </c>
      <c r="D631" t="s">
        <v>7</v>
      </c>
      <c r="E631">
        <v>39</v>
      </c>
      <c r="F631" t="s">
        <v>6</v>
      </c>
      <c r="G631">
        <f t="shared" si="54"/>
        <v>19</v>
      </c>
      <c r="H631" s="1" t="str">
        <f t="shared" si="55"/>
        <v>Friday</v>
      </c>
      <c r="I631" t="str">
        <f t="shared" si="56"/>
        <v>No</v>
      </c>
      <c r="J631">
        <f t="shared" si="57"/>
        <v>0</v>
      </c>
      <c r="K631">
        <f t="shared" si="58"/>
        <v>0</v>
      </c>
      <c r="L631">
        <f t="shared" si="59"/>
        <v>19</v>
      </c>
    </row>
    <row r="632" spans="1:12" ht="14.4" customHeight="1" x14ac:dyDescent="0.3">
      <c r="A632">
        <v>121348156</v>
      </c>
      <c r="B632" s="1">
        <v>44897</v>
      </c>
      <c r="C632" s="1">
        <v>44901</v>
      </c>
      <c r="D632" t="s">
        <v>7</v>
      </c>
      <c r="E632">
        <v>39</v>
      </c>
      <c r="F632" t="s">
        <v>6</v>
      </c>
      <c r="G632">
        <f t="shared" si="54"/>
        <v>4</v>
      </c>
      <c r="H632" s="1" t="str">
        <f t="shared" si="55"/>
        <v>Friday</v>
      </c>
      <c r="I632" t="str">
        <f t="shared" si="56"/>
        <v>No</v>
      </c>
      <c r="J632">
        <f t="shared" si="57"/>
        <v>0</v>
      </c>
      <c r="K632">
        <f t="shared" si="58"/>
        <v>0</v>
      </c>
      <c r="L632">
        <f t="shared" si="59"/>
        <v>4</v>
      </c>
    </row>
    <row r="633" spans="1:12" x14ac:dyDescent="0.3">
      <c r="A633">
        <v>167280894</v>
      </c>
      <c r="B633" s="1">
        <v>44897</v>
      </c>
      <c r="C633" s="1">
        <v>45113</v>
      </c>
      <c r="D633" t="s">
        <v>7</v>
      </c>
      <c r="E633">
        <v>39</v>
      </c>
      <c r="F633" t="s">
        <v>6</v>
      </c>
      <c r="G633">
        <f t="shared" si="54"/>
        <v>216</v>
      </c>
      <c r="H633" s="1" t="str">
        <f t="shared" si="55"/>
        <v>Friday</v>
      </c>
      <c r="I633" t="str">
        <f t="shared" si="56"/>
        <v>No</v>
      </c>
      <c r="J633">
        <f t="shared" si="57"/>
        <v>0</v>
      </c>
      <c r="K633">
        <f t="shared" si="58"/>
        <v>1</v>
      </c>
      <c r="L633">
        <f t="shared" si="59"/>
        <v>216</v>
      </c>
    </row>
    <row r="634" spans="1:12" ht="14.4" customHeight="1" x14ac:dyDescent="0.3">
      <c r="A634">
        <v>160980795</v>
      </c>
      <c r="B634" s="1">
        <v>44898</v>
      </c>
      <c r="D634" t="s">
        <v>7</v>
      </c>
      <c r="E634">
        <v>39</v>
      </c>
      <c r="F634" t="s">
        <v>6</v>
      </c>
      <c r="G634" t="str">
        <f t="shared" si="54"/>
        <v/>
      </c>
      <c r="H634" s="1" t="str">
        <f t="shared" si="55"/>
        <v>Saturday</v>
      </c>
      <c r="I634" t="str">
        <f t="shared" si="56"/>
        <v>No</v>
      </c>
      <c r="J634">
        <f t="shared" si="57"/>
        <v>0</v>
      </c>
      <c r="K634">
        <f t="shared" si="58"/>
        <v>0</v>
      </c>
      <c r="L634" t="str">
        <f t="shared" si="59"/>
        <v/>
      </c>
    </row>
    <row r="635" spans="1:12" ht="14.4" customHeight="1" x14ac:dyDescent="0.3">
      <c r="A635">
        <v>167544686</v>
      </c>
      <c r="B635" s="1">
        <v>44898</v>
      </c>
      <c r="D635" t="s">
        <v>7</v>
      </c>
      <c r="E635">
        <v>39</v>
      </c>
      <c r="F635" t="s">
        <v>6</v>
      </c>
      <c r="G635" t="str">
        <f t="shared" si="54"/>
        <v/>
      </c>
      <c r="H635" s="1" t="str">
        <f t="shared" si="55"/>
        <v>Saturday</v>
      </c>
      <c r="I635" t="str">
        <f t="shared" si="56"/>
        <v>No</v>
      </c>
      <c r="J635">
        <f t="shared" si="57"/>
        <v>0</v>
      </c>
      <c r="K635">
        <f t="shared" si="58"/>
        <v>0</v>
      </c>
      <c r="L635" t="str">
        <f t="shared" si="59"/>
        <v/>
      </c>
    </row>
    <row r="636" spans="1:12" ht="14.4" customHeight="1" x14ac:dyDescent="0.3">
      <c r="A636">
        <v>161968719</v>
      </c>
      <c r="B636" s="1">
        <v>44898</v>
      </c>
      <c r="D636" t="s">
        <v>7</v>
      </c>
      <c r="E636">
        <v>39</v>
      </c>
      <c r="F636" t="s">
        <v>6</v>
      </c>
      <c r="G636" t="str">
        <f t="shared" si="54"/>
        <v/>
      </c>
      <c r="H636" s="1" t="str">
        <f t="shared" si="55"/>
        <v>Saturday</v>
      </c>
      <c r="I636" t="str">
        <f t="shared" si="56"/>
        <v>No</v>
      </c>
      <c r="J636">
        <f t="shared" si="57"/>
        <v>0</v>
      </c>
      <c r="K636">
        <f t="shared" si="58"/>
        <v>0</v>
      </c>
      <c r="L636" t="str">
        <f t="shared" si="59"/>
        <v/>
      </c>
    </row>
    <row r="637" spans="1:12" ht="14.4" customHeight="1" x14ac:dyDescent="0.3">
      <c r="A637">
        <v>159070152</v>
      </c>
      <c r="B637" s="1">
        <v>44898</v>
      </c>
      <c r="D637" t="s">
        <v>7</v>
      </c>
      <c r="E637">
        <v>39</v>
      </c>
      <c r="F637" t="s">
        <v>6</v>
      </c>
      <c r="G637" t="str">
        <f t="shared" si="54"/>
        <v/>
      </c>
      <c r="H637" s="1" t="str">
        <f t="shared" si="55"/>
        <v>Saturday</v>
      </c>
      <c r="I637" t="str">
        <f t="shared" si="56"/>
        <v>No</v>
      </c>
      <c r="J637">
        <f t="shared" si="57"/>
        <v>0</v>
      </c>
      <c r="K637">
        <f t="shared" si="58"/>
        <v>0</v>
      </c>
      <c r="L637" t="str">
        <f t="shared" si="59"/>
        <v/>
      </c>
    </row>
    <row r="638" spans="1:12" ht="14.4" customHeight="1" x14ac:dyDescent="0.3">
      <c r="A638">
        <v>167445788</v>
      </c>
      <c r="B638" s="1">
        <v>44898</v>
      </c>
      <c r="C638" s="1">
        <v>44899</v>
      </c>
      <c r="D638" t="s">
        <v>8</v>
      </c>
      <c r="E638">
        <v>39</v>
      </c>
      <c r="F638" t="s">
        <v>6</v>
      </c>
      <c r="G638">
        <f t="shared" si="54"/>
        <v>1</v>
      </c>
      <c r="H638" s="1" t="str">
        <f t="shared" si="55"/>
        <v>Saturday</v>
      </c>
      <c r="I638" t="str">
        <f t="shared" si="56"/>
        <v>No</v>
      </c>
      <c r="J638">
        <f t="shared" si="57"/>
        <v>1</v>
      </c>
      <c r="K638">
        <f t="shared" si="58"/>
        <v>0</v>
      </c>
      <c r="L638">
        <f t="shared" si="59"/>
        <v>1</v>
      </c>
    </row>
    <row r="639" spans="1:12" x14ac:dyDescent="0.3">
      <c r="A639">
        <v>167441263</v>
      </c>
      <c r="B639" s="1">
        <v>44898</v>
      </c>
      <c r="C639" s="1">
        <v>45087</v>
      </c>
      <c r="D639" t="s">
        <v>7</v>
      </c>
      <c r="E639">
        <v>39</v>
      </c>
      <c r="F639" t="s">
        <v>6</v>
      </c>
      <c r="G639">
        <f t="shared" si="54"/>
        <v>189</v>
      </c>
      <c r="H639" s="1" t="str">
        <f t="shared" si="55"/>
        <v>Saturday</v>
      </c>
      <c r="I639" t="str">
        <f t="shared" si="56"/>
        <v>No</v>
      </c>
      <c r="J639">
        <f t="shared" si="57"/>
        <v>0</v>
      </c>
      <c r="K639">
        <f t="shared" si="58"/>
        <v>1</v>
      </c>
      <c r="L639">
        <f t="shared" si="59"/>
        <v>189</v>
      </c>
    </row>
    <row r="640" spans="1:12" x14ac:dyDescent="0.3">
      <c r="A640">
        <v>167586100</v>
      </c>
      <c r="B640" s="1">
        <v>44898</v>
      </c>
      <c r="C640" s="1">
        <v>44987</v>
      </c>
      <c r="D640" t="s">
        <v>7</v>
      </c>
      <c r="E640">
        <v>39</v>
      </c>
      <c r="F640" t="s">
        <v>6</v>
      </c>
      <c r="G640">
        <f t="shared" si="54"/>
        <v>89</v>
      </c>
      <c r="H640" s="1" t="str">
        <f t="shared" si="55"/>
        <v>Saturday</v>
      </c>
      <c r="I640" t="str">
        <f t="shared" si="56"/>
        <v>No</v>
      </c>
      <c r="J640">
        <f t="shared" si="57"/>
        <v>0</v>
      </c>
      <c r="K640">
        <f t="shared" si="58"/>
        <v>1</v>
      </c>
      <c r="L640">
        <f t="shared" si="59"/>
        <v>89</v>
      </c>
    </row>
    <row r="641" spans="1:12" x14ac:dyDescent="0.3">
      <c r="A641">
        <v>139789436</v>
      </c>
      <c r="B641" s="1">
        <v>44898</v>
      </c>
      <c r="C641" s="1">
        <v>44955</v>
      </c>
      <c r="D641" t="s">
        <v>7</v>
      </c>
      <c r="E641">
        <v>39</v>
      </c>
      <c r="F641" t="s">
        <v>6</v>
      </c>
      <c r="G641">
        <f t="shared" si="54"/>
        <v>57</v>
      </c>
      <c r="H641" s="1" t="str">
        <f t="shared" si="55"/>
        <v>Saturday</v>
      </c>
      <c r="I641" t="str">
        <f t="shared" si="56"/>
        <v>No</v>
      </c>
      <c r="J641">
        <f t="shared" si="57"/>
        <v>0</v>
      </c>
      <c r="K641">
        <f t="shared" si="58"/>
        <v>1</v>
      </c>
      <c r="L641">
        <f t="shared" si="59"/>
        <v>57</v>
      </c>
    </row>
    <row r="642" spans="1:12" x14ac:dyDescent="0.3">
      <c r="A642">
        <v>116319450</v>
      </c>
      <c r="B642" s="1">
        <v>44899</v>
      </c>
      <c r="C642" s="1">
        <v>45035</v>
      </c>
      <c r="D642" t="s">
        <v>7</v>
      </c>
      <c r="E642">
        <v>39</v>
      </c>
      <c r="F642" t="s">
        <v>6</v>
      </c>
      <c r="G642">
        <f t="shared" ref="G642:G705" si="60">IF(C642="","",C642-B642)</f>
        <v>136</v>
      </c>
      <c r="H642" s="1" t="str">
        <f t="shared" si="55"/>
        <v>Sunday</v>
      </c>
      <c r="I642" t="str">
        <f t="shared" si="56"/>
        <v>No</v>
      </c>
      <c r="J642">
        <f t="shared" si="57"/>
        <v>0</v>
      </c>
      <c r="K642">
        <f t="shared" si="58"/>
        <v>1</v>
      </c>
      <c r="L642">
        <f t="shared" si="59"/>
        <v>136</v>
      </c>
    </row>
    <row r="643" spans="1:12" x14ac:dyDescent="0.3">
      <c r="A643">
        <v>162939264</v>
      </c>
      <c r="B643" s="1">
        <v>44899</v>
      </c>
      <c r="C643" s="1">
        <v>45050</v>
      </c>
      <c r="D643" t="s">
        <v>7</v>
      </c>
      <c r="E643">
        <v>39</v>
      </c>
      <c r="F643" t="s">
        <v>6</v>
      </c>
      <c r="G643">
        <f t="shared" si="60"/>
        <v>151</v>
      </c>
      <c r="H643" s="1" t="str">
        <f t="shared" ref="H643:H706" si="61">TEXT(B643,"dddd")</f>
        <v>Sunday</v>
      </c>
      <c r="I643" t="str">
        <f t="shared" ref="I643:I706" si="62">IF(B643=C643,"Yes","No")</f>
        <v>No</v>
      </c>
      <c r="J643">
        <f t="shared" ref="J643:J706" si="63">IF(AND(C643&lt;&gt;"",C643-B643&lt;=2),1,0)</f>
        <v>0</v>
      </c>
      <c r="K643">
        <f t="shared" ref="K643:K706" si="64">IF(AND(C643&lt;&gt;"",C643-B643&gt;30),1,0)</f>
        <v>1</v>
      </c>
      <c r="L643">
        <f t="shared" ref="L643:L706" si="65">IF(C643="","",C643-B643)</f>
        <v>151</v>
      </c>
    </row>
    <row r="644" spans="1:12" x14ac:dyDescent="0.3">
      <c r="A644">
        <v>167711417</v>
      </c>
      <c r="B644" s="1">
        <v>44899</v>
      </c>
      <c r="C644" s="1">
        <v>45010</v>
      </c>
      <c r="D644" t="s">
        <v>7</v>
      </c>
      <c r="E644">
        <v>39</v>
      </c>
      <c r="F644" t="s">
        <v>6</v>
      </c>
      <c r="G644">
        <f t="shared" si="60"/>
        <v>111</v>
      </c>
      <c r="H644" s="1" t="str">
        <f t="shared" si="61"/>
        <v>Sunday</v>
      </c>
      <c r="I644" t="str">
        <f t="shared" si="62"/>
        <v>No</v>
      </c>
      <c r="J644">
        <f t="shared" si="63"/>
        <v>0</v>
      </c>
      <c r="K644">
        <f t="shared" si="64"/>
        <v>1</v>
      </c>
      <c r="L644">
        <f t="shared" si="65"/>
        <v>111</v>
      </c>
    </row>
    <row r="645" spans="1:12" ht="14.4" customHeight="1" x14ac:dyDescent="0.3">
      <c r="A645">
        <v>157381517</v>
      </c>
      <c r="B645" s="1">
        <v>44900</v>
      </c>
      <c r="D645" t="s">
        <v>7</v>
      </c>
      <c r="E645">
        <v>39</v>
      </c>
      <c r="F645" t="s">
        <v>6</v>
      </c>
      <c r="G645" t="str">
        <f t="shared" si="60"/>
        <v/>
      </c>
      <c r="H645" s="1" t="str">
        <f t="shared" si="61"/>
        <v>Monday</v>
      </c>
      <c r="I645" t="str">
        <f t="shared" si="62"/>
        <v>No</v>
      </c>
      <c r="J645">
        <f t="shared" si="63"/>
        <v>0</v>
      </c>
      <c r="K645">
        <f t="shared" si="64"/>
        <v>0</v>
      </c>
      <c r="L645" t="str">
        <f t="shared" si="65"/>
        <v/>
      </c>
    </row>
    <row r="646" spans="1:12" ht="14.4" customHeight="1" x14ac:dyDescent="0.3">
      <c r="A646">
        <v>162912102</v>
      </c>
      <c r="B646" s="1">
        <v>44900</v>
      </c>
      <c r="C646" s="1">
        <v>44901</v>
      </c>
      <c r="D646" t="s">
        <v>7</v>
      </c>
      <c r="E646">
        <v>39</v>
      </c>
      <c r="F646" t="s">
        <v>6</v>
      </c>
      <c r="G646">
        <f t="shared" si="60"/>
        <v>1</v>
      </c>
      <c r="H646" s="1" t="str">
        <f t="shared" si="61"/>
        <v>Monday</v>
      </c>
      <c r="I646" t="str">
        <f t="shared" si="62"/>
        <v>No</v>
      </c>
      <c r="J646">
        <f t="shared" si="63"/>
        <v>1</v>
      </c>
      <c r="K646">
        <f t="shared" si="64"/>
        <v>0</v>
      </c>
      <c r="L646">
        <f t="shared" si="65"/>
        <v>1</v>
      </c>
    </row>
    <row r="647" spans="1:12" x14ac:dyDescent="0.3">
      <c r="A647">
        <v>167833210</v>
      </c>
      <c r="B647" s="1">
        <v>44900</v>
      </c>
      <c r="C647" s="1">
        <v>45110</v>
      </c>
      <c r="D647" t="s">
        <v>7</v>
      </c>
      <c r="E647">
        <v>39</v>
      </c>
      <c r="F647" t="s">
        <v>6</v>
      </c>
      <c r="G647">
        <f t="shared" si="60"/>
        <v>210</v>
      </c>
      <c r="H647" s="1" t="str">
        <f t="shared" si="61"/>
        <v>Monday</v>
      </c>
      <c r="I647" t="str">
        <f t="shared" si="62"/>
        <v>No</v>
      </c>
      <c r="J647">
        <f t="shared" si="63"/>
        <v>0</v>
      </c>
      <c r="K647">
        <f t="shared" si="64"/>
        <v>1</v>
      </c>
      <c r="L647">
        <f t="shared" si="65"/>
        <v>210</v>
      </c>
    </row>
    <row r="648" spans="1:12" x14ac:dyDescent="0.3">
      <c r="A648">
        <v>165676999</v>
      </c>
      <c r="B648" s="1">
        <v>44900</v>
      </c>
      <c r="C648" s="1">
        <v>44962</v>
      </c>
      <c r="D648" t="s">
        <v>7</v>
      </c>
      <c r="E648">
        <v>39</v>
      </c>
      <c r="F648" t="s">
        <v>6</v>
      </c>
      <c r="G648">
        <f t="shared" si="60"/>
        <v>62</v>
      </c>
      <c r="H648" s="1" t="str">
        <f t="shared" si="61"/>
        <v>Monday</v>
      </c>
      <c r="I648" t="str">
        <f t="shared" si="62"/>
        <v>No</v>
      </c>
      <c r="J648">
        <f t="shared" si="63"/>
        <v>0</v>
      </c>
      <c r="K648">
        <f t="shared" si="64"/>
        <v>1</v>
      </c>
      <c r="L648">
        <f t="shared" si="65"/>
        <v>62</v>
      </c>
    </row>
    <row r="649" spans="1:12" x14ac:dyDescent="0.3">
      <c r="A649">
        <v>167253106</v>
      </c>
      <c r="B649" s="1">
        <v>44900</v>
      </c>
      <c r="C649" s="1">
        <v>44963</v>
      </c>
      <c r="D649" t="s">
        <v>7</v>
      </c>
      <c r="E649">
        <v>39</v>
      </c>
      <c r="F649" t="s">
        <v>6</v>
      </c>
      <c r="G649">
        <f t="shared" si="60"/>
        <v>63</v>
      </c>
      <c r="H649" s="1" t="str">
        <f t="shared" si="61"/>
        <v>Monday</v>
      </c>
      <c r="I649" t="str">
        <f t="shared" si="62"/>
        <v>No</v>
      </c>
      <c r="J649">
        <f t="shared" si="63"/>
        <v>0</v>
      </c>
      <c r="K649">
        <f t="shared" si="64"/>
        <v>1</v>
      </c>
      <c r="L649">
        <f t="shared" si="65"/>
        <v>63</v>
      </c>
    </row>
    <row r="650" spans="1:12" x14ac:dyDescent="0.3">
      <c r="A650">
        <v>168022972</v>
      </c>
      <c r="B650" s="1">
        <v>44900</v>
      </c>
      <c r="C650" s="1">
        <v>44939</v>
      </c>
      <c r="D650" t="s">
        <v>7</v>
      </c>
      <c r="E650">
        <v>39</v>
      </c>
      <c r="F650" t="s">
        <v>6</v>
      </c>
      <c r="G650">
        <f t="shared" si="60"/>
        <v>39</v>
      </c>
      <c r="H650" s="1" t="str">
        <f t="shared" si="61"/>
        <v>Monday</v>
      </c>
      <c r="I650" t="str">
        <f t="shared" si="62"/>
        <v>No</v>
      </c>
      <c r="J650">
        <f t="shared" si="63"/>
        <v>0</v>
      </c>
      <c r="K650">
        <f t="shared" si="64"/>
        <v>1</v>
      </c>
      <c r="L650">
        <f t="shared" si="65"/>
        <v>39</v>
      </c>
    </row>
    <row r="651" spans="1:12" x14ac:dyDescent="0.3">
      <c r="A651">
        <v>167315920</v>
      </c>
      <c r="B651" s="1">
        <v>44900</v>
      </c>
      <c r="C651" s="1">
        <v>44931</v>
      </c>
      <c r="D651" t="s">
        <v>7</v>
      </c>
      <c r="E651">
        <v>39</v>
      </c>
      <c r="F651" t="s">
        <v>6</v>
      </c>
      <c r="G651">
        <f t="shared" si="60"/>
        <v>31</v>
      </c>
      <c r="H651" s="1" t="str">
        <f t="shared" si="61"/>
        <v>Monday</v>
      </c>
      <c r="I651" t="str">
        <f t="shared" si="62"/>
        <v>No</v>
      </c>
      <c r="J651">
        <f t="shared" si="63"/>
        <v>0</v>
      </c>
      <c r="K651">
        <f t="shared" si="64"/>
        <v>1</v>
      </c>
      <c r="L651">
        <f t="shared" si="65"/>
        <v>31</v>
      </c>
    </row>
    <row r="652" spans="1:12" ht="14.4" customHeight="1" x14ac:dyDescent="0.3">
      <c r="A652">
        <v>167928962</v>
      </c>
      <c r="B652" s="1">
        <v>44900</v>
      </c>
      <c r="C652" s="1">
        <v>44924</v>
      </c>
      <c r="D652" t="s">
        <v>7</v>
      </c>
      <c r="E652">
        <v>39</v>
      </c>
      <c r="F652" t="s">
        <v>6</v>
      </c>
      <c r="G652">
        <f t="shared" si="60"/>
        <v>24</v>
      </c>
      <c r="H652" s="1" t="str">
        <f t="shared" si="61"/>
        <v>Monday</v>
      </c>
      <c r="I652" t="str">
        <f t="shared" si="62"/>
        <v>No</v>
      </c>
      <c r="J652">
        <f t="shared" si="63"/>
        <v>0</v>
      </c>
      <c r="K652">
        <f t="shared" si="64"/>
        <v>0</v>
      </c>
      <c r="L652">
        <f t="shared" si="65"/>
        <v>24</v>
      </c>
    </row>
    <row r="653" spans="1:12" x14ac:dyDescent="0.3">
      <c r="A653">
        <v>166211741</v>
      </c>
      <c r="B653" s="1">
        <v>44901</v>
      </c>
      <c r="C653" s="1">
        <v>45027</v>
      </c>
      <c r="D653" t="s">
        <v>7</v>
      </c>
      <c r="E653">
        <v>39</v>
      </c>
      <c r="F653" t="s">
        <v>6</v>
      </c>
      <c r="G653">
        <f t="shared" si="60"/>
        <v>126</v>
      </c>
      <c r="H653" s="1" t="str">
        <f t="shared" si="61"/>
        <v>Tuesday</v>
      </c>
      <c r="I653" t="str">
        <f t="shared" si="62"/>
        <v>No</v>
      </c>
      <c r="J653">
        <f t="shared" si="63"/>
        <v>0</v>
      </c>
      <c r="K653">
        <f t="shared" si="64"/>
        <v>1</v>
      </c>
      <c r="L653">
        <f t="shared" si="65"/>
        <v>126</v>
      </c>
    </row>
    <row r="654" spans="1:12" x14ac:dyDescent="0.3">
      <c r="A654">
        <v>161450418</v>
      </c>
      <c r="B654" s="1">
        <v>44901</v>
      </c>
      <c r="C654" s="1">
        <v>45050</v>
      </c>
      <c r="D654" t="s">
        <v>7</v>
      </c>
      <c r="E654">
        <v>39</v>
      </c>
      <c r="F654" t="s">
        <v>6</v>
      </c>
      <c r="G654">
        <f t="shared" si="60"/>
        <v>149</v>
      </c>
      <c r="H654" s="1" t="str">
        <f t="shared" si="61"/>
        <v>Tuesday</v>
      </c>
      <c r="I654" t="str">
        <f t="shared" si="62"/>
        <v>No</v>
      </c>
      <c r="J654">
        <f t="shared" si="63"/>
        <v>0</v>
      </c>
      <c r="K654">
        <f t="shared" si="64"/>
        <v>1</v>
      </c>
      <c r="L654">
        <f t="shared" si="65"/>
        <v>149</v>
      </c>
    </row>
    <row r="655" spans="1:12" x14ac:dyDescent="0.3">
      <c r="A655">
        <v>144961802</v>
      </c>
      <c r="B655" s="1">
        <v>44901</v>
      </c>
      <c r="C655" s="1">
        <v>44987</v>
      </c>
      <c r="D655" t="s">
        <v>7</v>
      </c>
      <c r="E655">
        <v>39</v>
      </c>
      <c r="F655" t="s">
        <v>6</v>
      </c>
      <c r="G655">
        <f t="shared" si="60"/>
        <v>86</v>
      </c>
      <c r="H655" s="1" t="str">
        <f t="shared" si="61"/>
        <v>Tuesday</v>
      </c>
      <c r="I655" t="str">
        <f t="shared" si="62"/>
        <v>No</v>
      </c>
      <c r="J655">
        <f t="shared" si="63"/>
        <v>0</v>
      </c>
      <c r="K655">
        <f t="shared" si="64"/>
        <v>1</v>
      </c>
      <c r="L655">
        <f t="shared" si="65"/>
        <v>86</v>
      </c>
    </row>
    <row r="656" spans="1:12" x14ac:dyDescent="0.3">
      <c r="A656">
        <v>168137404</v>
      </c>
      <c r="B656" s="1">
        <v>44901</v>
      </c>
      <c r="C656" s="1">
        <v>44958</v>
      </c>
      <c r="D656" t="s">
        <v>7</v>
      </c>
      <c r="E656">
        <v>39</v>
      </c>
      <c r="F656" t="s">
        <v>6</v>
      </c>
      <c r="G656">
        <f t="shared" si="60"/>
        <v>57</v>
      </c>
      <c r="H656" s="1" t="str">
        <f t="shared" si="61"/>
        <v>Tuesday</v>
      </c>
      <c r="I656" t="str">
        <f t="shared" si="62"/>
        <v>No</v>
      </c>
      <c r="J656">
        <f t="shared" si="63"/>
        <v>0</v>
      </c>
      <c r="K656">
        <f t="shared" si="64"/>
        <v>1</v>
      </c>
      <c r="L656">
        <f t="shared" si="65"/>
        <v>57</v>
      </c>
    </row>
    <row r="657" spans="1:12" x14ac:dyDescent="0.3">
      <c r="A657">
        <v>153441732</v>
      </c>
      <c r="B657" s="1">
        <v>44901</v>
      </c>
      <c r="C657" s="1">
        <v>44970</v>
      </c>
      <c r="D657" t="s">
        <v>7</v>
      </c>
      <c r="E657">
        <v>39</v>
      </c>
      <c r="F657" t="s">
        <v>6</v>
      </c>
      <c r="G657">
        <f t="shared" si="60"/>
        <v>69</v>
      </c>
      <c r="H657" s="1" t="str">
        <f t="shared" si="61"/>
        <v>Tuesday</v>
      </c>
      <c r="I657" t="str">
        <f t="shared" si="62"/>
        <v>No</v>
      </c>
      <c r="J657">
        <f t="shared" si="63"/>
        <v>0</v>
      </c>
      <c r="K657">
        <f t="shared" si="64"/>
        <v>1</v>
      </c>
      <c r="L657">
        <f t="shared" si="65"/>
        <v>69</v>
      </c>
    </row>
    <row r="658" spans="1:12" x14ac:dyDescent="0.3">
      <c r="A658">
        <v>167649041</v>
      </c>
      <c r="B658" s="1">
        <v>44901</v>
      </c>
      <c r="C658" s="1">
        <v>44957</v>
      </c>
      <c r="D658" t="s">
        <v>7</v>
      </c>
      <c r="E658">
        <v>39</v>
      </c>
      <c r="F658" t="s">
        <v>6</v>
      </c>
      <c r="G658">
        <f t="shared" si="60"/>
        <v>56</v>
      </c>
      <c r="H658" s="1" t="str">
        <f t="shared" si="61"/>
        <v>Tuesday</v>
      </c>
      <c r="I658" t="str">
        <f t="shared" si="62"/>
        <v>No</v>
      </c>
      <c r="J658">
        <f t="shared" si="63"/>
        <v>0</v>
      </c>
      <c r="K658">
        <f t="shared" si="64"/>
        <v>1</v>
      </c>
      <c r="L658">
        <f t="shared" si="65"/>
        <v>56</v>
      </c>
    </row>
    <row r="659" spans="1:12" x14ac:dyDescent="0.3">
      <c r="A659">
        <v>168089746</v>
      </c>
      <c r="B659" s="1">
        <v>44901</v>
      </c>
      <c r="C659" s="1">
        <v>44939</v>
      </c>
      <c r="D659" t="s">
        <v>7</v>
      </c>
      <c r="E659">
        <v>39</v>
      </c>
      <c r="F659" t="s">
        <v>6</v>
      </c>
      <c r="G659">
        <f t="shared" si="60"/>
        <v>38</v>
      </c>
      <c r="H659" s="1" t="str">
        <f t="shared" si="61"/>
        <v>Tuesday</v>
      </c>
      <c r="I659" t="str">
        <f t="shared" si="62"/>
        <v>No</v>
      </c>
      <c r="J659">
        <f t="shared" si="63"/>
        <v>0</v>
      </c>
      <c r="K659">
        <f t="shared" si="64"/>
        <v>1</v>
      </c>
      <c r="L659">
        <f t="shared" si="65"/>
        <v>38</v>
      </c>
    </row>
    <row r="660" spans="1:12" x14ac:dyDescent="0.3">
      <c r="A660">
        <v>158177274</v>
      </c>
      <c r="B660" s="1">
        <v>44901</v>
      </c>
      <c r="C660" s="1">
        <v>44952</v>
      </c>
      <c r="D660" t="s">
        <v>7</v>
      </c>
      <c r="E660">
        <v>39</v>
      </c>
      <c r="F660" t="s">
        <v>6</v>
      </c>
      <c r="G660">
        <f t="shared" si="60"/>
        <v>51</v>
      </c>
      <c r="H660" s="1" t="str">
        <f t="shared" si="61"/>
        <v>Tuesday</v>
      </c>
      <c r="I660" t="str">
        <f t="shared" si="62"/>
        <v>No</v>
      </c>
      <c r="J660">
        <f t="shared" si="63"/>
        <v>0</v>
      </c>
      <c r="K660">
        <f t="shared" si="64"/>
        <v>1</v>
      </c>
      <c r="L660">
        <f t="shared" si="65"/>
        <v>51</v>
      </c>
    </row>
    <row r="661" spans="1:12" x14ac:dyDescent="0.3">
      <c r="A661">
        <v>168061628</v>
      </c>
      <c r="B661" s="1">
        <v>44901</v>
      </c>
      <c r="C661" s="1">
        <v>44939</v>
      </c>
      <c r="D661" t="s">
        <v>7</v>
      </c>
      <c r="E661">
        <v>39</v>
      </c>
      <c r="F661" t="s">
        <v>6</v>
      </c>
      <c r="G661">
        <f t="shared" si="60"/>
        <v>38</v>
      </c>
      <c r="H661" s="1" t="str">
        <f t="shared" si="61"/>
        <v>Tuesday</v>
      </c>
      <c r="I661" t="str">
        <f t="shared" si="62"/>
        <v>No</v>
      </c>
      <c r="J661">
        <f t="shared" si="63"/>
        <v>0</v>
      </c>
      <c r="K661">
        <f t="shared" si="64"/>
        <v>1</v>
      </c>
      <c r="L661">
        <f t="shared" si="65"/>
        <v>38</v>
      </c>
    </row>
    <row r="662" spans="1:12" ht="14.4" customHeight="1" x14ac:dyDescent="0.3">
      <c r="A662">
        <v>168436401</v>
      </c>
      <c r="B662" s="1">
        <v>44902</v>
      </c>
      <c r="D662" t="s">
        <v>7</v>
      </c>
      <c r="E662">
        <v>39</v>
      </c>
      <c r="F662" t="s">
        <v>6</v>
      </c>
      <c r="G662" t="str">
        <f t="shared" si="60"/>
        <v/>
      </c>
      <c r="H662" s="1" t="str">
        <f t="shared" si="61"/>
        <v>Wednesday</v>
      </c>
      <c r="I662" t="str">
        <f t="shared" si="62"/>
        <v>No</v>
      </c>
      <c r="J662">
        <f t="shared" si="63"/>
        <v>0</v>
      </c>
      <c r="K662">
        <f t="shared" si="64"/>
        <v>0</v>
      </c>
      <c r="L662" t="str">
        <f t="shared" si="65"/>
        <v/>
      </c>
    </row>
    <row r="663" spans="1:12" ht="14.4" customHeight="1" x14ac:dyDescent="0.3">
      <c r="A663">
        <v>126770376</v>
      </c>
      <c r="B663" s="1">
        <v>44902</v>
      </c>
      <c r="C663" s="1">
        <v>44928</v>
      </c>
      <c r="D663" t="s">
        <v>7</v>
      </c>
      <c r="E663">
        <v>39</v>
      </c>
      <c r="F663" t="s">
        <v>6</v>
      </c>
      <c r="G663">
        <f t="shared" si="60"/>
        <v>26</v>
      </c>
      <c r="H663" s="1" t="str">
        <f t="shared" si="61"/>
        <v>Wednesday</v>
      </c>
      <c r="I663" t="str">
        <f t="shared" si="62"/>
        <v>No</v>
      </c>
      <c r="J663">
        <f t="shared" si="63"/>
        <v>0</v>
      </c>
      <c r="K663">
        <f t="shared" si="64"/>
        <v>0</v>
      </c>
      <c r="L663">
        <f t="shared" si="65"/>
        <v>26</v>
      </c>
    </row>
    <row r="664" spans="1:12" x14ac:dyDescent="0.3">
      <c r="A664">
        <v>153468957</v>
      </c>
      <c r="B664" s="1">
        <v>44902</v>
      </c>
      <c r="C664" s="1">
        <v>44971</v>
      </c>
      <c r="D664" t="s">
        <v>7</v>
      </c>
      <c r="E664">
        <v>39</v>
      </c>
      <c r="F664" t="s">
        <v>6</v>
      </c>
      <c r="G664">
        <f t="shared" si="60"/>
        <v>69</v>
      </c>
      <c r="H664" s="1" t="str">
        <f t="shared" si="61"/>
        <v>Wednesday</v>
      </c>
      <c r="I664" t="str">
        <f t="shared" si="62"/>
        <v>No</v>
      </c>
      <c r="J664">
        <f t="shared" si="63"/>
        <v>0</v>
      </c>
      <c r="K664">
        <f t="shared" si="64"/>
        <v>1</v>
      </c>
      <c r="L664">
        <f t="shared" si="65"/>
        <v>69</v>
      </c>
    </row>
    <row r="665" spans="1:12" x14ac:dyDescent="0.3">
      <c r="A665">
        <v>168336474</v>
      </c>
      <c r="B665" s="1">
        <v>44902</v>
      </c>
      <c r="C665" s="1">
        <v>44984</v>
      </c>
      <c r="D665" t="s">
        <v>7</v>
      </c>
      <c r="E665">
        <v>39</v>
      </c>
      <c r="F665" t="s">
        <v>6</v>
      </c>
      <c r="G665">
        <f t="shared" si="60"/>
        <v>82</v>
      </c>
      <c r="H665" s="1" t="str">
        <f t="shared" si="61"/>
        <v>Wednesday</v>
      </c>
      <c r="I665" t="str">
        <f t="shared" si="62"/>
        <v>No</v>
      </c>
      <c r="J665">
        <f t="shared" si="63"/>
        <v>0</v>
      </c>
      <c r="K665">
        <f t="shared" si="64"/>
        <v>1</v>
      </c>
      <c r="L665">
        <f t="shared" si="65"/>
        <v>82</v>
      </c>
    </row>
    <row r="666" spans="1:12" ht="14.4" customHeight="1" x14ac:dyDescent="0.3">
      <c r="A666">
        <v>166929423</v>
      </c>
      <c r="B666" s="1">
        <v>44902</v>
      </c>
      <c r="C666" s="1">
        <v>44923</v>
      </c>
      <c r="D666" t="s">
        <v>7</v>
      </c>
      <c r="E666">
        <v>39</v>
      </c>
      <c r="F666" t="s">
        <v>6</v>
      </c>
      <c r="G666">
        <f t="shared" si="60"/>
        <v>21</v>
      </c>
      <c r="H666" s="1" t="str">
        <f t="shared" si="61"/>
        <v>Wednesday</v>
      </c>
      <c r="I666" t="str">
        <f t="shared" si="62"/>
        <v>No</v>
      </c>
      <c r="J666">
        <f t="shared" si="63"/>
        <v>0</v>
      </c>
      <c r="K666">
        <f t="shared" si="64"/>
        <v>0</v>
      </c>
      <c r="L666">
        <f t="shared" si="65"/>
        <v>21</v>
      </c>
    </row>
    <row r="667" spans="1:12" ht="14.4" customHeight="1" x14ac:dyDescent="0.3">
      <c r="A667">
        <v>163990458</v>
      </c>
      <c r="B667" s="1">
        <v>44902</v>
      </c>
      <c r="C667" s="1">
        <v>44917</v>
      </c>
      <c r="D667" t="s">
        <v>7</v>
      </c>
      <c r="E667">
        <v>39</v>
      </c>
      <c r="F667" t="s">
        <v>6</v>
      </c>
      <c r="G667">
        <f t="shared" si="60"/>
        <v>15</v>
      </c>
      <c r="H667" s="1" t="str">
        <f t="shared" si="61"/>
        <v>Wednesday</v>
      </c>
      <c r="I667" t="str">
        <f t="shared" si="62"/>
        <v>No</v>
      </c>
      <c r="J667">
        <f t="shared" si="63"/>
        <v>0</v>
      </c>
      <c r="K667">
        <f t="shared" si="64"/>
        <v>0</v>
      </c>
      <c r="L667">
        <f t="shared" si="65"/>
        <v>15</v>
      </c>
    </row>
    <row r="668" spans="1:12" ht="14.4" customHeight="1" x14ac:dyDescent="0.3">
      <c r="A668">
        <v>166411463</v>
      </c>
      <c r="B668" s="1">
        <v>44903</v>
      </c>
      <c r="D668" t="s">
        <v>7</v>
      </c>
      <c r="E668">
        <v>39</v>
      </c>
      <c r="F668" t="s">
        <v>6</v>
      </c>
      <c r="G668" t="str">
        <f t="shared" si="60"/>
        <v/>
      </c>
      <c r="H668" s="1" t="str">
        <f t="shared" si="61"/>
        <v>Thursday</v>
      </c>
      <c r="I668" t="str">
        <f t="shared" si="62"/>
        <v>No</v>
      </c>
      <c r="J668">
        <f t="shared" si="63"/>
        <v>0</v>
      </c>
      <c r="K668">
        <f t="shared" si="64"/>
        <v>0</v>
      </c>
      <c r="L668" t="str">
        <f t="shared" si="65"/>
        <v/>
      </c>
    </row>
    <row r="669" spans="1:12" ht="14.4" customHeight="1" x14ac:dyDescent="0.3">
      <c r="A669">
        <v>168433088</v>
      </c>
      <c r="B669" s="1">
        <v>44903</v>
      </c>
      <c r="D669" t="s">
        <v>7</v>
      </c>
      <c r="E669">
        <v>39</v>
      </c>
      <c r="F669" t="s">
        <v>6</v>
      </c>
      <c r="G669" t="str">
        <f t="shared" si="60"/>
        <v/>
      </c>
      <c r="H669" s="1" t="str">
        <f t="shared" si="61"/>
        <v>Thursday</v>
      </c>
      <c r="I669" t="str">
        <f t="shared" si="62"/>
        <v>No</v>
      </c>
      <c r="J669">
        <f t="shared" si="63"/>
        <v>0</v>
      </c>
      <c r="K669">
        <f t="shared" si="64"/>
        <v>0</v>
      </c>
      <c r="L669" t="str">
        <f t="shared" si="65"/>
        <v/>
      </c>
    </row>
    <row r="670" spans="1:12" ht="14.4" customHeight="1" x14ac:dyDescent="0.3">
      <c r="A670">
        <v>155426075</v>
      </c>
      <c r="B670" s="1">
        <v>44903</v>
      </c>
      <c r="D670" t="s">
        <v>7</v>
      </c>
      <c r="E670">
        <v>39</v>
      </c>
      <c r="F670" t="s">
        <v>6</v>
      </c>
      <c r="G670" t="str">
        <f t="shared" si="60"/>
        <v/>
      </c>
      <c r="H670" s="1" t="str">
        <f t="shared" si="61"/>
        <v>Thursday</v>
      </c>
      <c r="I670" t="str">
        <f t="shared" si="62"/>
        <v>No</v>
      </c>
      <c r="J670">
        <f t="shared" si="63"/>
        <v>0</v>
      </c>
      <c r="K670">
        <f t="shared" si="64"/>
        <v>0</v>
      </c>
      <c r="L670" t="str">
        <f t="shared" si="65"/>
        <v/>
      </c>
    </row>
    <row r="671" spans="1:12" ht="14.4" customHeight="1" x14ac:dyDescent="0.3">
      <c r="A671">
        <v>168555694</v>
      </c>
      <c r="B671" s="1">
        <v>44903</v>
      </c>
      <c r="C671" s="1">
        <v>44904</v>
      </c>
      <c r="D671" t="s">
        <v>8</v>
      </c>
      <c r="E671">
        <v>39</v>
      </c>
      <c r="F671" t="s">
        <v>6</v>
      </c>
      <c r="G671">
        <f t="shared" si="60"/>
        <v>1</v>
      </c>
      <c r="H671" s="1" t="str">
        <f t="shared" si="61"/>
        <v>Thursday</v>
      </c>
      <c r="I671" t="str">
        <f t="shared" si="62"/>
        <v>No</v>
      </c>
      <c r="J671">
        <f t="shared" si="63"/>
        <v>1</v>
      </c>
      <c r="K671">
        <f t="shared" si="64"/>
        <v>0</v>
      </c>
      <c r="L671">
        <f t="shared" si="65"/>
        <v>1</v>
      </c>
    </row>
    <row r="672" spans="1:12" x14ac:dyDescent="0.3">
      <c r="A672">
        <v>162912102</v>
      </c>
      <c r="B672" s="1">
        <v>44903</v>
      </c>
      <c r="C672" s="1">
        <v>45061</v>
      </c>
      <c r="D672" t="s">
        <v>7</v>
      </c>
      <c r="E672">
        <v>39</v>
      </c>
      <c r="F672" t="s">
        <v>6</v>
      </c>
      <c r="G672">
        <f t="shared" si="60"/>
        <v>158</v>
      </c>
      <c r="H672" s="1" t="str">
        <f t="shared" si="61"/>
        <v>Thursday</v>
      </c>
      <c r="I672" t="str">
        <f t="shared" si="62"/>
        <v>No</v>
      </c>
      <c r="J672">
        <f t="shared" si="63"/>
        <v>0</v>
      </c>
      <c r="K672">
        <f t="shared" si="64"/>
        <v>1</v>
      </c>
      <c r="L672">
        <f t="shared" si="65"/>
        <v>158</v>
      </c>
    </row>
    <row r="673" spans="1:12" x14ac:dyDescent="0.3">
      <c r="A673">
        <v>168471192</v>
      </c>
      <c r="B673" s="1">
        <v>44903</v>
      </c>
      <c r="C673" s="1">
        <v>44960</v>
      </c>
      <c r="D673" t="s">
        <v>7</v>
      </c>
      <c r="E673">
        <v>39</v>
      </c>
      <c r="F673" t="s">
        <v>6</v>
      </c>
      <c r="G673">
        <f t="shared" si="60"/>
        <v>57</v>
      </c>
      <c r="H673" s="1" t="str">
        <f t="shared" si="61"/>
        <v>Thursday</v>
      </c>
      <c r="I673" t="str">
        <f t="shared" si="62"/>
        <v>No</v>
      </c>
      <c r="J673">
        <f t="shared" si="63"/>
        <v>0</v>
      </c>
      <c r="K673">
        <f t="shared" si="64"/>
        <v>1</v>
      </c>
      <c r="L673">
        <f t="shared" si="65"/>
        <v>57</v>
      </c>
    </row>
    <row r="674" spans="1:12" x14ac:dyDescent="0.3">
      <c r="A674">
        <v>168825734</v>
      </c>
      <c r="B674" s="1">
        <v>44903</v>
      </c>
      <c r="C674" s="1">
        <v>44941</v>
      </c>
      <c r="D674" t="s">
        <v>7</v>
      </c>
      <c r="E674">
        <v>39</v>
      </c>
      <c r="F674" t="s">
        <v>6</v>
      </c>
      <c r="G674">
        <f t="shared" si="60"/>
        <v>38</v>
      </c>
      <c r="H674" s="1" t="str">
        <f t="shared" si="61"/>
        <v>Thursday</v>
      </c>
      <c r="I674" t="str">
        <f t="shared" si="62"/>
        <v>No</v>
      </c>
      <c r="J674">
        <f t="shared" si="63"/>
        <v>0</v>
      </c>
      <c r="K674">
        <f t="shared" si="64"/>
        <v>1</v>
      </c>
      <c r="L674">
        <f t="shared" si="65"/>
        <v>38</v>
      </c>
    </row>
    <row r="675" spans="1:12" ht="14.4" customHeight="1" x14ac:dyDescent="0.3">
      <c r="A675">
        <v>163852568</v>
      </c>
      <c r="B675" s="1">
        <v>44903</v>
      </c>
      <c r="C675" s="1">
        <v>44907</v>
      </c>
      <c r="D675" t="s">
        <v>7</v>
      </c>
      <c r="E675">
        <v>39</v>
      </c>
      <c r="F675" t="s">
        <v>6</v>
      </c>
      <c r="G675">
        <f t="shared" si="60"/>
        <v>4</v>
      </c>
      <c r="H675" s="1" t="str">
        <f t="shared" si="61"/>
        <v>Thursday</v>
      </c>
      <c r="I675" t="str">
        <f t="shared" si="62"/>
        <v>No</v>
      </c>
      <c r="J675">
        <f t="shared" si="63"/>
        <v>0</v>
      </c>
      <c r="K675">
        <f t="shared" si="64"/>
        <v>0</v>
      </c>
      <c r="L675">
        <f t="shared" si="65"/>
        <v>4</v>
      </c>
    </row>
    <row r="676" spans="1:12" ht="14.4" customHeight="1" x14ac:dyDescent="0.3">
      <c r="A676">
        <v>168460834</v>
      </c>
      <c r="B676" s="1">
        <v>44903</v>
      </c>
      <c r="C676" s="1">
        <v>44922</v>
      </c>
      <c r="D676" t="s">
        <v>7</v>
      </c>
      <c r="E676">
        <v>39</v>
      </c>
      <c r="F676" t="s">
        <v>6</v>
      </c>
      <c r="G676">
        <f t="shared" si="60"/>
        <v>19</v>
      </c>
      <c r="H676" s="1" t="str">
        <f t="shared" si="61"/>
        <v>Thursday</v>
      </c>
      <c r="I676" t="str">
        <f t="shared" si="62"/>
        <v>No</v>
      </c>
      <c r="J676">
        <f t="shared" si="63"/>
        <v>0</v>
      </c>
      <c r="K676">
        <f t="shared" si="64"/>
        <v>0</v>
      </c>
      <c r="L676">
        <f t="shared" si="65"/>
        <v>19</v>
      </c>
    </row>
    <row r="677" spans="1:12" x14ac:dyDescent="0.3">
      <c r="A677">
        <v>169085351</v>
      </c>
      <c r="B677" s="1">
        <v>44904</v>
      </c>
      <c r="C677" s="1">
        <v>45112</v>
      </c>
      <c r="D677" t="s">
        <v>7</v>
      </c>
      <c r="E677">
        <v>39</v>
      </c>
      <c r="F677" t="s">
        <v>6</v>
      </c>
      <c r="G677">
        <f t="shared" si="60"/>
        <v>208</v>
      </c>
      <c r="H677" s="1" t="str">
        <f t="shared" si="61"/>
        <v>Friday</v>
      </c>
      <c r="I677" t="str">
        <f t="shared" si="62"/>
        <v>No</v>
      </c>
      <c r="J677">
        <f t="shared" si="63"/>
        <v>0</v>
      </c>
      <c r="K677">
        <f t="shared" si="64"/>
        <v>1</v>
      </c>
      <c r="L677">
        <f t="shared" si="65"/>
        <v>208</v>
      </c>
    </row>
    <row r="678" spans="1:12" x14ac:dyDescent="0.3">
      <c r="A678">
        <v>168456070</v>
      </c>
      <c r="B678" s="1">
        <v>44904</v>
      </c>
      <c r="C678" s="1">
        <v>45038</v>
      </c>
      <c r="D678" t="s">
        <v>7</v>
      </c>
      <c r="E678">
        <v>39</v>
      </c>
      <c r="F678" t="s">
        <v>6</v>
      </c>
      <c r="G678">
        <f t="shared" si="60"/>
        <v>134</v>
      </c>
      <c r="H678" s="1" t="str">
        <f t="shared" si="61"/>
        <v>Friday</v>
      </c>
      <c r="I678" t="str">
        <f t="shared" si="62"/>
        <v>No</v>
      </c>
      <c r="J678">
        <f t="shared" si="63"/>
        <v>0</v>
      </c>
      <c r="K678">
        <f t="shared" si="64"/>
        <v>1</v>
      </c>
      <c r="L678">
        <f t="shared" si="65"/>
        <v>134</v>
      </c>
    </row>
    <row r="679" spans="1:12" x14ac:dyDescent="0.3">
      <c r="A679">
        <v>168900021</v>
      </c>
      <c r="B679" s="1">
        <v>44904</v>
      </c>
      <c r="C679" s="1">
        <v>44963</v>
      </c>
      <c r="D679" t="s">
        <v>7</v>
      </c>
      <c r="E679">
        <v>39</v>
      </c>
      <c r="F679" t="s">
        <v>6</v>
      </c>
      <c r="G679">
        <f t="shared" si="60"/>
        <v>59</v>
      </c>
      <c r="H679" s="1" t="str">
        <f t="shared" si="61"/>
        <v>Friday</v>
      </c>
      <c r="I679" t="str">
        <f t="shared" si="62"/>
        <v>No</v>
      </c>
      <c r="J679">
        <f t="shared" si="63"/>
        <v>0</v>
      </c>
      <c r="K679">
        <f t="shared" si="64"/>
        <v>1</v>
      </c>
      <c r="L679">
        <f t="shared" si="65"/>
        <v>59</v>
      </c>
    </row>
    <row r="680" spans="1:12" x14ac:dyDescent="0.3">
      <c r="A680">
        <v>169113748</v>
      </c>
      <c r="B680" s="1">
        <v>44904</v>
      </c>
      <c r="C680" s="1">
        <v>44939</v>
      </c>
      <c r="D680" t="s">
        <v>7</v>
      </c>
      <c r="E680">
        <v>39</v>
      </c>
      <c r="F680" t="s">
        <v>6</v>
      </c>
      <c r="G680">
        <f t="shared" si="60"/>
        <v>35</v>
      </c>
      <c r="H680" s="1" t="str">
        <f t="shared" si="61"/>
        <v>Friday</v>
      </c>
      <c r="I680" t="str">
        <f t="shared" si="62"/>
        <v>No</v>
      </c>
      <c r="J680">
        <f t="shared" si="63"/>
        <v>0</v>
      </c>
      <c r="K680">
        <f t="shared" si="64"/>
        <v>1</v>
      </c>
      <c r="L680">
        <f t="shared" si="65"/>
        <v>35</v>
      </c>
    </row>
    <row r="681" spans="1:12" x14ac:dyDescent="0.3">
      <c r="A681">
        <v>162193491</v>
      </c>
      <c r="B681" s="1">
        <v>44904</v>
      </c>
      <c r="C681" s="1">
        <v>44946</v>
      </c>
      <c r="D681" t="s">
        <v>7</v>
      </c>
      <c r="E681">
        <v>39</v>
      </c>
      <c r="F681" t="s">
        <v>6</v>
      </c>
      <c r="G681">
        <f t="shared" si="60"/>
        <v>42</v>
      </c>
      <c r="H681" s="1" t="str">
        <f t="shared" si="61"/>
        <v>Friday</v>
      </c>
      <c r="I681" t="str">
        <f t="shared" si="62"/>
        <v>No</v>
      </c>
      <c r="J681">
        <f t="shared" si="63"/>
        <v>0</v>
      </c>
      <c r="K681">
        <f t="shared" si="64"/>
        <v>1</v>
      </c>
      <c r="L681">
        <f t="shared" si="65"/>
        <v>42</v>
      </c>
    </row>
    <row r="682" spans="1:12" x14ac:dyDescent="0.3">
      <c r="A682">
        <v>167761722</v>
      </c>
      <c r="B682" s="1">
        <v>44904</v>
      </c>
      <c r="C682" s="1">
        <v>45123</v>
      </c>
      <c r="D682" t="s">
        <v>7</v>
      </c>
      <c r="E682">
        <v>39</v>
      </c>
      <c r="F682" t="s">
        <v>6</v>
      </c>
      <c r="G682">
        <f t="shared" si="60"/>
        <v>219</v>
      </c>
      <c r="H682" s="1" t="str">
        <f t="shared" si="61"/>
        <v>Friday</v>
      </c>
      <c r="I682" t="str">
        <f t="shared" si="62"/>
        <v>No</v>
      </c>
      <c r="J682">
        <f t="shared" si="63"/>
        <v>0</v>
      </c>
      <c r="K682">
        <f t="shared" si="64"/>
        <v>1</v>
      </c>
      <c r="L682">
        <f t="shared" si="65"/>
        <v>219</v>
      </c>
    </row>
    <row r="683" spans="1:12" x14ac:dyDescent="0.3">
      <c r="A683">
        <v>169244937</v>
      </c>
      <c r="B683" s="1">
        <v>44905</v>
      </c>
      <c r="C683" s="1">
        <v>44989</v>
      </c>
      <c r="D683" t="s">
        <v>7</v>
      </c>
      <c r="E683">
        <v>39</v>
      </c>
      <c r="F683" t="s">
        <v>6</v>
      </c>
      <c r="G683">
        <f t="shared" si="60"/>
        <v>84</v>
      </c>
      <c r="H683" s="1" t="str">
        <f t="shared" si="61"/>
        <v>Saturday</v>
      </c>
      <c r="I683" t="str">
        <f t="shared" si="62"/>
        <v>No</v>
      </c>
      <c r="J683">
        <f t="shared" si="63"/>
        <v>0</v>
      </c>
      <c r="K683">
        <f t="shared" si="64"/>
        <v>1</v>
      </c>
      <c r="L683">
        <f t="shared" si="65"/>
        <v>84</v>
      </c>
    </row>
    <row r="684" spans="1:12" x14ac:dyDescent="0.3">
      <c r="A684">
        <v>167923504</v>
      </c>
      <c r="B684" s="1">
        <v>44905</v>
      </c>
      <c r="C684" s="1">
        <v>44965</v>
      </c>
      <c r="D684" t="s">
        <v>7</v>
      </c>
      <c r="E684">
        <v>39</v>
      </c>
      <c r="F684" t="s">
        <v>6</v>
      </c>
      <c r="G684">
        <f t="shared" si="60"/>
        <v>60</v>
      </c>
      <c r="H684" s="1" t="str">
        <f t="shared" si="61"/>
        <v>Saturday</v>
      </c>
      <c r="I684" t="str">
        <f t="shared" si="62"/>
        <v>No</v>
      </c>
      <c r="J684">
        <f t="shared" si="63"/>
        <v>0</v>
      </c>
      <c r="K684">
        <f t="shared" si="64"/>
        <v>1</v>
      </c>
      <c r="L684">
        <f t="shared" si="65"/>
        <v>60</v>
      </c>
    </row>
    <row r="685" spans="1:12" x14ac:dyDescent="0.3">
      <c r="A685">
        <v>167459469</v>
      </c>
      <c r="B685" s="1">
        <v>44905</v>
      </c>
      <c r="C685" s="1">
        <v>44940</v>
      </c>
      <c r="D685" t="s">
        <v>7</v>
      </c>
      <c r="E685">
        <v>39</v>
      </c>
      <c r="F685" t="s">
        <v>6</v>
      </c>
      <c r="G685">
        <f t="shared" si="60"/>
        <v>35</v>
      </c>
      <c r="H685" s="1" t="str">
        <f t="shared" si="61"/>
        <v>Saturday</v>
      </c>
      <c r="I685" t="str">
        <f t="shared" si="62"/>
        <v>No</v>
      </c>
      <c r="J685">
        <f t="shared" si="63"/>
        <v>0</v>
      </c>
      <c r="K685">
        <f t="shared" si="64"/>
        <v>1</v>
      </c>
      <c r="L685">
        <f t="shared" si="65"/>
        <v>35</v>
      </c>
    </row>
    <row r="686" spans="1:12" ht="14.4" customHeight="1" x14ac:dyDescent="0.3">
      <c r="A686">
        <v>123169152</v>
      </c>
      <c r="B686" s="1">
        <v>44905</v>
      </c>
      <c r="C686" s="1">
        <v>44929</v>
      </c>
      <c r="D686" t="s">
        <v>7</v>
      </c>
      <c r="E686">
        <v>39</v>
      </c>
      <c r="F686" t="s">
        <v>6</v>
      </c>
      <c r="G686">
        <f t="shared" si="60"/>
        <v>24</v>
      </c>
      <c r="H686" s="1" t="str">
        <f t="shared" si="61"/>
        <v>Saturday</v>
      </c>
      <c r="I686" t="str">
        <f t="shared" si="62"/>
        <v>No</v>
      </c>
      <c r="J686">
        <f t="shared" si="63"/>
        <v>0</v>
      </c>
      <c r="K686">
        <f t="shared" si="64"/>
        <v>0</v>
      </c>
      <c r="L686">
        <f t="shared" si="65"/>
        <v>24</v>
      </c>
    </row>
    <row r="687" spans="1:12" ht="14.4" customHeight="1" x14ac:dyDescent="0.3">
      <c r="A687">
        <v>153157541</v>
      </c>
      <c r="B687" s="1">
        <v>44906</v>
      </c>
      <c r="D687" t="s">
        <v>7</v>
      </c>
      <c r="E687">
        <v>39</v>
      </c>
      <c r="F687" t="s">
        <v>6</v>
      </c>
      <c r="G687" t="str">
        <f t="shared" si="60"/>
        <v/>
      </c>
      <c r="H687" s="1" t="str">
        <f t="shared" si="61"/>
        <v>Sunday</v>
      </c>
      <c r="I687" t="str">
        <f t="shared" si="62"/>
        <v>No</v>
      </c>
      <c r="J687">
        <f t="shared" si="63"/>
        <v>0</v>
      </c>
      <c r="K687">
        <f t="shared" si="64"/>
        <v>0</v>
      </c>
      <c r="L687" t="str">
        <f t="shared" si="65"/>
        <v/>
      </c>
    </row>
    <row r="688" spans="1:12" ht="14.4" customHeight="1" x14ac:dyDescent="0.3">
      <c r="A688">
        <v>169133180</v>
      </c>
      <c r="B688" s="1">
        <v>44906</v>
      </c>
      <c r="D688" t="s">
        <v>7</v>
      </c>
      <c r="E688">
        <v>39</v>
      </c>
      <c r="F688" t="s">
        <v>6</v>
      </c>
      <c r="G688" t="str">
        <f t="shared" si="60"/>
        <v/>
      </c>
      <c r="H688" s="1" t="str">
        <f t="shared" si="61"/>
        <v>Sunday</v>
      </c>
      <c r="I688" t="str">
        <f t="shared" si="62"/>
        <v>No</v>
      </c>
      <c r="J688">
        <f t="shared" si="63"/>
        <v>0</v>
      </c>
      <c r="K688">
        <f t="shared" si="64"/>
        <v>0</v>
      </c>
      <c r="L688" t="str">
        <f t="shared" si="65"/>
        <v/>
      </c>
    </row>
    <row r="689" spans="1:12" ht="14.4" customHeight="1" x14ac:dyDescent="0.3">
      <c r="A689">
        <v>129447970</v>
      </c>
      <c r="B689" s="1">
        <v>44906</v>
      </c>
      <c r="C689" s="1">
        <v>44907</v>
      </c>
      <c r="D689" t="s">
        <v>7</v>
      </c>
      <c r="E689">
        <v>39</v>
      </c>
      <c r="F689" t="s">
        <v>6</v>
      </c>
      <c r="G689">
        <f t="shared" si="60"/>
        <v>1</v>
      </c>
      <c r="H689" s="1" t="str">
        <f t="shared" si="61"/>
        <v>Sunday</v>
      </c>
      <c r="I689" t="str">
        <f t="shared" si="62"/>
        <v>No</v>
      </c>
      <c r="J689">
        <f t="shared" si="63"/>
        <v>1</v>
      </c>
      <c r="K689">
        <f t="shared" si="64"/>
        <v>0</v>
      </c>
      <c r="L689">
        <f t="shared" si="65"/>
        <v>1</v>
      </c>
    </row>
    <row r="690" spans="1:12" x14ac:dyDescent="0.3">
      <c r="A690">
        <v>169388365</v>
      </c>
      <c r="B690" s="1">
        <v>44906</v>
      </c>
      <c r="C690" s="1">
        <v>45095</v>
      </c>
      <c r="D690" t="s">
        <v>7</v>
      </c>
      <c r="E690">
        <v>39</v>
      </c>
      <c r="F690" t="s">
        <v>6</v>
      </c>
      <c r="G690">
        <f t="shared" si="60"/>
        <v>189</v>
      </c>
      <c r="H690" s="1" t="str">
        <f t="shared" si="61"/>
        <v>Sunday</v>
      </c>
      <c r="I690" t="str">
        <f t="shared" si="62"/>
        <v>No</v>
      </c>
      <c r="J690">
        <f t="shared" si="63"/>
        <v>0</v>
      </c>
      <c r="K690">
        <f t="shared" si="64"/>
        <v>1</v>
      </c>
      <c r="L690">
        <f t="shared" si="65"/>
        <v>189</v>
      </c>
    </row>
    <row r="691" spans="1:12" x14ac:dyDescent="0.3">
      <c r="A691">
        <v>130872019</v>
      </c>
      <c r="B691" s="1">
        <v>44906</v>
      </c>
      <c r="C691" s="1">
        <v>45027</v>
      </c>
      <c r="D691" t="s">
        <v>7</v>
      </c>
      <c r="E691">
        <v>39</v>
      </c>
      <c r="F691" t="s">
        <v>6</v>
      </c>
      <c r="G691">
        <f t="shared" si="60"/>
        <v>121</v>
      </c>
      <c r="H691" s="1" t="str">
        <f t="shared" si="61"/>
        <v>Sunday</v>
      </c>
      <c r="I691" t="str">
        <f t="shared" si="62"/>
        <v>No</v>
      </c>
      <c r="J691">
        <f t="shared" si="63"/>
        <v>0</v>
      </c>
      <c r="K691">
        <f t="shared" si="64"/>
        <v>1</v>
      </c>
      <c r="L691">
        <f t="shared" si="65"/>
        <v>121</v>
      </c>
    </row>
    <row r="692" spans="1:12" x14ac:dyDescent="0.3">
      <c r="A692">
        <v>167674086</v>
      </c>
      <c r="B692" s="1">
        <v>44906</v>
      </c>
      <c r="C692" s="1">
        <v>45047</v>
      </c>
      <c r="D692" t="s">
        <v>7</v>
      </c>
      <c r="E692">
        <v>39</v>
      </c>
      <c r="F692" t="s">
        <v>6</v>
      </c>
      <c r="G692">
        <f t="shared" si="60"/>
        <v>141</v>
      </c>
      <c r="H692" s="1" t="str">
        <f t="shared" si="61"/>
        <v>Sunday</v>
      </c>
      <c r="I692" t="str">
        <f t="shared" si="62"/>
        <v>No</v>
      </c>
      <c r="J692">
        <f t="shared" si="63"/>
        <v>0</v>
      </c>
      <c r="K692">
        <f t="shared" si="64"/>
        <v>1</v>
      </c>
      <c r="L692">
        <f t="shared" si="65"/>
        <v>141</v>
      </c>
    </row>
    <row r="693" spans="1:12" x14ac:dyDescent="0.3">
      <c r="A693">
        <v>169590994</v>
      </c>
      <c r="B693" s="1">
        <v>44906</v>
      </c>
      <c r="C693" s="1">
        <v>44983</v>
      </c>
      <c r="D693" t="s">
        <v>7</v>
      </c>
      <c r="E693">
        <v>39</v>
      </c>
      <c r="F693" t="s">
        <v>6</v>
      </c>
      <c r="G693">
        <f t="shared" si="60"/>
        <v>77</v>
      </c>
      <c r="H693" s="1" t="str">
        <f t="shared" si="61"/>
        <v>Sunday</v>
      </c>
      <c r="I693" t="str">
        <f t="shared" si="62"/>
        <v>No</v>
      </c>
      <c r="J693">
        <f t="shared" si="63"/>
        <v>0</v>
      </c>
      <c r="K693">
        <f t="shared" si="64"/>
        <v>1</v>
      </c>
      <c r="L693">
        <f t="shared" si="65"/>
        <v>77</v>
      </c>
    </row>
    <row r="694" spans="1:12" x14ac:dyDescent="0.3">
      <c r="A694">
        <v>166199181</v>
      </c>
      <c r="B694" s="1">
        <v>44906</v>
      </c>
      <c r="C694" s="1">
        <v>44944</v>
      </c>
      <c r="D694" t="s">
        <v>7</v>
      </c>
      <c r="E694">
        <v>39</v>
      </c>
      <c r="F694" t="s">
        <v>6</v>
      </c>
      <c r="G694">
        <f t="shared" si="60"/>
        <v>38</v>
      </c>
      <c r="H694" s="1" t="str">
        <f t="shared" si="61"/>
        <v>Sunday</v>
      </c>
      <c r="I694" t="str">
        <f t="shared" si="62"/>
        <v>No</v>
      </c>
      <c r="J694">
        <f t="shared" si="63"/>
        <v>0</v>
      </c>
      <c r="K694">
        <f t="shared" si="64"/>
        <v>1</v>
      </c>
      <c r="L694">
        <f t="shared" si="65"/>
        <v>38</v>
      </c>
    </row>
    <row r="695" spans="1:12" ht="14.4" customHeight="1" x14ac:dyDescent="0.3">
      <c r="A695">
        <v>169895510</v>
      </c>
      <c r="B695" s="1">
        <v>44907</v>
      </c>
      <c r="D695" t="s">
        <v>7</v>
      </c>
      <c r="E695">
        <v>39</v>
      </c>
      <c r="F695" t="s">
        <v>6</v>
      </c>
      <c r="G695" t="str">
        <f t="shared" si="60"/>
        <v/>
      </c>
      <c r="H695" s="1" t="str">
        <f t="shared" si="61"/>
        <v>Monday</v>
      </c>
      <c r="I695" t="str">
        <f t="shared" si="62"/>
        <v>No</v>
      </c>
      <c r="J695">
        <f t="shared" si="63"/>
        <v>0</v>
      </c>
      <c r="K695">
        <f t="shared" si="64"/>
        <v>0</v>
      </c>
      <c r="L695" t="str">
        <f t="shared" si="65"/>
        <v/>
      </c>
    </row>
    <row r="696" spans="1:12" ht="14.4" customHeight="1" x14ac:dyDescent="0.3">
      <c r="A696">
        <v>169837410</v>
      </c>
      <c r="B696" s="1">
        <v>44907</v>
      </c>
      <c r="D696" t="s">
        <v>7</v>
      </c>
      <c r="E696">
        <v>39</v>
      </c>
      <c r="F696" t="s">
        <v>6</v>
      </c>
      <c r="G696" t="str">
        <f t="shared" si="60"/>
        <v/>
      </c>
      <c r="H696" s="1" t="str">
        <f t="shared" si="61"/>
        <v>Monday</v>
      </c>
      <c r="I696" t="str">
        <f t="shared" si="62"/>
        <v>No</v>
      </c>
      <c r="J696">
        <f t="shared" si="63"/>
        <v>0</v>
      </c>
      <c r="K696">
        <f t="shared" si="64"/>
        <v>0</v>
      </c>
      <c r="L696" t="str">
        <f t="shared" si="65"/>
        <v/>
      </c>
    </row>
    <row r="697" spans="1:12" ht="14.4" customHeight="1" x14ac:dyDescent="0.3">
      <c r="A697">
        <v>169854397</v>
      </c>
      <c r="B697" s="1">
        <v>44907</v>
      </c>
      <c r="D697" t="s">
        <v>8</v>
      </c>
      <c r="E697">
        <v>39</v>
      </c>
      <c r="F697" t="s">
        <v>6</v>
      </c>
      <c r="G697" t="str">
        <f t="shared" si="60"/>
        <v/>
      </c>
      <c r="H697" s="1" t="str">
        <f t="shared" si="61"/>
        <v>Monday</v>
      </c>
      <c r="I697" t="str">
        <f t="shared" si="62"/>
        <v>No</v>
      </c>
      <c r="J697">
        <f t="shared" si="63"/>
        <v>0</v>
      </c>
      <c r="K697">
        <f t="shared" si="64"/>
        <v>0</v>
      </c>
      <c r="L697" t="str">
        <f t="shared" si="65"/>
        <v/>
      </c>
    </row>
    <row r="698" spans="1:12" x14ac:dyDescent="0.3">
      <c r="A698">
        <v>145987169</v>
      </c>
      <c r="B698" s="1">
        <v>44907</v>
      </c>
      <c r="C698" s="1">
        <v>44953</v>
      </c>
      <c r="D698" t="s">
        <v>7</v>
      </c>
      <c r="E698">
        <v>39</v>
      </c>
      <c r="F698" t="s">
        <v>6</v>
      </c>
      <c r="G698">
        <f t="shared" si="60"/>
        <v>46</v>
      </c>
      <c r="H698" s="1" t="str">
        <f t="shared" si="61"/>
        <v>Monday</v>
      </c>
      <c r="I698" t="str">
        <f t="shared" si="62"/>
        <v>No</v>
      </c>
      <c r="J698">
        <f t="shared" si="63"/>
        <v>0</v>
      </c>
      <c r="K698">
        <f t="shared" si="64"/>
        <v>1</v>
      </c>
      <c r="L698">
        <f t="shared" si="65"/>
        <v>46</v>
      </c>
    </row>
    <row r="699" spans="1:12" x14ac:dyDescent="0.3">
      <c r="A699">
        <v>169915574</v>
      </c>
      <c r="B699" s="1">
        <v>44907</v>
      </c>
      <c r="C699" s="1">
        <v>44998</v>
      </c>
      <c r="D699" t="s">
        <v>7</v>
      </c>
      <c r="E699">
        <v>39</v>
      </c>
      <c r="F699" t="s">
        <v>6</v>
      </c>
      <c r="G699">
        <f t="shared" si="60"/>
        <v>91</v>
      </c>
      <c r="H699" s="1" t="str">
        <f t="shared" si="61"/>
        <v>Monday</v>
      </c>
      <c r="I699" t="str">
        <f t="shared" si="62"/>
        <v>No</v>
      </c>
      <c r="J699">
        <f t="shared" si="63"/>
        <v>0</v>
      </c>
      <c r="K699">
        <f t="shared" si="64"/>
        <v>1</v>
      </c>
      <c r="L699">
        <f t="shared" si="65"/>
        <v>91</v>
      </c>
    </row>
    <row r="700" spans="1:12" x14ac:dyDescent="0.3">
      <c r="A700">
        <v>164632485</v>
      </c>
      <c r="B700" s="1">
        <v>44907</v>
      </c>
      <c r="C700" s="1">
        <v>44992</v>
      </c>
      <c r="D700" t="s">
        <v>7</v>
      </c>
      <c r="E700">
        <v>39</v>
      </c>
      <c r="F700" t="s">
        <v>6</v>
      </c>
      <c r="G700">
        <f t="shared" si="60"/>
        <v>85</v>
      </c>
      <c r="H700" s="1" t="str">
        <f t="shared" si="61"/>
        <v>Monday</v>
      </c>
      <c r="I700" t="str">
        <f t="shared" si="62"/>
        <v>No</v>
      </c>
      <c r="J700">
        <f t="shared" si="63"/>
        <v>0</v>
      </c>
      <c r="K700">
        <f t="shared" si="64"/>
        <v>1</v>
      </c>
      <c r="L700">
        <f t="shared" si="65"/>
        <v>85</v>
      </c>
    </row>
    <row r="701" spans="1:12" x14ac:dyDescent="0.3">
      <c r="A701">
        <v>169830063</v>
      </c>
      <c r="B701" s="1">
        <v>44907</v>
      </c>
      <c r="C701" s="1">
        <v>44956</v>
      </c>
      <c r="D701" t="s">
        <v>7</v>
      </c>
      <c r="E701">
        <v>39</v>
      </c>
      <c r="F701" t="s">
        <v>6</v>
      </c>
      <c r="G701">
        <f t="shared" si="60"/>
        <v>49</v>
      </c>
      <c r="H701" s="1" t="str">
        <f t="shared" si="61"/>
        <v>Monday</v>
      </c>
      <c r="I701" t="str">
        <f t="shared" si="62"/>
        <v>No</v>
      </c>
      <c r="J701">
        <f t="shared" si="63"/>
        <v>0</v>
      </c>
      <c r="K701">
        <f t="shared" si="64"/>
        <v>1</v>
      </c>
      <c r="L701">
        <f t="shared" si="65"/>
        <v>49</v>
      </c>
    </row>
    <row r="702" spans="1:12" x14ac:dyDescent="0.3">
      <c r="A702">
        <v>162624984</v>
      </c>
      <c r="B702" s="1">
        <v>44907</v>
      </c>
      <c r="C702" s="1">
        <v>44949</v>
      </c>
      <c r="D702" t="s">
        <v>7</v>
      </c>
      <c r="E702">
        <v>39</v>
      </c>
      <c r="F702" t="s">
        <v>6</v>
      </c>
      <c r="G702">
        <f t="shared" si="60"/>
        <v>42</v>
      </c>
      <c r="H702" s="1" t="str">
        <f t="shared" si="61"/>
        <v>Monday</v>
      </c>
      <c r="I702" t="str">
        <f t="shared" si="62"/>
        <v>No</v>
      </c>
      <c r="J702">
        <f t="shared" si="63"/>
        <v>0</v>
      </c>
      <c r="K702">
        <f t="shared" si="64"/>
        <v>1</v>
      </c>
      <c r="L702">
        <f t="shared" si="65"/>
        <v>42</v>
      </c>
    </row>
    <row r="703" spans="1:12" x14ac:dyDescent="0.3">
      <c r="A703">
        <v>169020452</v>
      </c>
      <c r="B703" s="1">
        <v>44907</v>
      </c>
      <c r="C703" s="1">
        <v>45147</v>
      </c>
      <c r="D703" t="s">
        <v>7</v>
      </c>
      <c r="E703">
        <v>39</v>
      </c>
      <c r="F703" t="s">
        <v>6</v>
      </c>
      <c r="G703">
        <f t="shared" si="60"/>
        <v>240</v>
      </c>
      <c r="H703" s="1" t="str">
        <f t="shared" si="61"/>
        <v>Monday</v>
      </c>
      <c r="I703" t="str">
        <f t="shared" si="62"/>
        <v>No</v>
      </c>
      <c r="J703">
        <f t="shared" si="63"/>
        <v>0</v>
      </c>
      <c r="K703">
        <f t="shared" si="64"/>
        <v>1</v>
      </c>
      <c r="L703">
        <f t="shared" si="65"/>
        <v>240</v>
      </c>
    </row>
    <row r="704" spans="1:12" ht="14.4" customHeight="1" x14ac:dyDescent="0.3">
      <c r="A704">
        <v>170037760</v>
      </c>
      <c r="B704" s="1">
        <v>44908</v>
      </c>
      <c r="D704" t="s">
        <v>7</v>
      </c>
      <c r="E704">
        <v>39</v>
      </c>
      <c r="F704" t="s">
        <v>6</v>
      </c>
      <c r="G704" t="str">
        <f t="shared" si="60"/>
        <v/>
      </c>
      <c r="H704" s="1" t="str">
        <f t="shared" si="61"/>
        <v>Tuesday</v>
      </c>
      <c r="I704" t="str">
        <f t="shared" si="62"/>
        <v>No</v>
      </c>
      <c r="J704">
        <f t="shared" si="63"/>
        <v>0</v>
      </c>
      <c r="K704">
        <f t="shared" si="64"/>
        <v>0</v>
      </c>
      <c r="L704" t="str">
        <f t="shared" si="65"/>
        <v/>
      </c>
    </row>
    <row r="705" spans="1:12" x14ac:dyDescent="0.3">
      <c r="A705">
        <v>116060198</v>
      </c>
      <c r="B705" s="1">
        <v>44908</v>
      </c>
      <c r="C705" s="1">
        <v>45005</v>
      </c>
      <c r="D705" t="s">
        <v>7</v>
      </c>
      <c r="E705">
        <v>39</v>
      </c>
      <c r="F705" t="s">
        <v>6</v>
      </c>
      <c r="G705">
        <f t="shared" si="60"/>
        <v>97</v>
      </c>
      <c r="H705" s="1" t="str">
        <f t="shared" si="61"/>
        <v>Tuesday</v>
      </c>
      <c r="I705" t="str">
        <f t="shared" si="62"/>
        <v>No</v>
      </c>
      <c r="J705">
        <f t="shared" si="63"/>
        <v>0</v>
      </c>
      <c r="K705">
        <f t="shared" si="64"/>
        <v>1</v>
      </c>
      <c r="L705">
        <f t="shared" si="65"/>
        <v>97</v>
      </c>
    </row>
    <row r="706" spans="1:12" x14ac:dyDescent="0.3">
      <c r="A706">
        <v>129798657</v>
      </c>
      <c r="B706" s="1">
        <v>44908</v>
      </c>
      <c r="C706" s="1">
        <v>44998</v>
      </c>
      <c r="D706" t="s">
        <v>7</v>
      </c>
      <c r="E706">
        <v>39</v>
      </c>
      <c r="F706" t="s">
        <v>6</v>
      </c>
      <c r="G706">
        <f t="shared" ref="G706:G769" si="66">IF(C706="","",C706-B706)</f>
        <v>90</v>
      </c>
      <c r="H706" s="1" t="str">
        <f t="shared" si="61"/>
        <v>Tuesday</v>
      </c>
      <c r="I706" t="str">
        <f t="shared" si="62"/>
        <v>No</v>
      </c>
      <c r="J706">
        <f t="shared" si="63"/>
        <v>0</v>
      </c>
      <c r="K706">
        <f t="shared" si="64"/>
        <v>1</v>
      </c>
      <c r="L706">
        <f t="shared" si="65"/>
        <v>90</v>
      </c>
    </row>
    <row r="707" spans="1:12" x14ac:dyDescent="0.3">
      <c r="A707">
        <v>170426615</v>
      </c>
      <c r="B707" s="1">
        <v>44908</v>
      </c>
      <c r="C707" s="1">
        <v>44970</v>
      </c>
      <c r="D707" t="s">
        <v>7</v>
      </c>
      <c r="E707">
        <v>39</v>
      </c>
      <c r="F707" t="s">
        <v>6</v>
      </c>
      <c r="G707">
        <f t="shared" si="66"/>
        <v>62</v>
      </c>
      <c r="H707" s="1" t="str">
        <f t="shared" ref="H707:H770" si="67">TEXT(B707,"dddd")</f>
        <v>Tuesday</v>
      </c>
      <c r="I707" t="str">
        <f t="shared" ref="I707:I770" si="68">IF(B707=C707,"Yes","No")</f>
        <v>No</v>
      </c>
      <c r="J707">
        <f t="shared" ref="J707:J770" si="69">IF(AND(C707&lt;&gt;"",C707-B707&lt;=2),1,0)</f>
        <v>0</v>
      </c>
      <c r="K707">
        <f t="shared" ref="K707:K770" si="70">IF(AND(C707&lt;&gt;"",C707-B707&gt;30),1,0)</f>
        <v>1</v>
      </c>
      <c r="L707">
        <f t="shared" ref="L707:L770" si="71">IF(C707="","",C707-B707)</f>
        <v>62</v>
      </c>
    </row>
    <row r="708" spans="1:12" x14ac:dyDescent="0.3">
      <c r="A708">
        <v>161574018</v>
      </c>
      <c r="B708" s="1">
        <v>44908</v>
      </c>
      <c r="C708" s="1">
        <v>44978</v>
      </c>
      <c r="D708" t="s">
        <v>7</v>
      </c>
      <c r="E708">
        <v>39</v>
      </c>
      <c r="F708" t="s">
        <v>6</v>
      </c>
      <c r="G708">
        <f t="shared" si="66"/>
        <v>70</v>
      </c>
      <c r="H708" s="1" t="str">
        <f t="shared" si="67"/>
        <v>Tuesday</v>
      </c>
      <c r="I708" t="str">
        <f t="shared" si="68"/>
        <v>No</v>
      </c>
      <c r="J708">
        <f t="shared" si="69"/>
        <v>0</v>
      </c>
      <c r="K708">
        <f t="shared" si="70"/>
        <v>1</v>
      </c>
      <c r="L708">
        <f t="shared" si="71"/>
        <v>70</v>
      </c>
    </row>
    <row r="709" spans="1:12" ht="14.4" customHeight="1" x14ac:dyDescent="0.3">
      <c r="A709">
        <v>160272364</v>
      </c>
      <c r="B709" s="1">
        <v>44909</v>
      </c>
      <c r="D709" t="s">
        <v>7</v>
      </c>
      <c r="E709">
        <v>39</v>
      </c>
      <c r="F709" t="s">
        <v>6</v>
      </c>
      <c r="G709" t="str">
        <f t="shared" si="66"/>
        <v/>
      </c>
      <c r="H709" s="1" t="str">
        <f t="shared" si="67"/>
        <v>Wednesday</v>
      </c>
      <c r="I709" t="str">
        <f t="shared" si="68"/>
        <v>No</v>
      </c>
      <c r="J709">
        <f t="shared" si="69"/>
        <v>0</v>
      </c>
      <c r="K709">
        <f t="shared" si="70"/>
        <v>0</v>
      </c>
      <c r="L709" t="str">
        <f t="shared" si="71"/>
        <v/>
      </c>
    </row>
    <row r="710" spans="1:12" ht="14.4" customHeight="1" x14ac:dyDescent="0.3">
      <c r="A710">
        <v>144938943</v>
      </c>
      <c r="B710" s="1">
        <v>44909</v>
      </c>
      <c r="D710" t="s">
        <v>8</v>
      </c>
      <c r="E710">
        <v>39</v>
      </c>
      <c r="F710" t="s">
        <v>6</v>
      </c>
      <c r="G710" t="str">
        <f t="shared" si="66"/>
        <v/>
      </c>
      <c r="H710" s="1" t="str">
        <f t="shared" si="67"/>
        <v>Wednesday</v>
      </c>
      <c r="I710" t="str">
        <f t="shared" si="68"/>
        <v>No</v>
      </c>
      <c r="J710">
        <f t="shared" si="69"/>
        <v>0</v>
      </c>
      <c r="K710">
        <f t="shared" si="70"/>
        <v>0</v>
      </c>
      <c r="L710" t="str">
        <f t="shared" si="71"/>
        <v/>
      </c>
    </row>
    <row r="711" spans="1:12" x14ac:dyDescent="0.3">
      <c r="A711">
        <v>170004555</v>
      </c>
      <c r="B711" s="1">
        <v>44909</v>
      </c>
      <c r="C711" s="1">
        <v>44968</v>
      </c>
      <c r="D711" t="s">
        <v>7</v>
      </c>
      <c r="E711">
        <v>39</v>
      </c>
      <c r="F711" t="s">
        <v>6</v>
      </c>
      <c r="G711">
        <f t="shared" si="66"/>
        <v>59</v>
      </c>
      <c r="H711" s="1" t="str">
        <f t="shared" si="67"/>
        <v>Wednesday</v>
      </c>
      <c r="I711" t="str">
        <f t="shared" si="68"/>
        <v>No</v>
      </c>
      <c r="J711">
        <f t="shared" si="69"/>
        <v>0</v>
      </c>
      <c r="K711">
        <f t="shared" si="70"/>
        <v>1</v>
      </c>
      <c r="L711">
        <f t="shared" si="71"/>
        <v>59</v>
      </c>
    </row>
    <row r="712" spans="1:12" x14ac:dyDescent="0.3">
      <c r="A712">
        <v>167673987</v>
      </c>
      <c r="B712" s="1">
        <v>44909</v>
      </c>
      <c r="C712" s="1">
        <v>44978</v>
      </c>
      <c r="D712" t="s">
        <v>7</v>
      </c>
      <c r="E712">
        <v>39</v>
      </c>
      <c r="F712" t="s">
        <v>6</v>
      </c>
      <c r="G712">
        <f t="shared" si="66"/>
        <v>69</v>
      </c>
      <c r="H712" s="1" t="str">
        <f t="shared" si="67"/>
        <v>Wednesday</v>
      </c>
      <c r="I712" t="str">
        <f t="shared" si="68"/>
        <v>No</v>
      </c>
      <c r="J712">
        <f t="shared" si="69"/>
        <v>0</v>
      </c>
      <c r="K712">
        <f t="shared" si="70"/>
        <v>1</v>
      </c>
      <c r="L712">
        <f t="shared" si="71"/>
        <v>69</v>
      </c>
    </row>
    <row r="713" spans="1:12" ht="14.4" customHeight="1" x14ac:dyDescent="0.3">
      <c r="A713">
        <v>154448870</v>
      </c>
      <c r="B713" s="1">
        <v>44909</v>
      </c>
      <c r="C713" s="1">
        <v>44928</v>
      </c>
      <c r="D713" t="s">
        <v>7</v>
      </c>
      <c r="E713">
        <v>39</v>
      </c>
      <c r="F713" t="s">
        <v>6</v>
      </c>
      <c r="G713">
        <f t="shared" si="66"/>
        <v>19</v>
      </c>
      <c r="H713" s="1" t="str">
        <f t="shared" si="67"/>
        <v>Wednesday</v>
      </c>
      <c r="I713" t="str">
        <f t="shared" si="68"/>
        <v>No</v>
      </c>
      <c r="J713">
        <f t="shared" si="69"/>
        <v>0</v>
      </c>
      <c r="K713">
        <f t="shared" si="70"/>
        <v>0</v>
      </c>
      <c r="L713">
        <f t="shared" si="71"/>
        <v>19</v>
      </c>
    </row>
    <row r="714" spans="1:12" x14ac:dyDescent="0.3">
      <c r="A714">
        <v>153508650</v>
      </c>
      <c r="B714" s="1">
        <v>44909</v>
      </c>
      <c r="C714" s="1">
        <v>44957</v>
      </c>
      <c r="D714" t="s">
        <v>7</v>
      </c>
      <c r="E714">
        <v>39</v>
      </c>
      <c r="F714" t="s">
        <v>6</v>
      </c>
      <c r="G714">
        <f t="shared" si="66"/>
        <v>48</v>
      </c>
      <c r="H714" s="1" t="str">
        <f t="shared" si="67"/>
        <v>Wednesday</v>
      </c>
      <c r="I714" t="str">
        <f t="shared" si="68"/>
        <v>No</v>
      </c>
      <c r="J714">
        <f t="shared" si="69"/>
        <v>0</v>
      </c>
      <c r="K714">
        <f t="shared" si="70"/>
        <v>1</v>
      </c>
      <c r="L714">
        <f t="shared" si="71"/>
        <v>48</v>
      </c>
    </row>
    <row r="715" spans="1:12" x14ac:dyDescent="0.3">
      <c r="A715">
        <v>156521981</v>
      </c>
      <c r="B715" s="1">
        <v>44909</v>
      </c>
      <c r="C715" s="1">
        <v>44940</v>
      </c>
      <c r="D715" t="s">
        <v>7</v>
      </c>
      <c r="E715">
        <v>39</v>
      </c>
      <c r="F715" t="s">
        <v>6</v>
      </c>
      <c r="G715">
        <f t="shared" si="66"/>
        <v>31</v>
      </c>
      <c r="H715" s="1" t="str">
        <f t="shared" si="67"/>
        <v>Wednesday</v>
      </c>
      <c r="I715" t="str">
        <f t="shared" si="68"/>
        <v>No</v>
      </c>
      <c r="J715">
        <f t="shared" si="69"/>
        <v>0</v>
      </c>
      <c r="K715">
        <f t="shared" si="70"/>
        <v>1</v>
      </c>
      <c r="L715">
        <f t="shared" si="71"/>
        <v>31</v>
      </c>
    </row>
    <row r="716" spans="1:12" x14ac:dyDescent="0.3">
      <c r="A716">
        <v>170897520</v>
      </c>
      <c r="B716" s="1">
        <v>44909</v>
      </c>
      <c r="C716" s="1">
        <v>45111</v>
      </c>
      <c r="D716" t="s">
        <v>7</v>
      </c>
      <c r="E716">
        <v>39</v>
      </c>
      <c r="F716" t="s">
        <v>6</v>
      </c>
      <c r="G716">
        <f t="shared" si="66"/>
        <v>202</v>
      </c>
      <c r="H716" s="1" t="str">
        <f t="shared" si="67"/>
        <v>Wednesday</v>
      </c>
      <c r="I716" t="str">
        <f t="shared" si="68"/>
        <v>No</v>
      </c>
      <c r="J716">
        <f t="shared" si="69"/>
        <v>0</v>
      </c>
      <c r="K716">
        <f t="shared" si="70"/>
        <v>1</v>
      </c>
      <c r="L716">
        <f t="shared" si="71"/>
        <v>202</v>
      </c>
    </row>
    <row r="717" spans="1:12" x14ac:dyDescent="0.3">
      <c r="A717">
        <v>167076396</v>
      </c>
      <c r="B717" s="1">
        <v>44909</v>
      </c>
      <c r="C717" s="1">
        <v>45142</v>
      </c>
      <c r="D717" t="s">
        <v>7</v>
      </c>
      <c r="E717">
        <v>39</v>
      </c>
      <c r="F717" t="s">
        <v>6</v>
      </c>
      <c r="G717">
        <f t="shared" si="66"/>
        <v>233</v>
      </c>
      <c r="H717" s="1" t="str">
        <f t="shared" si="67"/>
        <v>Wednesday</v>
      </c>
      <c r="I717" t="str">
        <f t="shared" si="68"/>
        <v>No</v>
      </c>
      <c r="J717">
        <f t="shared" si="69"/>
        <v>0</v>
      </c>
      <c r="K717">
        <f t="shared" si="70"/>
        <v>1</v>
      </c>
      <c r="L717">
        <f t="shared" si="71"/>
        <v>233</v>
      </c>
    </row>
    <row r="718" spans="1:12" ht="14.4" customHeight="1" x14ac:dyDescent="0.3">
      <c r="A718">
        <v>170968987</v>
      </c>
      <c r="B718" s="1">
        <v>44910</v>
      </c>
      <c r="D718" t="s">
        <v>7</v>
      </c>
      <c r="E718">
        <v>39</v>
      </c>
      <c r="F718" t="s">
        <v>6</v>
      </c>
      <c r="G718" t="str">
        <f t="shared" si="66"/>
        <v/>
      </c>
      <c r="H718" s="1" t="str">
        <f t="shared" si="67"/>
        <v>Thursday</v>
      </c>
      <c r="I718" t="str">
        <f t="shared" si="68"/>
        <v>No</v>
      </c>
      <c r="J718">
        <f t="shared" si="69"/>
        <v>0</v>
      </c>
      <c r="K718">
        <f t="shared" si="70"/>
        <v>0</v>
      </c>
      <c r="L718" t="str">
        <f t="shared" si="71"/>
        <v/>
      </c>
    </row>
    <row r="719" spans="1:12" x14ac:dyDescent="0.3">
      <c r="A719">
        <v>170154956</v>
      </c>
      <c r="B719" s="1">
        <v>44910</v>
      </c>
      <c r="C719" s="1">
        <v>45034</v>
      </c>
      <c r="D719" t="s">
        <v>7</v>
      </c>
      <c r="E719">
        <v>39</v>
      </c>
      <c r="F719" t="s">
        <v>6</v>
      </c>
      <c r="G719">
        <f t="shared" si="66"/>
        <v>124</v>
      </c>
      <c r="H719" s="1" t="str">
        <f t="shared" si="67"/>
        <v>Thursday</v>
      </c>
      <c r="I719" t="str">
        <f t="shared" si="68"/>
        <v>No</v>
      </c>
      <c r="J719">
        <f t="shared" si="69"/>
        <v>0</v>
      </c>
      <c r="K719">
        <f t="shared" si="70"/>
        <v>1</v>
      </c>
      <c r="L719">
        <f t="shared" si="71"/>
        <v>124</v>
      </c>
    </row>
    <row r="720" spans="1:12" x14ac:dyDescent="0.3">
      <c r="A720">
        <v>170976924</v>
      </c>
      <c r="B720" s="1">
        <v>44910</v>
      </c>
      <c r="C720" s="1">
        <v>45076</v>
      </c>
      <c r="D720" t="s">
        <v>7</v>
      </c>
      <c r="E720">
        <v>39</v>
      </c>
      <c r="F720" t="s">
        <v>6</v>
      </c>
      <c r="G720">
        <f t="shared" si="66"/>
        <v>166</v>
      </c>
      <c r="H720" s="1" t="str">
        <f t="shared" si="67"/>
        <v>Thursday</v>
      </c>
      <c r="I720" t="str">
        <f t="shared" si="68"/>
        <v>No</v>
      </c>
      <c r="J720">
        <f t="shared" si="69"/>
        <v>0</v>
      </c>
      <c r="K720">
        <f t="shared" si="70"/>
        <v>1</v>
      </c>
      <c r="L720">
        <f t="shared" si="71"/>
        <v>166</v>
      </c>
    </row>
    <row r="721" spans="1:12" x14ac:dyDescent="0.3">
      <c r="A721">
        <v>171090027</v>
      </c>
      <c r="B721" s="1">
        <v>44910</v>
      </c>
      <c r="C721" s="1">
        <v>44999</v>
      </c>
      <c r="D721" t="s">
        <v>7</v>
      </c>
      <c r="E721">
        <v>39</v>
      </c>
      <c r="F721" t="s">
        <v>6</v>
      </c>
      <c r="G721">
        <f t="shared" si="66"/>
        <v>89</v>
      </c>
      <c r="H721" s="1" t="str">
        <f t="shared" si="67"/>
        <v>Thursday</v>
      </c>
      <c r="I721" t="str">
        <f t="shared" si="68"/>
        <v>No</v>
      </c>
      <c r="J721">
        <f t="shared" si="69"/>
        <v>0</v>
      </c>
      <c r="K721">
        <f t="shared" si="70"/>
        <v>1</v>
      </c>
      <c r="L721">
        <f t="shared" si="71"/>
        <v>89</v>
      </c>
    </row>
    <row r="722" spans="1:12" x14ac:dyDescent="0.3">
      <c r="A722">
        <v>167135160</v>
      </c>
      <c r="B722" s="1">
        <v>44910</v>
      </c>
      <c r="C722" s="1">
        <v>44944</v>
      </c>
      <c r="D722" t="s">
        <v>7</v>
      </c>
      <c r="E722">
        <v>39</v>
      </c>
      <c r="F722" t="s">
        <v>6</v>
      </c>
      <c r="G722">
        <f t="shared" si="66"/>
        <v>34</v>
      </c>
      <c r="H722" s="1" t="str">
        <f t="shared" si="67"/>
        <v>Thursday</v>
      </c>
      <c r="I722" t="str">
        <f t="shared" si="68"/>
        <v>No</v>
      </c>
      <c r="J722">
        <f t="shared" si="69"/>
        <v>0</v>
      </c>
      <c r="K722">
        <f t="shared" si="70"/>
        <v>1</v>
      </c>
      <c r="L722">
        <f t="shared" si="71"/>
        <v>34</v>
      </c>
    </row>
    <row r="723" spans="1:12" ht="14.4" customHeight="1" x14ac:dyDescent="0.3">
      <c r="A723">
        <v>171339244</v>
      </c>
      <c r="B723" s="1">
        <v>44910</v>
      </c>
      <c r="C723" s="1">
        <v>44910</v>
      </c>
      <c r="D723" t="s">
        <v>7</v>
      </c>
      <c r="E723">
        <v>39</v>
      </c>
      <c r="F723" t="s">
        <v>6</v>
      </c>
      <c r="G723">
        <f t="shared" si="66"/>
        <v>0</v>
      </c>
      <c r="H723" s="1" t="str">
        <f t="shared" si="67"/>
        <v>Thursday</v>
      </c>
      <c r="I723" t="str">
        <f t="shared" si="68"/>
        <v>Yes</v>
      </c>
      <c r="J723">
        <f t="shared" si="69"/>
        <v>1</v>
      </c>
      <c r="K723">
        <f t="shared" si="70"/>
        <v>0</v>
      </c>
      <c r="L723">
        <f t="shared" si="71"/>
        <v>0</v>
      </c>
    </row>
    <row r="724" spans="1:12" ht="14.4" customHeight="1" x14ac:dyDescent="0.3">
      <c r="A724">
        <v>169285280</v>
      </c>
      <c r="B724" s="1">
        <v>44911</v>
      </c>
      <c r="C724" s="1">
        <v>44912</v>
      </c>
      <c r="D724" t="s">
        <v>8</v>
      </c>
      <c r="E724">
        <v>39</v>
      </c>
      <c r="F724" t="s">
        <v>6</v>
      </c>
      <c r="G724">
        <f t="shared" si="66"/>
        <v>1</v>
      </c>
      <c r="H724" s="1" t="str">
        <f t="shared" si="67"/>
        <v>Friday</v>
      </c>
      <c r="I724" t="str">
        <f t="shared" si="68"/>
        <v>No</v>
      </c>
      <c r="J724">
        <f t="shared" si="69"/>
        <v>1</v>
      </c>
      <c r="K724">
        <f t="shared" si="70"/>
        <v>0</v>
      </c>
      <c r="L724">
        <f t="shared" si="71"/>
        <v>1</v>
      </c>
    </row>
    <row r="725" spans="1:12" x14ac:dyDescent="0.3">
      <c r="A725">
        <v>137315832</v>
      </c>
      <c r="B725" s="1">
        <v>44911</v>
      </c>
      <c r="C725" s="1">
        <v>45008</v>
      </c>
      <c r="D725" t="s">
        <v>7</v>
      </c>
      <c r="E725">
        <v>39</v>
      </c>
      <c r="F725" t="s">
        <v>6</v>
      </c>
      <c r="G725">
        <f t="shared" si="66"/>
        <v>97</v>
      </c>
      <c r="H725" s="1" t="str">
        <f t="shared" si="67"/>
        <v>Friday</v>
      </c>
      <c r="I725" t="str">
        <f t="shared" si="68"/>
        <v>No</v>
      </c>
      <c r="J725">
        <f t="shared" si="69"/>
        <v>0</v>
      </c>
      <c r="K725">
        <f t="shared" si="70"/>
        <v>1</v>
      </c>
      <c r="L725">
        <f t="shared" si="71"/>
        <v>97</v>
      </c>
    </row>
    <row r="726" spans="1:12" x14ac:dyDescent="0.3">
      <c r="A726">
        <v>171286538</v>
      </c>
      <c r="B726" s="1">
        <v>44911</v>
      </c>
      <c r="C726" s="1">
        <v>45029</v>
      </c>
      <c r="D726" t="s">
        <v>7</v>
      </c>
      <c r="E726">
        <v>39</v>
      </c>
      <c r="F726" t="s">
        <v>6</v>
      </c>
      <c r="G726">
        <f t="shared" si="66"/>
        <v>118</v>
      </c>
      <c r="H726" s="1" t="str">
        <f t="shared" si="67"/>
        <v>Friday</v>
      </c>
      <c r="I726" t="str">
        <f t="shared" si="68"/>
        <v>No</v>
      </c>
      <c r="J726">
        <f t="shared" si="69"/>
        <v>0</v>
      </c>
      <c r="K726">
        <f t="shared" si="70"/>
        <v>1</v>
      </c>
      <c r="L726">
        <f t="shared" si="71"/>
        <v>118</v>
      </c>
    </row>
    <row r="727" spans="1:12" x14ac:dyDescent="0.3">
      <c r="A727">
        <v>154531106</v>
      </c>
      <c r="B727" s="1">
        <v>44911</v>
      </c>
      <c r="C727" s="1">
        <v>45030</v>
      </c>
      <c r="D727" t="s">
        <v>7</v>
      </c>
      <c r="E727">
        <v>39</v>
      </c>
      <c r="F727" t="s">
        <v>6</v>
      </c>
      <c r="G727">
        <f t="shared" si="66"/>
        <v>119</v>
      </c>
      <c r="H727" s="1" t="str">
        <f t="shared" si="67"/>
        <v>Friday</v>
      </c>
      <c r="I727" t="str">
        <f t="shared" si="68"/>
        <v>No</v>
      </c>
      <c r="J727">
        <f t="shared" si="69"/>
        <v>0</v>
      </c>
      <c r="K727">
        <f t="shared" si="70"/>
        <v>1</v>
      </c>
      <c r="L727">
        <f t="shared" si="71"/>
        <v>119</v>
      </c>
    </row>
    <row r="728" spans="1:12" x14ac:dyDescent="0.3">
      <c r="A728">
        <v>169998988</v>
      </c>
      <c r="B728" s="1">
        <v>44911</v>
      </c>
      <c r="C728" s="1">
        <v>45063</v>
      </c>
      <c r="D728" t="s">
        <v>7</v>
      </c>
      <c r="E728">
        <v>39</v>
      </c>
      <c r="F728" t="s">
        <v>6</v>
      </c>
      <c r="G728">
        <f t="shared" si="66"/>
        <v>152</v>
      </c>
      <c r="H728" s="1" t="str">
        <f t="shared" si="67"/>
        <v>Friday</v>
      </c>
      <c r="I728" t="str">
        <f t="shared" si="68"/>
        <v>No</v>
      </c>
      <c r="J728">
        <f t="shared" si="69"/>
        <v>0</v>
      </c>
      <c r="K728">
        <f t="shared" si="70"/>
        <v>1</v>
      </c>
      <c r="L728">
        <f t="shared" si="71"/>
        <v>152</v>
      </c>
    </row>
    <row r="729" spans="1:12" x14ac:dyDescent="0.3">
      <c r="A729">
        <v>171860036</v>
      </c>
      <c r="B729" s="1">
        <v>44911</v>
      </c>
      <c r="C729" s="1">
        <v>45003</v>
      </c>
      <c r="D729" t="s">
        <v>7</v>
      </c>
      <c r="E729">
        <v>39</v>
      </c>
      <c r="F729" t="s">
        <v>6</v>
      </c>
      <c r="G729">
        <f t="shared" si="66"/>
        <v>92</v>
      </c>
      <c r="H729" s="1" t="str">
        <f t="shared" si="67"/>
        <v>Friday</v>
      </c>
      <c r="I729" t="str">
        <f t="shared" si="68"/>
        <v>No</v>
      </c>
      <c r="J729">
        <f t="shared" si="69"/>
        <v>0</v>
      </c>
      <c r="K729">
        <f t="shared" si="70"/>
        <v>1</v>
      </c>
      <c r="L729">
        <f t="shared" si="71"/>
        <v>92</v>
      </c>
    </row>
    <row r="730" spans="1:12" x14ac:dyDescent="0.3">
      <c r="A730">
        <v>169906376</v>
      </c>
      <c r="B730" s="1">
        <v>44911</v>
      </c>
      <c r="C730" s="1">
        <v>44970</v>
      </c>
      <c r="D730" t="s">
        <v>7</v>
      </c>
      <c r="E730">
        <v>39</v>
      </c>
      <c r="F730" t="s">
        <v>6</v>
      </c>
      <c r="G730">
        <f t="shared" si="66"/>
        <v>59</v>
      </c>
      <c r="H730" s="1" t="str">
        <f t="shared" si="67"/>
        <v>Friday</v>
      </c>
      <c r="I730" t="str">
        <f t="shared" si="68"/>
        <v>No</v>
      </c>
      <c r="J730">
        <f t="shared" si="69"/>
        <v>0</v>
      </c>
      <c r="K730">
        <f t="shared" si="70"/>
        <v>1</v>
      </c>
      <c r="L730">
        <f t="shared" si="71"/>
        <v>59</v>
      </c>
    </row>
    <row r="731" spans="1:12" x14ac:dyDescent="0.3">
      <c r="A731">
        <v>171681744</v>
      </c>
      <c r="B731" s="1">
        <v>44911</v>
      </c>
      <c r="C731" s="1">
        <v>44979</v>
      </c>
      <c r="D731" t="s">
        <v>7</v>
      </c>
      <c r="E731">
        <v>39</v>
      </c>
      <c r="F731" t="s">
        <v>6</v>
      </c>
      <c r="G731">
        <f t="shared" si="66"/>
        <v>68</v>
      </c>
      <c r="H731" s="1" t="str">
        <f t="shared" si="67"/>
        <v>Friday</v>
      </c>
      <c r="I731" t="str">
        <f t="shared" si="68"/>
        <v>No</v>
      </c>
      <c r="J731">
        <f t="shared" si="69"/>
        <v>0</v>
      </c>
      <c r="K731">
        <f t="shared" si="70"/>
        <v>1</v>
      </c>
      <c r="L731">
        <f t="shared" si="71"/>
        <v>68</v>
      </c>
    </row>
    <row r="732" spans="1:12" x14ac:dyDescent="0.3">
      <c r="A732">
        <v>171375108</v>
      </c>
      <c r="B732" s="1">
        <v>44911</v>
      </c>
      <c r="C732" s="1">
        <v>44942</v>
      </c>
      <c r="D732" t="s">
        <v>7</v>
      </c>
      <c r="E732">
        <v>39</v>
      </c>
      <c r="F732" t="s">
        <v>6</v>
      </c>
      <c r="G732">
        <f t="shared" si="66"/>
        <v>31</v>
      </c>
      <c r="H732" s="1" t="str">
        <f t="shared" si="67"/>
        <v>Friday</v>
      </c>
      <c r="I732" t="str">
        <f t="shared" si="68"/>
        <v>No</v>
      </c>
      <c r="J732">
        <f t="shared" si="69"/>
        <v>0</v>
      </c>
      <c r="K732">
        <f t="shared" si="70"/>
        <v>1</v>
      </c>
      <c r="L732">
        <f t="shared" si="71"/>
        <v>31</v>
      </c>
    </row>
    <row r="733" spans="1:12" x14ac:dyDescent="0.3">
      <c r="A733">
        <v>166358674</v>
      </c>
      <c r="B733" s="1">
        <v>44911</v>
      </c>
      <c r="C733" s="1">
        <v>44949</v>
      </c>
      <c r="D733" t="s">
        <v>7</v>
      </c>
      <c r="E733">
        <v>39</v>
      </c>
      <c r="F733" t="s">
        <v>6</v>
      </c>
      <c r="G733">
        <f t="shared" si="66"/>
        <v>38</v>
      </c>
      <c r="H733" s="1" t="str">
        <f t="shared" si="67"/>
        <v>Friday</v>
      </c>
      <c r="I733" t="str">
        <f t="shared" si="68"/>
        <v>No</v>
      </c>
      <c r="J733">
        <f t="shared" si="69"/>
        <v>0</v>
      </c>
      <c r="K733">
        <f t="shared" si="70"/>
        <v>1</v>
      </c>
      <c r="L733">
        <f t="shared" si="71"/>
        <v>38</v>
      </c>
    </row>
    <row r="734" spans="1:12" ht="14.4" customHeight="1" x14ac:dyDescent="0.3">
      <c r="A734">
        <v>168696864</v>
      </c>
      <c r="B734" s="1">
        <v>44912</v>
      </c>
      <c r="C734" s="1">
        <v>44913</v>
      </c>
      <c r="D734" t="s">
        <v>7</v>
      </c>
      <c r="E734">
        <v>39</v>
      </c>
      <c r="F734" t="s">
        <v>6</v>
      </c>
      <c r="G734">
        <f t="shared" si="66"/>
        <v>1</v>
      </c>
      <c r="H734" s="1" t="str">
        <f t="shared" si="67"/>
        <v>Saturday</v>
      </c>
      <c r="I734" t="str">
        <f t="shared" si="68"/>
        <v>No</v>
      </c>
      <c r="J734">
        <f t="shared" si="69"/>
        <v>1</v>
      </c>
      <c r="K734">
        <f t="shared" si="70"/>
        <v>0</v>
      </c>
      <c r="L734">
        <f t="shared" si="71"/>
        <v>1</v>
      </c>
    </row>
    <row r="735" spans="1:12" x14ac:dyDescent="0.3">
      <c r="A735">
        <v>149303812</v>
      </c>
      <c r="B735" s="1">
        <v>44912</v>
      </c>
      <c r="C735" s="1">
        <v>44977</v>
      </c>
      <c r="D735" t="s">
        <v>7</v>
      </c>
      <c r="E735">
        <v>39</v>
      </c>
      <c r="F735" t="s">
        <v>6</v>
      </c>
      <c r="G735">
        <f t="shared" si="66"/>
        <v>65</v>
      </c>
      <c r="H735" s="1" t="str">
        <f t="shared" si="67"/>
        <v>Saturday</v>
      </c>
      <c r="I735" t="str">
        <f t="shared" si="68"/>
        <v>No</v>
      </c>
      <c r="J735">
        <f t="shared" si="69"/>
        <v>0</v>
      </c>
      <c r="K735">
        <f t="shared" si="70"/>
        <v>1</v>
      </c>
      <c r="L735">
        <f t="shared" si="71"/>
        <v>65</v>
      </c>
    </row>
    <row r="736" spans="1:12" x14ac:dyDescent="0.3">
      <c r="A736">
        <v>145969392</v>
      </c>
      <c r="B736" s="1">
        <v>44912</v>
      </c>
      <c r="C736" s="1">
        <v>44958</v>
      </c>
      <c r="D736" t="s">
        <v>7</v>
      </c>
      <c r="E736">
        <v>39</v>
      </c>
      <c r="F736" t="s">
        <v>6</v>
      </c>
      <c r="G736">
        <f t="shared" si="66"/>
        <v>46</v>
      </c>
      <c r="H736" s="1" t="str">
        <f t="shared" si="67"/>
        <v>Saturday</v>
      </c>
      <c r="I736" t="str">
        <f t="shared" si="68"/>
        <v>No</v>
      </c>
      <c r="J736">
        <f t="shared" si="69"/>
        <v>0</v>
      </c>
      <c r="K736">
        <f t="shared" si="70"/>
        <v>1</v>
      </c>
      <c r="L736">
        <f t="shared" si="71"/>
        <v>46</v>
      </c>
    </row>
    <row r="737" spans="1:12" x14ac:dyDescent="0.3">
      <c r="A737">
        <v>169399624</v>
      </c>
      <c r="B737" s="1">
        <v>44912</v>
      </c>
      <c r="C737" s="1">
        <v>44967</v>
      </c>
      <c r="D737" t="s">
        <v>7</v>
      </c>
      <c r="E737">
        <v>39</v>
      </c>
      <c r="F737" t="s">
        <v>6</v>
      </c>
      <c r="G737">
        <f t="shared" si="66"/>
        <v>55</v>
      </c>
      <c r="H737" s="1" t="str">
        <f t="shared" si="67"/>
        <v>Saturday</v>
      </c>
      <c r="I737" t="str">
        <f t="shared" si="68"/>
        <v>No</v>
      </c>
      <c r="J737">
        <f t="shared" si="69"/>
        <v>0</v>
      </c>
      <c r="K737">
        <f t="shared" si="70"/>
        <v>1</v>
      </c>
      <c r="L737">
        <f t="shared" si="71"/>
        <v>55</v>
      </c>
    </row>
    <row r="738" spans="1:12" ht="14.4" customHeight="1" x14ac:dyDescent="0.3">
      <c r="A738">
        <v>162423643</v>
      </c>
      <c r="B738" s="1">
        <v>44912</v>
      </c>
      <c r="C738" s="1">
        <v>44912</v>
      </c>
      <c r="D738" t="s">
        <v>7</v>
      </c>
      <c r="E738">
        <v>39</v>
      </c>
      <c r="F738" t="s">
        <v>6</v>
      </c>
      <c r="G738">
        <f t="shared" si="66"/>
        <v>0</v>
      </c>
      <c r="H738" s="1" t="str">
        <f t="shared" si="67"/>
        <v>Saturday</v>
      </c>
      <c r="I738" t="str">
        <f t="shared" si="68"/>
        <v>Yes</v>
      </c>
      <c r="J738">
        <f t="shared" si="69"/>
        <v>1</v>
      </c>
      <c r="K738">
        <f t="shared" si="70"/>
        <v>0</v>
      </c>
      <c r="L738">
        <f t="shared" si="71"/>
        <v>0</v>
      </c>
    </row>
    <row r="739" spans="1:12" ht="14.4" customHeight="1" x14ac:dyDescent="0.3">
      <c r="A739">
        <v>171131528</v>
      </c>
      <c r="B739" s="1">
        <v>44913</v>
      </c>
      <c r="D739" t="s">
        <v>7</v>
      </c>
      <c r="E739">
        <v>39</v>
      </c>
      <c r="F739" t="s">
        <v>6</v>
      </c>
      <c r="G739" t="str">
        <f t="shared" si="66"/>
        <v/>
      </c>
      <c r="H739" s="1" t="str">
        <f t="shared" si="67"/>
        <v>Sunday</v>
      </c>
      <c r="I739" t="str">
        <f t="shared" si="68"/>
        <v>No</v>
      </c>
      <c r="J739">
        <f t="shared" si="69"/>
        <v>0</v>
      </c>
      <c r="K739">
        <f t="shared" si="70"/>
        <v>0</v>
      </c>
      <c r="L739" t="str">
        <f t="shared" si="71"/>
        <v/>
      </c>
    </row>
    <row r="740" spans="1:12" ht="14.4" customHeight="1" x14ac:dyDescent="0.3">
      <c r="A740">
        <v>172370430</v>
      </c>
      <c r="B740" s="1">
        <v>44913</v>
      </c>
      <c r="C740" s="1">
        <v>44914</v>
      </c>
      <c r="D740" t="s">
        <v>8</v>
      </c>
      <c r="E740">
        <v>39</v>
      </c>
      <c r="F740" t="s">
        <v>6</v>
      </c>
      <c r="G740">
        <f t="shared" si="66"/>
        <v>1</v>
      </c>
      <c r="H740" s="1" t="str">
        <f t="shared" si="67"/>
        <v>Sunday</v>
      </c>
      <c r="I740" t="str">
        <f t="shared" si="68"/>
        <v>No</v>
      </c>
      <c r="J740">
        <f t="shared" si="69"/>
        <v>1</v>
      </c>
      <c r="K740">
        <f t="shared" si="70"/>
        <v>0</v>
      </c>
      <c r="L740">
        <f t="shared" si="71"/>
        <v>1</v>
      </c>
    </row>
    <row r="741" spans="1:12" x14ac:dyDescent="0.3">
      <c r="A741">
        <v>122646091</v>
      </c>
      <c r="B741" s="1">
        <v>44913</v>
      </c>
      <c r="C741" s="1">
        <v>45006</v>
      </c>
      <c r="D741" t="s">
        <v>7</v>
      </c>
      <c r="E741">
        <v>39</v>
      </c>
      <c r="F741" t="s">
        <v>6</v>
      </c>
      <c r="G741">
        <f t="shared" si="66"/>
        <v>93</v>
      </c>
      <c r="H741" s="1" t="str">
        <f t="shared" si="67"/>
        <v>Sunday</v>
      </c>
      <c r="I741" t="str">
        <f t="shared" si="68"/>
        <v>No</v>
      </c>
      <c r="J741">
        <f t="shared" si="69"/>
        <v>0</v>
      </c>
      <c r="K741">
        <f t="shared" si="70"/>
        <v>1</v>
      </c>
      <c r="L741">
        <f t="shared" si="71"/>
        <v>93</v>
      </c>
    </row>
    <row r="742" spans="1:12" ht="14.4" customHeight="1" x14ac:dyDescent="0.3">
      <c r="A742">
        <v>171688728</v>
      </c>
      <c r="B742" s="1">
        <v>44913</v>
      </c>
      <c r="C742" s="1">
        <v>44939</v>
      </c>
      <c r="D742" t="s">
        <v>7</v>
      </c>
      <c r="E742">
        <v>39</v>
      </c>
      <c r="F742" t="s">
        <v>6</v>
      </c>
      <c r="G742">
        <f t="shared" si="66"/>
        <v>26</v>
      </c>
      <c r="H742" s="1" t="str">
        <f t="shared" si="67"/>
        <v>Sunday</v>
      </c>
      <c r="I742" t="str">
        <f t="shared" si="68"/>
        <v>No</v>
      </c>
      <c r="J742">
        <f t="shared" si="69"/>
        <v>0</v>
      </c>
      <c r="K742">
        <f t="shared" si="70"/>
        <v>0</v>
      </c>
      <c r="L742">
        <f t="shared" si="71"/>
        <v>26</v>
      </c>
    </row>
    <row r="743" spans="1:12" x14ac:dyDescent="0.3">
      <c r="A743">
        <v>173037778</v>
      </c>
      <c r="B743" s="1">
        <v>44913</v>
      </c>
      <c r="C743" s="1">
        <v>44953</v>
      </c>
      <c r="D743" t="s">
        <v>7</v>
      </c>
      <c r="E743">
        <v>39</v>
      </c>
      <c r="F743" t="s">
        <v>6</v>
      </c>
      <c r="G743">
        <f t="shared" si="66"/>
        <v>40</v>
      </c>
      <c r="H743" s="1" t="str">
        <f t="shared" si="67"/>
        <v>Sunday</v>
      </c>
      <c r="I743" t="str">
        <f t="shared" si="68"/>
        <v>No</v>
      </c>
      <c r="J743">
        <f t="shared" si="69"/>
        <v>0</v>
      </c>
      <c r="K743">
        <f t="shared" si="70"/>
        <v>1</v>
      </c>
      <c r="L743">
        <f t="shared" si="71"/>
        <v>40</v>
      </c>
    </row>
    <row r="744" spans="1:12" ht="14.4" customHeight="1" x14ac:dyDescent="0.3">
      <c r="A744">
        <v>139247241</v>
      </c>
      <c r="B744" s="1">
        <v>44913</v>
      </c>
      <c r="C744" s="1">
        <v>44933</v>
      </c>
      <c r="D744" t="s">
        <v>7</v>
      </c>
      <c r="E744">
        <v>39</v>
      </c>
      <c r="F744" t="s">
        <v>6</v>
      </c>
      <c r="G744">
        <f t="shared" si="66"/>
        <v>20</v>
      </c>
      <c r="H744" s="1" t="str">
        <f t="shared" si="67"/>
        <v>Sunday</v>
      </c>
      <c r="I744" t="str">
        <f t="shared" si="68"/>
        <v>No</v>
      </c>
      <c r="J744">
        <f t="shared" si="69"/>
        <v>0</v>
      </c>
      <c r="K744">
        <f t="shared" si="70"/>
        <v>0</v>
      </c>
      <c r="L744">
        <f t="shared" si="71"/>
        <v>20</v>
      </c>
    </row>
    <row r="745" spans="1:12" ht="14.4" customHeight="1" x14ac:dyDescent="0.3">
      <c r="A745">
        <v>138235674</v>
      </c>
      <c r="B745" s="1">
        <v>44914</v>
      </c>
      <c r="D745" t="s">
        <v>7</v>
      </c>
      <c r="E745">
        <v>39</v>
      </c>
      <c r="F745" t="s">
        <v>6</v>
      </c>
      <c r="G745" t="str">
        <f t="shared" si="66"/>
        <v/>
      </c>
      <c r="H745" s="1" t="str">
        <f t="shared" si="67"/>
        <v>Monday</v>
      </c>
      <c r="I745" t="str">
        <f t="shared" si="68"/>
        <v>No</v>
      </c>
      <c r="J745">
        <f t="shared" si="69"/>
        <v>0</v>
      </c>
      <c r="K745">
        <f t="shared" si="70"/>
        <v>0</v>
      </c>
      <c r="L745" t="str">
        <f t="shared" si="71"/>
        <v/>
      </c>
    </row>
    <row r="746" spans="1:12" x14ac:dyDescent="0.3">
      <c r="A746">
        <v>173832314</v>
      </c>
      <c r="B746" s="1">
        <v>44914</v>
      </c>
      <c r="C746" s="1">
        <v>44983</v>
      </c>
      <c r="D746" t="s">
        <v>7</v>
      </c>
      <c r="E746">
        <v>39</v>
      </c>
      <c r="F746" t="s">
        <v>6</v>
      </c>
      <c r="G746">
        <f t="shared" si="66"/>
        <v>69</v>
      </c>
      <c r="H746" s="1" t="str">
        <f t="shared" si="67"/>
        <v>Monday</v>
      </c>
      <c r="I746" t="str">
        <f t="shared" si="68"/>
        <v>No</v>
      </c>
      <c r="J746">
        <f t="shared" si="69"/>
        <v>0</v>
      </c>
      <c r="K746">
        <f t="shared" si="70"/>
        <v>1</v>
      </c>
      <c r="L746">
        <f t="shared" si="71"/>
        <v>69</v>
      </c>
    </row>
    <row r="747" spans="1:12" x14ac:dyDescent="0.3">
      <c r="A747">
        <v>170752898</v>
      </c>
      <c r="B747" s="1">
        <v>44914</v>
      </c>
      <c r="C747" s="1">
        <v>44980</v>
      </c>
      <c r="D747" t="s">
        <v>7</v>
      </c>
      <c r="E747">
        <v>39</v>
      </c>
      <c r="F747" t="s">
        <v>6</v>
      </c>
      <c r="G747">
        <f t="shared" si="66"/>
        <v>66</v>
      </c>
      <c r="H747" s="1" t="str">
        <f t="shared" si="67"/>
        <v>Monday</v>
      </c>
      <c r="I747" t="str">
        <f t="shared" si="68"/>
        <v>No</v>
      </c>
      <c r="J747">
        <f t="shared" si="69"/>
        <v>0</v>
      </c>
      <c r="K747">
        <f t="shared" si="70"/>
        <v>1</v>
      </c>
      <c r="L747">
        <f t="shared" si="71"/>
        <v>66</v>
      </c>
    </row>
    <row r="748" spans="1:12" x14ac:dyDescent="0.3">
      <c r="A748">
        <v>172517999</v>
      </c>
      <c r="B748" s="1">
        <v>44914</v>
      </c>
      <c r="C748" s="1">
        <v>44952</v>
      </c>
      <c r="D748" t="s">
        <v>7</v>
      </c>
      <c r="E748">
        <v>39</v>
      </c>
      <c r="F748" t="s">
        <v>6</v>
      </c>
      <c r="G748">
        <f t="shared" si="66"/>
        <v>38</v>
      </c>
      <c r="H748" s="1" t="str">
        <f t="shared" si="67"/>
        <v>Monday</v>
      </c>
      <c r="I748" t="str">
        <f t="shared" si="68"/>
        <v>No</v>
      </c>
      <c r="J748">
        <f t="shared" si="69"/>
        <v>0</v>
      </c>
      <c r="K748">
        <f t="shared" si="70"/>
        <v>1</v>
      </c>
      <c r="L748">
        <f t="shared" si="71"/>
        <v>38</v>
      </c>
    </row>
    <row r="749" spans="1:12" ht="14.4" customHeight="1" x14ac:dyDescent="0.3">
      <c r="A749">
        <v>150779000</v>
      </c>
      <c r="B749" s="1">
        <v>44914</v>
      </c>
      <c r="C749" s="1">
        <v>44928</v>
      </c>
      <c r="D749" t="s">
        <v>7</v>
      </c>
      <c r="E749">
        <v>39</v>
      </c>
      <c r="F749" t="s">
        <v>6</v>
      </c>
      <c r="G749">
        <f t="shared" si="66"/>
        <v>14</v>
      </c>
      <c r="H749" s="1" t="str">
        <f t="shared" si="67"/>
        <v>Monday</v>
      </c>
      <c r="I749" t="str">
        <f t="shared" si="68"/>
        <v>No</v>
      </c>
      <c r="J749">
        <f t="shared" si="69"/>
        <v>0</v>
      </c>
      <c r="K749">
        <f t="shared" si="70"/>
        <v>0</v>
      </c>
      <c r="L749">
        <f t="shared" si="71"/>
        <v>14</v>
      </c>
    </row>
    <row r="750" spans="1:12" x14ac:dyDescent="0.3">
      <c r="A750">
        <v>171304646</v>
      </c>
      <c r="B750" s="1">
        <v>44914</v>
      </c>
      <c r="C750" s="1">
        <v>45164</v>
      </c>
      <c r="D750" t="s">
        <v>7</v>
      </c>
      <c r="E750">
        <v>39</v>
      </c>
      <c r="F750" t="s">
        <v>6</v>
      </c>
      <c r="G750">
        <f t="shared" si="66"/>
        <v>250</v>
      </c>
      <c r="H750" s="1" t="str">
        <f t="shared" si="67"/>
        <v>Monday</v>
      </c>
      <c r="I750" t="str">
        <f t="shared" si="68"/>
        <v>No</v>
      </c>
      <c r="J750">
        <f t="shared" si="69"/>
        <v>0</v>
      </c>
      <c r="K750">
        <f t="shared" si="70"/>
        <v>1</v>
      </c>
      <c r="L750">
        <f t="shared" si="71"/>
        <v>250</v>
      </c>
    </row>
    <row r="751" spans="1:12" ht="14.4" customHeight="1" x14ac:dyDescent="0.3">
      <c r="A751">
        <v>168696864</v>
      </c>
      <c r="B751" s="1">
        <v>44915</v>
      </c>
      <c r="D751" t="s">
        <v>7</v>
      </c>
      <c r="E751">
        <v>39</v>
      </c>
      <c r="F751" t="s">
        <v>6</v>
      </c>
      <c r="G751" t="str">
        <f t="shared" si="66"/>
        <v/>
      </c>
      <c r="H751" s="1" t="str">
        <f t="shared" si="67"/>
        <v>Tuesday</v>
      </c>
      <c r="I751" t="str">
        <f t="shared" si="68"/>
        <v>No</v>
      </c>
      <c r="J751">
        <f t="shared" si="69"/>
        <v>0</v>
      </c>
      <c r="K751">
        <f t="shared" si="70"/>
        <v>0</v>
      </c>
      <c r="L751" t="str">
        <f t="shared" si="71"/>
        <v/>
      </c>
    </row>
    <row r="752" spans="1:12" ht="14.4" customHeight="1" x14ac:dyDescent="0.3">
      <c r="A752">
        <v>174268714</v>
      </c>
      <c r="B752" s="1">
        <v>44915</v>
      </c>
      <c r="D752" t="s">
        <v>7</v>
      </c>
      <c r="E752">
        <v>39</v>
      </c>
      <c r="F752" t="s">
        <v>6</v>
      </c>
      <c r="G752" t="str">
        <f t="shared" si="66"/>
        <v/>
      </c>
      <c r="H752" s="1" t="str">
        <f t="shared" si="67"/>
        <v>Tuesday</v>
      </c>
      <c r="I752" t="str">
        <f t="shared" si="68"/>
        <v>No</v>
      </c>
      <c r="J752">
        <f t="shared" si="69"/>
        <v>0</v>
      </c>
      <c r="K752">
        <f t="shared" si="70"/>
        <v>0</v>
      </c>
      <c r="L752" t="str">
        <f t="shared" si="71"/>
        <v/>
      </c>
    </row>
    <row r="753" spans="1:12" ht="14.4" customHeight="1" x14ac:dyDescent="0.3">
      <c r="A753">
        <v>147022677</v>
      </c>
      <c r="B753" s="1">
        <v>44915</v>
      </c>
      <c r="D753" t="s">
        <v>7</v>
      </c>
      <c r="E753">
        <v>39</v>
      </c>
      <c r="F753" t="s">
        <v>6</v>
      </c>
      <c r="G753" t="str">
        <f t="shared" si="66"/>
        <v/>
      </c>
      <c r="H753" s="1" t="str">
        <f t="shared" si="67"/>
        <v>Tuesday</v>
      </c>
      <c r="I753" t="str">
        <f t="shared" si="68"/>
        <v>No</v>
      </c>
      <c r="J753">
        <f t="shared" si="69"/>
        <v>0</v>
      </c>
      <c r="K753">
        <f t="shared" si="70"/>
        <v>0</v>
      </c>
      <c r="L753" t="str">
        <f t="shared" si="71"/>
        <v/>
      </c>
    </row>
    <row r="754" spans="1:12" ht="14.4" customHeight="1" x14ac:dyDescent="0.3">
      <c r="A754">
        <v>156864062</v>
      </c>
      <c r="B754" s="1">
        <v>44915</v>
      </c>
      <c r="C754" s="1">
        <v>44916</v>
      </c>
      <c r="D754" t="s">
        <v>8</v>
      </c>
      <c r="E754">
        <v>39</v>
      </c>
      <c r="F754" t="s">
        <v>6</v>
      </c>
      <c r="G754">
        <f t="shared" si="66"/>
        <v>1</v>
      </c>
      <c r="H754" s="1" t="str">
        <f t="shared" si="67"/>
        <v>Tuesday</v>
      </c>
      <c r="I754" t="str">
        <f t="shared" si="68"/>
        <v>No</v>
      </c>
      <c r="J754">
        <f t="shared" si="69"/>
        <v>1</v>
      </c>
      <c r="K754">
        <f t="shared" si="70"/>
        <v>0</v>
      </c>
      <c r="L754">
        <f t="shared" si="71"/>
        <v>1</v>
      </c>
    </row>
    <row r="755" spans="1:12" x14ac:dyDescent="0.3">
      <c r="A755">
        <v>123065349</v>
      </c>
      <c r="B755" s="1">
        <v>44915</v>
      </c>
      <c r="C755" s="1">
        <v>45012</v>
      </c>
      <c r="D755" t="s">
        <v>7</v>
      </c>
      <c r="E755">
        <v>39</v>
      </c>
      <c r="F755" t="s">
        <v>6</v>
      </c>
      <c r="G755">
        <f t="shared" si="66"/>
        <v>97</v>
      </c>
      <c r="H755" s="1" t="str">
        <f t="shared" si="67"/>
        <v>Tuesday</v>
      </c>
      <c r="I755" t="str">
        <f t="shared" si="68"/>
        <v>No</v>
      </c>
      <c r="J755">
        <f t="shared" si="69"/>
        <v>0</v>
      </c>
      <c r="K755">
        <f t="shared" si="70"/>
        <v>1</v>
      </c>
      <c r="L755">
        <f t="shared" si="71"/>
        <v>97</v>
      </c>
    </row>
    <row r="756" spans="1:12" x14ac:dyDescent="0.3">
      <c r="A756">
        <v>174258180</v>
      </c>
      <c r="B756" s="1">
        <v>44915</v>
      </c>
      <c r="C756" s="1">
        <v>45045</v>
      </c>
      <c r="D756" t="s">
        <v>7</v>
      </c>
      <c r="E756">
        <v>39</v>
      </c>
      <c r="F756" t="s">
        <v>6</v>
      </c>
      <c r="G756">
        <f t="shared" si="66"/>
        <v>130</v>
      </c>
      <c r="H756" s="1" t="str">
        <f t="shared" si="67"/>
        <v>Tuesday</v>
      </c>
      <c r="I756" t="str">
        <f t="shared" si="68"/>
        <v>No</v>
      </c>
      <c r="J756">
        <f t="shared" si="69"/>
        <v>0</v>
      </c>
      <c r="K756">
        <f t="shared" si="70"/>
        <v>1</v>
      </c>
      <c r="L756">
        <f t="shared" si="71"/>
        <v>130</v>
      </c>
    </row>
    <row r="757" spans="1:12" x14ac:dyDescent="0.3">
      <c r="A757">
        <v>174269667</v>
      </c>
      <c r="B757" s="1">
        <v>44915</v>
      </c>
      <c r="C757" s="1">
        <v>44988</v>
      </c>
      <c r="D757" t="s">
        <v>7</v>
      </c>
      <c r="E757">
        <v>39</v>
      </c>
      <c r="F757" t="s">
        <v>6</v>
      </c>
      <c r="G757">
        <f t="shared" si="66"/>
        <v>73</v>
      </c>
      <c r="H757" s="1" t="str">
        <f t="shared" si="67"/>
        <v>Tuesday</v>
      </c>
      <c r="I757" t="str">
        <f t="shared" si="68"/>
        <v>No</v>
      </c>
      <c r="J757">
        <f t="shared" si="69"/>
        <v>0</v>
      </c>
      <c r="K757">
        <f t="shared" si="70"/>
        <v>1</v>
      </c>
      <c r="L757">
        <f t="shared" si="71"/>
        <v>73</v>
      </c>
    </row>
    <row r="758" spans="1:12" x14ac:dyDescent="0.3">
      <c r="A758">
        <v>171889946</v>
      </c>
      <c r="B758" s="1">
        <v>44915</v>
      </c>
      <c r="C758" s="1">
        <v>44967</v>
      </c>
      <c r="D758" t="s">
        <v>7</v>
      </c>
      <c r="E758">
        <v>39</v>
      </c>
      <c r="F758" t="s">
        <v>6</v>
      </c>
      <c r="G758">
        <f t="shared" si="66"/>
        <v>52</v>
      </c>
      <c r="H758" s="1" t="str">
        <f t="shared" si="67"/>
        <v>Tuesday</v>
      </c>
      <c r="I758" t="str">
        <f t="shared" si="68"/>
        <v>No</v>
      </c>
      <c r="J758">
        <f t="shared" si="69"/>
        <v>0</v>
      </c>
      <c r="K758">
        <f t="shared" si="70"/>
        <v>1</v>
      </c>
      <c r="L758">
        <f t="shared" si="71"/>
        <v>52</v>
      </c>
    </row>
    <row r="759" spans="1:12" x14ac:dyDescent="0.3">
      <c r="A759">
        <v>171613468</v>
      </c>
      <c r="B759" s="1">
        <v>44915</v>
      </c>
      <c r="C759" s="1">
        <v>44979</v>
      </c>
      <c r="D759" t="s">
        <v>7</v>
      </c>
      <c r="E759">
        <v>39</v>
      </c>
      <c r="F759" t="s">
        <v>6</v>
      </c>
      <c r="G759">
        <f t="shared" si="66"/>
        <v>64</v>
      </c>
      <c r="H759" s="1" t="str">
        <f t="shared" si="67"/>
        <v>Tuesday</v>
      </c>
      <c r="I759" t="str">
        <f t="shared" si="68"/>
        <v>No</v>
      </c>
      <c r="J759">
        <f t="shared" si="69"/>
        <v>0</v>
      </c>
      <c r="K759">
        <f t="shared" si="70"/>
        <v>1</v>
      </c>
      <c r="L759">
        <f t="shared" si="71"/>
        <v>64</v>
      </c>
    </row>
    <row r="760" spans="1:12" ht="14.4" customHeight="1" x14ac:dyDescent="0.3">
      <c r="A760">
        <v>122922737</v>
      </c>
      <c r="B760" s="1">
        <v>44916</v>
      </c>
      <c r="D760" t="s">
        <v>7</v>
      </c>
      <c r="E760">
        <v>39</v>
      </c>
      <c r="F760" t="s">
        <v>6</v>
      </c>
      <c r="G760" t="str">
        <f t="shared" si="66"/>
        <v/>
      </c>
      <c r="H760" s="1" t="str">
        <f t="shared" si="67"/>
        <v>Wednesday</v>
      </c>
      <c r="I760" t="str">
        <f t="shared" si="68"/>
        <v>No</v>
      </c>
      <c r="J760">
        <f t="shared" si="69"/>
        <v>0</v>
      </c>
      <c r="K760">
        <f t="shared" si="70"/>
        <v>0</v>
      </c>
      <c r="L760" t="str">
        <f t="shared" si="71"/>
        <v/>
      </c>
    </row>
    <row r="761" spans="1:12" x14ac:dyDescent="0.3">
      <c r="A761">
        <v>174646924</v>
      </c>
      <c r="B761" s="1">
        <v>44916</v>
      </c>
      <c r="C761" s="1">
        <v>45013</v>
      </c>
      <c r="D761" t="s">
        <v>7</v>
      </c>
      <c r="E761">
        <v>39</v>
      </c>
      <c r="F761" t="s">
        <v>6</v>
      </c>
      <c r="G761">
        <f t="shared" si="66"/>
        <v>97</v>
      </c>
      <c r="H761" s="1" t="str">
        <f t="shared" si="67"/>
        <v>Wednesday</v>
      </c>
      <c r="I761" t="str">
        <f t="shared" si="68"/>
        <v>No</v>
      </c>
      <c r="J761">
        <f t="shared" si="69"/>
        <v>0</v>
      </c>
      <c r="K761">
        <f t="shared" si="70"/>
        <v>1</v>
      </c>
      <c r="L761">
        <f t="shared" si="71"/>
        <v>97</v>
      </c>
    </row>
    <row r="762" spans="1:12" x14ac:dyDescent="0.3">
      <c r="A762">
        <v>174264280</v>
      </c>
      <c r="B762" s="1">
        <v>44916</v>
      </c>
      <c r="C762" s="1">
        <v>45013</v>
      </c>
      <c r="D762" t="s">
        <v>7</v>
      </c>
      <c r="E762">
        <v>39</v>
      </c>
      <c r="F762" t="s">
        <v>6</v>
      </c>
      <c r="G762">
        <f t="shared" si="66"/>
        <v>97</v>
      </c>
      <c r="H762" s="1" t="str">
        <f t="shared" si="67"/>
        <v>Wednesday</v>
      </c>
      <c r="I762" t="str">
        <f t="shared" si="68"/>
        <v>No</v>
      </c>
      <c r="J762">
        <f t="shared" si="69"/>
        <v>0</v>
      </c>
      <c r="K762">
        <f t="shared" si="70"/>
        <v>1</v>
      </c>
      <c r="L762">
        <f t="shared" si="71"/>
        <v>97</v>
      </c>
    </row>
    <row r="763" spans="1:12" x14ac:dyDescent="0.3">
      <c r="A763">
        <v>174609120</v>
      </c>
      <c r="B763" s="1">
        <v>44916</v>
      </c>
      <c r="C763" s="1">
        <v>45003</v>
      </c>
      <c r="D763" t="s">
        <v>7</v>
      </c>
      <c r="E763">
        <v>39</v>
      </c>
      <c r="F763" t="s">
        <v>6</v>
      </c>
      <c r="G763">
        <f t="shared" si="66"/>
        <v>87</v>
      </c>
      <c r="H763" s="1" t="str">
        <f t="shared" si="67"/>
        <v>Wednesday</v>
      </c>
      <c r="I763" t="str">
        <f t="shared" si="68"/>
        <v>No</v>
      </c>
      <c r="J763">
        <f t="shared" si="69"/>
        <v>0</v>
      </c>
      <c r="K763">
        <f t="shared" si="70"/>
        <v>1</v>
      </c>
      <c r="L763">
        <f t="shared" si="71"/>
        <v>87</v>
      </c>
    </row>
    <row r="764" spans="1:12" x14ac:dyDescent="0.3">
      <c r="A764">
        <v>174158995</v>
      </c>
      <c r="B764" s="1">
        <v>44916</v>
      </c>
      <c r="C764" s="1">
        <v>44982</v>
      </c>
      <c r="D764" t="s">
        <v>7</v>
      </c>
      <c r="E764">
        <v>39</v>
      </c>
      <c r="F764" t="s">
        <v>6</v>
      </c>
      <c r="G764">
        <f t="shared" si="66"/>
        <v>66</v>
      </c>
      <c r="H764" s="1" t="str">
        <f t="shared" si="67"/>
        <v>Wednesday</v>
      </c>
      <c r="I764" t="str">
        <f t="shared" si="68"/>
        <v>No</v>
      </c>
      <c r="J764">
        <f t="shared" si="69"/>
        <v>0</v>
      </c>
      <c r="K764">
        <f t="shared" si="70"/>
        <v>1</v>
      </c>
      <c r="L764">
        <f t="shared" si="71"/>
        <v>66</v>
      </c>
    </row>
    <row r="765" spans="1:12" x14ac:dyDescent="0.3">
      <c r="A765">
        <v>174484311</v>
      </c>
      <c r="B765" s="1">
        <v>44916</v>
      </c>
      <c r="C765" s="1">
        <v>44982</v>
      </c>
      <c r="D765" t="s">
        <v>7</v>
      </c>
      <c r="E765">
        <v>39</v>
      </c>
      <c r="F765" t="s">
        <v>6</v>
      </c>
      <c r="G765">
        <f t="shared" si="66"/>
        <v>66</v>
      </c>
      <c r="H765" s="1" t="str">
        <f t="shared" si="67"/>
        <v>Wednesday</v>
      </c>
      <c r="I765" t="str">
        <f t="shared" si="68"/>
        <v>No</v>
      </c>
      <c r="J765">
        <f t="shared" si="69"/>
        <v>0</v>
      </c>
      <c r="K765">
        <f t="shared" si="70"/>
        <v>1</v>
      </c>
      <c r="L765">
        <f t="shared" si="71"/>
        <v>66</v>
      </c>
    </row>
    <row r="766" spans="1:12" x14ac:dyDescent="0.3">
      <c r="A766">
        <v>169556175</v>
      </c>
      <c r="B766" s="1">
        <v>44916</v>
      </c>
      <c r="C766" s="1">
        <v>44948</v>
      </c>
      <c r="D766" t="s">
        <v>7</v>
      </c>
      <c r="E766">
        <v>39</v>
      </c>
      <c r="F766" t="s">
        <v>6</v>
      </c>
      <c r="G766">
        <f t="shared" si="66"/>
        <v>32</v>
      </c>
      <c r="H766" s="1" t="str">
        <f t="shared" si="67"/>
        <v>Wednesday</v>
      </c>
      <c r="I766" t="str">
        <f t="shared" si="68"/>
        <v>No</v>
      </c>
      <c r="J766">
        <f t="shared" si="69"/>
        <v>0</v>
      </c>
      <c r="K766">
        <f t="shared" si="70"/>
        <v>1</v>
      </c>
      <c r="L766">
        <f t="shared" si="71"/>
        <v>32</v>
      </c>
    </row>
    <row r="767" spans="1:12" ht="14.4" customHeight="1" x14ac:dyDescent="0.3">
      <c r="A767">
        <v>153122282</v>
      </c>
      <c r="B767" s="1">
        <v>44916</v>
      </c>
      <c r="C767" s="1">
        <v>44916</v>
      </c>
      <c r="D767" t="s">
        <v>7</v>
      </c>
      <c r="E767">
        <v>39</v>
      </c>
      <c r="F767" t="s">
        <v>6</v>
      </c>
      <c r="G767">
        <f t="shared" si="66"/>
        <v>0</v>
      </c>
      <c r="H767" s="1" t="str">
        <f t="shared" si="67"/>
        <v>Wednesday</v>
      </c>
      <c r="I767" t="str">
        <f t="shared" si="68"/>
        <v>Yes</v>
      </c>
      <c r="J767">
        <f t="shared" si="69"/>
        <v>1</v>
      </c>
      <c r="K767">
        <f t="shared" si="70"/>
        <v>0</v>
      </c>
      <c r="L767">
        <f t="shared" si="71"/>
        <v>0</v>
      </c>
    </row>
    <row r="768" spans="1:12" x14ac:dyDescent="0.3">
      <c r="A768">
        <v>174576654</v>
      </c>
      <c r="B768" s="1">
        <v>44916</v>
      </c>
      <c r="C768" s="1">
        <v>45114</v>
      </c>
      <c r="D768" t="s">
        <v>7</v>
      </c>
      <c r="E768">
        <v>39</v>
      </c>
      <c r="F768" t="s">
        <v>6</v>
      </c>
      <c r="G768">
        <f t="shared" si="66"/>
        <v>198</v>
      </c>
      <c r="H768" s="1" t="str">
        <f t="shared" si="67"/>
        <v>Wednesday</v>
      </c>
      <c r="I768" t="str">
        <f t="shared" si="68"/>
        <v>No</v>
      </c>
      <c r="J768">
        <f t="shared" si="69"/>
        <v>0</v>
      </c>
      <c r="K768">
        <f t="shared" si="70"/>
        <v>1</v>
      </c>
      <c r="L768">
        <f t="shared" si="71"/>
        <v>198</v>
      </c>
    </row>
    <row r="769" spans="1:12" ht="14.4" customHeight="1" x14ac:dyDescent="0.3">
      <c r="A769">
        <v>154711077</v>
      </c>
      <c r="B769" s="1">
        <v>44917</v>
      </c>
      <c r="D769" t="s">
        <v>7</v>
      </c>
      <c r="E769">
        <v>39</v>
      </c>
      <c r="F769" t="s">
        <v>6</v>
      </c>
      <c r="G769" t="str">
        <f t="shared" si="66"/>
        <v/>
      </c>
      <c r="H769" s="1" t="str">
        <f t="shared" si="67"/>
        <v>Thursday</v>
      </c>
      <c r="I769" t="str">
        <f t="shared" si="68"/>
        <v>No</v>
      </c>
      <c r="J769">
        <f t="shared" si="69"/>
        <v>0</v>
      </c>
      <c r="K769">
        <f t="shared" si="70"/>
        <v>0</v>
      </c>
      <c r="L769" t="str">
        <f t="shared" si="71"/>
        <v/>
      </c>
    </row>
    <row r="770" spans="1:12" ht="14.4" customHeight="1" x14ac:dyDescent="0.3">
      <c r="A770">
        <v>163619032</v>
      </c>
      <c r="B770" s="1">
        <v>44917</v>
      </c>
      <c r="D770" t="s">
        <v>7</v>
      </c>
      <c r="E770">
        <v>39</v>
      </c>
      <c r="F770" t="s">
        <v>6</v>
      </c>
      <c r="G770" t="str">
        <f t="shared" ref="G770:G833" si="72">IF(C770="","",C770-B770)</f>
        <v/>
      </c>
      <c r="H770" s="1" t="str">
        <f t="shared" si="67"/>
        <v>Thursday</v>
      </c>
      <c r="I770" t="str">
        <f t="shared" si="68"/>
        <v>No</v>
      </c>
      <c r="J770">
        <f t="shared" si="69"/>
        <v>0</v>
      </c>
      <c r="K770">
        <f t="shared" si="70"/>
        <v>0</v>
      </c>
      <c r="L770" t="str">
        <f t="shared" si="71"/>
        <v/>
      </c>
    </row>
    <row r="771" spans="1:12" ht="14.4" customHeight="1" x14ac:dyDescent="0.3">
      <c r="A771">
        <v>171001864</v>
      </c>
      <c r="B771" s="1">
        <v>44917</v>
      </c>
      <c r="D771" t="s">
        <v>7</v>
      </c>
      <c r="E771">
        <v>39</v>
      </c>
      <c r="F771" t="s">
        <v>6</v>
      </c>
      <c r="G771" t="str">
        <f t="shared" si="72"/>
        <v/>
      </c>
      <c r="H771" s="1" t="str">
        <f t="shared" ref="H771:H834" si="73">TEXT(B771,"dddd")</f>
        <v>Thursday</v>
      </c>
      <c r="I771" t="str">
        <f t="shared" ref="I771:I834" si="74">IF(B771=C771,"Yes","No")</f>
        <v>No</v>
      </c>
      <c r="J771">
        <f t="shared" ref="J771:J834" si="75">IF(AND(C771&lt;&gt;"",C771-B771&lt;=2),1,0)</f>
        <v>0</v>
      </c>
      <c r="K771">
        <f t="shared" ref="K771:K834" si="76">IF(AND(C771&lt;&gt;"",C771-B771&gt;30),1,0)</f>
        <v>0</v>
      </c>
      <c r="L771" t="str">
        <f t="shared" ref="L771:L834" si="77">IF(C771="","",C771-B771)</f>
        <v/>
      </c>
    </row>
    <row r="772" spans="1:12" ht="14.4" customHeight="1" x14ac:dyDescent="0.3">
      <c r="A772">
        <v>151890014</v>
      </c>
      <c r="B772" s="1">
        <v>44917</v>
      </c>
      <c r="D772" t="s">
        <v>7</v>
      </c>
      <c r="E772">
        <v>39</v>
      </c>
      <c r="F772" t="s">
        <v>6</v>
      </c>
      <c r="G772" t="str">
        <f t="shared" si="72"/>
        <v/>
      </c>
      <c r="H772" s="1" t="str">
        <f t="shared" si="73"/>
        <v>Thursday</v>
      </c>
      <c r="I772" t="str">
        <f t="shared" si="74"/>
        <v>No</v>
      </c>
      <c r="J772">
        <f t="shared" si="75"/>
        <v>0</v>
      </c>
      <c r="K772">
        <f t="shared" si="76"/>
        <v>0</v>
      </c>
      <c r="L772" t="str">
        <f t="shared" si="77"/>
        <v/>
      </c>
    </row>
    <row r="773" spans="1:12" ht="14.4" customHeight="1" x14ac:dyDescent="0.3">
      <c r="A773">
        <v>158575772</v>
      </c>
      <c r="B773" s="1">
        <v>44917</v>
      </c>
      <c r="C773" s="1">
        <v>44918</v>
      </c>
      <c r="D773" t="s">
        <v>7</v>
      </c>
      <c r="E773">
        <v>39</v>
      </c>
      <c r="F773" t="s">
        <v>6</v>
      </c>
      <c r="G773">
        <f t="shared" si="72"/>
        <v>1</v>
      </c>
      <c r="H773" s="1" t="str">
        <f t="shared" si="73"/>
        <v>Thursday</v>
      </c>
      <c r="I773" t="str">
        <f t="shared" si="74"/>
        <v>No</v>
      </c>
      <c r="J773">
        <f t="shared" si="75"/>
        <v>1</v>
      </c>
      <c r="K773">
        <f t="shared" si="76"/>
        <v>0</v>
      </c>
      <c r="L773">
        <f t="shared" si="77"/>
        <v>1</v>
      </c>
    </row>
    <row r="774" spans="1:12" ht="14.4" customHeight="1" x14ac:dyDescent="0.3">
      <c r="A774">
        <v>164462665</v>
      </c>
      <c r="B774" s="1">
        <v>44917</v>
      </c>
      <c r="C774" s="1">
        <v>44918</v>
      </c>
      <c r="D774" t="s">
        <v>8</v>
      </c>
      <c r="E774">
        <v>39</v>
      </c>
      <c r="F774" t="s">
        <v>6</v>
      </c>
      <c r="G774">
        <f t="shared" si="72"/>
        <v>1</v>
      </c>
      <c r="H774" s="1" t="str">
        <f t="shared" si="73"/>
        <v>Thursday</v>
      </c>
      <c r="I774" t="str">
        <f t="shared" si="74"/>
        <v>No</v>
      </c>
      <c r="J774">
        <f t="shared" si="75"/>
        <v>1</v>
      </c>
      <c r="K774">
        <f t="shared" si="76"/>
        <v>0</v>
      </c>
      <c r="L774">
        <f t="shared" si="77"/>
        <v>1</v>
      </c>
    </row>
    <row r="775" spans="1:12" x14ac:dyDescent="0.3">
      <c r="A775">
        <v>121830768</v>
      </c>
      <c r="B775" s="1">
        <v>44917</v>
      </c>
      <c r="C775" s="1">
        <v>44950</v>
      </c>
      <c r="D775" t="s">
        <v>7</v>
      </c>
      <c r="E775">
        <v>39</v>
      </c>
      <c r="F775" t="s">
        <v>6</v>
      </c>
      <c r="G775">
        <f t="shared" si="72"/>
        <v>33</v>
      </c>
      <c r="H775" s="1" t="str">
        <f t="shared" si="73"/>
        <v>Thursday</v>
      </c>
      <c r="I775" t="str">
        <f t="shared" si="74"/>
        <v>No</v>
      </c>
      <c r="J775">
        <f t="shared" si="75"/>
        <v>0</v>
      </c>
      <c r="K775">
        <f t="shared" si="76"/>
        <v>1</v>
      </c>
      <c r="L775">
        <f t="shared" si="77"/>
        <v>33</v>
      </c>
    </row>
    <row r="776" spans="1:12" x14ac:dyDescent="0.3">
      <c r="A776">
        <v>174605216</v>
      </c>
      <c r="B776" s="1">
        <v>44917</v>
      </c>
      <c r="C776" s="1">
        <v>45058</v>
      </c>
      <c r="D776" t="s">
        <v>7</v>
      </c>
      <c r="E776">
        <v>39</v>
      </c>
      <c r="F776" t="s">
        <v>6</v>
      </c>
      <c r="G776">
        <f t="shared" si="72"/>
        <v>141</v>
      </c>
      <c r="H776" s="1" t="str">
        <f t="shared" si="73"/>
        <v>Thursday</v>
      </c>
      <c r="I776" t="str">
        <f t="shared" si="74"/>
        <v>No</v>
      </c>
      <c r="J776">
        <f t="shared" si="75"/>
        <v>0</v>
      </c>
      <c r="K776">
        <f t="shared" si="76"/>
        <v>1</v>
      </c>
      <c r="L776">
        <f t="shared" si="77"/>
        <v>141</v>
      </c>
    </row>
    <row r="777" spans="1:12" x14ac:dyDescent="0.3">
      <c r="A777">
        <v>174655316</v>
      </c>
      <c r="B777" s="1">
        <v>44917</v>
      </c>
      <c r="C777" s="1">
        <v>45000</v>
      </c>
      <c r="D777" t="s">
        <v>7</v>
      </c>
      <c r="E777">
        <v>39</v>
      </c>
      <c r="F777" t="s">
        <v>6</v>
      </c>
      <c r="G777">
        <f t="shared" si="72"/>
        <v>83</v>
      </c>
      <c r="H777" s="1" t="str">
        <f t="shared" si="73"/>
        <v>Thursday</v>
      </c>
      <c r="I777" t="str">
        <f t="shared" si="74"/>
        <v>No</v>
      </c>
      <c r="J777">
        <f t="shared" si="75"/>
        <v>0</v>
      </c>
      <c r="K777">
        <f t="shared" si="76"/>
        <v>1</v>
      </c>
      <c r="L777">
        <f t="shared" si="77"/>
        <v>83</v>
      </c>
    </row>
    <row r="778" spans="1:12" ht="14.4" customHeight="1" x14ac:dyDescent="0.3">
      <c r="A778">
        <v>174622570</v>
      </c>
      <c r="B778" s="1">
        <v>44917</v>
      </c>
      <c r="C778" s="1">
        <v>44927</v>
      </c>
      <c r="D778" t="s">
        <v>7</v>
      </c>
      <c r="E778">
        <v>39</v>
      </c>
      <c r="F778" t="s">
        <v>6</v>
      </c>
      <c r="G778">
        <f t="shared" si="72"/>
        <v>10</v>
      </c>
      <c r="H778" s="1" t="str">
        <f t="shared" si="73"/>
        <v>Thursday</v>
      </c>
      <c r="I778" t="str">
        <f t="shared" si="74"/>
        <v>No</v>
      </c>
      <c r="J778">
        <f t="shared" si="75"/>
        <v>0</v>
      </c>
      <c r="K778">
        <f t="shared" si="76"/>
        <v>0</v>
      </c>
      <c r="L778">
        <f t="shared" si="77"/>
        <v>10</v>
      </c>
    </row>
    <row r="779" spans="1:12" ht="14.4" customHeight="1" x14ac:dyDescent="0.3">
      <c r="A779">
        <v>174720005</v>
      </c>
      <c r="B779" s="1">
        <v>44917</v>
      </c>
      <c r="C779" s="1">
        <v>44918</v>
      </c>
      <c r="D779" t="s">
        <v>7</v>
      </c>
      <c r="E779">
        <v>39</v>
      </c>
      <c r="F779" t="s">
        <v>6</v>
      </c>
      <c r="G779">
        <f t="shared" si="72"/>
        <v>1</v>
      </c>
      <c r="H779" s="1" t="str">
        <f t="shared" si="73"/>
        <v>Thursday</v>
      </c>
      <c r="I779" t="str">
        <f t="shared" si="74"/>
        <v>No</v>
      </c>
      <c r="J779">
        <f t="shared" si="75"/>
        <v>1</v>
      </c>
      <c r="K779">
        <f t="shared" si="76"/>
        <v>0</v>
      </c>
      <c r="L779">
        <f t="shared" si="77"/>
        <v>1</v>
      </c>
    </row>
    <row r="780" spans="1:12" ht="14.4" customHeight="1" x14ac:dyDescent="0.3">
      <c r="A780">
        <v>174696512</v>
      </c>
      <c r="B780" s="1">
        <v>44918</v>
      </c>
      <c r="D780" t="s">
        <v>7</v>
      </c>
      <c r="E780">
        <v>39</v>
      </c>
      <c r="F780" t="s">
        <v>6</v>
      </c>
      <c r="G780" t="str">
        <f t="shared" si="72"/>
        <v/>
      </c>
      <c r="H780" s="1" t="str">
        <f t="shared" si="73"/>
        <v>Friday</v>
      </c>
      <c r="I780" t="str">
        <f t="shared" si="74"/>
        <v>No</v>
      </c>
      <c r="J780">
        <f t="shared" si="75"/>
        <v>0</v>
      </c>
      <c r="K780">
        <f t="shared" si="76"/>
        <v>0</v>
      </c>
      <c r="L780" t="str">
        <f t="shared" si="77"/>
        <v/>
      </c>
    </row>
    <row r="781" spans="1:12" ht="14.4" customHeight="1" x14ac:dyDescent="0.3">
      <c r="A781">
        <v>175314293</v>
      </c>
      <c r="B781" s="1">
        <v>44918</v>
      </c>
      <c r="D781" t="s">
        <v>7</v>
      </c>
      <c r="E781">
        <v>39</v>
      </c>
      <c r="F781" t="s">
        <v>6</v>
      </c>
      <c r="G781" t="str">
        <f t="shared" si="72"/>
        <v/>
      </c>
      <c r="H781" s="1" t="str">
        <f t="shared" si="73"/>
        <v>Friday</v>
      </c>
      <c r="I781" t="str">
        <f t="shared" si="74"/>
        <v>No</v>
      </c>
      <c r="J781">
        <f t="shared" si="75"/>
        <v>0</v>
      </c>
      <c r="K781">
        <f t="shared" si="76"/>
        <v>0</v>
      </c>
      <c r="L781" t="str">
        <f t="shared" si="77"/>
        <v/>
      </c>
    </row>
    <row r="782" spans="1:12" x14ac:dyDescent="0.3">
      <c r="A782">
        <v>175451863</v>
      </c>
      <c r="B782" s="1">
        <v>44918</v>
      </c>
      <c r="C782" s="1">
        <v>45005</v>
      </c>
      <c r="D782" t="s">
        <v>7</v>
      </c>
      <c r="E782">
        <v>39</v>
      </c>
      <c r="F782" t="s">
        <v>6</v>
      </c>
      <c r="G782">
        <f t="shared" si="72"/>
        <v>87</v>
      </c>
      <c r="H782" s="1" t="str">
        <f t="shared" si="73"/>
        <v>Friday</v>
      </c>
      <c r="I782" t="str">
        <f t="shared" si="74"/>
        <v>No</v>
      </c>
      <c r="J782">
        <f t="shared" si="75"/>
        <v>0</v>
      </c>
      <c r="K782">
        <f t="shared" si="76"/>
        <v>1</v>
      </c>
      <c r="L782">
        <f t="shared" si="77"/>
        <v>87</v>
      </c>
    </row>
    <row r="783" spans="1:12" x14ac:dyDescent="0.3">
      <c r="A783">
        <v>174752844</v>
      </c>
      <c r="B783" s="1">
        <v>44918</v>
      </c>
      <c r="C783" s="1">
        <v>44956</v>
      </c>
      <c r="D783" t="s">
        <v>7</v>
      </c>
      <c r="E783">
        <v>39</v>
      </c>
      <c r="F783" t="s">
        <v>6</v>
      </c>
      <c r="G783">
        <f t="shared" si="72"/>
        <v>38</v>
      </c>
      <c r="H783" s="1" t="str">
        <f t="shared" si="73"/>
        <v>Friday</v>
      </c>
      <c r="I783" t="str">
        <f t="shared" si="74"/>
        <v>No</v>
      </c>
      <c r="J783">
        <f t="shared" si="75"/>
        <v>0</v>
      </c>
      <c r="K783">
        <f t="shared" si="76"/>
        <v>1</v>
      </c>
      <c r="L783">
        <f t="shared" si="77"/>
        <v>38</v>
      </c>
    </row>
    <row r="784" spans="1:12" ht="14.4" customHeight="1" x14ac:dyDescent="0.3">
      <c r="A784">
        <v>175431141</v>
      </c>
      <c r="B784" s="1">
        <v>44919</v>
      </c>
      <c r="D784" t="s">
        <v>7</v>
      </c>
      <c r="E784">
        <v>39</v>
      </c>
      <c r="F784" t="s">
        <v>6</v>
      </c>
      <c r="G784" t="str">
        <f t="shared" si="72"/>
        <v/>
      </c>
      <c r="H784" s="1" t="str">
        <f t="shared" si="73"/>
        <v>Saturday</v>
      </c>
      <c r="I784" t="str">
        <f t="shared" si="74"/>
        <v>No</v>
      </c>
      <c r="J784">
        <f t="shared" si="75"/>
        <v>0</v>
      </c>
      <c r="K784">
        <f t="shared" si="76"/>
        <v>0</v>
      </c>
      <c r="L784" t="str">
        <f t="shared" si="77"/>
        <v/>
      </c>
    </row>
    <row r="785" spans="1:12" ht="14.4" customHeight="1" x14ac:dyDescent="0.3">
      <c r="A785">
        <v>132228678</v>
      </c>
      <c r="B785" s="1">
        <v>44919</v>
      </c>
      <c r="C785" s="1">
        <v>44919</v>
      </c>
      <c r="D785" t="s">
        <v>7</v>
      </c>
      <c r="E785">
        <v>39</v>
      </c>
      <c r="F785" t="s">
        <v>6</v>
      </c>
      <c r="G785">
        <f t="shared" si="72"/>
        <v>0</v>
      </c>
      <c r="H785" s="1" t="str">
        <f t="shared" si="73"/>
        <v>Saturday</v>
      </c>
      <c r="I785" t="str">
        <f t="shared" si="74"/>
        <v>Yes</v>
      </c>
      <c r="J785">
        <f t="shared" si="75"/>
        <v>1</v>
      </c>
      <c r="K785">
        <f t="shared" si="76"/>
        <v>0</v>
      </c>
      <c r="L785">
        <f t="shared" si="77"/>
        <v>0</v>
      </c>
    </row>
    <row r="786" spans="1:12" x14ac:dyDescent="0.3">
      <c r="A786">
        <v>161151062</v>
      </c>
      <c r="B786" s="1">
        <v>44919</v>
      </c>
      <c r="C786" s="1">
        <v>45035</v>
      </c>
      <c r="D786" t="s">
        <v>7</v>
      </c>
      <c r="E786">
        <v>39</v>
      </c>
      <c r="F786" t="s">
        <v>6</v>
      </c>
      <c r="G786">
        <f t="shared" si="72"/>
        <v>116</v>
      </c>
      <c r="H786" s="1" t="str">
        <f t="shared" si="73"/>
        <v>Saturday</v>
      </c>
      <c r="I786" t="str">
        <f t="shared" si="74"/>
        <v>No</v>
      </c>
      <c r="J786">
        <f t="shared" si="75"/>
        <v>0</v>
      </c>
      <c r="K786">
        <f t="shared" si="76"/>
        <v>1</v>
      </c>
      <c r="L786">
        <f t="shared" si="77"/>
        <v>116</v>
      </c>
    </row>
    <row r="787" spans="1:12" x14ac:dyDescent="0.3">
      <c r="A787">
        <v>167653319</v>
      </c>
      <c r="B787" s="1">
        <v>44919</v>
      </c>
      <c r="C787" s="1">
        <v>44998</v>
      </c>
      <c r="D787" t="s">
        <v>7</v>
      </c>
      <c r="E787">
        <v>39</v>
      </c>
      <c r="F787" t="s">
        <v>6</v>
      </c>
      <c r="G787">
        <f t="shared" si="72"/>
        <v>79</v>
      </c>
      <c r="H787" s="1" t="str">
        <f t="shared" si="73"/>
        <v>Saturday</v>
      </c>
      <c r="I787" t="str">
        <f t="shared" si="74"/>
        <v>No</v>
      </c>
      <c r="J787">
        <f t="shared" si="75"/>
        <v>0</v>
      </c>
      <c r="K787">
        <f t="shared" si="76"/>
        <v>1</v>
      </c>
      <c r="L787">
        <f t="shared" si="77"/>
        <v>79</v>
      </c>
    </row>
    <row r="788" spans="1:12" ht="14.4" customHeight="1" x14ac:dyDescent="0.3">
      <c r="A788">
        <v>171659515</v>
      </c>
      <c r="B788" s="1">
        <v>44919</v>
      </c>
      <c r="C788" s="1">
        <v>44949</v>
      </c>
      <c r="D788" t="s">
        <v>7</v>
      </c>
      <c r="E788">
        <v>39</v>
      </c>
      <c r="F788" t="s">
        <v>6</v>
      </c>
      <c r="G788">
        <f t="shared" si="72"/>
        <v>30</v>
      </c>
      <c r="H788" s="1" t="str">
        <f t="shared" si="73"/>
        <v>Saturday</v>
      </c>
      <c r="I788" t="str">
        <f t="shared" si="74"/>
        <v>No</v>
      </c>
      <c r="J788">
        <f t="shared" si="75"/>
        <v>0</v>
      </c>
      <c r="K788">
        <f t="shared" si="76"/>
        <v>0</v>
      </c>
      <c r="L788">
        <f t="shared" si="77"/>
        <v>30</v>
      </c>
    </row>
    <row r="789" spans="1:12" ht="14.4" customHeight="1" x14ac:dyDescent="0.3">
      <c r="A789">
        <v>175720159</v>
      </c>
      <c r="B789" s="1">
        <v>44919</v>
      </c>
      <c r="C789" s="1">
        <v>44935</v>
      </c>
      <c r="D789" t="s">
        <v>7</v>
      </c>
      <c r="E789">
        <v>39</v>
      </c>
      <c r="F789" t="s">
        <v>6</v>
      </c>
      <c r="G789">
        <f t="shared" si="72"/>
        <v>16</v>
      </c>
      <c r="H789" s="1" t="str">
        <f t="shared" si="73"/>
        <v>Saturday</v>
      </c>
      <c r="I789" t="str">
        <f t="shared" si="74"/>
        <v>No</v>
      </c>
      <c r="J789">
        <f t="shared" si="75"/>
        <v>0</v>
      </c>
      <c r="K789">
        <f t="shared" si="76"/>
        <v>0</v>
      </c>
      <c r="L789">
        <f t="shared" si="77"/>
        <v>16</v>
      </c>
    </row>
    <row r="790" spans="1:12" ht="14.4" customHeight="1" x14ac:dyDescent="0.3">
      <c r="A790">
        <v>170593141</v>
      </c>
      <c r="B790" s="1">
        <v>44919</v>
      </c>
      <c r="C790" s="1">
        <v>44934</v>
      </c>
      <c r="D790" t="s">
        <v>7</v>
      </c>
      <c r="E790">
        <v>39</v>
      </c>
      <c r="F790" t="s">
        <v>6</v>
      </c>
      <c r="G790">
        <f t="shared" si="72"/>
        <v>15</v>
      </c>
      <c r="H790" s="1" t="str">
        <f t="shared" si="73"/>
        <v>Saturday</v>
      </c>
      <c r="I790" t="str">
        <f t="shared" si="74"/>
        <v>No</v>
      </c>
      <c r="J790">
        <f t="shared" si="75"/>
        <v>0</v>
      </c>
      <c r="K790">
        <f t="shared" si="76"/>
        <v>0</v>
      </c>
      <c r="L790">
        <f t="shared" si="77"/>
        <v>15</v>
      </c>
    </row>
    <row r="791" spans="1:12" ht="14.4" customHeight="1" x14ac:dyDescent="0.3">
      <c r="A791">
        <v>173981170</v>
      </c>
      <c r="B791" s="1">
        <v>44919</v>
      </c>
      <c r="C791" s="1">
        <v>44920</v>
      </c>
      <c r="D791" t="s">
        <v>7</v>
      </c>
      <c r="E791">
        <v>39</v>
      </c>
      <c r="F791" t="s">
        <v>6</v>
      </c>
      <c r="G791">
        <f t="shared" si="72"/>
        <v>1</v>
      </c>
      <c r="H791" s="1" t="str">
        <f t="shared" si="73"/>
        <v>Saturday</v>
      </c>
      <c r="I791" t="str">
        <f t="shared" si="74"/>
        <v>No</v>
      </c>
      <c r="J791">
        <f t="shared" si="75"/>
        <v>1</v>
      </c>
      <c r="K791">
        <f t="shared" si="76"/>
        <v>0</v>
      </c>
      <c r="L791">
        <f t="shared" si="77"/>
        <v>1</v>
      </c>
    </row>
    <row r="792" spans="1:12" ht="14.4" customHeight="1" x14ac:dyDescent="0.3">
      <c r="A792">
        <v>175166391</v>
      </c>
      <c r="B792" s="1">
        <v>44920</v>
      </c>
      <c r="D792" t="s">
        <v>7</v>
      </c>
      <c r="E792">
        <v>39</v>
      </c>
      <c r="F792" t="s">
        <v>6</v>
      </c>
      <c r="G792" t="str">
        <f t="shared" si="72"/>
        <v/>
      </c>
      <c r="H792" s="1" t="str">
        <f t="shared" si="73"/>
        <v>Sunday</v>
      </c>
      <c r="I792" t="str">
        <f t="shared" si="74"/>
        <v>No</v>
      </c>
      <c r="J792">
        <f t="shared" si="75"/>
        <v>0</v>
      </c>
      <c r="K792">
        <f t="shared" si="76"/>
        <v>0</v>
      </c>
      <c r="L792" t="str">
        <f t="shared" si="77"/>
        <v/>
      </c>
    </row>
    <row r="793" spans="1:12" x14ac:dyDescent="0.3">
      <c r="A793">
        <v>161175048</v>
      </c>
      <c r="B793" s="1">
        <v>44920</v>
      </c>
      <c r="C793" s="1">
        <v>44979</v>
      </c>
      <c r="D793" t="s">
        <v>7</v>
      </c>
      <c r="E793">
        <v>39</v>
      </c>
      <c r="F793" t="s">
        <v>6</v>
      </c>
      <c r="G793">
        <f t="shared" si="72"/>
        <v>59</v>
      </c>
      <c r="H793" s="1" t="str">
        <f t="shared" si="73"/>
        <v>Sunday</v>
      </c>
      <c r="I793" t="str">
        <f t="shared" si="74"/>
        <v>No</v>
      </c>
      <c r="J793">
        <f t="shared" si="75"/>
        <v>0</v>
      </c>
      <c r="K793">
        <f t="shared" si="76"/>
        <v>1</v>
      </c>
      <c r="L793">
        <f t="shared" si="77"/>
        <v>59</v>
      </c>
    </row>
    <row r="794" spans="1:12" ht="14.4" customHeight="1" x14ac:dyDescent="0.3">
      <c r="A794">
        <v>164254865</v>
      </c>
      <c r="B794" s="1">
        <v>44920</v>
      </c>
      <c r="C794" s="1">
        <v>44950</v>
      </c>
      <c r="D794" t="s">
        <v>7</v>
      </c>
      <c r="E794">
        <v>39</v>
      </c>
      <c r="F794" t="s">
        <v>6</v>
      </c>
      <c r="G794">
        <f t="shared" si="72"/>
        <v>30</v>
      </c>
      <c r="H794" s="1" t="str">
        <f t="shared" si="73"/>
        <v>Sunday</v>
      </c>
      <c r="I794" t="str">
        <f t="shared" si="74"/>
        <v>No</v>
      </c>
      <c r="J794">
        <f t="shared" si="75"/>
        <v>0</v>
      </c>
      <c r="K794">
        <f t="shared" si="76"/>
        <v>0</v>
      </c>
      <c r="L794">
        <f t="shared" si="77"/>
        <v>30</v>
      </c>
    </row>
    <row r="795" spans="1:12" ht="14.4" customHeight="1" x14ac:dyDescent="0.3">
      <c r="A795">
        <v>143248615</v>
      </c>
      <c r="B795" s="1">
        <v>44921</v>
      </c>
      <c r="D795" t="s">
        <v>7</v>
      </c>
      <c r="E795">
        <v>39</v>
      </c>
      <c r="F795" t="s">
        <v>6</v>
      </c>
      <c r="G795" t="str">
        <f t="shared" si="72"/>
        <v/>
      </c>
      <c r="H795" s="1" t="str">
        <f t="shared" si="73"/>
        <v>Monday</v>
      </c>
      <c r="I795" t="str">
        <f t="shared" si="74"/>
        <v>No</v>
      </c>
      <c r="J795">
        <f t="shared" si="75"/>
        <v>0</v>
      </c>
      <c r="K795">
        <f t="shared" si="76"/>
        <v>0</v>
      </c>
      <c r="L795" t="str">
        <f t="shared" si="77"/>
        <v/>
      </c>
    </row>
    <row r="796" spans="1:12" ht="14.4" customHeight="1" x14ac:dyDescent="0.3">
      <c r="A796">
        <v>176032070</v>
      </c>
      <c r="B796" s="1">
        <v>44921</v>
      </c>
      <c r="C796" s="1">
        <v>44940</v>
      </c>
      <c r="D796" t="s">
        <v>7</v>
      </c>
      <c r="E796">
        <v>39</v>
      </c>
      <c r="F796" t="s">
        <v>6</v>
      </c>
      <c r="G796">
        <f t="shared" si="72"/>
        <v>19</v>
      </c>
      <c r="H796" s="1" t="str">
        <f t="shared" si="73"/>
        <v>Monday</v>
      </c>
      <c r="I796" t="str">
        <f t="shared" si="74"/>
        <v>No</v>
      </c>
      <c r="J796">
        <f t="shared" si="75"/>
        <v>0</v>
      </c>
      <c r="K796">
        <f t="shared" si="76"/>
        <v>0</v>
      </c>
      <c r="L796">
        <f t="shared" si="77"/>
        <v>19</v>
      </c>
    </row>
    <row r="797" spans="1:12" ht="14.4" customHeight="1" x14ac:dyDescent="0.3">
      <c r="A797">
        <v>174132333</v>
      </c>
      <c r="B797" s="1">
        <v>44922</v>
      </c>
      <c r="D797" t="s">
        <v>7</v>
      </c>
      <c r="E797">
        <v>39</v>
      </c>
      <c r="F797" t="s">
        <v>6</v>
      </c>
      <c r="G797" t="str">
        <f t="shared" si="72"/>
        <v/>
      </c>
      <c r="H797" s="1" t="str">
        <f t="shared" si="73"/>
        <v>Tuesday</v>
      </c>
      <c r="I797" t="str">
        <f t="shared" si="74"/>
        <v>No</v>
      </c>
      <c r="J797">
        <f t="shared" si="75"/>
        <v>0</v>
      </c>
      <c r="K797">
        <f t="shared" si="76"/>
        <v>0</v>
      </c>
      <c r="L797" t="str">
        <f t="shared" si="77"/>
        <v/>
      </c>
    </row>
    <row r="798" spans="1:12" ht="14.4" customHeight="1" x14ac:dyDescent="0.3">
      <c r="A798">
        <v>177051147</v>
      </c>
      <c r="B798" s="1">
        <v>44922</v>
      </c>
      <c r="C798" s="1">
        <v>44923</v>
      </c>
      <c r="D798" t="s">
        <v>7</v>
      </c>
      <c r="E798">
        <v>39</v>
      </c>
      <c r="F798" t="s">
        <v>6</v>
      </c>
      <c r="G798">
        <f t="shared" si="72"/>
        <v>1</v>
      </c>
      <c r="H798" s="1" t="str">
        <f t="shared" si="73"/>
        <v>Tuesday</v>
      </c>
      <c r="I798" t="str">
        <f t="shared" si="74"/>
        <v>No</v>
      </c>
      <c r="J798">
        <f t="shared" si="75"/>
        <v>1</v>
      </c>
      <c r="K798">
        <f t="shared" si="76"/>
        <v>0</v>
      </c>
      <c r="L798">
        <f t="shared" si="77"/>
        <v>1</v>
      </c>
    </row>
    <row r="799" spans="1:12" x14ac:dyDescent="0.3">
      <c r="A799">
        <v>176571319</v>
      </c>
      <c r="B799" s="1">
        <v>44922</v>
      </c>
      <c r="C799" s="1">
        <v>45017</v>
      </c>
      <c r="D799" t="s">
        <v>7</v>
      </c>
      <c r="E799">
        <v>39</v>
      </c>
      <c r="F799" t="s">
        <v>6</v>
      </c>
      <c r="G799">
        <f t="shared" si="72"/>
        <v>95</v>
      </c>
      <c r="H799" s="1" t="str">
        <f t="shared" si="73"/>
        <v>Tuesday</v>
      </c>
      <c r="I799" t="str">
        <f t="shared" si="74"/>
        <v>No</v>
      </c>
      <c r="J799">
        <f t="shared" si="75"/>
        <v>0</v>
      </c>
      <c r="K799">
        <f t="shared" si="76"/>
        <v>1</v>
      </c>
      <c r="L799">
        <f t="shared" si="77"/>
        <v>95</v>
      </c>
    </row>
    <row r="800" spans="1:12" x14ac:dyDescent="0.3">
      <c r="A800">
        <v>166932902</v>
      </c>
      <c r="B800" s="1">
        <v>44922</v>
      </c>
      <c r="C800" s="1">
        <v>44991</v>
      </c>
      <c r="D800" t="s">
        <v>7</v>
      </c>
      <c r="E800">
        <v>39</v>
      </c>
      <c r="F800" t="s">
        <v>6</v>
      </c>
      <c r="G800">
        <f t="shared" si="72"/>
        <v>69</v>
      </c>
      <c r="H800" s="1" t="str">
        <f t="shared" si="73"/>
        <v>Tuesday</v>
      </c>
      <c r="I800" t="str">
        <f t="shared" si="74"/>
        <v>No</v>
      </c>
      <c r="J800">
        <f t="shared" si="75"/>
        <v>0</v>
      </c>
      <c r="K800">
        <f t="shared" si="76"/>
        <v>1</v>
      </c>
      <c r="L800">
        <f t="shared" si="77"/>
        <v>69</v>
      </c>
    </row>
    <row r="801" spans="1:12" x14ac:dyDescent="0.3">
      <c r="A801">
        <v>175851244</v>
      </c>
      <c r="B801" s="1">
        <v>44922</v>
      </c>
      <c r="C801" s="1">
        <v>44960</v>
      </c>
      <c r="D801" t="s">
        <v>7</v>
      </c>
      <c r="E801">
        <v>39</v>
      </c>
      <c r="F801" t="s">
        <v>6</v>
      </c>
      <c r="G801">
        <f t="shared" si="72"/>
        <v>38</v>
      </c>
      <c r="H801" s="1" t="str">
        <f t="shared" si="73"/>
        <v>Tuesday</v>
      </c>
      <c r="I801" t="str">
        <f t="shared" si="74"/>
        <v>No</v>
      </c>
      <c r="J801">
        <f t="shared" si="75"/>
        <v>0</v>
      </c>
      <c r="K801">
        <f t="shared" si="76"/>
        <v>1</v>
      </c>
      <c r="L801">
        <f t="shared" si="77"/>
        <v>38</v>
      </c>
    </row>
    <row r="802" spans="1:12" x14ac:dyDescent="0.3">
      <c r="A802">
        <v>155613371</v>
      </c>
      <c r="B802" s="1">
        <v>44922</v>
      </c>
      <c r="C802" s="1">
        <v>44960</v>
      </c>
      <c r="D802" t="s">
        <v>7</v>
      </c>
      <c r="E802">
        <v>39</v>
      </c>
      <c r="F802" t="s">
        <v>6</v>
      </c>
      <c r="G802">
        <f t="shared" si="72"/>
        <v>38</v>
      </c>
      <c r="H802" s="1" t="str">
        <f t="shared" si="73"/>
        <v>Tuesday</v>
      </c>
      <c r="I802" t="str">
        <f t="shared" si="74"/>
        <v>No</v>
      </c>
      <c r="J802">
        <f t="shared" si="75"/>
        <v>0</v>
      </c>
      <c r="K802">
        <f t="shared" si="76"/>
        <v>1</v>
      </c>
      <c r="L802">
        <f t="shared" si="77"/>
        <v>38</v>
      </c>
    </row>
    <row r="803" spans="1:12" x14ac:dyDescent="0.3">
      <c r="A803">
        <v>167678290</v>
      </c>
      <c r="B803" s="1">
        <v>44922</v>
      </c>
      <c r="C803" s="1">
        <v>44953</v>
      </c>
      <c r="D803" t="s">
        <v>7</v>
      </c>
      <c r="E803">
        <v>39</v>
      </c>
      <c r="F803" t="s">
        <v>6</v>
      </c>
      <c r="G803">
        <f t="shared" si="72"/>
        <v>31</v>
      </c>
      <c r="H803" s="1" t="str">
        <f t="shared" si="73"/>
        <v>Tuesday</v>
      </c>
      <c r="I803" t="str">
        <f t="shared" si="74"/>
        <v>No</v>
      </c>
      <c r="J803">
        <f t="shared" si="75"/>
        <v>0</v>
      </c>
      <c r="K803">
        <f t="shared" si="76"/>
        <v>1</v>
      </c>
      <c r="L803">
        <f t="shared" si="77"/>
        <v>31</v>
      </c>
    </row>
    <row r="804" spans="1:12" x14ac:dyDescent="0.3">
      <c r="A804">
        <v>176995917</v>
      </c>
      <c r="B804" s="1">
        <v>44922</v>
      </c>
      <c r="C804" s="1">
        <v>45106</v>
      </c>
      <c r="D804" t="s">
        <v>7</v>
      </c>
      <c r="E804">
        <v>39</v>
      </c>
      <c r="F804" t="s">
        <v>6</v>
      </c>
      <c r="G804">
        <f t="shared" si="72"/>
        <v>184</v>
      </c>
      <c r="H804" s="1" t="str">
        <f t="shared" si="73"/>
        <v>Tuesday</v>
      </c>
      <c r="I804" t="str">
        <f t="shared" si="74"/>
        <v>No</v>
      </c>
      <c r="J804">
        <f t="shared" si="75"/>
        <v>0</v>
      </c>
      <c r="K804">
        <f t="shared" si="76"/>
        <v>1</v>
      </c>
      <c r="L804">
        <f t="shared" si="77"/>
        <v>184</v>
      </c>
    </row>
    <row r="805" spans="1:12" x14ac:dyDescent="0.3">
      <c r="A805">
        <v>161187523</v>
      </c>
      <c r="B805" s="1">
        <v>44922</v>
      </c>
      <c r="C805" s="1">
        <v>45126</v>
      </c>
      <c r="D805" t="s">
        <v>7</v>
      </c>
      <c r="E805">
        <v>39</v>
      </c>
      <c r="F805" t="s">
        <v>6</v>
      </c>
      <c r="G805">
        <f t="shared" si="72"/>
        <v>204</v>
      </c>
      <c r="H805" s="1" t="str">
        <f t="shared" si="73"/>
        <v>Tuesday</v>
      </c>
      <c r="I805" t="str">
        <f t="shared" si="74"/>
        <v>No</v>
      </c>
      <c r="J805">
        <f t="shared" si="75"/>
        <v>0</v>
      </c>
      <c r="K805">
        <f t="shared" si="76"/>
        <v>1</v>
      </c>
      <c r="L805">
        <f t="shared" si="77"/>
        <v>204</v>
      </c>
    </row>
    <row r="806" spans="1:12" ht="14.4" customHeight="1" x14ac:dyDescent="0.3">
      <c r="A806">
        <v>175884318</v>
      </c>
      <c r="B806" s="1">
        <v>44923</v>
      </c>
      <c r="C806" s="1">
        <v>44940</v>
      </c>
      <c r="D806" t="s">
        <v>7</v>
      </c>
      <c r="E806">
        <v>39</v>
      </c>
      <c r="F806" t="s">
        <v>6</v>
      </c>
      <c r="G806">
        <f t="shared" si="72"/>
        <v>17</v>
      </c>
      <c r="H806" s="1" t="str">
        <f t="shared" si="73"/>
        <v>Wednesday</v>
      </c>
      <c r="I806" t="str">
        <f t="shared" si="74"/>
        <v>No</v>
      </c>
      <c r="J806">
        <f t="shared" si="75"/>
        <v>0</v>
      </c>
      <c r="K806">
        <f t="shared" si="76"/>
        <v>0</v>
      </c>
      <c r="L806">
        <f t="shared" si="77"/>
        <v>17</v>
      </c>
    </row>
    <row r="807" spans="1:12" x14ac:dyDescent="0.3">
      <c r="A807">
        <v>173911972</v>
      </c>
      <c r="B807" s="1">
        <v>44923</v>
      </c>
      <c r="C807" s="1">
        <v>45040</v>
      </c>
      <c r="D807" t="s">
        <v>7</v>
      </c>
      <c r="E807">
        <v>39</v>
      </c>
      <c r="F807" t="s">
        <v>6</v>
      </c>
      <c r="G807">
        <f t="shared" si="72"/>
        <v>117</v>
      </c>
      <c r="H807" s="1" t="str">
        <f t="shared" si="73"/>
        <v>Wednesday</v>
      </c>
      <c r="I807" t="str">
        <f t="shared" si="74"/>
        <v>No</v>
      </c>
      <c r="J807">
        <f t="shared" si="75"/>
        <v>0</v>
      </c>
      <c r="K807">
        <f t="shared" si="76"/>
        <v>1</v>
      </c>
      <c r="L807">
        <f t="shared" si="77"/>
        <v>117</v>
      </c>
    </row>
    <row r="808" spans="1:12" x14ac:dyDescent="0.3">
      <c r="A808">
        <v>177696301</v>
      </c>
      <c r="B808" s="1">
        <v>44923</v>
      </c>
      <c r="C808" s="1">
        <v>45073</v>
      </c>
      <c r="D808" t="s">
        <v>7</v>
      </c>
      <c r="E808">
        <v>39</v>
      </c>
      <c r="F808" t="s">
        <v>6</v>
      </c>
      <c r="G808">
        <f t="shared" si="72"/>
        <v>150</v>
      </c>
      <c r="H808" s="1" t="str">
        <f t="shared" si="73"/>
        <v>Wednesday</v>
      </c>
      <c r="I808" t="str">
        <f t="shared" si="74"/>
        <v>No</v>
      </c>
      <c r="J808">
        <f t="shared" si="75"/>
        <v>0</v>
      </c>
      <c r="K808">
        <f t="shared" si="76"/>
        <v>1</v>
      </c>
      <c r="L808">
        <f t="shared" si="77"/>
        <v>150</v>
      </c>
    </row>
    <row r="809" spans="1:12" x14ac:dyDescent="0.3">
      <c r="A809">
        <v>165744582</v>
      </c>
      <c r="B809" s="1">
        <v>44923</v>
      </c>
      <c r="C809" s="1">
        <v>44969</v>
      </c>
      <c r="D809" t="s">
        <v>7</v>
      </c>
      <c r="E809">
        <v>39</v>
      </c>
      <c r="F809" t="s">
        <v>6</v>
      </c>
      <c r="G809">
        <f t="shared" si="72"/>
        <v>46</v>
      </c>
      <c r="H809" s="1" t="str">
        <f t="shared" si="73"/>
        <v>Wednesday</v>
      </c>
      <c r="I809" t="str">
        <f t="shared" si="74"/>
        <v>No</v>
      </c>
      <c r="J809">
        <f t="shared" si="75"/>
        <v>0</v>
      </c>
      <c r="K809">
        <f t="shared" si="76"/>
        <v>1</v>
      </c>
      <c r="L809">
        <f t="shared" si="77"/>
        <v>46</v>
      </c>
    </row>
    <row r="810" spans="1:12" ht="14.4" customHeight="1" x14ac:dyDescent="0.3">
      <c r="A810">
        <v>177323966</v>
      </c>
      <c r="B810" s="1">
        <v>44923</v>
      </c>
      <c r="C810" s="1">
        <v>44923</v>
      </c>
      <c r="D810" t="s">
        <v>7</v>
      </c>
      <c r="E810">
        <v>39</v>
      </c>
      <c r="F810" t="s">
        <v>6</v>
      </c>
      <c r="G810">
        <f t="shared" si="72"/>
        <v>0</v>
      </c>
      <c r="H810" s="1" t="str">
        <f t="shared" si="73"/>
        <v>Wednesday</v>
      </c>
      <c r="I810" t="str">
        <f t="shared" si="74"/>
        <v>Yes</v>
      </c>
      <c r="J810">
        <f t="shared" si="75"/>
        <v>1</v>
      </c>
      <c r="K810">
        <f t="shared" si="76"/>
        <v>0</v>
      </c>
      <c r="L810">
        <f t="shared" si="77"/>
        <v>0</v>
      </c>
    </row>
    <row r="811" spans="1:12" ht="14.4" customHeight="1" x14ac:dyDescent="0.3">
      <c r="A811">
        <v>178355844</v>
      </c>
      <c r="B811" s="1">
        <v>44924</v>
      </c>
      <c r="D811" t="s">
        <v>7</v>
      </c>
      <c r="E811">
        <v>39</v>
      </c>
      <c r="F811" t="s">
        <v>6</v>
      </c>
      <c r="G811" t="str">
        <f t="shared" si="72"/>
        <v/>
      </c>
      <c r="H811" s="1" t="str">
        <f t="shared" si="73"/>
        <v>Thursday</v>
      </c>
      <c r="I811" t="str">
        <f t="shared" si="74"/>
        <v>No</v>
      </c>
      <c r="J811">
        <f t="shared" si="75"/>
        <v>0</v>
      </c>
      <c r="K811">
        <f t="shared" si="76"/>
        <v>0</v>
      </c>
      <c r="L811" t="str">
        <f t="shared" si="77"/>
        <v/>
      </c>
    </row>
    <row r="812" spans="1:12" ht="14.4" customHeight="1" x14ac:dyDescent="0.3">
      <c r="A812">
        <v>176989743</v>
      </c>
      <c r="B812" s="1">
        <v>44924</v>
      </c>
      <c r="D812" t="s">
        <v>7</v>
      </c>
      <c r="E812">
        <v>39</v>
      </c>
      <c r="F812" t="s">
        <v>6</v>
      </c>
      <c r="G812" t="str">
        <f t="shared" si="72"/>
        <v/>
      </c>
      <c r="H812" s="1" t="str">
        <f t="shared" si="73"/>
        <v>Thursday</v>
      </c>
      <c r="I812" t="str">
        <f t="shared" si="74"/>
        <v>No</v>
      </c>
      <c r="J812">
        <f t="shared" si="75"/>
        <v>0</v>
      </c>
      <c r="K812">
        <f t="shared" si="76"/>
        <v>0</v>
      </c>
      <c r="L812" t="str">
        <f t="shared" si="77"/>
        <v/>
      </c>
    </row>
    <row r="813" spans="1:12" ht="14.4" customHeight="1" x14ac:dyDescent="0.3">
      <c r="A813">
        <v>177971827</v>
      </c>
      <c r="B813" s="1">
        <v>44924</v>
      </c>
      <c r="D813" t="s">
        <v>7</v>
      </c>
      <c r="E813">
        <v>39</v>
      </c>
      <c r="F813" t="s">
        <v>6</v>
      </c>
      <c r="G813" t="str">
        <f t="shared" si="72"/>
        <v/>
      </c>
      <c r="H813" s="1" t="str">
        <f t="shared" si="73"/>
        <v>Thursday</v>
      </c>
      <c r="I813" t="str">
        <f t="shared" si="74"/>
        <v>No</v>
      </c>
      <c r="J813">
        <f t="shared" si="75"/>
        <v>0</v>
      </c>
      <c r="K813">
        <f t="shared" si="76"/>
        <v>0</v>
      </c>
      <c r="L813" t="str">
        <f t="shared" si="77"/>
        <v/>
      </c>
    </row>
    <row r="814" spans="1:12" x14ac:dyDescent="0.3">
      <c r="A814">
        <v>131147038</v>
      </c>
      <c r="B814" s="1">
        <v>44924</v>
      </c>
      <c r="C814" s="1">
        <v>44970</v>
      </c>
      <c r="D814" t="s">
        <v>7</v>
      </c>
      <c r="E814">
        <v>39</v>
      </c>
      <c r="F814" t="s">
        <v>6</v>
      </c>
      <c r="G814">
        <f t="shared" si="72"/>
        <v>46</v>
      </c>
      <c r="H814" s="1" t="str">
        <f t="shared" si="73"/>
        <v>Thursday</v>
      </c>
      <c r="I814" t="str">
        <f t="shared" si="74"/>
        <v>No</v>
      </c>
      <c r="J814">
        <f t="shared" si="75"/>
        <v>0</v>
      </c>
      <c r="K814">
        <f t="shared" si="76"/>
        <v>1</v>
      </c>
      <c r="L814">
        <f t="shared" si="77"/>
        <v>46</v>
      </c>
    </row>
    <row r="815" spans="1:12" x14ac:dyDescent="0.3">
      <c r="A815">
        <v>152142457</v>
      </c>
      <c r="B815" s="1">
        <v>44924</v>
      </c>
      <c r="C815" s="1">
        <v>44969</v>
      </c>
      <c r="D815" t="s">
        <v>7</v>
      </c>
      <c r="E815">
        <v>39</v>
      </c>
      <c r="F815" t="s">
        <v>6</v>
      </c>
      <c r="G815">
        <f t="shared" si="72"/>
        <v>45</v>
      </c>
      <c r="H815" s="1" t="str">
        <f t="shared" si="73"/>
        <v>Thursday</v>
      </c>
      <c r="I815" t="str">
        <f t="shared" si="74"/>
        <v>No</v>
      </c>
      <c r="J815">
        <f t="shared" si="75"/>
        <v>0</v>
      </c>
      <c r="K815">
        <f t="shared" si="76"/>
        <v>1</v>
      </c>
      <c r="L815">
        <f t="shared" si="77"/>
        <v>45</v>
      </c>
    </row>
    <row r="816" spans="1:12" x14ac:dyDescent="0.3">
      <c r="A816">
        <v>174293226</v>
      </c>
      <c r="B816" s="1">
        <v>44924</v>
      </c>
      <c r="C816" s="1">
        <v>45083</v>
      </c>
      <c r="D816" t="s">
        <v>7</v>
      </c>
      <c r="E816">
        <v>39</v>
      </c>
      <c r="F816" t="s">
        <v>6</v>
      </c>
      <c r="G816">
        <f t="shared" si="72"/>
        <v>159</v>
      </c>
      <c r="H816" s="1" t="str">
        <f t="shared" si="73"/>
        <v>Thursday</v>
      </c>
      <c r="I816" t="str">
        <f t="shared" si="74"/>
        <v>No</v>
      </c>
      <c r="J816">
        <f t="shared" si="75"/>
        <v>0</v>
      </c>
      <c r="K816">
        <f t="shared" si="76"/>
        <v>1</v>
      </c>
      <c r="L816">
        <f t="shared" si="77"/>
        <v>159</v>
      </c>
    </row>
    <row r="817" spans="1:12" x14ac:dyDescent="0.3">
      <c r="A817">
        <v>177051147</v>
      </c>
      <c r="B817" s="1">
        <v>44924</v>
      </c>
      <c r="C817" s="1">
        <v>45012</v>
      </c>
      <c r="D817" t="s">
        <v>7</v>
      </c>
      <c r="E817">
        <v>39</v>
      </c>
      <c r="F817" t="s">
        <v>6</v>
      </c>
      <c r="G817">
        <f t="shared" si="72"/>
        <v>88</v>
      </c>
      <c r="H817" s="1" t="str">
        <f t="shared" si="73"/>
        <v>Thursday</v>
      </c>
      <c r="I817" t="str">
        <f t="shared" si="74"/>
        <v>No</v>
      </c>
      <c r="J817">
        <f t="shared" si="75"/>
        <v>0</v>
      </c>
      <c r="K817">
        <f t="shared" si="76"/>
        <v>1</v>
      </c>
      <c r="L817">
        <f t="shared" si="77"/>
        <v>88</v>
      </c>
    </row>
    <row r="818" spans="1:12" ht="14.4" customHeight="1" x14ac:dyDescent="0.3">
      <c r="A818">
        <v>177963240</v>
      </c>
      <c r="B818" s="1">
        <v>44924</v>
      </c>
      <c r="C818" s="1">
        <v>44953</v>
      </c>
      <c r="D818" t="s">
        <v>7</v>
      </c>
      <c r="E818">
        <v>39</v>
      </c>
      <c r="F818" t="s">
        <v>6</v>
      </c>
      <c r="G818">
        <f t="shared" si="72"/>
        <v>29</v>
      </c>
      <c r="H818" s="1" t="str">
        <f t="shared" si="73"/>
        <v>Thursday</v>
      </c>
      <c r="I818" t="str">
        <f t="shared" si="74"/>
        <v>No</v>
      </c>
      <c r="J818">
        <f t="shared" si="75"/>
        <v>0</v>
      </c>
      <c r="K818">
        <f t="shared" si="76"/>
        <v>0</v>
      </c>
      <c r="L818">
        <f t="shared" si="77"/>
        <v>29</v>
      </c>
    </row>
    <row r="819" spans="1:12" ht="14.4" customHeight="1" x14ac:dyDescent="0.3">
      <c r="A819">
        <v>176639972</v>
      </c>
      <c r="B819" s="1">
        <v>44924</v>
      </c>
      <c r="C819" s="1">
        <v>44954</v>
      </c>
      <c r="D819" t="s">
        <v>7</v>
      </c>
      <c r="E819">
        <v>39</v>
      </c>
      <c r="F819" t="s">
        <v>6</v>
      </c>
      <c r="G819">
        <f t="shared" si="72"/>
        <v>30</v>
      </c>
      <c r="H819" s="1" t="str">
        <f t="shared" si="73"/>
        <v>Thursday</v>
      </c>
      <c r="I819" t="str">
        <f t="shared" si="74"/>
        <v>No</v>
      </c>
      <c r="J819">
        <f t="shared" si="75"/>
        <v>0</v>
      </c>
      <c r="K819">
        <f t="shared" si="76"/>
        <v>0</v>
      </c>
      <c r="L819">
        <f t="shared" si="77"/>
        <v>30</v>
      </c>
    </row>
    <row r="820" spans="1:12" x14ac:dyDescent="0.3">
      <c r="A820">
        <v>175818000</v>
      </c>
      <c r="B820" s="1">
        <v>44925</v>
      </c>
      <c r="C820" s="1">
        <v>45086</v>
      </c>
      <c r="D820" t="s">
        <v>7</v>
      </c>
      <c r="E820">
        <v>39</v>
      </c>
      <c r="F820" t="s">
        <v>6</v>
      </c>
      <c r="G820">
        <f t="shared" si="72"/>
        <v>161</v>
      </c>
      <c r="H820" s="1" t="str">
        <f t="shared" si="73"/>
        <v>Friday</v>
      </c>
      <c r="I820" t="str">
        <f t="shared" si="74"/>
        <v>No</v>
      </c>
      <c r="J820">
        <f t="shared" si="75"/>
        <v>0</v>
      </c>
      <c r="K820">
        <f t="shared" si="76"/>
        <v>1</v>
      </c>
      <c r="L820">
        <f t="shared" si="77"/>
        <v>161</v>
      </c>
    </row>
    <row r="821" spans="1:12" x14ac:dyDescent="0.3">
      <c r="A821">
        <v>117856836</v>
      </c>
      <c r="B821" s="1">
        <v>44925</v>
      </c>
      <c r="C821" s="1">
        <v>44959</v>
      </c>
      <c r="D821" t="s">
        <v>7</v>
      </c>
      <c r="E821">
        <v>39</v>
      </c>
      <c r="F821" t="s">
        <v>6</v>
      </c>
      <c r="G821">
        <f t="shared" si="72"/>
        <v>34</v>
      </c>
      <c r="H821" s="1" t="str">
        <f t="shared" si="73"/>
        <v>Friday</v>
      </c>
      <c r="I821" t="str">
        <f t="shared" si="74"/>
        <v>No</v>
      </c>
      <c r="J821">
        <f t="shared" si="75"/>
        <v>0</v>
      </c>
      <c r="K821">
        <f t="shared" si="76"/>
        <v>1</v>
      </c>
      <c r="L821">
        <f t="shared" si="77"/>
        <v>34</v>
      </c>
    </row>
    <row r="822" spans="1:12" x14ac:dyDescent="0.3">
      <c r="A822">
        <v>177266058</v>
      </c>
      <c r="B822" s="1">
        <v>44925</v>
      </c>
      <c r="C822" s="1">
        <v>45022</v>
      </c>
      <c r="D822" t="s">
        <v>7</v>
      </c>
      <c r="E822">
        <v>39</v>
      </c>
      <c r="F822" t="s">
        <v>6</v>
      </c>
      <c r="G822">
        <f t="shared" si="72"/>
        <v>97</v>
      </c>
      <c r="H822" s="1" t="str">
        <f t="shared" si="73"/>
        <v>Friday</v>
      </c>
      <c r="I822" t="str">
        <f t="shared" si="74"/>
        <v>No</v>
      </c>
      <c r="J822">
        <f t="shared" si="75"/>
        <v>0</v>
      </c>
      <c r="K822">
        <f t="shared" si="76"/>
        <v>1</v>
      </c>
      <c r="L822">
        <f t="shared" si="77"/>
        <v>97</v>
      </c>
    </row>
    <row r="823" spans="1:12" x14ac:dyDescent="0.3">
      <c r="A823">
        <v>174203866</v>
      </c>
      <c r="B823" s="1">
        <v>44925</v>
      </c>
      <c r="C823" s="1">
        <v>44985</v>
      </c>
      <c r="D823" t="s">
        <v>7</v>
      </c>
      <c r="E823">
        <v>39</v>
      </c>
      <c r="F823" t="s">
        <v>6</v>
      </c>
      <c r="G823">
        <f t="shared" si="72"/>
        <v>60</v>
      </c>
      <c r="H823" s="1" t="str">
        <f t="shared" si="73"/>
        <v>Friday</v>
      </c>
      <c r="I823" t="str">
        <f t="shared" si="74"/>
        <v>No</v>
      </c>
      <c r="J823">
        <f t="shared" si="75"/>
        <v>0</v>
      </c>
      <c r="K823">
        <f t="shared" si="76"/>
        <v>1</v>
      </c>
      <c r="L823">
        <f t="shared" si="77"/>
        <v>60</v>
      </c>
    </row>
    <row r="824" spans="1:12" x14ac:dyDescent="0.3">
      <c r="A824">
        <v>174991614</v>
      </c>
      <c r="B824" s="1">
        <v>44925</v>
      </c>
      <c r="C824" s="1">
        <v>44956</v>
      </c>
      <c r="D824" t="s">
        <v>7</v>
      </c>
      <c r="E824">
        <v>39</v>
      </c>
      <c r="F824" t="s">
        <v>6</v>
      </c>
      <c r="G824">
        <f t="shared" si="72"/>
        <v>31</v>
      </c>
      <c r="H824" s="1" t="str">
        <f t="shared" si="73"/>
        <v>Friday</v>
      </c>
      <c r="I824" t="str">
        <f t="shared" si="74"/>
        <v>No</v>
      </c>
      <c r="J824">
        <f t="shared" si="75"/>
        <v>0</v>
      </c>
      <c r="K824">
        <f t="shared" si="76"/>
        <v>1</v>
      </c>
      <c r="L824">
        <f t="shared" si="77"/>
        <v>31</v>
      </c>
    </row>
    <row r="825" spans="1:12" ht="14.4" customHeight="1" x14ac:dyDescent="0.3">
      <c r="A825">
        <v>175354348</v>
      </c>
      <c r="B825" s="1">
        <v>44925</v>
      </c>
      <c r="C825" s="1">
        <v>44947</v>
      </c>
      <c r="D825" t="s">
        <v>7</v>
      </c>
      <c r="E825">
        <v>39</v>
      </c>
      <c r="F825" t="s">
        <v>6</v>
      </c>
      <c r="G825">
        <f t="shared" si="72"/>
        <v>22</v>
      </c>
      <c r="H825" s="1" t="str">
        <f t="shared" si="73"/>
        <v>Friday</v>
      </c>
      <c r="I825" t="str">
        <f t="shared" si="74"/>
        <v>No</v>
      </c>
      <c r="J825">
        <f t="shared" si="75"/>
        <v>0</v>
      </c>
      <c r="K825">
        <f t="shared" si="76"/>
        <v>0</v>
      </c>
      <c r="L825">
        <f t="shared" si="77"/>
        <v>22</v>
      </c>
    </row>
    <row r="826" spans="1:12" x14ac:dyDescent="0.3">
      <c r="A826">
        <v>176573512</v>
      </c>
      <c r="B826" s="1">
        <v>44925</v>
      </c>
      <c r="C826" s="1">
        <v>45110</v>
      </c>
      <c r="D826" t="s">
        <v>7</v>
      </c>
      <c r="E826">
        <v>39</v>
      </c>
      <c r="F826" t="s">
        <v>6</v>
      </c>
      <c r="G826">
        <f t="shared" si="72"/>
        <v>185</v>
      </c>
      <c r="H826" s="1" t="str">
        <f t="shared" si="73"/>
        <v>Friday</v>
      </c>
      <c r="I826" t="str">
        <f t="shared" si="74"/>
        <v>No</v>
      </c>
      <c r="J826">
        <f t="shared" si="75"/>
        <v>0</v>
      </c>
      <c r="K826">
        <f t="shared" si="76"/>
        <v>1</v>
      </c>
      <c r="L826">
        <f t="shared" si="77"/>
        <v>185</v>
      </c>
    </row>
    <row r="827" spans="1:12" ht="14.4" customHeight="1" x14ac:dyDescent="0.3">
      <c r="A827">
        <v>178379352</v>
      </c>
      <c r="B827" s="1">
        <v>44926</v>
      </c>
      <c r="C827" s="1">
        <v>44928</v>
      </c>
      <c r="D827" t="s">
        <v>7</v>
      </c>
      <c r="E827">
        <v>39</v>
      </c>
      <c r="F827" t="s">
        <v>6</v>
      </c>
      <c r="G827">
        <f t="shared" si="72"/>
        <v>2</v>
      </c>
      <c r="H827" s="1" t="str">
        <f t="shared" si="73"/>
        <v>Saturday</v>
      </c>
      <c r="I827" t="str">
        <f t="shared" si="74"/>
        <v>No</v>
      </c>
      <c r="J827">
        <f t="shared" si="75"/>
        <v>1</v>
      </c>
      <c r="K827">
        <f t="shared" si="76"/>
        <v>0</v>
      </c>
      <c r="L827">
        <f t="shared" si="77"/>
        <v>2</v>
      </c>
    </row>
    <row r="828" spans="1:12" ht="14.4" customHeight="1" x14ac:dyDescent="0.3">
      <c r="A828">
        <v>152980676</v>
      </c>
      <c r="B828" s="1">
        <v>44926</v>
      </c>
      <c r="C828" s="1">
        <v>44947</v>
      </c>
      <c r="D828" t="s">
        <v>7</v>
      </c>
      <c r="E828">
        <v>39</v>
      </c>
      <c r="F828" t="s">
        <v>6</v>
      </c>
      <c r="G828">
        <f t="shared" si="72"/>
        <v>21</v>
      </c>
      <c r="H828" s="1" t="str">
        <f t="shared" si="73"/>
        <v>Saturday</v>
      </c>
      <c r="I828" t="str">
        <f t="shared" si="74"/>
        <v>No</v>
      </c>
      <c r="J828">
        <f t="shared" si="75"/>
        <v>0</v>
      </c>
      <c r="K828">
        <f t="shared" si="76"/>
        <v>0</v>
      </c>
      <c r="L828">
        <f t="shared" si="77"/>
        <v>21</v>
      </c>
    </row>
    <row r="829" spans="1:12" x14ac:dyDescent="0.3">
      <c r="A829">
        <v>179551652</v>
      </c>
      <c r="B829" s="1">
        <v>44926</v>
      </c>
      <c r="C829" s="1">
        <v>45053</v>
      </c>
      <c r="D829" t="s">
        <v>7</v>
      </c>
      <c r="E829">
        <v>39</v>
      </c>
      <c r="F829" t="s">
        <v>6</v>
      </c>
      <c r="G829">
        <f t="shared" si="72"/>
        <v>127</v>
      </c>
      <c r="H829" s="1" t="str">
        <f t="shared" si="73"/>
        <v>Saturday</v>
      </c>
      <c r="I829" t="str">
        <f t="shared" si="74"/>
        <v>No</v>
      </c>
      <c r="J829">
        <f t="shared" si="75"/>
        <v>0</v>
      </c>
      <c r="K829">
        <f t="shared" si="76"/>
        <v>1</v>
      </c>
      <c r="L829">
        <f t="shared" si="77"/>
        <v>127</v>
      </c>
    </row>
    <row r="830" spans="1:12" x14ac:dyDescent="0.3">
      <c r="A830">
        <v>175899028</v>
      </c>
      <c r="B830" s="1">
        <v>44926</v>
      </c>
      <c r="C830" s="1">
        <v>45009</v>
      </c>
      <c r="D830" t="s">
        <v>7</v>
      </c>
      <c r="E830">
        <v>39</v>
      </c>
      <c r="F830" t="s">
        <v>6</v>
      </c>
      <c r="G830">
        <f t="shared" si="72"/>
        <v>83</v>
      </c>
      <c r="H830" s="1" t="str">
        <f t="shared" si="73"/>
        <v>Saturday</v>
      </c>
      <c r="I830" t="str">
        <f t="shared" si="74"/>
        <v>No</v>
      </c>
      <c r="J830">
        <f t="shared" si="75"/>
        <v>0</v>
      </c>
      <c r="K830">
        <f t="shared" si="76"/>
        <v>1</v>
      </c>
      <c r="L830">
        <f t="shared" si="77"/>
        <v>83</v>
      </c>
    </row>
    <row r="831" spans="1:12" x14ac:dyDescent="0.3">
      <c r="A831">
        <v>148427368</v>
      </c>
      <c r="B831" s="1">
        <v>44926</v>
      </c>
      <c r="C831" s="1">
        <v>44964</v>
      </c>
      <c r="D831" t="s">
        <v>7</v>
      </c>
      <c r="E831">
        <v>39</v>
      </c>
      <c r="F831" t="s">
        <v>6</v>
      </c>
      <c r="G831">
        <f t="shared" si="72"/>
        <v>38</v>
      </c>
      <c r="H831" s="1" t="str">
        <f t="shared" si="73"/>
        <v>Saturday</v>
      </c>
      <c r="I831" t="str">
        <f t="shared" si="74"/>
        <v>No</v>
      </c>
      <c r="J831">
        <f t="shared" si="75"/>
        <v>0</v>
      </c>
      <c r="K831">
        <f t="shared" si="76"/>
        <v>1</v>
      </c>
      <c r="L831">
        <f t="shared" si="77"/>
        <v>38</v>
      </c>
    </row>
    <row r="832" spans="1:12" ht="14.4" customHeight="1" x14ac:dyDescent="0.3">
      <c r="A832">
        <v>149335749</v>
      </c>
      <c r="B832" s="1">
        <v>44926</v>
      </c>
      <c r="C832" s="1">
        <v>44956</v>
      </c>
      <c r="D832" t="s">
        <v>7</v>
      </c>
      <c r="E832">
        <v>39</v>
      </c>
      <c r="F832" t="s">
        <v>6</v>
      </c>
      <c r="G832">
        <f t="shared" si="72"/>
        <v>30</v>
      </c>
      <c r="H832" s="1" t="str">
        <f t="shared" si="73"/>
        <v>Saturday</v>
      </c>
      <c r="I832" t="str">
        <f t="shared" si="74"/>
        <v>No</v>
      </c>
      <c r="J832">
        <f t="shared" si="75"/>
        <v>0</v>
      </c>
      <c r="K832">
        <f t="shared" si="76"/>
        <v>0</v>
      </c>
      <c r="L832">
        <f t="shared" si="77"/>
        <v>30</v>
      </c>
    </row>
    <row r="833" spans="1:12" ht="14.4" customHeight="1" x14ac:dyDescent="0.3">
      <c r="A833">
        <v>179395204</v>
      </c>
      <c r="B833" s="1">
        <v>44926</v>
      </c>
      <c r="C833" s="1">
        <v>44942</v>
      </c>
      <c r="D833" t="s">
        <v>7</v>
      </c>
      <c r="E833">
        <v>39</v>
      </c>
      <c r="F833" t="s">
        <v>6</v>
      </c>
      <c r="G833">
        <f t="shared" si="72"/>
        <v>16</v>
      </c>
      <c r="H833" s="1" t="str">
        <f t="shared" si="73"/>
        <v>Saturday</v>
      </c>
      <c r="I833" t="str">
        <f t="shared" si="74"/>
        <v>No</v>
      </c>
      <c r="J833">
        <f t="shared" si="75"/>
        <v>0</v>
      </c>
      <c r="K833">
        <f t="shared" si="76"/>
        <v>0</v>
      </c>
      <c r="L833">
        <f t="shared" si="77"/>
        <v>16</v>
      </c>
    </row>
    <row r="834" spans="1:12" x14ac:dyDescent="0.3">
      <c r="A834">
        <v>150870576</v>
      </c>
      <c r="B834" s="1">
        <v>44927</v>
      </c>
      <c r="C834" s="1">
        <v>45092</v>
      </c>
      <c r="D834" t="s">
        <v>7</v>
      </c>
      <c r="E834">
        <v>39</v>
      </c>
      <c r="F834" t="s">
        <v>6</v>
      </c>
      <c r="G834">
        <f t="shared" ref="G834:G897" si="78">IF(C834="","",C834-B834)</f>
        <v>165</v>
      </c>
      <c r="H834" s="1" t="str">
        <f t="shared" si="73"/>
        <v>Sunday</v>
      </c>
      <c r="I834" t="str">
        <f t="shared" si="74"/>
        <v>No</v>
      </c>
      <c r="J834">
        <f t="shared" si="75"/>
        <v>0</v>
      </c>
      <c r="K834">
        <f t="shared" si="76"/>
        <v>1</v>
      </c>
      <c r="L834">
        <f t="shared" si="77"/>
        <v>165</v>
      </c>
    </row>
    <row r="835" spans="1:12" x14ac:dyDescent="0.3">
      <c r="A835">
        <v>176200716</v>
      </c>
      <c r="B835" s="1">
        <v>44927</v>
      </c>
      <c r="C835" s="1">
        <v>45040</v>
      </c>
      <c r="D835" t="s">
        <v>7</v>
      </c>
      <c r="E835">
        <v>39</v>
      </c>
      <c r="F835" t="s">
        <v>6</v>
      </c>
      <c r="G835">
        <f t="shared" si="78"/>
        <v>113</v>
      </c>
      <c r="H835" s="1" t="str">
        <f t="shared" ref="H835:H898" si="79">TEXT(B835,"dddd")</f>
        <v>Sunday</v>
      </c>
      <c r="I835" t="str">
        <f t="shared" ref="I835:I898" si="80">IF(B835=C835,"Yes","No")</f>
        <v>No</v>
      </c>
      <c r="J835">
        <f t="shared" ref="J835:J898" si="81">IF(AND(C835&lt;&gt;"",C835-B835&lt;=2),1,0)</f>
        <v>0</v>
      </c>
      <c r="K835">
        <f t="shared" ref="K835:K898" si="82">IF(AND(C835&lt;&gt;"",C835-B835&gt;30),1,0)</f>
        <v>1</v>
      </c>
      <c r="L835">
        <f t="shared" ref="L835:L898" si="83">IF(C835="","",C835-B835)</f>
        <v>113</v>
      </c>
    </row>
    <row r="836" spans="1:12" x14ac:dyDescent="0.3">
      <c r="A836">
        <v>178097351</v>
      </c>
      <c r="B836" s="1">
        <v>44927</v>
      </c>
      <c r="C836" s="1">
        <v>44965</v>
      </c>
      <c r="D836" t="s">
        <v>7</v>
      </c>
      <c r="E836">
        <v>39</v>
      </c>
      <c r="F836" t="s">
        <v>6</v>
      </c>
      <c r="G836">
        <f t="shared" si="78"/>
        <v>38</v>
      </c>
      <c r="H836" s="1" t="str">
        <f t="shared" si="79"/>
        <v>Sunday</v>
      </c>
      <c r="I836" t="str">
        <f t="shared" si="80"/>
        <v>No</v>
      </c>
      <c r="J836">
        <f t="shared" si="81"/>
        <v>0</v>
      </c>
      <c r="K836">
        <f t="shared" si="82"/>
        <v>1</v>
      </c>
      <c r="L836">
        <f t="shared" si="83"/>
        <v>38</v>
      </c>
    </row>
    <row r="837" spans="1:12" ht="14.4" customHeight="1" x14ac:dyDescent="0.3">
      <c r="A837">
        <v>177238262</v>
      </c>
      <c r="B837" s="1">
        <v>44928</v>
      </c>
      <c r="D837" t="s">
        <v>7</v>
      </c>
      <c r="E837">
        <v>39</v>
      </c>
      <c r="F837" t="s">
        <v>6</v>
      </c>
      <c r="G837" t="str">
        <f t="shared" si="78"/>
        <v/>
      </c>
      <c r="H837" s="1" t="str">
        <f t="shared" si="79"/>
        <v>Monday</v>
      </c>
      <c r="I837" t="str">
        <f t="shared" si="80"/>
        <v>No</v>
      </c>
      <c r="J837">
        <f t="shared" si="81"/>
        <v>0</v>
      </c>
      <c r="K837">
        <f t="shared" si="82"/>
        <v>0</v>
      </c>
      <c r="L837" t="str">
        <f t="shared" si="83"/>
        <v/>
      </c>
    </row>
    <row r="838" spans="1:12" ht="14.4" customHeight="1" x14ac:dyDescent="0.3">
      <c r="A838">
        <v>173131478</v>
      </c>
      <c r="B838" s="1">
        <v>44928</v>
      </c>
      <c r="D838" t="s">
        <v>7</v>
      </c>
      <c r="E838">
        <v>39</v>
      </c>
      <c r="F838" t="s">
        <v>6</v>
      </c>
      <c r="G838" t="str">
        <f t="shared" si="78"/>
        <v/>
      </c>
      <c r="H838" s="1" t="str">
        <f t="shared" si="79"/>
        <v>Monday</v>
      </c>
      <c r="I838" t="str">
        <f t="shared" si="80"/>
        <v>No</v>
      </c>
      <c r="J838">
        <f t="shared" si="81"/>
        <v>0</v>
      </c>
      <c r="K838">
        <f t="shared" si="82"/>
        <v>0</v>
      </c>
      <c r="L838" t="str">
        <f t="shared" si="83"/>
        <v/>
      </c>
    </row>
    <row r="839" spans="1:12" ht="14.4" customHeight="1" x14ac:dyDescent="0.3">
      <c r="A839">
        <v>180123121</v>
      </c>
      <c r="B839" s="1">
        <v>44928</v>
      </c>
      <c r="C839" s="1">
        <v>44928</v>
      </c>
      <c r="D839" t="s">
        <v>8</v>
      </c>
      <c r="E839">
        <v>39</v>
      </c>
      <c r="F839" t="s">
        <v>6</v>
      </c>
      <c r="G839">
        <f t="shared" si="78"/>
        <v>0</v>
      </c>
      <c r="H839" s="1" t="str">
        <f t="shared" si="79"/>
        <v>Monday</v>
      </c>
      <c r="I839" t="str">
        <f t="shared" si="80"/>
        <v>Yes</v>
      </c>
      <c r="J839">
        <f t="shared" si="81"/>
        <v>1</v>
      </c>
      <c r="K839">
        <f t="shared" si="82"/>
        <v>0</v>
      </c>
      <c r="L839">
        <f t="shared" si="83"/>
        <v>0</v>
      </c>
    </row>
    <row r="840" spans="1:12" x14ac:dyDescent="0.3">
      <c r="A840">
        <v>139136640</v>
      </c>
      <c r="B840" s="1">
        <v>44928</v>
      </c>
      <c r="C840" s="1">
        <v>44994</v>
      </c>
      <c r="D840" t="s">
        <v>7</v>
      </c>
      <c r="E840">
        <v>39</v>
      </c>
      <c r="F840" t="s">
        <v>6</v>
      </c>
      <c r="G840">
        <f t="shared" si="78"/>
        <v>66</v>
      </c>
      <c r="H840" s="1" t="str">
        <f t="shared" si="79"/>
        <v>Monday</v>
      </c>
      <c r="I840" t="str">
        <f t="shared" si="80"/>
        <v>No</v>
      </c>
      <c r="J840">
        <f t="shared" si="81"/>
        <v>0</v>
      </c>
      <c r="K840">
        <f t="shared" si="82"/>
        <v>1</v>
      </c>
      <c r="L840">
        <f t="shared" si="83"/>
        <v>66</v>
      </c>
    </row>
    <row r="841" spans="1:12" x14ac:dyDescent="0.3">
      <c r="A841">
        <v>172951272</v>
      </c>
      <c r="B841" s="1">
        <v>44928</v>
      </c>
      <c r="C841" s="1">
        <v>45052</v>
      </c>
      <c r="D841" t="s">
        <v>7</v>
      </c>
      <c r="E841">
        <v>39</v>
      </c>
      <c r="F841" t="s">
        <v>6</v>
      </c>
      <c r="G841">
        <f t="shared" si="78"/>
        <v>124</v>
      </c>
      <c r="H841" s="1" t="str">
        <f t="shared" si="79"/>
        <v>Monday</v>
      </c>
      <c r="I841" t="str">
        <f t="shared" si="80"/>
        <v>No</v>
      </c>
      <c r="J841">
        <f t="shared" si="81"/>
        <v>0</v>
      </c>
      <c r="K841">
        <f t="shared" si="82"/>
        <v>1</v>
      </c>
      <c r="L841">
        <f t="shared" si="83"/>
        <v>124</v>
      </c>
    </row>
    <row r="842" spans="1:12" x14ac:dyDescent="0.3">
      <c r="A842">
        <v>175473611</v>
      </c>
      <c r="B842" s="1">
        <v>44928</v>
      </c>
      <c r="C842" s="1">
        <v>45039</v>
      </c>
      <c r="D842" t="s">
        <v>7</v>
      </c>
      <c r="E842">
        <v>39</v>
      </c>
      <c r="F842" t="s">
        <v>6</v>
      </c>
      <c r="G842">
        <f t="shared" si="78"/>
        <v>111</v>
      </c>
      <c r="H842" s="1" t="str">
        <f t="shared" si="79"/>
        <v>Monday</v>
      </c>
      <c r="I842" t="str">
        <f t="shared" si="80"/>
        <v>No</v>
      </c>
      <c r="J842">
        <f t="shared" si="81"/>
        <v>0</v>
      </c>
      <c r="K842">
        <f t="shared" si="82"/>
        <v>1</v>
      </c>
      <c r="L842">
        <f t="shared" si="83"/>
        <v>111</v>
      </c>
    </row>
    <row r="843" spans="1:12" x14ac:dyDescent="0.3">
      <c r="A843">
        <v>170776130</v>
      </c>
      <c r="B843" s="1">
        <v>44928</v>
      </c>
      <c r="C843" s="1">
        <v>45034</v>
      </c>
      <c r="D843" t="s">
        <v>7</v>
      </c>
      <c r="E843">
        <v>39</v>
      </c>
      <c r="F843" t="s">
        <v>6</v>
      </c>
      <c r="G843">
        <f t="shared" si="78"/>
        <v>106</v>
      </c>
      <c r="H843" s="1" t="str">
        <f t="shared" si="79"/>
        <v>Monday</v>
      </c>
      <c r="I843" t="str">
        <f t="shared" si="80"/>
        <v>No</v>
      </c>
      <c r="J843">
        <f t="shared" si="81"/>
        <v>0</v>
      </c>
      <c r="K843">
        <f t="shared" si="82"/>
        <v>1</v>
      </c>
      <c r="L843">
        <f t="shared" si="83"/>
        <v>106</v>
      </c>
    </row>
    <row r="844" spans="1:12" x14ac:dyDescent="0.3">
      <c r="A844">
        <v>180558466</v>
      </c>
      <c r="B844" s="1">
        <v>44928</v>
      </c>
      <c r="C844" s="1">
        <v>45009</v>
      </c>
      <c r="D844" t="s">
        <v>7</v>
      </c>
      <c r="E844">
        <v>39</v>
      </c>
      <c r="F844" t="s">
        <v>6</v>
      </c>
      <c r="G844">
        <f t="shared" si="78"/>
        <v>81</v>
      </c>
      <c r="H844" s="1" t="str">
        <f t="shared" si="79"/>
        <v>Monday</v>
      </c>
      <c r="I844" t="str">
        <f t="shared" si="80"/>
        <v>No</v>
      </c>
      <c r="J844">
        <f t="shared" si="81"/>
        <v>0</v>
      </c>
      <c r="K844">
        <f t="shared" si="82"/>
        <v>1</v>
      </c>
      <c r="L844">
        <f t="shared" si="83"/>
        <v>81</v>
      </c>
    </row>
    <row r="845" spans="1:12" x14ac:dyDescent="0.3">
      <c r="A845">
        <v>171398636</v>
      </c>
      <c r="B845" s="1">
        <v>44928</v>
      </c>
      <c r="C845" s="1">
        <v>44995</v>
      </c>
      <c r="D845" t="s">
        <v>7</v>
      </c>
      <c r="E845">
        <v>39</v>
      </c>
      <c r="F845" t="s">
        <v>6</v>
      </c>
      <c r="G845">
        <f t="shared" si="78"/>
        <v>67</v>
      </c>
      <c r="H845" s="1" t="str">
        <f t="shared" si="79"/>
        <v>Monday</v>
      </c>
      <c r="I845" t="str">
        <f t="shared" si="80"/>
        <v>No</v>
      </c>
      <c r="J845">
        <f t="shared" si="81"/>
        <v>0</v>
      </c>
      <c r="K845">
        <f t="shared" si="82"/>
        <v>1</v>
      </c>
      <c r="L845">
        <f t="shared" si="83"/>
        <v>67</v>
      </c>
    </row>
    <row r="846" spans="1:12" x14ac:dyDescent="0.3">
      <c r="A846">
        <v>180424776</v>
      </c>
      <c r="B846" s="1">
        <v>44928</v>
      </c>
      <c r="C846" s="1">
        <v>45004</v>
      </c>
      <c r="D846" t="s">
        <v>7</v>
      </c>
      <c r="E846">
        <v>39</v>
      </c>
      <c r="F846" t="s">
        <v>6</v>
      </c>
      <c r="G846">
        <f t="shared" si="78"/>
        <v>76</v>
      </c>
      <c r="H846" s="1" t="str">
        <f t="shared" si="79"/>
        <v>Monday</v>
      </c>
      <c r="I846" t="str">
        <f t="shared" si="80"/>
        <v>No</v>
      </c>
      <c r="J846">
        <f t="shared" si="81"/>
        <v>0</v>
      </c>
      <c r="K846">
        <f t="shared" si="82"/>
        <v>1</v>
      </c>
      <c r="L846">
        <f t="shared" si="83"/>
        <v>76</v>
      </c>
    </row>
    <row r="847" spans="1:12" x14ac:dyDescent="0.3">
      <c r="A847">
        <v>180198528</v>
      </c>
      <c r="B847" s="1">
        <v>44928</v>
      </c>
      <c r="C847" s="1">
        <v>44966</v>
      </c>
      <c r="D847" t="s">
        <v>7</v>
      </c>
      <c r="E847">
        <v>39</v>
      </c>
      <c r="F847" t="s">
        <v>6</v>
      </c>
      <c r="G847">
        <f t="shared" si="78"/>
        <v>38</v>
      </c>
      <c r="H847" s="1" t="str">
        <f t="shared" si="79"/>
        <v>Monday</v>
      </c>
      <c r="I847" t="str">
        <f t="shared" si="80"/>
        <v>No</v>
      </c>
      <c r="J847">
        <f t="shared" si="81"/>
        <v>0</v>
      </c>
      <c r="K847">
        <f t="shared" si="82"/>
        <v>1</v>
      </c>
      <c r="L847">
        <f t="shared" si="83"/>
        <v>38</v>
      </c>
    </row>
    <row r="848" spans="1:12" ht="14.4" customHeight="1" x14ac:dyDescent="0.3">
      <c r="A848">
        <v>124634385</v>
      </c>
      <c r="B848" s="1">
        <v>44929</v>
      </c>
      <c r="D848" t="s">
        <v>7</v>
      </c>
      <c r="E848">
        <v>39</v>
      </c>
      <c r="F848" t="s">
        <v>6</v>
      </c>
      <c r="G848" t="str">
        <f t="shared" si="78"/>
        <v/>
      </c>
      <c r="H848" s="1" t="str">
        <f t="shared" si="79"/>
        <v>Tuesday</v>
      </c>
      <c r="I848" t="str">
        <f t="shared" si="80"/>
        <v>No</v>
      </c>
      <c r="J848">
        <f t="shared" si="81"/>
        <v>0</v>
      </c>
      <c r="K848">
        <f t="shared" si="82"/>
        <v>0</v>
      </c>
      <c r="L848" t="str">
        <f t="shared" si="83"/>
        <v/>
      </c>
    </row>
    <row r="849" spans="1:12" ht="14.4" customHeight="1" x14ac:dyDescent="0.3">
      <c r="A849">
        <v>180740092</v>
      </c>
      <c r="B849" s="1">
        <v>44929</v>
      </c>
      <c r="D849" t="s">
        <v>7</v>
      </c>
      <c r="E849">
        <v>39</v>
      </c>
      <c r="F849" t="s">
        <v>6</v>
      </c>
      <c r="G849" t="str">
        <f t="shared" si="78"/>
        <v/>
      </c>
      <c r="H849" s="1" t="str">
        <f t="shared" si="79"/>
        <v>Tuesday</v>
      </c>
      <c r="I849" t="str">
        <f t="shared" si="80"/>
        <v>No</v>
      </c>
      <c r="J849">
        <f t="shared" si="81"/>
        <v>0</v>
      </c>
      <c r="K849">
        <f t="shared" si="82"/>
        <v>0</v>
      </c>
      <c r="L849" t="str">
        <f t="shared" si="83"/>
        <v/>
      </c>
    </row>
    <row r="850" spans="1:12" x14ac:dyDescent="0.3">
      <c r="A850">
        <v>144385898</v>
      </c>
      <c r="B850" s="1">
        <v>44929</v>
      </c>
      <c r="C850" s="1">
        <v>45110</v>
      </c>
      <c r="D850" t="s">
        <v>7</v>
      </c>
      <c r="E850">
        <v>39</v>
      </c>
      <c r="F850" t="s">
        <v>6</v>
      </c>
      <c r="G850">
        <f t="shared" si="78"/>
        <v>181</v>
      </c>
      <c r="H850" s="1" t="str">
        <f t="shared" si="79"/>
        <v>Tuesday</v>
      </c>
      <c r="I850" t="str">
        <f t="shared" si="80"/>
        <v>No</v>
      </c>
      <c r="J850">
        <f t="shared" si="81"/>
        <v>0</v>
      </c>
      <c r="K850">
        <f t="shared" si="82"/>
        <v>1</v>
      </c>
      <c r="L850">
        <f t="shared" si="83"/>
        <v>181</v>
      </c>
    </row>
    <row r="851" spans="1:12" x14ac:dyDescent="0.3">
      <c r="A851">
        <v>175138132</v>
      </c>
      <c r="B851" s="1">
        <v>44929</v>
      </c>
      <c r="C851" s="1">
        <v>45039</v>
      </c>
      <c r="D851" t="s">
        <v>7</v>
      </c>
      <c r="E851">
        <v>39</v>
      </c>
      <c r="F851" t="s">
        <v>6</v>
      </c>
      <c r="G851">
        <f t="shared" si="78"/>
        <v>110</v>
      </c>
      <c r="H851" s="1" t="str">
        <f t="shared" si="79"/>
        <v>Tuesday</v>
      </c>
      <c r="I851" t="str">
        <f t="shared" si="80"/>
        <v>No</v>
      </c>
      <c r="J851">
        <f t="shared" si="81"/>
        <v>0</v>
      </c>
      <c r="K851">
        <f t="shared" si="82"/>
        <v>1</v>
      </c>
      <c r="L851">
        <f t="shared" si="83"/>
        <v>110</v>
      </c>
    </row>
    <row r="852" spans="1:12" x14ac:dyDescent="0.3">
      <c r="A852">
        <v>180968287</v>
      </c>
      <c r="B852" s="1">
        <v>44929</v>
      </c>
      <c r="C852" s="1">
        <v>45012</v>
      </c>
      <c r="D852" t="s">
        <v>7</v>
      </c>
      <c r="E852">
        <v>39</v>
      </c>
      <c r="F852" t="s">
        <v>6</v>
      </c>
      <c r="G852">
        <f t="shared" si="78"/>
        <v>83</v>
      </c>
      <c r="H852" s="1" t="str">
        <f t="shared" si="79"/>
        <v>Tuesday</v>
      </c>
      <c r="I852" t="str">
        <f t="shared" si="80"/>
        <v>No</v>
      </c>
      <c r="J852">
        <f t="shared" si="81"/>
        <v>0</v>
      </c>
      <c r="K852">
        <f t="shared" si="82"/>
        <v>1</v>
      </c>
      <c r="L852">
        <f t="shared" si="83"/>
        <v>83</v>
      </c>
    </row>
    <row r="853" spans="1:12" x14ac:dyDescent="0.3">
      <c r="A853">
        <v>180959934</v>
      </c>
      <c r="B853" s="1">
        <v>44929</v>
      </c>
      <c r="C853" s="1">
        <v>44993</v>
      </c>
      <c r="D853" t="s">
        <v>7</v>
      </c>
      <c r="E853">
        <v>39</v>
      </c>
      <c r="F853" t="s">
        <v>6</v>
      </c>
      <c r="G853">
        <f t="shared" si="78"/>
        <v>64</v>
      </c>
      <c r="H853" s="1" t="str">
        <f t="shared" si="79"/>
        <v>Tuesday</v>
      </c>
      <c r="I853" t="str">
        <f t="shared" si="80"/>
        <v>No</v>
      </c>
      <c r="J853">
        <f t="shared" si="81"/>
        <v>0</v>
      </c>
      <c r="K853">
        <f t="shared" si="82"/>
        <v>1</v>
      </c>
      <c r="L853">
        <f t="shared" si="83"/>
        <v>64</v>
      </c>
    </row>
    <row r="854" spans="1:12" x14ac:dyDescent="0.3">
      <c r="A854">
        <v>176445635</v>
      </c>
      <c r="B854" s="1">
        <v>44929</v>
      </c>
      <c r="C854" s="1">
        <v>44975</v>
      </c>
      <c r="D854" t="s">
        <v>7</v>
      </c>
      <c r="E854">
        <v>39</v>
      </c>
      <c r="F854" t="s">
        <v>6</v>
      </c>
      <c r="G854">
        <f t="shared" si="78"/>
        <v>46</v>
      </c>
      <c r="H854" s="1" t="str">
        <f t="shared" si="79"/>
        <v>Tuesday</v>
      </c>
      <c r="I854" t="str">
        <f t="shared" si="80"/>
        <v>No</v>
      </c>
      <c r="J854">
        <f t="shared" si="81"/>
        <v>0</v>
      </c>
      <c r="K854">
        <f t="shared" si="82"/>
        <v>1</v>
      </c>
      <c r="L854">
        <f t="shared" si="83"/>
        <v>46</v>
      </c>
    </row>
    <row r="855" spans="1:12" ht="14.4" customHeight="1" x14ac:dyDescent="0.3">
      <c r="A855">
        <v>180798046</v>
      </c>
      <c r="B855" s="1">
        <v>44929</v>
      </c>
      <c r="C855" s="1">
        <v>44957</v>
      </c>
      <c r="D855" t="s">
        <v>7</v>
      </c>
      <c r="E855">
        <v>39</v>
      </c>
      <c r="F855" t="s">
        <v>6</v>
      </c>
      <c r="G855">
        <f t="shared" si="78"/>
        <v>28</v>
      </c>
      <c r="H855" s="1" t="str">
        <f t="shared" si="79"/>
        <v>Tuesday</v>
      </c>
      <c r="I855" t="str">
        <f t="shared" si="80"/>
        <v>No</v>
      </c>
      <c r="J855">
        <f t="shared" si="81"/>
        <v>0</v>
      </c>
      <c r="K855">
        <f t="shared" si="82"/>
        <v>0</v>
      </c>
      <c r="L855">
        <f t="shared" si="83"/>
        <v>28</v>
      </c>
    </row>
    <row r="856" spans="1:12" ht="14.4" customHeight="1" x14ac:dyDescent="0.3">
      <c r="A856">
        <v>180718702</v>
      </c>
      <c r="B856" s="1">
        <v>44929</v>
      </c>
      <c r="C856" s="1">
        <v>44951</v>
      </c>
      <c r="D856" t="s">
        <v>7</v>
      </c>
      <c r="E856">
        <v>39</v>
      </c>
      <c r="F856" t="s">
        <v>6</v>
      </c>
      <c r="G856">
        <f t="shared" si="78"/>
        <v>22</v>
      </c>
      <c r="H856" s="1" t="str">
        <f t="shared" si="79"/>
        <v>Tuesday</v>
      </c>
      <c r="I856" t="str">
        <f t="shared" si="80"/>
        <v>No</v>
      </c>
      <c r="J856">
        <f t="shared" si="81"/>
        <v>0</v>
      </c>
      <c r="K856">
        <f t="shared" si="82"/>
        <v>0</v>
      </c>
      <c r="L856">
        <f t="shared" si="83"/>
        <v>22</v>
      </c>
    </row>
    <row r="857" spans="1:12" x14ac:dyDescent="0.3">
      <c r="A857">
        <v>181052392</v>
      </c>
      <c r="B857" s="1">
        <v>44929</v>
      </c>
      <c r="C857" s="1">
        <v>45161</v>
      </c>
      <c r="D857" t="s">
        <v>7</v>
      </c>
      <c r="E857">
        <v>39</v>
      </c>
      <c r="F857" t="s">
        <v>6</v>
      </c>
      <c r="G857">
        <f t="shared" si="78"/>
        <v>232</v>
      </c>
      <c r="H857" s="1" t="str">
        <f t="shared" si="79"/>
        <v>Tuesday</v>
      </c>
      <c r="I857" t="str">
        <f t="shared" si="80"/>
        <v>No</v>
      </c>
      <c r="J857">
        <f t="shared" si="81"/>
        <v>0</v>
      </c>
      <c r="K857">
        <f t="shared" si="82"/>
        <v>1</v>
      </c>
      <c r="L857">
        <f t="shared" si="83"/>
        <v>232</v>
      </c>
    </row>
    <row r="858" spans="1:12" ht="14.4" customHeight="1" x14ac:dyDescent="0.3">
      <c r="A858">
        <v>181717508</v>
      </c>
      <c r="B858" s="1">
        <v>44930</v>
      </c>
      <c r="D858" t="s">
        <v>7</v>
      </c>
      <c r="E858">
        <v>39</v>
      </c>
      <c r="F858" t="s">
        <v>6</v>
      </c>
      <c r="G858" t="str">
        <f t="shared" si="78"/>
        <v/>
      </c>
      <c r="H858" s="1" t="str">
        <f t="shared" si="79"/>
        <v>Wednesday</v>
      </c>
      <c r="I858" t="str">
        <f t="shared" si="80"/>
        <v>No</v>
      </c>
      <c r="J858">
        <f t="shared" si="81"/>
        <v>0</v>
      </c>
      <c r="K858">
        <f t="shared" si="82"/>
        <v>0</v>
      </c>
      <c r="L858" t="str">
        <f t="shared" si="83"/>
        <v/>
      </c>
    </row>
    <row r="859" spans="1:12" ht="14.4" customHeight="1" x14ac:dyDescent="0.3">
      <c r="A859">
        <v>163103592</v>
      </c>
      <c r="B859" s="1">
        <v>44930</v>
      </c>
      <c r="C859" s="1">
        <v>44931</v>
      </c>
      <c r="D859" t="s">
        <v>8</v>
      </c>
      <c r="E859">
        <v>39</v>
      </c>
      <c r="F859" t="s">
        <v>6</v>
      </c>
      <c r="G859">
        <f t="shared" si="78"/>
        <v>1</v>
      </c>
      <c r="H859" s="1" t="str">
        <f t="shared" si="79"/>
        <v>Wednesday</v>
      </c>
      <c r="I859" t="str">
        <f t="shared" si="80"/>
        <v>No</v>
      </c>
      <c r="J859">
        <f t="shared" si="81"/>
        <v>1</v>
      </c>
      <c r="K859">
        <f t="shared" si="82"/>
        <v>0</v>
      </c>
      <c r="L859">
        <f t="shared" si="83"/>
        <v>1</v>
      </c>
    </row>
    <row r="860" spans="1:12" x14ac:dyDescent="0.3">
      <c r="A860">
        <v>146860806</v>
      </c>
      <c r="B860" s="1">
        <v>44930</v>
      </c>
      <c r="C860" s="1">
        <v>44989</v>
      </c>
      <c r="D860" t="s">
        <v>7</v>
      </c>
      <c r="E860">
        <v>39</v>
      </c>
      <c r="F860" t="s">
        <v>6</v>
      </c>
      <c r="G860">
        <f t="shared" si="78"/>
        <v>59</v>
      </c>
      <c r="H860" s="1" t="str">
        <f t="shared" si="79"/>
        <v>Wednesday</v>
      </c>
      <c r="I860" t="str">
        <f t="shared" si="80"/>
        <v>No</v>
      </c>
      <c r="J860">
        <f t="shared" si="81"/>
        <v>0</v>
      </c>
      <c r="K860">
        <f t="shared" si="82"/>
        <v>1</v>
      </c>
      <c r="L860">
        <f t="shared" si="83"/>
        <v>59</v>
      </c>
    </row>
    <row r="861" spans="1:12" x14ac:dyDescent="0.3">
      <c r="A861">
        <v>160532210</v>
      </c>
      <c r="B861" s="1">
        <v>44930</v>
      </c>
      <c r="C861" s="1">
        <v>44969</v>
      </c>
      <c r="D861" t="s">
        <v>7</v>
      </c>
      <c r="E861">
        <v>39</v>
      </c>
      <c r="F861" t="s">
        <v>6</v>
      </c>
      <c r="G861">
        <f t="shared" si="78"/>
        <v>39</v>
      </c>
      <c r="H861" s="1" t="str">
        <f t="shared" si="79"/>
        <v>Wednesday</v>
      </c>
      <c r="I861" t="str">
        <f t="shared" si="80"/>
        <v>No</v>
      </c>
      <c r="J861">
        <f t="shared" si="81"/>
        <v>0</v>
      </c>
      <c r="K861">
        <f t="shared" si="82"/>
        <v>1</v>
      </c>
      <c r="L861">
        <f t="shared" si="83"/>
        <v>39</v>
      </c>
    </row>
    <row r="862" spans="1:12" x14ac:dyDescent="0.3">
      <c r="A862">
        <v>181003342</v>
      </c>
      <c r="B862" s="1">
        <v>44930</v>
      </c>
      <c r="C862" s="1">
        <v>44985</v>
      </c>
      <c r="D862" t="s">
        <v>7</v>
      </c>
      <c r="E862">
        <v>39</v>
      </c>
      <c r="F862" t="s">
        <v>6</v>
      </c>
      <c r="G862">
        <f t="shared" si="78"/>
        <v>55</v>
      </c>
      <c r="H862" s="1" t="str">
        <f t="shared" si="79"/>
        <v>Wednesday</v>
      </c>
      <c r="I862" t="str">
        <f t="shared" si="80"/>
        <v>No</v>
      </c>
      <c r="J862">
        <f t="shared" si="81"/>
        <v>0</v>
      </c>
      <c r="K862">
        <f t="shared" si="82"/>
        <v>1</v>
      </c>
      <c r="L862">
        <f t="shared" si="83"/>
        <v>55</v>
      </c>
    </row>
    <row r="863" spans="1:12" x14ac:dyDescent="0.3">
      <c r="A863">
        <v>178661698</v>
      </c>
      <c r="B863" s="1">
        <v>44930</v>
      </c>
      <c r="C863" s="1">
        <v>45118</v>
      </c>
      <c r="D863" t="s">
        <v>7</v>
      </c>
      <c r="E863">
        <v>39</v>
      </c>
      <c r="F863" t="s">
        <v>6</v>
      </c>
      <c r="G863">
        <f t="shared" si="78"/>
        <v>188</v>
      </c>
      <c r="H863" s="1" t="str">
        <f t="shared" si="79"/>
        <v>Wednesday</v>
      </c>
      <c r="I863" t="str">
        <f t="shared" si="80"/>
        <v>No</v>
      </c>
      <c r="J863">
        <f t="shared" si="81"/>
        <v>0</v>
      </c>
      <c r="K863">
        <f t="shared" si="82"/>
        <v>1</v>
      </c>
      <c r="L863">
        <f t="shared" si="83"/>
        <v>188</v>
      </c>
    </row>
    <row r="864" spans="1:12" ht="14.4" customHeight="1" x14ac:dyDescent="0.3">
      <c r="A864">
        <v>178928897</v>
      </c>
      <c r="B864" s="1">
        <v>44931</v>
      </c>
      <c r="D864" t="s">
        <v>7</v>
      </c>
      <c r="E864">
        <v>39</v>
      </c>
      <c r="F864" t="s">
        <v>6</v>
      </c>
      <c r="G864" t="str">
        <f t="shared" si="78"/>
        <v/>
      </c>
      <c r="H864" s="1" t="str">
        <f t="shared" si="79"/>
        <v>Thursday</v>
      </c>
      <c r="I864" t="str">
        <f t="shared" si="80"/>
        <v>No</v>
      </c>
      <c r="J864">
        <f t="shared" si="81"/>
        <v>0</v>
      </c>
      <c r="K864">
        <f t="shared" si="82"/>
        <v>0</v>
      </c>
      <c r="L864" t="str">
        <f t="shared" si="83"/>
        <v/>
      </c>
    </row>
    <row r="865" spans="1:12" ht="14.4" customHeight="1" x14ac:dyDescent="0.3">
      <c r="A865">
        <v>181840814</v>
      </c>
      <c r="B865" s="1">
        <v>44931</v>
      </c>
      <c r="D865" t="s">
        <v>7</v>
      </c>
      <c r="E865">
        <v>39</v>
      </c>
      <c r="F865" t="s">
        <v>6</v>
      </c>
      <c r="G865" t="str">
        <f t="shared" si="78"/>
        <v/>
      </c>
      <c r="H865" s="1" t="str">
        <f t="shared" si="79"/>
        <v>Thursday</v>
      </c>
      <c r="I865" t="str">
        <f t="shared" si="80"/>
        <v>No</v>
      </c>
      <c r="J865">
        <f t="shared" si="81"/>
        <v>0</v>
      </c>
      <c r="K865">
        <f t="shared" si="82"/>
        <v>0</v>
      </c>
      <c r="L865" t="str">
        <f t="shared" si="83"/>
        <v/>
      </c>
    </row>
    <row r="866" spans="1:12" ht="14.4" customHeight="1" x14ac:dyDescent="0.3">
      <c r="A866">
        <v>166930287</v>
      </c>
      <c r="B866" s="1">
        <v>44931</v>
      </c>
      <c r="C866" s="1">
        <v>44932</v>
      </c>
      <c r="D866" t="s">
        <v>8</v>
      </c>
      <c r="E866">
        <v>39</v>
      </c>
      <c r="F866" t="s">
        <v>6</v>
      </c>
      <c r="G866">
        <f t="shared" si="78"/>
        <v>1</v>
      </c>
      <c r="H866" s="1" t="str">
        <f t="shared" si="79"/>
        <v>Thursday</v>
      </c>
      <c r="I866" t="str">
        <f t="shared" si="80"/>
        <v>No</v>
      </c>
      <c r="J866">
        <f t="shared" si="81"/>
        <v>1</v>
      </c>
      <c r="K866">
        <f t="shared" si="82"/>
        <v>0</v>
      </c>
      <c r="L866">
        <f t="shared" si="83"/>
        <v>1</v>
      </c>
    </row>
    <row r="867" spans="1:12" ht="14.4" customHeight="1" x14ac:dyDescent="0.3">
      <c r="A867">
        <v>155956314</v>
      </c>
      <c r="B867" s="1">
        <v>44931</v>
      </c>
      <c r="C867" s="1">
        <v>44931</v>
      </c>
      <c r="D867" t="s">
        <v>8</v>
      </c>
      <c r="E867">
        <v>39</v>
      </c>
      <c r="F867" t="s">
        <v>6</v>
      </c>
      <c r="G867">
        <f t="shared" si="78"/>
        <v>0</v>
      </c>
      <c r="H867" s="1" t="str">
        <f t="shared" si="79"/>
        <v>Thursday</v>
      </c>
      <c r="I867" t="str">
        <f t="shared" si="80"/>
        <v>Yes</v>
      </c>
      <c r="J867">
        <f t="shared" si="81"/>
        <v>1</v>
      </c>
      <c r="K867">
        <f t="shared" si="82"/>
        <v>0</v>
      </c>
      <c r="L867">
        <f t="shared" si="83"/>
        <v>0</v>
      </c>
    </row>
    <row r="868" spans="1:12" x14ac:dyDescent="0.3">
      <c r="A868">
        <v>182408564</v>
      </c>
      <c r="B868" s="1">
        <v>44931</v>
      </c>
      <c r="C868" s="1">
        <v>45050</v>
      </c>
      <c r="D868" t="s">
        <v>7</v>
      </c>
      <c r="E868">
        <v>39</v>
      </c>
      <c r="F868" t="s">
        <v>6</v>
      </c>
      <c r="G868">
        <f t="shared" si="78"/>
        <v>119</v>
      </c>
      <c r="H868" s="1" t="str">
        <f t="shared" si="79"/>
        <v>Thursday</v>
      </c>
      <c r="I868" t="str">
        <f t="shared" si="80"/>
        <v>No</v>
      </c>
      <c r="J868">
        <f t="shared" si="81"/>
        <v>0</v>
      </c>
      <c r="K868">
        <f t="shared" si="82"/>
        <v>1</v>
      </c>
      <c r="L868">
        <f t="shared" si="83"/>
        <v>119</v>
      </c>
    </row>
    <row r="869" spans="1:12" x14ac:dyDescent="0.3">
      <c r="A869">
        <v>182295766</v>
      </c>
      <c r="B869" s="1">
        <v>44931</v>
      </c>
      <c r="C869" s="1">
        <v>44997</v>
      </c>
      <c r="D869" t="s">
        <v>7</v>
      </c>
      <c r="E869">
        <v>39</v>
      </c>
      <c r="F869" t="s">
        <v>6</v>
      </c>
      <c r="G869">
        <f t="shared" si="78"/>
        <v>66</v>
      </c>
      <c r="H869" s="1" t="str">
        <f t="shared" si="79"/>
        <v>Thursday</v>
      </c>
      <c r="I869" t="str">
        <f t="shared" si="80"/>
        <v>No</v>
      </c>
      <c r="J869">
        <f t="shared" si="81"/>
        <v>0</v>
      </c>
      <c r="K869">
        <f t="shared" si="82"/>
        <v>1</v>
      </c>
      <c r="L869">
        <f t="shared" si="83"/>
        <v>66</v>
      </c>
    </row>
    <row r="870" spans="1:12" x14ac:dyDescent="0.3">
      <c r="A870">
        <v>155881023</v>
      </c>
      <c r="B870" s="1">
        <v>44931</v>
      </c>
      <c r="C870" s="1">
        <v>44987</v>
      </c>
      <c r="D870" t="s">
        <v>7</v>
      </c>
      <c r="E870">
        <v>39</v>
      </c>
      <c r="F870" t="s">
        <v>6</v>
      </c>
      <c r="G870">
        <f t="shared" si="78"/>
        <v>56</v>
      </c>
      <c r="H870" s="1" t="str">
        <f t="shared" si="79"/>
        <v>Thursday</v>
      </c>
      <c r="I870" t="str">
        <f t="shared" si="80"/>
        <v>No</v>
      </c>
      <c r="J870">
        <f t="shared" si="81"/>
        <v>0</v>
      </c>
      <c r="K870">
        <f t="shared" si="82"/>
        <v>1</v>
      </c>
      <c r="L870">
        <f t="shared" si="83"/>
        <v>56</v>
      </c>
    </row>
    <row r="871" spans="1:12" x14ac:dyDescent="0.3">
      <c r="A871">
        <v>152750569</v>
      </c>
      <c r="B871" s="1">
        <v>44931</v>
      </c>
      <c r="C871" s="1">
        <v>44969</v>
      </c>
      <c r="D871" t="s">
        <v>7</v>
      </c>
      <c r="E871">
        <v>39</v>
      </c>
      <c r="F871" t="s">
        <v>6</v>
      </c>
      <c r="G871">
        <f t="shared" si="78"/>
        <v>38</v>
      </c>
      <c r="H871" s="1" t="str">
        <f t="shared" si="79"/>
        <v>Thursday</v>
      </c>
      <c r="I871" t="str">
        <f t="shared" si="80"/>
        <v>No</v>
      </c>
      <c r="J871">
        <f t="shared" si="81"/>
        <v>0</v>
      </c>
      <c r="K871">
        <f t="shared" si="82"/>
        <v>1</v>
      </c>
      <c r="L871">
        <f t="shared" si="83"/>
        <v>38</v>
      </c>
    </row>
    <row r="872" spans="1:12" x14ac:dyDescent="0.3">
      <c r="A872">
        <v>178345451</v>
      </c>
      <c r="B872" s="1">
        <v>44931</v>
      </c>
      <c r="C872" s="1">
        <v>44969</v>
      </c>
      <c r="D872" t="s">
        <v>7</v>
      </c>
      <c r="E872">
        <v>39</v>
      </c>
      <c r="F872" t="s">
        <v>6</v>
      </c>
      <c r="G872">
        <f t="shared" si="78"/>
        <v>38</v>
      </c>
      <c r="H872" s="1" t="str">
        <f t="shared" si="79"/>
        <v>Thursday</v>
      </c>
      <c r="I872" t="str">
        <f t="shared" si="80"/>
        <v>No</v>
      </c>
      <c r="J872">
        <f t="shared" si="81"/>
        <v>0</v>
      </c>
      <c r="K872">
        <f t="shared" si="82"/>
        <v>1</v>
      </c>
      <c r="L872">
        <f t="shared" si="83"/>
        <v>38</v>
      </c>
    </row>
    <row r="873" spans="1:12" ht="14.4" customHeight="1" x14ac:dyDescent="0.3">
      <c r="A873">
        <v>179758181</v>
      </c>
      <c r="B873" s="1">
        <v>44932</v>
      </c>
      <c r="D873" t="s">
        <v>7</v>
      </c>
      <c r="E873">
        <v>39</v>
      </c>
      <c r="F873" t="s">
        <v>6</v>
      </c>
      <c r="G873" t="str">
        <f t="shared" si="78"/>
        <v/>
      </c>
      <c r="H873" s="1" t="str">
        <f t="shared" si="79"/>
        <v>Friday</v>
      </c>
      <c r="I873" t="str">
        <f t="shared" si="80"/>
        <v>No</v>
      </c>
      <c r="J873">
        <f t="shared" si="81"/>
        <v>0</v>
      </c>
      <c r="K873">
        <f t="shared" si="82"/>
        <v>0</v>
      </c>
      <c r="L873" t="str">
        <f t="shared" si="83"/>
        <v/>
      </c>
    </row>
    <row r="874" spans="1:12" ht="14.4" customHeight="1" x14ac:dyDescent="0.3">
      <c r="A874">
        <v>167266048</v>
      </c>
      <c r="B874" s="1">
        <v>44932</v>
      </c>
      <c r="D874" t="s">
        <v>7</v>
      </c>
      <c r="E874">
        <v>39</v>
      </c>
      <c r="F874" t="s">
        <v>6</v>
      </c>
      <c r="G874" t="str">
        <f t="shared" si="78"/>
        <v/>
      </c>
      <c r="H874" s="1" t="str">
        <f t="shared" si="79"/>
        <v>Friday</v>
      </c>
      <c r="I874" t="str">
        <f t="shared" si="80"/>
        <v>No</v>
      </c>
      <c r="J874">
        <f t="shared" si="81"/>
        <v>0</v>
      </c>
      <c r="K874">
        <f t="shared" si="82"/>
        <v>0</v>
      </c>
      <c r="L874" t="str">
        <f t="shared" si="83"/>
        <v/>
      </c>
    </row>
    <row r="875" spans="1:12" x14ac:dyDescent="0.3">
      <c r="A875">
        <v>182719870</v>
      </c>
      <c r="B875" s="1">
        <v>44932</v>
      </c>
      <c r="C875" s="1">
        <v>45050</v>
      </c>
      <c r="D875" t="s">
        <v>7</v>
      </c>
      <c r="E875">
        <v>39</v>
      </c>
      <c r="F875" t="s">
        <v>6</v>
      </c>
      <c r="G875">
        <f t="shared" si="78"/>
        <v>118</v>
      </c>
      <c r="H875" s="1" t="str">
        <f t="shared" si="79"/>
        <v>Friday</v>
      </c>
      <c r="I875" t="str">
        <f t="shared" si="80"/>
        <v>No</v>
      </c>
      <c r="J875">
        <f t="shared" si="81"/>
        <v>0</v>
      </c>
      <c r="K875">
        <f t="shared" si="82"/>
        <v>1</v>
      </c>
      <c r="L875">
        <f t="shared" si="83"/>
        <v>118</v>
      </c>
    </row>
    <row r="876" spans="1:12" x14ac:dyDescent="0.3">
      <c r="A876">
        <v>182408430</v>
      </c>
      <c r="B876" s="1">
        <v>44932</v>
      </c>
      <c r="C876" s="1">
        <v>45056</v>
      </c>
      <c r="D876" t="s">
        <v>7</v>
      </c>
      <c r="E876">
        <v>39</v>
      </c>
      <c r="F876" t="s">
        <v>6</v>
      </c>
      <c r="G876">
        <f t="shared" si="78"/>
        <v>124</v>
      </c>
      <c r="H876" s="1" t="str">
        <f t="shared" si="79"/>
        <v>Friday</v>
      </c>
      <c r="I876" t="str">
        <f t="shared" si="80"/>
        <v>No</v>
      </c>
      <c r="J876">
        <f t="shared" si="81"/>
        <v>0</v>
      </c>
      <c r="K876">
        <f t="shared" si="82"/>
        <v>1</v>
      </c>
      <c r="L876">
        <f t="shared" si="83"/>
        <v>124</v>
      </c>
    </row>
    <row r="877" spans="1:12" x14ac:dyDescent="0.3">
      <c r="A877">
        <v>181072524</v>
      </c>
      <c r="B877" s="1">
        <v>44932</v>
      </c>
      <c r="C877" s="1">
        <v>45107</v>
      </c>
      <c r="D877" t="s">
        <v>7</v>
      </c>
      <c r="E877">
        <v>39</v>
      </c>
      <c r="F877" t="s">
        <v>6</v>
      </c>
      <c r="G877">
        <f t="shared" si="78"/>
        <v>175</v>
      </c>
      <c r="H877" s="1" t="str">
        <f t="shared" si="79"/>
        <v>Friday</v>
      </c>
      <c r="I877" t="str">
        <f t="shared" si="80"/>
        <v>No</v>
      </c>
      <c r="J877">
        <f t="shared" si="81"/>
        <v>0</v>
      </c>
      <c r="K877">
        <f t="shared" si="82"/>
        <v>1</v>
      </c>
      <c r="L877">
        <f t="shared" si="83"/>
        <v>175</v>
      </c>
    </row>
    <row r="878" spans="1:12" x14ac:dyDescent="0.3">
      <c r="A878">
        <v>182747824</v>
      </c>
      <c r="B878" s="1">
        <v>44932</v>
      </c>
      <c r="C878" s="1">
        <v>45029</v>
      </c>
      <c r="D878" t="s">
        <v>7</v>
      </c>
      <c r="E878">
        <v>39</v>
      </c>
      <c r="F878" t="s">
        <v>6</v>
      </c>
      <c r="G878">
        <f t="shared" si="78"/>
        <v>97</v>
      </c>
      <c r="H878" s="1" t="str">
        <f t="shared" si="79"/>
        <v>Friday</v>
      </c>
      <c r="I878" t="str">
        <f t="shared" si="80"/>
        <v>No</v>
      </c>
      <c r="J878">
        <f t="shared" si="81"/>
        <v>0</v>
      </c>
      <c r="K878">
        <f t="shared" si="82"/>
        <v>1</v>
      </c>
      <c r="L878">
        <f t="shared" si="83"/>
        <v>97</v>
      </c>
    </row>
    <row r="879" spans="1:12" x14ac:dyDescent="0.3">
      <c r="A879">
        <v>182700534</v>
      </c>
      <c r="B879" s="1">
        <v>44932</v>
      </c>
      <c r="C879" s="1">
        <v>45011</v>
      </c>
      <c r="D879" t="s">
        <v>7</v>
      </c>
      <c r="E879">
        <v>39</v>
      </c>
      <c r="F879" t="s">
        <v>6</v>
      </c>
      <c r="G879">
        <f t="shared" si="78"/>
        <v>79</v>
      </c>
      <c r="H879" s="1" t="str">
        <f t="shared" si="79"/>
        <v>Friday</v>
      </c>
      <c r="I879" t="str">
        <f t="shared" si="80"/>
        <v>No</v>
      </c>
      <c r="J879">
        <f t="shared" si="81"/>
        <v>0</v>
      </c>
      <c r="K879">
        <f t="shared" si="82"/>
        <v>1</v>
      </c>
      <c r="L879">
        <f t="shared" si="83"/>
        <v>79</v>
      </c>
    </row>
    <row r="880" spans="1:12" x14ac:dyDescent="0.3">
      <c r="A880">
        <v>182727349</v>
      </c>
      <c r="B880" s="1">
        <v>44932</v>
      </c>
      <c r="C880" s="1">
        <v>44963</v>
      </c>
      <c r="D880" t="s">
        <v>7</v>
      </c>
      <c r="E880">
        <v>39</v>
      </c>
      <c r="F880" t="s">
        <v>6</v>
      </c>
      <c r="G880">
        <f t="shared" si="78"/>
        <v>31</v>
      </c>
      <c r="H880" s="1" t="str">
        <f t="shared" si="79"/>
        <v>Friday</v>
      </c>
      <c r="I880" t="str">
        <f t="shared" si="80"/>
        <v>No</v>
      </c>
      <c r="J880">
        <f t="shared" si="81"/>
        <v>0</v>
      </c>
      <c r="K880">
        <f t="shared" si="82"/>
        <v>1</v>
      </c>
      <c r="L880">
        <f t="shared" si="83"/>
        <v>31</v>
      </c>
    </row>
    <row r="881" spans="1:12" ht="14.4" customHeight="1" x14ac:dyDescent="0.3">
      <c r="A881">
        <v>182636324</v>
      </c>
      <c r="B881" s="1">
        <v>44932</v>
      </c>
      <c r="C881" s="1">
        <v>44960</v>
      </c>
      <c r="D881" t="s">
        <v>7</v>
      </c>
      <c r="E881">
        <v>39</v>
      </c>
      <c r="F881" t="s">
        <v>6</v>
      </c>
      <c r="G881">
        <f t="shared" si="78"/>
        <v>28</v>
      </c>
      <c r="H881" s="1" t="str">
        <f t="shared" si="79"/>
        <v>Friday</v>
      </c>
      <c r="I881" t="str">
        <f t="shared" si="80"/>
        <v>No</v>
      </c>
      <c r="J881">
        <f t="shared" si="81"/>
        <v>0</v>
      </c>
      <c r="K881">
        <f t="shared" si="82"/>
        <v>0</v>
      </c>
      <c r="L881">
        <f t="shared" si="83"/>
        <v>28</v>
      </c>
    </row>
    <row r="882" spans="1:12" ht="14.4" customHeight="1" x14ac:dyDescent="0.3">
      <c r="A882">
        <v>170485769</v>
      </c>
      <c r="B882" s="1">
        <v>44932</v>
      </c>
      <c r="C882" s="1">
        <v>44932</v>
      </c>
      <c r="D882" t="s">
        <v>7</v>
      </c>
      <c r="E882">
        <v>39</v>
      </c>
      <c r="F882" t="s">
        <v>6</v>
      </c>
      <c r="G882">
        <f t="shared" si="78"/>
        <v>0</v>
      </c>
      <c r="H882" s="1" t="str">
        <f t="shared" si="79"/>
        <v>Friday</v>
      </c>
      <c r="I882" t="str">
        <f t="shared" si="80"/>
        <v>Yes</v>
      </c>
      <c r="J882">
        <f t="shared" si="81"/>
        <v>1</v>
      </c>
      <c r="K882">
        <f t="shared" si="82"/>
        <v>0</v>
      </c>
      <c r="L882">
        <f t="shared" si="83"/>
        <v>0</v>
      </c>
    </row>
    <row r="883" spans="1:12" ht="14.4" customHeight="1" x14ac:dyDescent="0.3">
      <c r="A883">
        <v>182627508</v>
      </c>
      <c r="B883" s="1">
        <v>44932</v>
      </c>
      <c r="C883" s="1">
        <v>44932</v>
      </c>
      <c r="D883" t="s">
        <v>7</v>
      </c>
      <c r="E883">
        <v>39</v>
      </c>
      <c r="F883" t="s">
        <v>6</v>
      </c>
      <c r="G883">
        <f t="shared" si="78"/>
        <v>0</v>
      </c>
      <c r="H883" s="1" t="str">
        <f t="shared" si="79"/>
        <v>Friday</v>
      </c>
      <c r="I883" t="str">
        <f t="shared" si="80"/>
        <v>Yes</v>
      </c>
      <c r="J883">
        <f t="shared" si="81"/>
        <v>1</v>
      </c>
      <c r="K883">
        <f t="shared" si="82"/>
        <v>0</v>
      </c>
      <c r="L883">
        <f t="shared" si="83"/>
        <v>0</v>
      </c>
    </row>
    <row r="884" spans="1:12" x14ac:dyDescent="0.3">
      <c r="A884">
        <v>182834016</v>
      </c>
      <c r="B884" s="1">
        <v>44933</v>
      </c>
      <c r="C884" s="1">
        <v>45091</v>
      </c>
      <c r="D884" t="s">
        <v>7</v>
      </c>
      <c r="E884">
        <v>39</v>
      </c>
      <c r="F884" t="s">
        <v>6</v>
      </c>
      <c r="G884">
        <f t="shared" si="78"/>
        <v>158</v>
      </c>
      <c r="H884" s="1" t="str">
        <f t="shared" si="79"/>
        <v>Saturday</v>
      </c>
      <c r="I884" t="str">
        <f t="shared" si="80"/>
        <v>No</v>
      </c>
      <c r="J884">
        <f t="shared" si="81"/>
        <v>0</v>
      </c>
      <c r="K884">
        <f t="shared" si="82"/>
        <v>1</v>
      </c>
      <c r="L884">
        <f t="shared" si="83"/>
        <v>158</v>
      </c>
    </row>
    <row r="885" spans="1:12" x14ac:dyDescent="0.3">
      <c r="A885">
        <v>163535855</v>
      </c>
      <c r="B885" s="1">
        <v>44933</v>
      </c>
      <c r="C885" s="1">
        <v>45098</v>
      </c>
      <c r="D885" t="s">
        <v>7</v>
      </c>
      <c r="E885">
        <v>39</v>
      </c>
      <c r="F885" t="s">
        <v>6</v>
      </c>
      <c r="G885">
        <f t="shared" si="78"/>
        <v>165</v>
      </c>
      <c r="H885" s="1" t="str">
        <f t="shared" si="79"/>
        <v>Saturday</v>
      </c>
      <c r="I885" t="str">
        <f t="shared" si="80"/>
        <v>No</v>
      </c>
      <c r="J885">
        <f t="shared" si="81"/>
        <v>0</v>
      </c>
      <c r="K885">
        <f t="shared" si="82"/>
        <v>1</v>
      </c>
      <c r="L885">
        <f t="shared" si="83"/>
        <v>165</v>
      </c>
    </row>
    <row r="886" spans="1:12" x14ac:dyDescent="0.3">
      <c r="A886">
        <v>183002853</v>
      </c>
      <c r="B886" s="1">
        <v>44933</v>
      </c>
      <c r="C886" s="1">
        <v>45024</v>
      </c>
      <c r="D886" t="s">
        <v>7</v>
      </c>
      <c r="E886">
        <v>39</v>
      </c>
      <c r="F886" t="s">
        <v>6</v>
      </c>
      <c r="G886">
        <f t="shared" si="78"/>
        <v>91</v>
      </c>
      <c r="H886" s="1" t="str">
        <f t="shared" si="79"/>
        <v>Saturday</v>
      </c>
      <c r="I886" t="str">
        <f t="shared" si="80"/>
        <v>No</v>
      </c>
      <c r="J886">
        <f t="shared" si="81"/>
        <v>0</v>
      </c>
      <c r="K886">
        <f t="shared" si="82"/>
        <v>1</v>
      </c>
      <c r="L886">
        <f t="shared" si="83"/>
        <v>91</v>
      </c>
    </row>
    <row r="887" spans="1:12" x14ac:dyDescent="0.3">
      <c r="A887">
        <v>148338824</v>
      </c>
      <c r="B887" s="1">
        <v>44933</v>
      </c>
      <c r="C887" s="1">
        <v>44964</v>
      </c>
      <c r="D887" t="s">
        <v>7</v>
      </c>
      <c r="E887">
        <v>39</v>
      </c>
      <c r="F887" t="s">
        <v>6</v>
      </c>
      <c r="G887">
        <f t="shared" si="78"/>
        <v>31</v>
      </c>
      <c r="H887" s="1" t="str">
        <f t="shared" si="79"/>
        <v>Saturday</v>
      </c>
      <c r="I887" t="str">
        <f t="shared" si="80"/>
        <v>No</v>
      </c>
      <c r="J887">
        <f t="shared" si="81"/>
        <v>0</v>
      </c>
      <c r="K887">
        <f t="shared" si="82"/>
        <v>1</v>
      </c>
      <c r="L887">
        <f t="shared" si="83"/>
        <v>31</v>
      </c>
    </row>
    <row r="888" spans="1:12" ht="14.4" customHeight="1" x14ac:dyDescent="0.3">
      <c r="A888">
        <v>181712692</v>
      </c>
      <c r="B888" s="1">
        <v>44933</v>
      </c>
      <c r="C888" s="1">
        <v>44933</v>
      </c>
      <c r="D888" t="s">
        <v>7</v>
      </c>
      <c r="E888">
        <v>39</v>
      </c>
      <c r="F888" t="s">
        <v>6</v>
      </c>
      <c r="G888">
        <f t="shared" si="78"/>
        <v>0</v>
      </c>
      <c r="H888" s="1" t="str">
        <f t="shared" si="79"/>
        <v>Saturday</v>
      </c>
      <c r="I888" t="str">
        <f t="shared" si="80"/>
        <v>Yes</v>
      </c>
      <c r="J888">
        <f t="shared" si="81"/>
        <v>1</v>
      </c>
      <c r="K888">
        <f t="shared" si="82"/>
        <v>0</v>
      </c>
      <c r="L888">
        <f t="shared" si="83"/>
        <v>0</v>
      </c>
    </row>
    <row r="889" spans="1:12" ht="14.4" customHeight="1" x14ac:dyDescent="0.3">
      <c r="A889">
        <v>181770777</v>
      </c>
      <c r="B889" s="1">
        <v>44934</v>
      </c>
      <c r="D889" t="s">
        <v>7</v>
      </c>
      <c r="E889">
        <v>39</v>
      </c>
      <c r="F889" t="s">
        <v>6</v>
      </c>
      <c r="G889" t="str">
        <f t="shared" si="78"/>
        <v/>
      </c>
      <c r="H889" s="1" t="str">
        <f t="shared" si="79"/>
        <v>Sunday</v>
      </c>
      <c r="I889" t="str">
        <f t="shared" si="80"/>
        <v>No</v>
      </c>
      <c r="J889">
        <f t="shared" si="81"/>
        <v>0</v>
      </c>
      <c r="K889">
        <f t="shared" si="82"/>
        <v>0</v>
      </c>
      <c r="L889" t="str">
        <f t="shared" si="83"/>
        <v/>
      </c>
    </row>
    <row r="890" spans="1:12" ht="14.4" customHeight="1" x14ac:dyDescent="0.3">
      <c r="A890">
        <v>161269602</v>
      </c>
      <c r="B890" s="1">
        <v>44934</v>
      </c>
      <c r="C890" s="1">
        <v>44934</v>
      </c>
      <c r="D890" t="s">
        <v>7</v>
      </c>
      <c r="E890">
        <v>39</v>
      </c>
      <c r="F890" t="s">
        <v>6</v>
      </c>
      <c r="G890">
        <f t="shared" si="78"/>
        <v>0</v>
      </c>
      <c r="H890" s="1" t="str">
        <f t="shared" si="79"/>
        <v>Sunday</v>
      </c>
      <c r="I890" t="str">
        <f t="shared" si="80"/>
        <v>Yes</v>
      </c>
      <c r="J890">
        <f t="shared" si="81"/>
        <v>1</v>
      </c>
      <c r="K890">
        <f t="shared" si="82"/>
        <v>0</v>
      </c>
      <c r="L890">
        <f t="shared" si="83"/>
        <v>0</v>
      </c>
    </row>
    <row r="891" spans="1:12" x14ac:dyDescent="0.3">
      <c r="A891">
        <v>145799416</v>
      </c>
      <c r="B891" s="1">
        <v>44934</v>
      </c>
      <c r="C891" s="1">
        <v>44967</v>
      </c>
      <c r="D891" t="s">
        <v>7</v>
      </c>
      <c r="E891">
        <v>39</v>
      </c>
      <c r="F891" t="s">
        <v>6</v>
      </c>
      <c r="G891">
        <f t="shared" si="78"/>
        <v>33</v>
      </c>
      <c r="H891" s="1" t="str">
        <f t="shared" si="79"/>
        <v>Sunday</v>
      </c>
      <c r="I891" t="str">
        <f t="shared" si="80"/>
        <v>No</v>
      </c>
      <c r="J891">
        <f t="shared" si="81"/>
        <v>0</v>
      </c>
      <c r="K891">
        <f t="shared" si="82"/>
        <v>1</v>
      </c>
      <c r="L891">
        <f t="shared" si="83"/>
        <v>33</v>
      </c>
    </row>
    <row r="892" spans="1:12" x14ac:dyDescent="0.3">
      <c r="A892">
        <v>182753953</v>
      </c>
      <c r="B892" s="1">
        <v>44934</v>
      </c>
      <c r="C892" s="1">
        <v>45019</v>
      </c>
      <c r="D892" t="s">
        <v>7</v>
      </c>
      <c r="E892">
        <v>39</v>
      </c>
      <c r="F892" t="s">
        <v>6</v>
      </c>
      <c r="G892">
        <f t="shared" si="78"/>
        <v>85</v>
      </c>
      <c r="H892" s="1" t="str">
        <f t="shared" si="79"/>
        <v>Sunday</v>
      </c>
      <c r="I892" t="str">
        <f t="shared" si="80"/>
        <v>No</v>
      </c>
      <c r="J892">
        <f t="shared" si="81"/>
        <v>0</v>
      </c>
      <c r="K892">
        <f t="shared" si="82"/>
        <v>1</v>
      </c>
      <c r="L892">
        <f t="shared" si="83"/>
        <v>85</v>
      </c>
    </row>
    <row r="893" spans="1:12" x14ac:dyDescent="0.3">
      <c r="A893">
        <v>162944728</v>
      </c>
      <c r="B893" s="1">
        <v>44934</v>
      </c>
      <c r="C893" s="1">
        <v>44986</v>
      </c>
      <c r="D893" t="s">
        <v>7</v>
      </c>
      <c r="E893">
        <v>39</v>
      </c>
      <c r="F893" t="s">
        <v>6</v>
      </c>
      <c r="G893">
        <f t="shared" si="78"/>
        <v>52</v>
      </c>
      <c r="H893" s="1" t="str">
        <f t="shared" si="79"/>
        <v>Sunday</v>
      </c>
      <c r="I893" t="str">
        <f t="shared" si="80"/>
        <v>No</v>
      </c>
      <c r="J893">
        <f t="shared" si="81"/>
        <v>0</v>
      </c>
      <c r="K893">
        <f t="shared" si="82"/>
        <v>1</v>
      </c>
      <c r="L893">
        <f t="shared" si="83"/>
        <v>52</v>
      </c>
    </row>
    <row r="894" spans="1:12" ht="14.4" customHeight="1" x14ac:dyDescent="0.3">
      <c r="A894">
        <v>161249852</v>
      </c>
      <c r="B894" s="1">
        <v>44934</v>
      </c>
      <c r="C894" s="1">
        <v>44941</v>
      </c>
      <c r="D894" t="s">
        <v>7</v>
      </c>
      <c r="E894">
        <v>39</v>
      </c>
      <c r="F894" t="s">
        <v>6</v>
      </c>
      <c r="G894">
        <f t="shared" si="78"/>
        <v>7</v>
      </c>
      <c r="H894" s="1" t="str">
        <f t="shared" si="79"/>
        <v>Sunday</v>
      </c>
      <c r="I894" t="str">
        <f t="shared" si="80"/>
        <v>No</v>
      </c>
      <c r="J894">
        <f t="shared" si="81"/>
        <v>0</v>
      </c>
      <c r="K894">
        <f t="shared" si="82"/>
        <v>0</v>
      </c>
      <c r="L894">
        <f t="shared" si="83"/>
        <v>7</v>
      </c>
    </row>
    <row r="895" spans="1:12" ht="14.4" customHeight="1" x14ac:dyDescent="0.3">
      <c r="A895">
        <v>183916833</v>
      </c>
      <c r="B895" s="1">
        <v>44935</v>
      </c>
      <c r="D895" t="s">
        <v>7</v>
      </c>
      <c r="E895">
        <v>39</v>
      </c>
      <c r="F895" t="s">
        <v>6</v>
      </c>
      <c r="G895" t="str">
        <f t="shared" si="78"/>
        <v/>
      </c>
      <c r="H895" s="1" t="str">
        <f t="shared" si="79"/>
        <v>Monday</v>
      </c>
      <c r="I895" t="str">
        <f t="shared" si="80"/>
        <v>No</v>
      </c>
      <c r="J895">
        <f t="shared" si="81"/>
        <v>0</v>
      </c>
      <c r="K895">
        <f t="shared" si="82"/>
        <v>0</v>
      </c>
      <c r="L895" t="str">
        <f t="shared" si="83"/>
        <v/>
      </c>
    </row>
    <row r="896" spans="1:12" ht="14.4" customHeight="1" x14ac:dyDescent="0.3">
      <c r="A896">
        <v>169141612</v>
      </c>
      <c r="B896" s="1">
        <v>44935</v>
      </c>
      <c r="C896" s="1">
        <v>44936</v>
      </c>
      <c r="D896" t="s">
        <v>8</v>
      </c>
      <c r="E896">
        <v>39</v>
      </c>
      <c r="F896" t="s">
        <v>6</v>
      </c>
      <c r="G896">
        <f t="shared" si="78"/>
        <v>1</v>
      </c>
      <c r="H896" s="1" t="str">
        <f t="shared" si="79"/>
        <v>Monday</v>
      </c>
      <c r="I896" t="str">
        <f t="shared" si="80"/>
        <v>No</v>
      </c>
      <c r="J896">
        <f t="shared" si="81"/>
        <v>1</v>
      </c>
      <c r="K896">
        <f t="shared" si="82"/>
        <v>0</v>
      </c>
      <c r="L896">
        <f t="shared" si="83"/>
        <v>1</v>
      </c>
    </row>
    <row r="897" spans="1:12" ht="14.4" customHeight="1" x14ac:dyDescent="0.3">
      <c r="A897">
        <v>128768010</v>
      </c>
      <c r="B897" s="1">
        <v>44935</v>
      </c>
      <c r="C897" s="1">
        <v>44938</v>
      </c>
      <c r="D897" t="s">
        <v>7</v>
      </c>
      <c r="E897">
        <v>39</v>
      </c>
      <c r="F897" t="s">
        <v>6</v>
      </c>
      <c r="G897">
        <f t="shared" si="78"/>
        <v>3</v>
      </c>
      <c r="H897" s="1" t="str">
        <f t="shared" si="79"/>
        <v>Monday</v>
      </c>
      <c r="I897" t="str">
        <f t="shared" si="80"/>
        <v>No</v>
      </c>
      <c r="J897">
        <f t="shared" si="81"/>
        <v>0</v>
      </c>
      <c r="K897">
        <f t="shared" si="82"/>
        <v>0</v>
      </c>
      <c r="L897">
        <f t="shared" si="83"/>
        <v>3</v>
      </c>
    </row>
    <row r="898" spans="1:12" ht="14.4" customHeight="1" x14ac:dyDescent="0.3">
      <c r="A898">
        <v>138520918</v>
      </c>
      <c r="B898" s="1">
        <v>44935</v>
      </c>
      <c r="C898" s="1">
        <v>44935</v>
      </c>
      <c r="D898" t="s">
        <v>7</v>
      </c>
      <c r="E898">
        <v>39</v>
      </c>
      <c r="F898" t="s">
        <v>6</v>
      </c>
      <c r="G898">
        <f t="shared" ref="G898:G961" si="84">IF(C898="","",C898-B898)</f>
        <v>0</v>
      </c>
      <c r="H898" s="1" t="str">
        <f t="shared" si="79"/>
        <v>Monday</v>
      </c>
      <c r="I898" t="str">
        <f t="shared" si="80"/>
        <v>Yes</v>
      </c>
      <c r="J898">
        <f t="shared" si="81"/>
        <v>1</v>
      </c>
      <c r="K898">
        <f t="shared" si="82"/>
        <v>0</v>
      </c>
      <c r="L898">
        <f t="shared" si="83"/>
        <v>0</v>
      </c>
    </row>
    <row r="899" spans="1:12" x14ac:dyDescent="0.3">
      <c r="A899">
        <v>162946328</v>
      </c>
      <c r="B899" s="1">
        <v>44935</v>
      </c>
      <c r="C899" s="1">
        <v>45054</v>
      </c>
      <c r="D899" t="s">
        <v>7</v>
      </c>
      <c r="E899">
        <v>39</v>
      </c>
      <c r="F899" t="s">
        <v>6</v>
      </c>
      <c r="G899">
        <f t="shared" si="84"/>
        <v>119</v>
      </c>
      <c r="H899" s="1" t="str">
        <f t="shared" ref="H899:H962" si="85">TEXT(B899,"dddd")</f>
        <v>Monday</v>
      </c>
      <c r="I899" t="str">
        <f t="shared" ref="I899:I962" si="86">IF(B899=C899,"Yes","No")</f>
        <v>No</v>
      </c>
      <c r="J899">
        <f t="shared" ref="J899:J962" si="87">IF(AND(C899&lt;&gt;"",C899-B899&lt;=2),1,0)</f>
        <v>0</v>
      </c>
      <c r="K899">
        <f t="shared" ref="K899:K962" si="88">IF(AND(C899&lt;&gt;"",C899-B899&gt;30),1,0)</f>
        <v>1</v>
      </c>
      <c r="L899">
        <f t="shared" ref="L899:L962" si="89">IF(C899="","",C899-B899)</f>
        <v>119</v>
      </c>
    </row>
    <row r="900" spans="1:12" x14ac:dyDescent="0.3">
      <c r="A900">
        <v>182929556</v>
      </c>
      <c r="B900" s="1">
        <v>44935</v>
      </c>
      <c r="C900" s="1">
        <v>45026</v>
      </c>
      <c r="D900" t="s">
        <v>7</v>
      </c>
      <c r="E900">
        <v>39</v>
      </c>
      <c r="F900" t="s">
        <v>6</v>
      </c>
      <c r="G900">
        <f t="shared" si="84"/>
        <v>91</v>
      </c>
      <c r="H900" s="1" t="str">
        <f t="shared" si="85"/>
        <v>Monday</v>
      </c>
      <c r="I900" t="str">
        <f t="shared" si="86"/>
        <v>No</v>
      </c>
      <c r="J900">
        <f t="shared" si="87"/>
        <v>0</v>
      </c>
      <c r="K900">
        <f t="shared" si="88"/>
        <v>1</v>
      </c>
      <c r="L900">
        <f t="shared" si="89"/>
        <v>91</v>
      </c>
    </row>
    <row r="901" spans="1:12" x14ac:dyDescent="0.3">
      <c r="A901">
        <v>153704184</v>
      </c>
      <c r="B901" s="1">
        <v>44935</v>
      </c>
      <c r="C901" s="1">
        <v>45024</v>
      </c>
      <c r="D901" t="s">
        <v>7</v>
      </c>
      <c r="E901">
        <v>39</v>
      </c>
      <c r="F901" t="s">
        <v>6</v>
      </c>
      <c r="G901">
        <f t="shared" si="84"/>
        <v>89</v>
      </c>
      <c r="H901" s="1" t="str">
        <f t="shared" si="85"/>
        <v>Monday</v>
      </c>
      <c r="I901" t="str">
        <f t="shared" si="86"/>
        <v>No</v>
      </c>
      <c r="J901">
        <f t="shared" si="87"/>
        <v>0</v>
      </c>
      <c r="K901">
        <f t="shared" si="88"/>
        <v>1</v>
      </c>
      <c r="L901">
        <f t="shared" si="89"/>
        <v>89</v>
      </c>
    </row>
    <row r="902" spans="1:12" x14ac:dyDescent="0.3">
      <c r="A902">
        <v>136326172</v>
      </c>
      <c r="B902" s="1">
        <v>44935</v>
      </c>
      <c r="C902" s="1">
        <v>44993</v>
      </c>
      <c r="D902" t="s">
        <v>7</v>
      </c>
      <c r="E902">
        <v>39</v>
      </c>
      <c r="F902" t="s">
        <v>6</v>
      </c>
      <c r="G902">
        <f t="shared" si="84"/>
        <v>58</v>
      </c>
      <c r="H902" s="1" t="str">
        <f t="shared" si="85"/>
        <v>Monday</v>
      </c>
      <c r="I902" t="str">
        <f t="shared" si="86"/>
        <v>No</v>
      </c>
      <c r="J902">
        <f t="shared" si="87"/>
        <v>0</v>
      </c>
      <c r="K902">
        <f t="shared" si="88"/>
        <v>1</v>
      </c>
      <c r="L902">
        <f t="shared" si="89"/>
        <v>58</v>
      </c>
    </row>
    <row r="903" spans="1:12" ht="14.4" customHeight="1" x14ac:dyDescent="0.3">
      <c r="A903">
        <v>182505210</v>
      </c>
      <c r="B903" s="1">
        <v>44935</v>
      </c>
      <c r="C903" s="1">
        <v>44965</v>
      </c>
      <c r="D903" t="s">
        <v>7</v>
      </c>
      <c r="E903">
        <v>39</v>
      </c>
      <c r="F903" t="s">
        <v>6</v>
      </c>
      <c r="G903">
        <f t="shared" si="84"/>
        <v>30</v>
      </c>
      <c r="H903" s="1" t="str">
        <f t="shared" si="85"/>
        <v>Monday</v>
      </c>
      <c r="I903" t="str">
        <f t="shared" si="86"/>
        <v>No</v>
      </c>
      <c r="J903">
        <f t="shared" si="87"/>
        <v>0</v>
      </c>
      <c r="K903">
        <f t="shared" si="88"/>
        <v>0</v>
      </c>
      <c r="L903">
        <f t="shared" si="89"/>
        <v>30</v>
      </c>
    </row>
    <row r="904" spans="1:12" ht="14.4" customHeight="1" x14ac:dyDescent="0.3">
      <c r="A904">
        <v>184370857</v>
      </c>
      <c r="B904" s="1">
        <v>44936</v>
      </c>
      <c r="D904" t="s">
        <v>7</v>
      </c>
      <c r="E904">
        <v>39</v>
      </c>
      <c r="F904" t="s">
        <v>6</v>
      </c>
      <c r="G904" t="str">
        <f t="shared" si="84"/>
        <v/>
      </c>
      <c r="H904" s="1" t="str">
        <f t="shared" si="85"/>
        <v>Tuesday</v>
      </c>
      <c r="I904" t="str">
        <f t="shared" si="86"/>
        <v>No</v>
      </c>
      <c r="J904">
        <f t="shared" si="87"/>
        <v>0</v>
      </c>
      <c r="K904">
        <f t="shared" si="88"/>
        <v>0</v>
      </c>
      <c r="L904" t="str">
        <f t="shared" si="89"/>
        <v/>
      </c>
    </row>
    <row r="905" spans="1:12" x14ac:dyDescent="0.3">
      <c r="A905">
        <v>184310344</v>
      </c>
      <c r="B905" s="1">
        <v>44936</v>
      </c>
      <c r="C905" s="1">
        <v>45027</v>
      </c>
      <c r="D905" t="s">
        <v>7</v>
      </c>
      <c r="E905">
        <v>39</v>
      </c>
      <c r="F905" t="s">
        <v>6</v>
      </c>
      <c r="G905">
        <f t="shared" si="84"/>
        <v>91</v>
      </c>
      <c r="H905" s="1" t="str">
        <f t="shared" si="85"/>
        <v>Tuesday</v>
      </c>
      <c r="I905" t="str">
        <f t="shared" si="86"/>
        <v>No</v>
      </c>
      <c r="J905">
        <f t="shared" si="87"/>
        <v>0</v>
      </c>
      <c r="K905">
        <f t="shared" si="88"/>
        <v>1</v>
      </c>
      <c r="L905">
        <f t="shared" si="89"/>
        <v>91</v>
      </c>
    </row>
    <row r="906" spans="1:12" x14ac:dyDescent="0.3">
      <c r="A906">
        <v>183346055</v>
      </c>
      <c r="B906" s="1">
        <v>44936</v>
      </c>
      <c r="C906" s="1">
        <v>45002</v>
      </c>
      <c r="D906" t="s">
        <v>7</v>
      </c>
      <c r="E906">
        <v>39</v>
      </c>
      <c r="F906" t="s">
        <v>6</v>
      </c>
      <c r="G906">
        <f t="shared" si="84"/>
        <v>66</v>
      </c>
      <c r="H906" s="1" t="str">
        <f t="shared" si="85"/>
        <v>Tuesday</v>
      </c>
      <c r="I906" t="str">
        <f t="shared" si="86"/>
        <v>No</v>
      </c>
      <c r="J906">
        <f t="shared" si="87"/>
        <v>0</v>
      </c>
      <c r="K906">
        <f t="shared" si="88"/>
        <v>1</v>
      </c>
      <c r="L906">
        <f t="shared" si="89"/>
        <v>66</v>
      </c>
    </row>
    <row r="907" spans="1:12" x14ac:dyDescent="0.3">
      <c r="A907">
        <v>178952278</v>
      </c>
      <c r="B907" s="1">
        <v>44936</v>
      </c>
      <c r="C907" s="1">
        <v>44996</v>
      </c>
      <c r="D907" t="s">
        <v>7</v>
      </c>
      <c r="E907">
        <v>39</v>
      </c>
      <c r="F907" t="s">
        <v>6</v>
      </c>
      <c r="G907">
        <f t="shared" si="84"/>
        <v>60</v>
      </c>
      <c r="H907" s="1" t="str">
        <f t="shared" si="85"/>
        <v>Tuesday</v>
      </c>
      <c r="I907" t="str">
        <f t="shared" si="86"/>
        <v>No</v>
      </c>
      <c r="J907">
        <f t="shared" si="87"/>
        <v>0</v>
      </c>
      <c r="K907">
        <f t="shared" si="88"/>
        <v>1</v>
      </c>
      <c r="L907">
        <f t="shared" si="89"/>
        <v>60</v>
      </c>
    </row>
    <row r="908" spans="1:12" x14ac:dyDescent="0.3">
      <c r="A908">
        <v>184345202</v>
      </c>
      <c r="B908" s="1">
        <v>44936</v>
      </c>
      <c r="C908" s="1">
        <v>44980</v>
      </c>
      <c r="D908" t="s">
        <v>7</v>
      </c>
      <c r="E908">
        <v>39</v>
      </c>
      <c r="F908" t="s">
        <v>6</v>
      </c>
      <c r="G908">
        <f t="shared" si="84"/>
        <v>44</v>
      </c>
      <c r="H908" s="1" t="str">
        <f t="shared" si="85"/>
        <v>Tuesday</v>
      </c>
      <c r="I908" t="str">
        <f t="shared" si="86"/>
        <v>No</v>
      </c>
      <c r="J908">
        <f t="shared" si="87"/>
        <v>0</v>
      </c>
      <c r="K908">
        <f t="shared" si="88"/>
        <v>1</v>
      </c>
      <c r="L908">
        <f t="shared" si="89"/>
        <v>44</v>
      </c>
    </row>
    <row r="909" spans="1:12" ht="14.4" customHeight="1" x14ac:dyDescent="0.3">
      <c r="A909">
        <v>182837162</v>
      </c>
      <c r="B909" s="1">
        <v>44936</v>
      </c>
      <c r="C909" s="1">
        <v>44962</v>
      </c>
      <c r="D909" t="s">
        <v>7</v>
      </c>
      <c r="E909">
        <v>39</v>
      </c>
      <c r="F909" t="s">
        <v>6</v>
      </c>
      <c r="G909">
        <f t="shared" si="84"/>
        <v>26</v>
      </c>
      <c r="H909" s="1" t="str">
        <f t="shared" si="85"/>
        <v>Tuesday</v>
      </c>
      <c r="I909" t="str">
        <f t="shared" si="86"/>
        <v>No</v>
      </c>
      <c r="J909">
        <f t="shared" si="87"/>
        <v>0</v>
      </c>
      <c r="K909">
        <f t="shared" si="88"/>
        <v>0</v>
      </c>
      <c r="L909">
        <f t="shared" si="89"/>
        <v>26</v>
      </c>
    </row>
    <row r="910" spans="1:12" x14ac:dyDescent="0.3">
      <c r="A910">
        <v>182927038</v>
      </c>
      <c r="B910" s="1">
        <v>44936</v>
      </c>
      <c r="C910" s="1">
        <v>44975</v>
      </c>
      <c r="D910" t="s">
        <v>7</v>
      </c>
      <c r="E910">
        <v>39</v>
      </c>
      <c r="F910" t="s">
        <v>6</v>
      </c>
      <c r="G910">
        <f t="shared" si="84"/>
        <v>39</v>
      </c>
      <c r="H910" s="1" t="str">
        <f t="shared" si="85"/>
        <v>Tuesday</v>
      </c>
      <c r="I910" t="str">
        <f t="shared" si="86"/>
        <v>No</v>
      </c>
      <c r="J910">
        <f t="shared" si="87"/>
        <v>0</v>
      </c>
      <c r="K910">
        <f t="shared" si="88"/>
        <v>1</v>
      </c>
      <c r="L910">
        <f t="shared" si="89"/>
        <v>39</v>
      </c>
    </row>
    <row r="911" spans="1:12" ht="14.4" customHeight="1" x14ac:dyDescent="0.3">
      <c r="A911">
        <v>181739784</v>
      </c>
      <c r="B911" s="1">
        <v>44936</v>
      </c>
      <c r="C911" s="1">
        <v>44965</v>
      </c>
      <c r="D911" t="s">
        <v>7</v>
      </c>
      <c r="E911">
        <v>39</v>
      </c>
      <c r="F911" t="s">
        <v>6</v>
      </c>
      <c r="G911">
        <f t="shared" si="84"/>
        <v>29</v>
      </c>
      <c r="H911" s="1" t="str">
        <f t="shared" si="85"/>
        <v>Tuesday</v>
      </c>
      <c r="I911" t="str">
        <f t="shared" si="86"/>
        <v>No</v>
      </c>
      <c r="J911">
        <f t="shared" si="87"/>
        <v>0</v>
      </c>
      <c r="K911">
        <f t="shared" si="88"/>
        <v>0</v>
      </c>
      <c r="L911">
        <f t="shared" si="89"/>
        <v>29</v>
      </c>
    </row>
    <row r="912" spans="1:12" x14ac:dyDescent="0.3">
      <c r="A912">
        <v>178605410</v>
      </c>
      <c r="B912" s="1">
        <v>44936</v>
      </c>
      <c r="C912" s="1">
        <v>44974</v>
      </c>
      <c r="D912" t="s">
        <v>7</v>
      </c>
      <c r="E912">
        <v>39</v>
      </c>
      <c r="F912" t="s">
        <v>6</v>
      </c>
      <c r="G912">
        <f t="shared" si="84"/>
        <v>38</v>
      </c>
      <c r="H912" s="1" t="str">
        <f t="shared" si="85"/>
        <v>Tuesday</v>
      </c>
      <c r="I912" t="str">
        <f t="shared" si="86"/>
        <v>No</v>
      </c>
      <c r="J912">
        <f t="shared" si="87"/>
        <v>0</v>
      </c>
      <c r="K912">
        <f t="shared" si="88"/>
        <v>1</v>
      </c>
      <c r="L912">
        <f t="shared" si="89"/>
        <v>38</v>
      </c>
    </row>
    <row r="913" spans="1:12" ht="14.4" customHeight="1" x14ac:dyDescent="0.3">
      <c r="A913">
        <v>184334484</v>
      </c>
      <c r="B913" s="1">
        <v>44937</v>
      </c>
      <c r="D913" t="s">
        <v>7</v>
      </c>
      <c r="E913">
        <v>39</v>
      </c>
      <c r="F913" t="s">
        <v>6</v>
      </c>
      <c r="G913" t="str">
        <f t="shared" si="84"/>
        <v/>
      </c>
      <c r="H913" s="1" t="str">
        <f t="shared" si="85"/>
        <v>Wednesday</v>
      </c>
      <c r="I913" t="str">
        <f t="shared" si="86"/>
        <v>No</v>
      </c>
      <c r="J913">
        <f t="shared" si="87"/>
        <v>0</v>
      </c>
      <c r="K913">
        <f t="shared" si="88"/>
        <v>0</v>
      </c>
      <c r="L913" t="str">
        <f t="shared" si="89"/>
        <v/>
      </c>
    </row>
    <row r="914" spans="1:12" ht="14.4" customHeight="1" x14ac:dyDescent="0.3">
      <c r="A914">
        <v>181576265</v>
      </c>
      <c r="B914" s="1">
        <v>44937</v>
      </c>
      <c r="D914" t="s">
        <v>7</v>
      </c>
      <c r="E914">
        <v>39</v>
      </c>
      <c r="F914" t="s">
        <v>6</v>
      </c>
      <c r="G914" t="str">
        <f t="shared" si="84"/>
        <v/>
      </c>
      <c r="H914" s="1" t="str">
        <f t="shared" si="85"/>
        <v>Wednesday</v>
      </c>
      <c r="I914" t="str">
        <f t="shared" si="86"/>
        <v>No</v>
      </c>
      <c r="J914">
        <f t="shared" si="87"/>
        <v>0</v>
      </c>
      <c r="K914">
        <f t="shared" si="88"/>
        <v>0</v>
      </c>
      <c r="L914" t="str">
        <f t="shared" si="89"/>
        <v/>
      </c>
    </row>
    <row r="915" spans="1:12" ht="14.4" customHeight="1" x14ac:dyDescent="0.3">
      <c r="A915">
        <v>183645116</v>
      </c>
      <c r="B915" s="1">
        <v>44937</v>
      </c>
      <c r="D915" t="s">
        <v>7</v>
      </c>
      <c r="E915">
        <v>39</v>
      </c>
      <c r="F915" t="s">
        <v>6</v>
      </c>
      <c r="G915" t="str">
        <f t="shared" si="84"/>
        <v/>
      </c>
      <c r="H915" s="1" t="str">
        <f t="shared" si="85"/>
        <v>Wednesday</v>
      </c>
      <c r="I915" t="str">
        <f t="shared" si="86"/>
        <v>No</v>
      </c>
      <c r="J915">
        <f t="shared" si="87"/>
        <v>0</v>
      </c>
      <c r="K915">
        <f t="shared" si="88"/>
        <v>0</v>
      </c>
      <c r="L915" t="str">
        <f t="shared" si="89"/>
        <v/>
      </c>
    </row>
    <row r="916" spans="1:12" x14ac:dyDescent="0.3">
      <c r="A916">
        <v>184812094</v>
      </c>
      <c r="B916" s="1">
        <v>44937</v>
      </c>
      <c r="C916" s="1">
        <v>45023</v>
      </c>
      <c r="D916" t="s">
        <v>7</v>
      </c>
      <c r="E916">
        <v>39</v>
      </c>
      <c r="F916" t="s">
        <v>6</v>
      </c>
      <c r="G916">
        <f t="shared" si="84"/>
        <v>86</v>
      </c>
      <c r="H916" s="1" t="str">
        <f t="shared" si="85"/>
        <v>Wednesday</v>
      </c>
      <c r="I916" t="str">
        <f t="shared" si="86"/>
        <v>No</v>
      </c>
      <c r="J916">
        <f t="shared" si="87"/>
        <v>0</v>
      </c>
      <c r="K916">
        <f t="shared" si="88"/>
        <v>1</v>
      </c>
      <c r="L916">
        <f t="shared" si="89"/>
        <v>86</v>
      </c>
    </row>
    <row r="917" spans="1:12" x14ac:dyDescent="0.3">
      <c r="A917">
        <v>152089648</v>
      </c>
      <c r="B917" s="1">
        <v>44937</v>
      </c>
      <c r="C917" s="1">
        <v>45003</v>
      </c>
      <c r="D917" t="s">
        <v>7</v>
      </c>
      <c r="E917">
        <v>39</v>
      </c>
      <c r="F917" t="s">
        <v>6</v>
      </c>
      <c r="G917">
        <f t="shared" si="84"/>
        <v>66</v>
      </c>
      <c r="H917" s="1" t="str">
        <f t="shared" si="85"/>
        <v>Wednesday</v>
      </c>
      <c r="I917" t="str">
        <f t="shared" si="86"/>
        <v>No</v>
      </c>
      <c r="J917">
        <f t="shared" si="87"/>
        <v>0</v>
      </c>
      <c r="K917">
        <f t="shared" si="88"/>
        <v>1</v>
      </c>
      <c r="L917">
        <f t="shared" si="89"/>
        <v>66</v>
      </c>
    </row>
    <row r="918" spans="1:12" ht="14.4" customHeight="1" x14ac:dyDescent="0.3">
      <c r="A918">
        <v>148710968</v>
      </c>
      <c r="B918" s="1">
        <v>44937</v>
      </c>
      <c r="C918" s="1">
        <v>44964</v>
      </c>
      <c r="D918" t="s">
        <v>7</v>
      </c>
      <c r="E918">
        <v>39</v>
      </c>
      <c r="F918" t="s">
        <v>6</v>
      </c>
      <c r="G918">
        <f t="shared" si="84"/>
        <v>27</v>
      </c>
      <c r="H918" s="1" t="str">
        <f t="shared" si="85"/>
        <v>Wednesday</v>
      </c>
      <c r="I918" t="str">
        <f t="shared" si="86"/>
        <v>No</v>
      </c>
      <c r="J918">
        <f t="shared" si="87"/>
        <v>0</v>
      </c>
      <c r="K918">
        <f t="shared" si="88"/>
        <v>0</v>
      </c>
      <c r="L918">
        <f t="shared" si="89"/>
        <v>27</v>
      </c>
    </row>
    <row r="919" spans="1:12" ht="14.4" customHeight="1" x14ac:dyDescent="0.3">
      <c r="A919">
        <v>183197132</v>
      </c>
      <c r="B919" s="1">
        <v>44938</v>
      </c>
      <c r="D919" t="s">
        <v>7</v>
      </c>
      <c r="E919">
        <v>39</v>
      </c>
      <c r="F919" t="s">
        <v>6</v>
      </c>
      <c r="G919" t="str">
        <f t="shared" si="84"/>
        <v/>
      </c>
      <c r="H919" s="1" t="str">
        <f t="shared" si="85"/>
        <v>Thursday</v>
      </c>
      <c r="I919" t="str">
        <f t="shared" si="86"/>
        <v>No</v>
      </c>
      <c r="J919">
        <f t="shared" si="87"/>
        <v>0</v>
      </c>
      <c r="K919">
        <f t="shared" si="88"/>
        <v>0</v>
      </c>
      <c r="L919" t="str">
        <f t="shared" si="89"/>
        <v/>
      </c>
    </row>
    <row r="920" spans="1:12" ht="14.4" customHeight="1" x14ac:dyDescent="0.3">
      <c r="A920">
        <v>156239744</v>
      </c>
      <c r="B920" s="1">
        <v>44938</v>
      </c>
      <c r="D920" t="s">
        <v>7</v>
      </c>
      <c r="E920">
        <v>39</v>
      </c>
      <c r="F920" t="s">
        <v>6</v>
      </c>
      <c r="G920" t="str">
        <f t="shared" si="84"/>
        <v/>
      </c>
      <c r="H920" s="1" t="str">
        <f t="shared" si="85"/>
        <v>Thursday</v>
      </c>
      <c r="I920" t="str">
        <f t="shared" si="86"/>
        <v>No</v>
      </c>
      <c r="J920">
        <f t="shared" si="87"/>
        <v>0</v>
      </c>
      <c r="K920">
        <f t="shared" si="88"/>
        <v>0</v>
      </c>
      <c r="L920" t="str">
        <f t="shared" si="89"/>
        <v/>
      </c>
    </row>
    <row r="921" spans="1:12" ht="14.4" customHeight="1" x14ac:dyDescent="0.3">
      <c r="A921">
        <v>184481262</v>
      </c>
      <c r="B921" s="1">
        <v>44938</v>
      </c>
      <c r="D921" t="s">
        <v>7</v>
      </c>
      <c r="E921">
        <v>39</v>
      </c>
      <c r="F921" t="s">
        <v>6</v>
      </c>
      <c r="G921" t="str">
        <f t="shared" si="84"/>
        <v/>
      </c>
      <c r="H921" s="1" t="str">
        <f t="shared" si="85"/>
        <v>Thursday</v>
      </c>
      <c r="I921" t="str">
        <f t="shared" si="86"/>
        <v>No</v>
      </c>
      <c r="J921">
        <f t="shared" si="87"/>
        <v>0</v>
      </c>
      <c r="K921">
        <f t="shared" si="88"/>
        <v>0</v>
      </c>
      <c r="L921" t="str">
        <f t="shared" si="89"/>
        <v/>
      </c>
    </row>
    <row r="922" spans="1:12" ht="14.4" customHeight="1" x14ac:dyDescent="0.3">
      <c r="A922">
        <v>153186137</v>
      </c>
      <c r="B922" s="1">
        <v>44938</v>
      </c>
      <c r="C922" s="1">
        <v>44939</v>
      </c>
      <c r="D922" t="s">
        <v>7</v>
      </c>
      <c r="E922">
        <v>39</v>
      </c>
      <c r="F922" t="s">
        <v>6</v>
      </c>
      <c r="G922">
        <f t="shared" si="84"/>
        <v>1</v>
      </c>
      <c r="H922" s="1" t="str">
        <f t="shared" si="85"/>
        <v>Thursday</v>
      </c>
      <c r="I922" t="str">
        <f t="shared" si="86"/>
        <v>No</v>
      </c>
      <c r="J922">
        <f t="shared" si="87"/>
        <v>1</v>
      </c>
      <c r="K922">
        <f t="shared" si="88"/>
        <v>0</v>
      </c>
      <c r="L922">
        <f t="shared" si="89"/>
        <v>1</v>
      </c>
    </row>
    <row r="923" spans="1:12" ht="14.4" customHeight="1" x14ac:dyDescent="0.3">
      <c r="A923">
        <v>185374268</v>
      </c>
      <c r="B923" s="1">
        <v>44938</v>
      </c>
      <c r="C923" s="1">
        <v>44939</v>
      </c>
      <c r="D923" t="s">
        <v>8</v>
      </c>
      <c r="E923">
        <v>39</v>
      </c>
      <c r="F923" t="s">
        <v>6</v>
      </c>
      <c r="G923">
        <f t="shared" si="84"/>
        <v>1</v>
      </c>
      <c r="H923" s="1" t="str">
        <f t="shared" si="85"/>
        <v>Thursday</v>
      </c>
      <c r="I923" t="str">
        <f t="shared" si="86"/>
        <v>No</v>
      </c>
      <c r="J923">
        <f t="shared" si="87"/>
        <v>1</v>
      </c>
      <c r="K923">
        <f t="shared" si="88"/>
        <v>0</v>
      </c>
      <c r="L923">
        <f t="shared" si="89"/>
        <v>1</v>
      </c>
    </row>
    <row r="924" spans="1:12" ht="14.4" customHeight="1" x14ac:dyDescent="0.3">
      <c r="A924">
        <v>185367349</v>
      </c>
      <c r="B924" s="1">
        <v>44938</v>
      </c>
      <c r="C924" s="1">
        <v>44939</v>
      </c>
      <c r="D924" t="s">
        <v>8</v>
      </c>
      <c r="E924">
        <v>39</v>
      </c>
      <c r="F924" t="s">
        <v>6</v>
      </c>
      <c r="G924">
        <f t="shared" si="84"/>
        <v>1</v>
      </c>
      <c r="H924" s="1" t="str">
        <f t="shared" si="85"/>
        <v>Thursday</v>
      </c>
      <c r="I924" t="str">
        <f t="shared" si="86"/>
        <v>No</v>
      </c>
      <c r="J924">
        <f t="shared" si="87"/>
        <v>1</v>
      </c>
      <c r="K924">
        <f t="shared" si="88"/>
        <v>0</v>
      </c>
      <c r="L924">
        <f t="shared" si="89"/>
        <v>1</v>
      </c>
    </row>
    <row r="925" spans="1:12" x14ac:dyDescent="0.3">
      <c r="A925">
        <v>150793080</v>
      </c>
      <c r="B925" s="1">
        <v>44938</v>
      </c>
      <c r="C925" s="1">
        <v>44986</v>
      </c>
      <c r="D925" t="s">
        <v>7</v>
      </c>
      <c r="E925">
        <v>39</v>
      </c>
      <c r="F925" t="s">
        <v>6</v>
      </c>
      <c r="G925">
        <f t="shared" si="84"/>
        <v>48</v>
      </c>
      <c r="H925" s="1" t="str">
        <f t="shared" si="85"/>
        <v>Thursday</v>
      </c>
      <c r="I925" t="str">
        <f t="shared" si="86"/>
        <v>No</v>
      </c>
      <c r="J925">
        <f t="shared" si="87"/>
        <v>0</v>
      </c>
      <c r="K925">
        <f t="shared" si="88"/>
        <v>1</v>
      </c>
      <c r="L925">
        <f t="shared" si="89"/>
        <v>48</v>
      </c>
    </row>
    <row r="926" spans="1:12" x14ac:dyDescent="0.3">
      <c r="A926">
        <v>183406772</v>
      </c>
      <c r="B926" s="1">
        <v>44938</v>
      </c>
      <c r="C926" s="1">
        <v>44990</v>
      </c>
      <c r="D926" t="s">
        <v>7</v>
      </c>
      <c r="E926">
        <v>39</v>
      </c>
      <c r="F926" t="s">
        <v>6</v>
      </c>
      <c r="G926">
        <f t="shared" si="84"/>
        <v>52</v>
      </c>
      <c r="H926" s="1" t="str">
        <f t="shared" si="85"/>
        <v>Thursday</v>
      </c>
      <c r="I926" t="str">
        <f t="shared" si="86"/>
        <v>No</v>
      </c>
      <c r="J926">
        <f t="shared" si="87"/>
        <v>0</v>
      </c>
      <c r="K926">
        <f t="shared" si="88"/>
        <v>1</v>
      </c>
      <c r="L926">
        <f t="shared" si="89"/>
        <v>52</v>
      </c>
    </row>
    <row r="927" spans="1:12" x14ac:dyDescent="0.3">
      <c r="A927">
        <v>175760281</v>
      </c>
      <c r="B927" s="1">
        <v>44938</v>
      </c>
      <c r="C927" s="1">
        <v>44969</v>
      </c>
      <c r="D927" t="s">
        <v>7</v>
      </c>
      <c r="E927">
        <v>39</v>
      </c>
      <c r="F927" t="s">
        <v>6</v>
      </c>
      <c r="G927">
        <f t="shared" si="84"/>
        <v>31</v>
      </c>
      <c r="H927" s="1" t="str">
        <f t="shared" si="85"/>
        <v>Thursday</v>
      </c>
      <c r="I927" t="str">
        <f t="shared" si="86"/>
        <v>No</v>
      </c>
      <c r="J927">
        <f t="shared" si="87"/>
        <v>0</v>
      </c>
      <c r="K927">
        <f t="shared" si="88"/>
        <v>1</v>
      </c>
      <c r="L927">
        <f t="shared" si="89"/>
        <v>31</v>
      </c>
    </row>
    <row r="928" spans="1:12" ht="14.4" customHeight="1" x14ac:dyDescent="0.3">
      <c r="A928">
        <v>162095012</v>
      </c>
      <c r="B928" s="1">
        <v>44938</v>
      </c>
      <c r="C928" s="1">
        <v>44951</v>
      </c>
      <c r="D928" t="s">
        <v>7</v>
      </c>
      <c r="E928">
        <v>39</v>
      </c>
      <c r="F928" t="s">
        <v>6</v>
      </c>
      <c r="G928">
        <f t="shared" si="84"/>
        <v>13</v>
      </c>
      <c r="H928" s="1" t="str">
        <f t="shared" si="85"/>
        <v>Thursday</v>
      </c>
      <c r="I928" t="str">
        <f t="shared" si="86"/>
        <v>No</v>
      </c>
      <c r="J928">
        <f t="shared" si="87"/>
        <v>0</v>
      </c>
      <c r="K928">
        <f t="shared" si="88"/>
        <v>0</v>
      </c>
      <c r="L928">
        <f t="shared" si="89"/>
        <v>13</v>
      </c>
    </row>
    <row r="929" spans="1:12" ht="14.4" customHeight="1" x14ac:dyDescent="0.3">
      <c r="A929">
        <v>179356036</v>
      </c>
      <c r="B929" s="1">
        <v>44938</v>
      </c>
      <c r="C929" s="1">
        <v>44938</v>
      </c>
      <c r="D929" t="s">
        <v>7</v>
      </c>
      <c r="E929">
        <v>39</v>
      </c>
      <c r="F929" t="s">
        <v>6</v>
      </c>
      <c r="G929">
        <f t="shared" si="84"/>
        <v>0</v>
      </c>
      <c r="H929" s="1" t="str">
        <f t="shared" si="85"/>
        <v>Thursday</v>
      </c>
      <c r="I929" t="str">
        <f t="shared" si="86"/>
        <v>Yes</v>
      </c>
      <c r="J929">
        <f t="shared" si="87"/>
        <v>1</v>
      </c>
      <c r="K929">
        <f t="shared" si="88"/>
        <v>0</v>
      </c>
      <c r="L929">
        <f t="shared" si="89"/>
        <v>0</v>
      </c>
    </row>
    <row r="930" spans="1:12" ht="14.4" customHeight="1" x14ac:dyDescent="0.3">
      <c r="A930">
        <v>184567432</v>
      </c>
      <c r="B930" s="1">
        <v>44938</v>
      </c>
      <c r="C930" s="1">
        <v>44949</v>
      </c>
      <c r="D930" t="s">
        <v>7</v>
      </c>
      <c r="E930">
        <v>39</v>
      </c>
      <c r="F930" t="s">
        <v>6</v>
      </c>
      <c r="G930">
        <f t="shared" si="84"/>
        <v>11</v>
      </c>
      <c r="H930" s="1" t="str">
        <f t="shared" si="85"/>
        <v>Thursday</v>
      </c>
      <c r="I930" t="str">
        <f t="shared" si="86"/>
        <v>No</v>
      </c>
      <c r="J930">
        <f t="shared" si="87"/>
        <v>0</v>
      </c>
      <c r="K930">
        <f t="shared" si="88"/>
        <v>0</v>
      </c>
      <c r="L930">
        <f t="shared" si="89"/>
        <v>11</v>
      </c>
    </row>
    <row r="931" spans="1:12" x14ac:dyDescent="0.3">
      <c r="A931">
        <v>185503171</v>
      </c>
      <c r="B931" s="1">
        <v>44938</v>
      </c>
      <c r="C931" s="1">
        <v>45112</v>
      </c>
      <c r="D931" t="s">
        <v>7</v>
      </c>
      <c r="E931">
        <v>39</v>
      </c>
      <c r="F931" t="s">
        <v>6</v>
      </c>
      <c r="G931">
        <f t="shared" si="84"/>
        <v>174</v>
      </c>
      <c r="H931" s="1" t="str">
        <f t="shared" si="85"/>
        <v>Thursday</v>
      </c>
      <c r="I931" t="str">
        <f t="shared" si="86"/>
        <v>No</v>
      </c>
      <c r="J931">
        <f t="shared" si="87"/>
        <v>0</v>
      </c>
      <c r="K931">
        <f t="shared" si="88"/>
        <v>1</v>
      </c>
      <c r="L931">
        <f t="shared" si="89"/>
        <v>174</v>
      </c>
    </row>
    <row r="932" spans="1:12" x14ac:dyDescent="0.3">
      <c r="A932">
        <v>171922477</v>
      </c>
      <c r="B932" s="1">
        <v>44938</v>
      </c>
      <c r="C932" s="1">
        <v>45105</v>
      </c>
      <c r="D932" t="s">
        <v>7</v>
      </c>
      <c r="E932">
        <v>39</v>
      </c>
      <c r="F932" t="s">
        <v>6</v>
      </c>
      <c r="G932">
        <f t="shared" si="84"/>
        <v>167</v>
      </c>
      <c r="H932" s="1" t="str">
        <f t="shared" si="85"/>
        <v>Thursday</v>
      </c>
      <c r="I932" t="str">
        <f t="shared" si="86"/>
        <v>No</v>
      </c>
      <c r="J932">
        <f t="shared" si="87"/>
        <v>0</v>
      </c>
      <c r="K932">
        <f t="shared" si="88"/>
        <v>1</v>
      </c>
      <c r="L932">
        <f t="shared" si="89"/>
        <v>167</v>
      </c>
    </row>
    <row r="933" spans="1:12" x14ac:dyDescent="0.3">
      <c r="A933">
        <v>144830936</v>
      </c>
      <c r="B933" s="1">
        <v>44938</v>
      </c>
      <c r="C933" s="1">
        <v>45134</v>
      </c>
      <c r="D933" t="s">
        <v>7</v>
      </c>
      <c r="E933">
        <v>39</v>
      </c>
      <c r="F933" t="s">
        <v>6</v>
      </c>
      <c r="G933">
        <f t="shared" si="84"/>
        <v>196</v>
      </c>
      <c r="H933" s="1" t="str">
        <f t="shared" si="85"/>
        <v>Thursday</v>
      </c>
      <c r="I933" t="str">
        <f t="shared" si="86"/>
        <v>No</v>
      </c>
      <c r="J933">
        <f t="shared" si="87"/>
        <v>0</v>
      </c>
      <c r="K933">
        <f t="shared" si="88"/>
        <v>1</v>
      </c>
      <c r="L933">
        <f t="shared" si="89"/>
        <v>196</v>
      </c>
    </row>
    <row r="934" spans="1:12" ht="14.4" customHeight="1" x14ac:dyDescent="0.3">
      <c r="A934">
        <v>157474087</v>
      </c>
      <c r="B934" s="1">
        <v>44939</v>
      </c>
      <c r="D934" t="s">
        <v>7</v>
      </c>
      <c r="E934">
        <v>39</v>
      </c>
      <c r="F934" t="s">
        <v>6</v>
      </c>
      <c r="G934" t="str">
        <f t="shared" si="84"/>
        <v/>
      </c>
      <c r="H934" s="1" t="str">
        <f t="shared" si="85"/>
        <v>Friday</v>
      </c>
      <c r="I934" t="str">
        <f t="shared" si="86"/>
        <v>No</v>
      </c>
      <c r="J934">
        <f t="shared" si="87"/>
        <v>0</v>
      </c>
      <c r="K934">
        <f t="shared" si="88"/>
        <v>0</v>
      </c>
      <c r="L934" t="str">
        <f t="shared" si="89"/>
        <v/>
      </c>
    </row>
    <row r="935" spans="1:12" ht="14.4" customHeight="1" x14ac:dyDescent="0.3">
      <c r="A935">
        <v>182350116</v>
      </c>
      <c r="B935" s="1">
        <v>44939</v>
      </c>
      <c r="D935" t="s">
        <v>7</v>
      </c>
      <c r="E935">
        <v>39</v>
      </c>
      <c r="F935" t="s">
        <v>6</v>
      </c>
      <c r="G935" t="str">
        <f t="shared" si="84"/>
        <v/>
      </c>
      <c r="H935" s="1" t="str">
        <f t="shared" si="85"/>
        <v>Friday</v>
      </c>
      <c r="I935" t="str">
        <f t="shared" si="86"/>
        <v>No</v>
      </c>
      <c r="J935">
        <f t="shared" si="87"/>
        <v>0</v>
      </c>
      <c r="K935">
        <f t="shared" si="88"/>
        <v>0</v>
      </c>
      <c r="L935" t="str">
        <f t="shared" si="89"/>
        <v/>
      </c>
    </row>
    <row r="936" spans="1:12" ht="14.4" customHeight="1" x14ac:dyDescent="0.3">
      <c r="A936">
        <v>132867770</v>
      </c>
      <c r="B936" s="1">
        <v>44939</v>
      </c>
      <c r="C936" s="1">
        <v>44940</v>
      </c>
      <c r="D936" t="s">
        <v>7</v>
      </c>
      <c r="E936">
        <v>39</v>
      </c>
      <c r="F936" t="s">
        <v>6</v>
      </c>
      <c r="G936">
        <f t="shared" si="84"/>
        <v>1</v>
      </c>
      <c r="H936" s="1" t="str">
        <f t="shared" si="85"/>
        <v>Friday</v>
      </c>
      <c r="I936" t="str">
        <f t="shared" si="86"/>
        <v>No</v>
      </c>
      <c r="J936">
        <f t="shared" si="87"/>
        <v>1</v>
      </c>
      <c r="K936">
        <f t="shared" si="88"/>
        <v>0</v>
      </c>
      <c r="L936">
        <f t="shared" si="89"/>
        <v>1</v>
      </c>
    </row>
    <row r="937" spans="1:12" ht="14.4" customHeight="1" x14ac:dyDescent="0.3">
      <c r="A937">
        <v>185561880</v>
      </c>
      <c r="B937" s="1">
        <v>44939</v>
      </c>
      <c r="C937" s="1">
        <v>44940</v>
      </c>
      <c r="D937" t="s">
        <v>8</v>
      </c>
      <c r="E937">
        <v>39</v>
      </c>
      <c r="F937" t="s">
        <v>6</v>
      </c>
      <c r="G937">
        <f t="shared" si="84"/>
        <v>1</v>
      </c>
      <c r="H937" s="1" t="str">
        <f t="shared" si="85"/>
        <v>Friday</v>
      </c>
      <c r="I937" t="str">
        <f t="shared" si="86"/>
        <v>No</v>
      </c>
      <c r="J937">
        <f t="shared" si="87"/>
        <v>1</v>
      </c>
      <c r="K937">
        <f t="shared" si="88"/>
        <v>0</v>
      </c>
      <c r="L937">
        <f t="shared" si="89"/>
        <v>1</v>
      </c>
    </row>
    <row r="938" spans="1:12" x14ac:dyDescent="0.3">
      <c r="A938">
        <v>168884196</v>
      </c>
      <c r="B938" s="1">
        <v>44939</v>
      </c>
      <c r="C938" s="1">
        <v>45022</v>
      </c>
      <c r="D938" t="s">
        <v>7</v>
      </c>
      <c r="E938">
        <v>39</v>
      </c>
      <c r="F938" t="s">
        <v>6</v>
      </c>
      <c r="G938">
        <f t="shared" si="84"/>
        <v>83</v>
      </c>
      <c r="H938" s="1" t="str">
        <f t="shared" si="85"/>
        <v>Friday</v>
      </c>
      <c r="I938" t="str">
        <f t="shared" si="86"/>
        <v>No</v>
      </c>
      <c r="J938">
        <f t="shared" si="87"/>
        <v>0</v>
      </c>
      <c r="K938">
        <f t="shared" si="88"/>
        <v>1</v>
      </c>
      <c r="L938">
        <f t="shared" si="89"/>
        <v>83</v>
      </c>
    </row>
    <row r="939" spans="1:12" x14ac:dyDescent="0.3">
      <c r="A939">
        <v>161269602</v>
      </c>
      <c r="B939" s="1">
        <v>44939</v>
      </c>
      <c r="C939" s="1">
        <v>44977</v>
      </c>
      <c r="D939" t="s">
        <v>7</v>
      </c>
      <c r="E939">
        <v>39</v>
      </c>
      <c r="F939" t="s">
        <v>6</v>
      </c>
      <c r="G939">
        <f t="shared" si="84"/>
        <v>38</v>
      </c>
      <c r="H939" s="1" t="str">
        <f t="shared" si="85"/>
        <v>Friday</v>
      </c>
      <c r="I939" t="str">
        <f t="shared" si="86"/>
        <v>No</v>
      </c>
      <c r="J939">
        <f t="shared" si="87"/>
        <v>0</v>
      </c>
      <c r="K939">
        <f t="shared" si="88"/>
        <v>1</v>
      </c>
      <c r="L939">
        <f t="shared" si="89"/>
        <v>38</v>
      </c>
    </row>
    <row r="940" spans="1:12" x14ac:dyDescent="0.3">
      <c r="A940">
        <v>185729058</v>
      </c>
      <c r="B940" s="1">
        <v>44940</v>
      </c>
      <c r="C940" s="1">
        <v>45052</v>
      </c>
      <c r="D940" t="s">
        <v>7</v>
      </c>
      <c r="E940">
        <v>39</v>
      </c>
      <c r="F940" t="s">
        <v>6</v>
      </c>
      <c r="G940">
        <f t="shared" si="84"/>
        <v>112</v>
      </c>
      <c r="H940" s="1" t="str">
        <f t="shared" si="85"/>
        <v>Saturday</v>
      </c>
      <c r="I940" t="str">
        <f t="shared" si="86"/>
        <v>No</v>
      </c>
      <c r="J940">
        <f t="shared" si="87"/>
        <v>0</v>
      </c>
      <c r="K940">
        <f t="shared" si="88"/>
        <v>1</v>
      </c>
      <c r="L940">
        <f t="shared" si="89"/>
        <v>112</v>
      </c>
    </row>
    <row r="941" spans="1:12" x14ac:dyDescent="0.3">
      <c r="A941">
        <v>182527446</v>
      </c>
      <c r="B941" s="1">
        <v>44940</v>
      </c>
      <c r="C941" s="1">
        <v>45050</v>
      </c>
      <c r="D941" t="s">
        <v>7</v>
      </c>
      <c r="E941">
        <v>39</v>
      </c>
      <c r="F941" t="s">
        <v>6</v>
      </c>
      <c r="G941">
        <f t="shared" si="84"/>
        <v>110</v>
      </c>
      <c r="H941" s="1" t="str">
        <f t="shared" si="85"/>
        <v>Saturday</v>
      </c>
      <c r="I941" t="str">
        <f t="shared" si="86"/>
        <v>No</v>
      </c>
      <c r="J941">
        <f t="shared" si="87"/>
        <v>0</v>
      </c>
      <c r="K941">
        <f t="shared" si="88"/>
        <v>1</v>
      </c>
      <c r="L941">
        <f t="shared" si="89"/>
        <v>110</v>
      </c>
    </row>
    <row r="942" spans="1:12" x14ac:dyDescent="0.3">
      <c r="A942">
        <v>151217806</v>
      </c>
      <c r="B942" s="1">
        <v>44940</v>
      </c>
      <c r="C942" s="1">
        <v>44990</v>
      </c>
      <c r="D942" t="s">
        <v>7</v>
      </c>
      <c r="E942">
        <v>39</v>
      </c>
      <c r="F942" t="s">
        <v>6</v>
      </c>
      <c r="G942">
        <f t="shared" si="84"/>
        <v>50</v>
      </c>
      <c r="H942" s="1" t="str">
        <f t="shared" si="85"/>
        <v>Saturday</v>
      </c>
      <c r="I942" t="str">
        <f t="shared" si="86"/>
        <v>No</v>
      </c>
      <c r="J942">
        <f t="shared" si="87"/>
        <v>0</v>
      </c>
      <c r="K942">
        <f t="shared" si="88"/>
        <v>1</v>
      </c>
      <c r="L942">
        <f t="shared" si="89"/>
        <v>50</v>
      </c>
    </row>
    <row r="943" spans="1:12" ht="14.4" customHeight="1" x14ac:dyDescent="0.3">
      <c r="A943">
        <v>181789030</v>
      </c>
      <c r="B943" s="1">
        <v>44940</v>
      </c>
      <c r="C943" s="1">
        <v>44962</v>
      </c>
      <c r="D943" t="s">
        <v>7</v>
      </c>
      <c r="E943">
        <v>39</v>
      </c>
      <c r="F943" t="s">
        <v>6</v>
      </c>
      <c r="G943">
        <f t="shared" si="84"/>
        <v>22</v>
      </c>
      <c r="H943" s="1" t="str">
        <f t="shared" si="85"/>
        <v>Saturday</v>
      </c>
      <c r="I943" t="str">
        <f t="shared" si="86"/>
        <v>No</v>
      </c>
      <c r="J943">
        <f t="shared" si="87"/>
        <v>0</v>
      </c>
      <c r="K943">
        <f t="shared" si="88"/>
        <v>0</v>
      </c>
      <c r="L943">
        <f t="shared" si="89"/>
        <v>22</v>
      </c>
    </row>
    <row r="944" spans="1:12" x14ac:dyDescent="0.3">
      <c r="A944">
        <v>167939138</v>
      </c>
      <c r="B944" s="1">
        <v>44940</v>
      </c>
      <c r="C944" s="1">
        <v>45118</v>
      </c>
      <c r="D944" t="s">
        <v>7</v>
      </c>
      <c r="E944">
        <v>39</v>
      </c>
      <c r="F944" t="s">
        <v>6</v>
      </c>
      <c r="G944">
        <f t="shared" si="84"/>
        <v>178</v>
      </c>
      <c r="H944" s="1" t="str">
        <f t="shared" si="85"/>
        <v>Saturday</v>
      </c>
      <c r="I944" t="str">
        <f t="shared" si="86"/>
        <v>No</v>
      </c>
      <c r="J944">
        <f t="shared" si="87"/>
        <v>0</v>
      </c>
      <c r="K944">
        <f t="shared" si="88"/>
        <v>1</v>
      </c>
      <c r="L944">
        <f t="shared" si="89"/>
        <v>178</v>
      </c>
    </row>
    <row r="945" spans="1:12" x14ac:dyDescent="0.3">
      <c r="A945">
        <v>168531226</v>
      </c>
      <c r="B945" s="1">
        <v>44940</v>
      </c>
      <c r="C945" s="1">
        <v>45151</v>
      </c>
      <c r="D945" t="s">
        <v>7</v>
      </c>
      <c r="E945">
        <v>39</v>
      </c>
      <c r="F945" t="s">
        <v>6</v>
      </c>
      <c r="G945">
        <f t="shared" si="84"/>
        <v>211</v>
      </c>
      <c r="H945" s="1" t="str">
        <f t="shared" si="85"/>
        <v>Saturday</v>
      </c>
      <c r="I945" t="str">
        <f t="shared" si="86"/>
        <v>No</v>
      </c>
      <c r="J945">
        <f t="shared" si="87"/>
        <v>0</v>
      </c>
      <c r="K945">
        <f t="shared" si="88"/>
        <v>1</v>
      </c>
      <c r="L945">
        <f t="shared" si="89"/>
        <v>211</v>
      </c>
    </row>
    <row r="946" spans="1:12" ht="14.4" customHeight="1" x14ac:dyDescent="0.3">
      <c r="A946">
        <v>183965840</v>
      </c>
      <c r="B946" s="1">
        <v>44941</v>
      </c>
      <c r="D946" t="s">
        <v>7</v>
      </c>
      <c r="E946">
        <v>39</v>
      </c>
      <c r="F946" t="s">
        <v>6</v>
      </c>
      <c r="G946" t="str">
        <f t="shared" si="84"/>
        <v/>
      </c>
      <c r="H946" s="1" t="str">
        <f t="shared" si="85"/>
        <v>Sunday</v>
      </c>
      <c r="I946" t="str">
        <f t="shared" si="86"/>
        <v>No</v>
      </c>
      <c r="J946">
        <f t="shared" si="87"/>
        <v>0</v>
      </c>
      <c r="K946">
        <f t="shared" si="88"/>
        <v>0</v>
      </c>
      <c r="L946" t="str">
        <f t="shared" si="89"/>
        <v/>
      </c>
    </row>
    <row r="947" spans="1:12" x14ac:dyDescent="0.3">
      <c r="A947">
        <v>185522938</v>
      </c>
      <c r="B947" s="1">
        <v>44941</v>
      </c>
      <c r="C947" s="1">
        <v>45049</v>
      </c>
      <c r="D947" t="s">
        <v>7</v>
      </c>
      <c r="E947">
        <v>39</v>
      </c>
      <c r="F947" t="s">
        <v>6</v>
      </c>
      <c r="G947">
        <f t="shared" si="84"/>
        <v>108</v>
      </c>
      <c r="H947" s="1" t="str">
        <f t="shared" si="85"/>
        <v>Sunday</v>
      </c>
      <c r="I947" t="str">
        <f t="shared" si="86"/>
        <v>No</v>
      </c>
      <c r="J947">
        <f t="shared" si="87"/>
        <v>0</v>
      </c>
      <c r="K947">
        <f t="shared" si="88"/>
        <v>1</v>
      </c>
      <c r="L947">
        <f t="shared" si="89"/>
        <v>108</v>
      </c>
    </row>
    <row r="948" spans="1:12" x14ac:dyDescent="0.3">
      <c r="A948">
        <v>186413122</v>
      </c>
      <c r="B948" s="1">
        <v>44941</v>
      </c>
      <c r="C948" s="1">
        <v>45048</v>
      </c>
      <c r="D948" t="s">
        <v>7</v>
      </c>
      <c r="E948">
        <v>39</v>
      </c>
      <c r="F948" t="s">
        <v>6</v>
      </c>
      <c r="G948">
        <f t="shared" si="84"/>
        <v>107</v>
      </c>
      <c r="H948" s="1" t="str">
        <f t="shared" si="85"/>
        <v>Sunday</v>
      </c>
      <c r="I948" t="str">
        <f t="shared" si="86"/>
        <v>No</v>
      </c>
      <c r="J948">
        <f t="shared" si="87"/>
        <v>0</v>
      </c>
      <c r="K948">
        <f t="shared" si="88"/>
        <v>1</v>
      </c>
      <c r="L948">
        <f t="shared" si="89"/>
        <v>107</v>
      </c>
    </row>
    <row r="949" spans="1:12" x14ac:dyDescent="0.3">
      <c r="A949">
        <v>186481916</v>
      </c>
      <c r="B949" s="1">
        <v>44941</v>
      </c>
      <c r="C949" s="1">
        <v>45032</v>
      </c>
      <c r="D949" t="s">
        <v>7</v>
      </c>
      <c r="E949">
        <v>39</v>
      </c>
      <c r="F949" t="s">
        <v>6</v>
      </c>
      <c r="G949">
        <f t="shared" si="84"/>
        <v>91</v>
      </c>
      <c r="H949" s="1" t="str">
        <f t="shared" si="85"/>
        <v>Sunday</v>
      </c>
      <c r="I949" t="str">
        <f t="shared" si="86"/>
        <v>No</v>
      </c>
      <c r="J949">
        <f t="shared" si="87"/>
        <v>0</v>
      </c>
      <c r="K949">
        <f t="shared" si="88"/>
        <v>1</v>
      </c>
      <c r="L949">
        <f t="shared" si="89"/>
        <v>91</v>
      </c>
    </row>
    <row r="950" spans="1:12" x14ac:dyDescent="0.3">
      <c r="A950">
        <v>186177212</v>
      </c>
      <c r="B950" s="1">
        <v>44941</v>
      </c>
      <c r="C950" s="1">
        <v>44992</v>
      </c>
      <c r="D950" t="s">
        <v>7</v>
      </c>
      <c r="E950">
        <v>39</v>
      </c>
      <c r="F950" t="s">
        <v>6</v>
      </c>
      <c r="G950">
        <f t="shared" si="84"/>
        <v>51</v>
      </c>
      <c r="H950" s="1" t="str">
        <f t="shared" si="85"/>
        <v>Sunday</v>
      </c>
      <c r="I950" t="str">
        <f t="shared" si="86"/>
        <v>No</v>
      </c>
      <c r="J950">
        <f t="shared" si="87"/>
        <v>0</v>
      </c>
      <c r="K950">
        <f t="shared" si="88"/>
        <v>1</v>
      </c>
      <c r="L950">
        <f t="shared" si="89"/>
        <v>51</v>
      </c>
    </row>
    <row r="951" spans="1:12" x14ac:dyDescent="0.3">
      <c r="A951">
        <v>184809175</v>
      </c>
      <c r="B951" s="1">
        <v>44941</v>
      </c>
      <c r="C951" s="1">
        <v>44992</v>
      </c>
      <c r="D951" t="s">
        <v>7</v>
      </c>
      <c r="E951">
        <v>39</v>
      </c>
      <c r="F951" t="s">
        <v>6</v>
      </c>
      <c r="G951">
        <f t="shared" si="84"/>
        <v>51</v>
      </c>
      <c r="H951" s="1" t="str">
        <f t="shared" si="85"/>
        <v>Sunday</v>
      </c>
      <c r="I951" t="str">
        <f t="shared" si="86"/>
        <v>No</v>
      </c>
      <c r="J951">
        <f t="shared" si="87"/>
        <v>0</v>
      </c>
      <c r="K951">
        <f t="shared" si="88"/>
        <v>1</v>
      </c>
      <c r="L951">
        <f t="shared" si="89"/>
        <v>51</v>
      </c>
    </row>
    <row r="952" spans="1:12" x14ac:dyDescent="0.3">
      <c r="A952">
        <v>186690790</v>
      </c>
      <c r="B952" s="1">
        <v>44941</v>
      </c>
      <c r="C952" s="1">
        <v>44997</v>
      </c>
      <c r="D952" t="s">
        <v>7</v>
      </c>
      <c r="E952">
        <v>39</v>
      </c>
      <c r="F952" t="s">
        <v>6</v>
      </c>
      <c r="G952">
        <f t="shared" si="84"/>
        <v>56</v>
      </c>
      <c r="H952" s="1" t="str">
        <f t="shared" si="85"/>
        <v>Sunday</v>
      </c>
      <c r="I952" t="str">
        <f t="shared" si="86"/>
        <v>No</v>
      </c>
      <c r="J952">
        <f t="shared" si="87"/>
        <v>0</v>
      </c>
      <c r="K952">
        <f t="shared" si="88"/>
        <v>1</v>
      </c>
      <c r="L952">
        <f t="shared" si="89"/>
        <v>56</v>
      </c>
    </row>
    <row r="953" spans="1:12" ht="14.4" customHeight="1" x14ac:dyDescent="0.3">
      <c r="A953">
        <v>185711685</v>
      </c>
      <c r="B953" s="1">
        <v>44941</v>
      </c>
      <c r="C953" s="1">
        <v>44963</v>
      </c>
      <c r="D953" t="s">
        <v>7</v>
      </c>
      <c r="E953">
        <v>39</v>
      </c>
      <c r="F953" t="s">
        <v>6</v>
      </c>
      <c r="G953">
        <f t="shared" si="84"/>
        <v>22</v>
      </c>
      <c r="H953" s="1" t="str">
        <f t="shared" si="85"/>
        <v>Sunday</v>
      </c>
      <c r="I953" t="str">
        <f t="shared" si="86"/>
        <v>No</v>
      </c>
      <c r="J953">
        <f t="shared" si="87"/>
        <v>0</v>
      </c>
      <c r="K953">
        <f t="shared" si="88"/>
        <v>0</v>
      </c>
      <c r="L953">
        <f t="shared" si="89"/>
        <v>22</v>
      </c>
    </row>
    <row r="954" spans="1:12" x14ac:dyDescent="0.3">
      <c r="A954">
        <v>179509273</v>
      </c>
      <c r="B954" s="1">
        <v>44941</v>
      </c>
      <c r="C954" s="1">
        <v>45107</v>
      </c>
      <c r="D954" t="s">
        <v>7</v>
      </c>
      <c r="E954">
        <v>39</v>
      </c>
      <c r="F954" t="s">
        <v>6</v>
      </c>
      <c r="G954">
        <f t="shared" si="84"/>
        <v>166</v>
      </c>
      <c r="H954" s="1" t="str">
        <f t="shared" si="85"/>
        <v>Sunday</v>
      </c>
      <c r="I954" t="str">
        <f t="shared" si="86"/>
        <v>No</v>
      </c>
      <c r="J954">
        <f t="shared" si="87"/>
        <v>0</v>
      </c>
      <c r="K954">
        <f t="shared" si="88"/>
        <v>1</v>
      </c>
      <c r="L954">
        <f t="shared" si="89"/>
        <v>166</v>
      </c>
    </row>
    <row r="955" spans="1:12" ht="14.4" customHeight="1" x14ac:dyDescent="0.3">
      <c r="A955">
        <v>186770408</v>
      </c>
      <c r="B955" s="1">
        <v>44942</v>
      </c>
      <c r="D955" t="s">
        <v>7</v>
      </c>
      <c r="E955">
        <v>39</v>
      </c>
      <c r="F955" t="s">
        <v>6</v>
      </c>
      <c r="G955" t="str">
        <f t="shared" si="84"/>
        <v/>
      </c>
      <c r="H955" s="1" t="str">
        <f t="shared" si="85"/>
        <v>Monday</v>
      </c>
      <c r="I955" t="str">
        <f t="shared" si="86"/>
        <v>No</v>
      </c>
      <c r="J955">
        <f t="shared" si="87"/>
        <v>0</v>
      </c>
      <c r="K955">
        <f t="shared" si="88"/>
        <v>0</v>
      </c>
      <c r="L955" t="str">
        <f t="shared" si="89"/>
        <v/>
      </c>
    </row>
    <row r="956" spans="1:12" ht="14.4" customHeight="1" x14ac:dyDescent="0.3">
      <c r="A956">
        <v>181025165</v>
      </c>
      <c r="B956" s="1">
        <v>44942</v>
      </c>
      <c r="D956" t="s">
        <v>7</v>
      </c>
      <c r="E956">
        <v>39</v>
      </c>
      <c r="F956" t="s">
        <v>6</v>
      </c>
      <c r="G956" t="str">
        <f t="shared" si="84"/>
        <v/>
      </c>
      <c r="H956" s="1" t="str">
        <f t="shared" si="85"/>
        <v>Monday</v>
      </c>
      <c r="I956" t="str">
        <f t="shared" si="86"/>
        <v>No</v>
      </c>
      <c r="J956">
        <f t="shared" si="87"/>
        <v>0</v>
      </c>
      <c r="K956">
        <f t="shared" si="88"/>
        <v>0</v>
      </c>
      <c r="L956" t="str">
        <f t="shared" si="89"/>
        <v/>
      </c>
    </row>
    <row r="957" spans="1:12" x14ac:dyDescent="0.3">
      <c r="A957">
        <v>157919304</v>
      </c>
      <c r="B957" s="1">
        <v>44942</v>
      </c>
      <c r="C957" s="1">
        <v>45062</v>
      </c>
      <c r="D957" t="s">
        <v>7</v>
      </c>
      <c r="E957">
        <v>39</v>
      </c>
      <c r="F957" t="s">
        <v>6</v>
      </c>
      <c r="G957">
        <f t="shared" si="84"/>
        <v>120</v>
      </c>
      <c r="H957" s="1" t="str">
        <f t="shared" si="85"/>
        <v>Monday</v>
      </c>
      <c r="I957" t="str">
        <f t="shared" si="86"/>
        <v>No</v>
      </c>
      <c r="J957">
        <f t="shared" si="87"/>
        <v>0</v>
      </c>
      <c r="K957">
        <f t="shared" si="88"/>
        <v>1</v>
      </c>
      <c r="L957">
        <f t="shared" si="89"/>
        <v>120</v>
      </c>
    </row>
    <row r="958" spans="1:12" x14ac:dyDescent="0.3">
      <c r="A958">
        <v>187051266</v>
      </c>
      <c r="B958" s="1">
        <v>44942</v>
      </c>
      <c r="C958" s="1">
        <v>45077</v>
      </c>
      <c r="D958" t="s">
        <v>7</v>
      </c>
      <c r="E958">
        <v>39</v>
      </c>
      <c r="F958" t="s">
        <v>6</v>
      </c>
      <c r="G958">
        <f t="shared" si="84"/>
        <v>135</v>
      </c>
      <c r="H958" s="1" t="str">
        <f t="shared" si="85"/>
        <v>Monday</v>
      </c>
      <c r="I958" t="str">
        <f t="shared" si="86"/>
        <v>No</v>
      </c>
      <c r="J958">
        <f t="shared" si="87"/>
        <v>0</v>
      </c>
      <c r="K958">
        <f t="shared" si="88"/>
        <v>1</v>
      </c>
      <c r="L958">
        <f t="shared" si="89"/>
        <v>135</v>
      </c>
    </row>
    <row r="959" spans="1:12" x14ac:dyDescent="0.3">
      <c r="A959">
        <v>179713052</v>
      </c>
      <c r="B959" s="1">
        <v>44942</v>
      </c>
      <c r="C959" s="1">
        <v>45031</v>
      </c>
      <c r="D959" t="s">
        <v>7</v>
      </c>
      <c r="E959">
        <v>39</v>
      </c>
      <c r="F959" t="s">
        <v>6</v>
      </c>
      <c r="G959">
        <f t="shared" si="84"/>
        <v>89</v>
      </c>
      <c r="H959" s="1" t="str">
        <f t="shared" si="85"/>
        <v>Monday</v>
      </c>
      <c r="I959" t="str">
        <f t="shared" si="86"/>
        <v>No</v>
      </c>
      <c r="J959">
        <f t="shared" si="87"/>
        <v>0</v>
      </c>
      <c r="K959">
        <f t="shared" si="88"/>
        <v>1</v>
      </c>
      <c r="L959">
        <f t="shared" si="89"/>
        <v>89</v>
      </c>
    </row>
    <row r="960" spans="1:12" x14ac:dyDescent="0.3">
      <c r="A960">
        <v>185431487</v>
      </c>
      <c r="B960" s="1">
        <v>44942</v>
      </c>
      <c r="C960" s="1">
        <v>45042</v>
      </c>
      <c r="D960" t="s">
        <v>7</v>
      </c>
      <c r="E960">
        <v>39</v>
      </c>
      <c r="F960" t="s">
        <v>6</v>
      </c>
      <c r="G960">
        <f t="shared" si="84"/>
        <v>100</v>
      </c>
      <c r="H960" s="1" t="str">
        <f t="shared" si="85"/>
        <v>Monday</v>
      </c>
      <c r="I960" t="str">
        <f t="shared" si="86"/>
        <v>No</v>
      </c>
      <c r="J960">
        <f t="shared" si="87"/>
        <v>0</v>
      </c>
      <c r="K960">
        <f t="shared" si="88"/>
        <v>1</v>
      </c>
      <c r="L960">
        <f t="shared" si="89"/>
        <v>100</v>
      </c>
    </row>
    <row r="961" spans="1:12" x14ac:dyDescent="0.3">
      <c r="A961">
        <v>157929345</v>
      </c>
      <c r="B961" s="1">
        <v>44942</v>
      </c>
      <c r="C961" s="1">
        <v>45023</v>
      </c>
      <c r="D961" t="s">
        <v>7</v>
      </c>
      <c r="E961">
        <v>39</v>
      </c>
      <c r="F961" t="s">
        <v>6</v>
      </c>
      <c r="G961">
        <f t="shared" si="84"/>
        <v>81</v>
      </c>
      <c r="H961" s="1" t="str">
        <f t="shared" si="85"/>
        <v>Monday</v>
      </c>
      <c r="I961" t="str">
        <f t="shared" si="86"/>
        <v>No</v>
      </c>
      <c r="J961">
        <f t="shared" si="87"/>
        <v>0</v>
      </c>
      <c r="K961">
        <f t="shared" si="88"/>
        <v>1</v>
      </c>
      <c r="L961">
        <f t="shared" si="89"/>
        <v>81</v>
      </c>
    </row>
    <row r="962" spans="1:12" x14ac:dyDescent="0.3">
      <c r="A962">
        <v>154087095</v>
      </c>
      <c r="B962" s="1">
        <v>44942</v>
      </c>
      <c r="C962" s="1">
        <v>44998</v>
      </c>
      <c r="D962" t="s">
        <v>7</v>
      </c>
      <c r="E962">
        <v>39</v>
      </c>
      <c r="F962" t="s">
        <v>6</v>
      </c>
      <c r="G962">
        <f t="shared" ref="G962:G1025" si="90">IF(C962="","",C962-B962)</f>
        <v>56</v>
      </c>
      <c r="H962" s="1" t="str">
        <f t="shared" si="85"/>
        <v>Monday</v>
      </c>
      <c r="I962" t="str">
        <f t="shared" si="86"/>
        <v>No</v>
      </c>
      <c r="J962">
        <f t="shared" si="87"/>
        <v>0</v>
      </c>
      <c r="K962">
        <f t="shared" si="88"/>
        <v>1</v>
      </c>
      <c r="L962">
        <f t="shared" si="89"/>
        <v>56</v>
      </c>
    </row>
    <row r="963" spans="1:12" x14ac:dyDescent="0.3">
      <c r="A963">
        <v>186674235</v>
      </c>
      <c r="B963" s="1">
        <v>44942</v>
      </c>
      <c r="C963" s="1">
        <v>44999</v>
      </c>
      <c r="D963" t="s">
        <v>7</v>
      </c>
      <c r="E963">
        <v>39</v>
      </c>
      <c r="F963" t="s">
        <v>6</v>
      </c>
      <c r="G963">
        <f t="shared" si="90"/>
        <v>57</v>
      </c>
      <c r="H963" s="1" t="str">
        <f t="shared" ref="H963:H1026" si="91">TEXT(B963,"dddd")</f>
        <v>Monday</v>
      </c>
      <c r="I963" t="str">
        <f t="shared" ref="I963:I1026" si="92">IF(B963=C963,"Yes","No")</f>
        <v>No</v>
      </c>
      <c r="J963">
        <f t="shared" ref="J963:J1026" si="93">IF(AND(C963&lt;&gt;"",C963-B963&lt;=2),1,0)</f>
        <v>0</v>
      </c>
      <c r="K963">
        <f t="shared" ref="K963:K1026" si="94">IF(AND(C963&lt;&gt;"",C963-B963&gt;30),1,0)</f>
        <v>1</v>
      </c>
      <c r="L963">
        <f t="shared" ref="L963:L1026" si="95">IF(C963="","",C963-B963)</f>
        <v>57</v>
      </c>
    </row>
    <row r="964" spans="1:12" ht="14.4" customHeight="1" x14ac:dyDescent="0.3">
      <c r="A964">
        <v>182656156</v>
      </c>
      <c r="B964" s="1">
        <v>44942</v>
      </c>
      <c r="C964" s="1">
        <v>44972</v>
      </c>
      <c r="D964" t="s">
        <v>7</v>
      </c>
      <c r="E964">
        <v>39</v>
      </c>
      <c r="F964" t="s">
        <v>6</v>
      </c>
      <c r="G964">
        <f t="shared" si="90"/>
        <v>30</v>
      </c>
      <c r="H964" s="1" t="str">
        <f t="shared" si="91"/>
        <v>Monday</v>
      </c>
      <c r="I964" t="str">
        <f t="shared" si="92"/>
        <v>No</v>
      </c>
      <c r="J964">
        <f t="shared" si="93"/>
        <v>0</v>
      </c>
      <c r="K964">
        <f t="shared" si="94"/>
        <v>0</v>
      </c>
      <c r="L964">
        <f t="shared" si="95"/>
        <v>30</v>
      </c>
    </row>
    <row r="965" spans="1:12" ht="14.4" customHeight="1" x14ac:dyDescent="0.3">
      <c r="A965">
        <v>170319875</v>
      </c>
      <c r="B965" s="1">
        <v>44942</v>
      </c>
      <c r="C965" s="1">
        <v>44942</v>
      </c>
      <c r="D965" t="s">
        <v>7</v>
      </c>
      <c r="E965">
        <v>39</v>
      </c>
      <c r="F965" t="s">
        <v>6</v>
      </c>
      <c r="G965">
        <f t="shared" si="90"/>
        <v>0</v>
      </c>
      <c r="H965" s="1" t="str">
        <f t="shared" si="91"/>
        <v>Monday</v>
      </c>
      <c r="I965" t="str">
        <f t="shared" si="92"/>
        <v>Yes</v>
      </c>
      <c r="J965">
        <f t="shared" si="93"/>
        <v>1</v>
      </c>
      <c r="K965">
        <f t="shared" si="94"/>
        <v>0</v>
      </c>
      <c r="L965">
        <f t="shared" si="95"/>
        <v>0</v>
      </c>
    </row>
    <row r="966" spans="1:12" ht="14.4" customHeight="1" x14ac:dyDescent="0.3">
      <c r="A966">
        <v>188226033</v>
      </c>
      <c r="B966" s="1">
        <v>44943</v>
      </c>
      <c r="D966" t="s">
        <v>8</v>
      </c>
      <c r="E966">
        <v>39</v>
      </c>
      <c r="F966" t="s">
        <v>6</v>
      </c>
      <c r="G966" t="str">
        <f t="shared" si="90"/>
        <v/>
      </c>
      <c r="H966" s="1" t="str">
        <f t="shared" si="91"/>
        <v>Tuesday</v>
      </c>
      <c r="I966" t="str">
        <f t="shared" si="92"/>
        <v>No</v>
      </c>
      <c r="J966">
        <f t="shared" si="93"/>
        <v>0</v>
      </c>
      <c r="K966">
        <f t="shared" si="94"/>
        <v>0</v>
      </c>
      <c r="L966" t="str">
        <f t="shared" si="95"/>
        <v/>
      </c>
    </row>
    <row r="967" spans="1:12" ht="14.4" customHeight="1" x14ac:dyDescent="0.3">
      <c r="A967">
        <v>188137320</v>
      </c>
      <c r="B967" s="1">
        <v>44943</v>
      </c>
      <c r="D967" t="s">
        <v>8</v>
      </c>
      <c r="E967">
        <v>39</v>
      </c>
      <c r="F967" t="s">
        <v>6</v>
      </c>
      <c r="G967" t="str">
        <f t="shared" si="90"/>
        <v/>
      </c>
      <c r="H967" s="1" t="str">
        <f t="shared" si="91"/>
        <v>Tuesday</v>
      </c>
      <c r="I967" t="str">
        <f t="shared" si="92"/>
        <v>No</v>
      </c>
      <c r="J967">
        <f t="shared" si="93"/>
        <v>0</v>
      </c>
      <c r="K967">
        <f t="shared" si="94"/>
        <v>0</v>
      </c>
      <c r="L967" t="str">
        <f t="shared" si="95"/>
        <v/>
      </c>
    </row>
    <row r="968" spans="1:12" ht="14.4" customHeight="1" x14ac:dyDescent="0.3">
      <c r="A968">
        <v>163220556</v>
      </c>
      <c r="B968" s="1">
        <v>44943</v>
      </c>
      <c r="C968" s="1">
        <v>44944</v>
      </c>
      <c r="D968" t="s">
        <v>7</v>
      </c>
      <c r="E968">
        <v>39</v>
      </c>
      <c r="F968" t="s">
        <v>6</v>
      </c>
      <c r="G968">
        <f t="shared" si="90"/>
        <v>1</v>
      </c>
      <c r="H968" s="1" t="str">
        <f t="shared" si="91"/>
        <v>Tuesday</v>
      </c>
      <c r="I968" t="str">
        <f t="shared" si="92"/>
        <v>No</v>
      </c>
      <c r="J968">
        <f t="shared" si="93"/>
        <v>1</v>
      </c>
      <c r="K968">
        <f t="shared" si="94"/>
        <v>0</v>
      </c>
      <c r="L968">
        <f t="shared" si="95"/>
        <v>1</v>
      </c>
    </row>
    <row r="969" spans="1:12" x14ac:dyDescent="0.3">
      <c r="A969">
        <v>182960960</v>
      </c>
      <c r="B969" s="1">
        <v>44943</v>
      </c>
      <c r="C969" s="1">
        <v>45009</v>
      </c>
      <c r="D969" t="s">
        <v>7</v>
      </c>
      <c r="E969">
        <v>39</v>
      </c>
      <c r="F969" t="s">
        <v>6</v>
      </c>
      <c r="G969">
        <f t="shared" si="90"/>
        <v>66</v>
      </c>
      <c r="H969" s="1" t="str">
        <f t="shared" si="91"/>
        <v>Tuesday</v>
      </c>
      <c r="I969" t="str">
        <f t="shared" si="92"/>
        <v>No</v>
      </c>
      <c r="J969">
        <f t="shared" si="93"/>
        <v>0</v>
      </c>
      <c r="K969">
        <f t="shared" si="94"/>
        <v>1</v>
      </c>
      <c r="L969">
        <f t="shared" si="95"/>
        <v>66</v>
      </c>
    </row>
    <row r="970" spans="1:12" x14ac:dyDescent="0.3">
      <c r="A970">
        <v>188175982</v>
      </c>
      <c r="B970" s="1">
        <v>44943</v>
      </c>
      <c r="C970" s="1">
        <v>44974</v>
      </c>
      <c r="D970" t="s">
        <v>7</v>
      </c>
      <c r="E970">
        <v>39</v>
      </c>
      <c r="F970" t="s">
        <v>6</v>
      </c>
      <c r="G970">
        <f t="shared" si="90"/>
        <v>31</v>
      </c>
      <c r="H970" s="1" t="str">
        <f t="shared" si="91"/>
        <v>Tuesday</v>
      </c>
      <c r="I970" t="str">
        <f t="shared" si="92"/>
        <v>No</v>
      </c>
      <c r="J970">
        <f t="shared" si="93"/>
        <v>0</v>
      </c>
      <c r="K970">
        <f t="shared" si="94"/>
        <v>1</v>
      </c>
      <c r="L970">
        <f t="shared" si="95"/>
        <v>31</v>
      </c>
    </row>
    <row r="971" spans="1:12" x14ac:dyDescent="0.3">
      <c r="A971">
        <v>169729060</v>
      </c>
      <c r="B971" s="1">
        <v>44943</v>
      </c>
      <c r="C971" s="1">
        <v>44976</v>
      </c>
      <c r="D971" t="s">
        <v>7</v>
      </c>
      <c r="E971">
        <v>39</v>
      </c>
      <c r="F971" t="s">
        <v>6</v>
      </c>
      <c r="G971">
        <f t="shared" si="90"/>
        <v>33</v>
      </c>
      <c r="H971" s="1" t="str">
        <f t="shared" si="91"/>
        <v>Tuesday</v>
      </c>
      <c r="I971" t="str">
        <f t="shared" si="92"/>
        <v>No</v>
      </c>
      <c r="J971">
        <f t="shared" si="93"/>
        <v>0</v>
      </c>
      <c r="K971">
        <f t="shared" si="94"/>
        <v>1</v>
      </c>
      <c r="L971">
        <f t="shared" si="95"/>
        <v>33</v>
      </c>
    </row>
    <row r="972" spans="1:12" x14ac:dyDescent="0.3">
      <c r="A972">
        <v>186841270</v>
      </c>
      <c r="B972" s="1">
        <v>44943</v>
      </c>
      <c r="C972" s="1">
        <v>44981</v>
      </c>
      <c r="D972" t="s">
        <v>7</v>
      </c>
      <c r="E972">
        <v>39</v>
      </c>
      <c r="F972" t="s">
        <v>6</v>
      </c>
      <c r="G972">
        <f t="shared" si="90"/>
        <v>38</v>
      </c>
      <c r="H972" s="1" t="str">
        <f t="shared" si="91"/>
        <v>Tuesday</v>
      </c>
      <c r="I972" t="str">
        <f t="shared" si="92"/>
        <v>No</v>
      </c>
      <c r="J972">
        <f t="shared" si="93"/>
        <v>0</v>
      </c>
      <c r="K972">
        <f t="shared" si="94"/>
        <v>1</v>
      </c>
      <c r="L972">
        <f t="shared" si="95"/>
        <v>38</v>
      </c>
    </row>
    <row r="973" spans="1:12" x14ac:dyDescent="0.3">
      <c r="A973">
        <v>154563993</v>
      </c>
      <c r="B973" s="1">
        <v>44943</v>
      </c>
      <c r="C973" s="1">
        <v>44982</v>
      </c>
      <c r="D973" t="s">
        <v>7</v>
      </c>
      <c r="E973">
        <v>39</v>
      </c>
      <c r="F973" t="s">
        <v>6</v>
      </c>
      <c r="G973">
        <f t="shared" si="90"/>
        <v>39</v>
      </c>
      <c r="H973" s="1" t="str">
        <f t="shared" si="91"/>
        <v>Tuesday</v>
      </c>
      <c r="I973" t="str">
        <f t="shared" si="92"/>
        <v>No</v>
      </c>
      <c r="J973">
        <f t="shared" si="93"/>
        <v>0</v>
      </c>
      <c r="K973">
        <f t="shared" si="94"/>
        <v>1</v>
      </c>
      <c r="L973">
        <f t="shared" si="95"/>
        <v>39</v>
      </c>
    </row>
    <row r="974" spans="1:12" x14ac:dyDescent="0.3">
      <c r="A974">
        <v>159767828</v>
      </c>
      <c r="B974" s="1">
        <v>44943</v>
      </c>
      <c r="C974" s="1">
        <v>44981</v>
      </c>
      <c r="D974" t="s">
        <v>7</v>
      </c>
      <c r="E974">
        <v>39</v>
      </c>
      <c r="F974" t="s">
        <v>6</v>
      </c>
      <c r="G974">
        <f t="shared" si="90"/>
        <v>38</v>
      </c>
      <c r="H974" s="1" t="str">
        <f t="shared" si="91"/>
        <v>Tuesday</v>
      </c>
      <c r="I974" t="str">
        <f t="shared" si="92"/>
        <v>No</v>
      </c>
      <c r="J974">
        <f t="shared" si="93"/>
        <v>0</v>
      </c>
      <c r="K974">
        <f t="shared" si="94"/>
        <v>1</v>
      </c>
      <c r="L974">
        <f t="shared" si="95"/>
        <v>38</v>
      </c>
    </row>
    <row r="975" spans="1:12" x14ac:dyDescent="0.3">
      <c r="A975">
        <v>183186612</v>
      </c>
      <c r="B975" s="1">
        <v>44943</v>
      </c>
      <c r="C975" s="1">
        <v>45135</v>
      </c>
      <c r="D975" t="s">
        <v>7</v>
      </c>
      <c r="E975">
        <v>39</v>
      </c>
      <c r="F975" t="s">
        <v>6</v>
      </c>
      <c r="G975">
        <f t="shared" si="90"/>
        <v>192</v>
      </c>
      <c r="H975" s="1" t="str">
        <f t="shared" si="91"/>
        <v>Tuesday</v>
      </c>
      <c r="I975" t="str">
        <f t="shared" si="92"/>
        <v>No</v>
      </c>
      <c r="J975">
        <f t="shared" si="93"/>
        <v>0</v>
      </c>
      <c r="K975">
        <f t="shared" si="94"/>
        <v>1</v>
      </c>
      <c r="L975">
        <f t="shared" si="95"/>
        <v>192</v>
      </c>
    </row>
    <row r="976" spans="1:12" ht="14.4" customHeight="1" x14ac:dyDescent="0.3">
      <c r="A976">
        <v>128603349</v>
      </c>
      <c r="B976" s="1">
        <v>44944</v>
      </c>
      <c r="D976" t="s">
        <v>7</v>
      </c>
      <c r="E976">
        <v>39</v>
      </c>
      <c r="F976" t="s">
        <v>6</v>
      </c>
      <c r="G976" t="str">
        <f t="shared" si="90"/>
        <v/>
      </c>
      <c r="H976" s="1" t="str">
        <f t="shared" si="91"/>
        <v>Wednesday</v>
      </c>
      <c r="I976" t="str">
        <f t="shared" si="92"/>
        <v>No</v>
      </c>
      <c r="J976">
        <f t="shared" si="93"/>
        <v>0</v>
      </c>
      <c r="K976">
        <f t="shared" si="94"/>
        <v>0</v>
      </c>
      <c r="L976" t="str">
        <f t="shared" si="95"/>
        <v/>
      </c>
    </row>
    <row r="977" spans="1:12" ht="14.4" customHeight="1" x14ac:dyDescent="0.3">
      <c r="A977">
        <v>183736457</v>
      </c>
      <c r="B977" s="1">
        <v>44944</v>
      </c>
      <c r="C977" s="1">
        <v>44945</v>
      </c>
      <c r="D977" t="s">
        <v>8</v>
      </c>
      <c r="E977">
        <v>39</v>
      </c>
      <c r="F977" t="s">
        <v>6</v>
      </c>
      <c r="G977">
        <f t="shared" si="90"/>
        <v>1</v>
      </c>
      <c r="H977" s="1" t="str">
        <f t="shared" si="91"/>
        <v>Wednesday</v>
      </c>
      <c r="I977" t="str">
        <f t="shared" si="92"/>
        <v>No</v>
      </c>
      <c r="J977">
        <f t="shared" si="93"/>
        <v>1</v>
      </c>
      <c r="K977">
        <f t="shared" si="94"/>
        <v>0</v>
      </c>
      <c r="L977">
        <f t="shared" si="95"/>
        <v>1</v>
      </c>
    </row>
    <row r="978" spans="1:12" ht="14.4" customHeight="1" x14ac:dyDescent="0.3">
      <c r="A978">
        <v>188115641</v>
      </c>
      <c r="B978" s="1">
        <v>44944</v>
      </c>
      <c r="C978" s="1">
        <v>44944</v>
      </c>
      <c r="D978" t="s">
        <v>8</v>
      </c>
      <c r="E978">
        <v>39</v>
      </c>
      <c r="F978" t="s">
        <v>6</v>
      </c>
      <c r="G978">
        <f t="shared" si="90"/>
        <v>0</v>
      </c>
      <c r="H978" s="1" t="str">
        <f t="shared" si="91"/>
        <v>Wednesday</v>
      </c>
      <c r="I978" t="str">
        <f t="shared" si="92"/>
        <v>Yes</v>
      </c>
      <c r="J978">
        <f t="shared" si="93"/>
        <v>1</v>
      </c>
      <c r="K978">
        <f t="shared" si="94"/>
        <v>0</v>
      </c>
      <c r="L978">
        <f t="shared" si="95"/>
        <v>0</v>
      </c>
    </row>
    <row r="979" spans="1:12" ht="14.4" customHeight="1" x14ac:dyDescent="0.3">
      <c r="A979">
        <v>188460699</v>
      </c>
      <c r="B979" s="1">
        <v>44944</v>
      </c>
      <c r="C979" s="1">
        <v>44944</v>
      </c>
      <c r="D979" t="s">
        <v>8</v>
      </c>
      <c r="E979">
        <v>39</v>
      </c>
      <c r="F979" t="s">
        <v>6</v>
      </c>
      <c r="G979">
        <f t="shared" si="90"/>
        <v>0</v>
      </c>
      <c r="H979" s="1" t="str">
        <f t="shared" si="91"/>
        <v>Wednesday</v>
      </c>
      <c r="I979" t="str">
        <f t="shared" si="92"/>
        <v>Yes</v>
      </c>
      <c r="J979">
        <f t="shared" si="93"/>
        <v>1</v>
      </c>
      <c r="K979">
        <f t="shared" si="94"/>
        <v>0</v>
      </c>
      <c r="L979">
        <f t="shared" si="95"/>
        <v>0</v>
      </c>
    </row>
    <row r="980" spans="1:12" x14ac:dyDescent="0.3">
      <c r="A980">
        <v>138228332</v>
      </c>
      <c r="B980" s="1">
        <v>44944</v>
      </c>
      <c r="C980" s="1">
        <v>44982</v>
      </c>
      <c r="D980" t="s">
        <v>7</v>
      </c>
      <c r="E980">
        <v>39</v>
      </c>
      <c r="F980" t="s">
        <v>6</v>
      </c>
      <c r="G980">
        <f t="shared" si="90"/>
        <v>38</v>
      </c>
      <c r="H980" s="1" t="str">
        <f t="shared" si="91"/>
        <v>Wednesday</v>
      </c>
      <c r="I980" t="str">
        <f t="shared" si="92"/>
        <v>No</v>
      </c>
      <c r="J980">
        <f t="shared" si="93"/>
        <v>0</v>
      </c>
      <c r="K980">
        <f t="shared" si="94"/>
        <v>1</v>
      </c>
      <c r="L980">
        <f t="shared" si="95"/>
        <v>38</v>
      </c>
    </row>
    <row r="981" spans="1:12" x14ac:dyDescent="0.3">
      <c r="A981">
        <v>184143564</v>
      </c>
      <c r="B981" s="1">
        <v>44944</v>
      </c>
      <c r="C981" s="1">
        <v>45068</v>
      </c>
      <c r="D981" t="s">
        <v>7</v>
      </c>
      <c r="E981">
        <v>39</v>
      </c>
      <c r="F981" t="s">
        <v>6</v>
      </c>
      <c r="G981">
        <f t="shared" si="90"/>
        <v>124</v>
      </c>
      <c r="H981" s="1" t="str">
        <f t="shared" si="91"/>
        <v>Wednesday</v>
      </c>
      <c r="I981" t="str">
        <f t="shared" si="92"/>
        <v>No</v>
      </c>
      <c r="J981">
        <f t="shared" si="93"/>
        <v>0</v>
      </c>
      <c r="K981">
        <f t="shared" si="94"/>
        <v>1</v>
      </c>
      <c r="L981">
        <f t="shared" si="95"/>
        <v>124</v>
      </c>
    </row>
    <row r="982" spans="1:12" x14ac:dyDescent="0.3">
      <c r="A982">
        <v>179508142</v>
      </c>
      <c r="B982" s="1">
        <v>44944</v>
      </c>
      <c r="C982" s="1">
        <v>45090</v>
      </c>
      <c r="D982" t="s">
        <v>7</v>
      </c>
      <c r="E982">
        <v>39</v>
      </c>
      <c r="F982" t="s">
        <v>6</v>
      </c>
      <c r="G982">
        <f t="shared" si="90"/>
        <v>146</v>
      </c>
      <c r="H982" s="1" t="str">
        <f t="shared" si="91"/>
        <v>Wednesday</v>
      </c>
      <c r="I982" t="str">
        <f t="shared" si="92"/>
        <v>No</v>
      </c>
      <c r="J982">
        <f t="shared" si="93"/>
        <v>0</v>
      </c>
      <c r="K982">
        <f t="shared" si="94"/>
        <v>1</v>
      </c>
      <c r="L982">
        <f t="shared" si="95"/>
        <v>146</v>
      </c>
    </row>
    <row r="983" spans="1:12" x14ac:dyDescent="0.3">
      <c r="A983">
        <v>188269607</v>
      </c>
      <c r="B983" s="1">
        <v>44944</v>
      </c>
      <c r="C983" s="1">
        <v>45032</v>
      </c>
      <c r="D983" t="s">
        <v>7</v>
      </c>
      <c r="E983">
        <v>39</v>
      </c>
      <c r="F983" t="s">
        <v>6</v>
      </c>
      <c r="G983">
        <f t="shared" si="90"/>
        <v>88</v>
      </c>
      <c r="H983" s="1" t="str">
        <f t="shared" si="91"/>
        <v>Wednesday</v>
      </c>
      <c r="I983" t="str">
        <f t="shared" si="92"/>
        <v>No</v>
      </c>
      <c r="J983">
        <f t="shared" si="93"/>
        <v>0</v>
      </c>
      <c r="K983">
        <f t="shared" si="94"/>
        <v>1</v>
      </c>
      <c r="L983">
        <f t="shared" si="95"/>
        <v>88</v>
      </c>
    </row>
    <row r="984" spans="1:12" x14ac:dyDescent="0.3">
      <c r="A984">
        <v>181890100</v>
      </c>
      <c r="B984" s="1">
        <v>44944</v>
      </c>
      <c r="C984" s="1">
        <v>45011</v>
      </c>
      <c r="D984" t="s">
        <v>7</v>
      </c>
      <c r="E984">
        <v>39</v>
      </c>
      <c r="F984" t="s">
        <v>6</v>
      </c>
      <c r="G984">
        <f t="shared" si="90"/>
        <v>67</v>
      </c>
      <c r="H984" s="1" t="str">
        <f t="shared" si="91"/>
        <v>Wednesday</v>
      </c>
      <c r="I984" t="str">
        <f t="shared" si="92"/>
        <v>No</v>
      </c>
      <c r="J984">
        <f t="shared" si="93"/>
        <v>0</v>
      </c>
      <c r="K984">
        <f t="shared" si="94"/>
        <v>1</v>
      </c>
      <c r="L984">
        <f t="shared" si="95"/>
        <v>67</v>
      </c>
    </row>
    <row r="985" spans="1:12" x14ac:dyDescent="0.3">
      <c r="A985">
        <v>185642830</v>
      </c>
      <c r="B985" s="1">
        <v>44944</v>
      </c>
      <c r="C985" s="1">
        <v>44999</v>
      </c>
      <c r="D985" t="s">
        <v>7</v>
      </c>
      <c r="E985">
        <v>39</v>
      </c>
      <c r="F985" t="s">
        <v>6</v>
      </c>
      <c r="G985">
        <f t="shared" si="90"/>
        <v>55</v>
      </c>
      <c r="H985" s="1" t="str">
        <f t="shared" si="91"/>
        <v>Wednesday</v>
      </c>
      <c r="I985" t="str">
        <f t="shared" si="92"/>
        <v>No</v>
      </c>
      <c r="J985">
        <f t="shared" si="93"/>
        <v>0</v>
      </c>
      <c r="K985">
        <f t="shared" si="94"/>
        <v>1</v>
      </c>
      <c r="L985">
        <f t="shared" si="95"/>
        <v>55</v>
      </c>
    </row>
    <row r="986" spans="1:12" x14ac:dyDescent="0.3">
      <c r="A986">
        <v>152223051</v>
      </c>
      <c r="B986" s="1">
        <v>44944</v>
      </c>
      <c r="C986" s="1">
        <v>44982</v>
      </c>
      <c r="D986" t="s">
        <v>7</v>
      </c>
      <c r="E986">
        <v>39</v>
      </c>
      <c r="F986" t="s">
        <v>6</v>
      </c>
      <c r="G986">
        <f t="shared" si="90"/>
        <v>38</v>
      </c>
      <c r="H986" s="1" t="str">
        <f t="shared" si="91"/>
        <v>Wednesday</v>
      </c>
      <c r="I986" t="str">
        <f t="shared" si="92"/>
        <v>No</v>
      </c>
      <c r="J986">
        <f t="shared" si="93"/>
        <v>0</v>
      </c>
      <c r="K986">
        <f t="shared" si="94"/>
        <v>1</v>
      </c>
      <c r="L986">
        <f t="shared" si="95"/>
        <v>38</v>
      </c>
    </row>
    <row r="987" spans="1:12" x14ac:dyDescent="0.3">
      <c r="A987">
        <v>156067850</v>
      </c>
      <c r="B987" s="1">
        <v>44944</v>
      </c>
      <c r="C987" s="1">
        <v>44975</v>
      </c>
      <c r="D987" t="s">
        <v>7</v>
      </c>
      <c r="E987">
        <v>39</v>
      </c>
      <c r="F987" t="s">
        <v>6</v>
      </c>
      <c r="G987">
        <f t="shared" si="90"/>
        <v>31</v>
      </c>
      <c r="H987" s="1" t="str">
        <f t="shared" si="91"/>
        <v>Wednesday</v>
      </c>
      <c r="I987" t="str">
        <f t="shared" si="92"/>
        <v>No</v>
      </c>
      <c r="J987">
        <f t="shared" si="93"/>
        <v>0</v>
      </c>
      <c r="K987">
        <f t="shared" si="94"/>
        <v>1</v>
      </c>
      <c r="L987">
        <f t="shared" si="95"/>
        <v>31</v>
      </c>
    </row>
    <row r="988" spans="1:12" ht="14.4" customHeight="1" x14ac:dyDescent="0.3">
      <c r="A988">
        <v>188701816</v>
      </c>
      <c r="B988" s="1">
        <v>44944</v>
      </c>
      <c r="C988" s="1">
        <v>44974</v>
      </c>
      <c r="D988" t="s">
        <v>7</v>
      </c>
      <c r="E988">
        <v>39</v>
      </c>
      <c r="F988" t="s">
        <v>6</v>
      </c>
      <c r="G988">
        <f t="shared" si="90"/>
        <v>30</v>
      </c>
      <c r="H988" s="1" t="str">
        <f t="shared" si="91"/>
        <v>Wednesday</v>
      </c>
      <c r="I988" t="str">
        <f t="shared" si="92"/>
        <v>No</v>
      </c>
      <c r="J988">
        <f t="shared" si="93"/>
        <v>0</v>
      </c>
      <c r="K988">
        <f t="shared" si="94"/>
        <v>0</v>
      </c>
      <c r="L988">
        <f t="shared" si="95"/>
        <v>30</v>
      </c>
    </row>
    <row r="989" spans="1:12" x14ac:dyDescent="0.3">
      <c r="A989">
        <v>188133192</v>
      </c>
      <c r="B989" s="1">
        <v>44944</v>
      </c>
      <c r="C989" s="1">
        <v>44976</v>
      </c>
      <c r="D989" t="s">
        <v>7</v>
      </c>
      <c r="E989">
        <v>39</v>
      </c>
      <c r="F989" t="s">
        <v>6</v>
      </c>
      <c r="G989">
        <f t="shared" si="90"/>
        <v>32</v>
      </c>
      <c r="H989" s="1" t="str">
        <f t="shared" si="91"/>
        <v>Wednesday</v>
      </c>
      <c r="I989" t="str">
        <f t="shared" si="92"/>
        <v>No</v>
      </c>
      <c r="J989">
        <f t="shared" si="93"/>
        <v>0</v>
      </c>
      <c r="K989">
        <f t="shared" si="94"/>
        <v>1</v>
      </c>
      <c r="L989">
        <f t="shared" si="95"/>
        <v>32</v>
      </c>
    </row>
    <row r="990" spans="1:12" x14ac:dyDescent="0.3">
      <c r="A990">
        <v>183936068</v>
      </c>
      <c r="B990" s="1">
        <v>44944</v>
      </c>
      <c r="C990" s="1">
        <v>45110</v>
      </c>
      <c r="D990" t="s">
        <v>7</v>
      </c>
      <c r="E990">
        <v>39</v>
      </c>
      <c r="F990" t="s">
        <v>6</v>
      </c>
      <c r="G990">
        <f t="shared" si="90"/>
        <v>166</v>
      </c>
      <c r="H990" s="1" t="str">
        <f t="shared" si="91"/>
        <v>Wednesday</v>
      </c>
      <c r="I990" t="str">
        <f t="shared" si="92"/>
        <v>No</v>
      </c>
      <c r="J990">
        <f t="shared" si="93"/>
        <v>0</v>
      </c>
      <c r="K990">
        <f t="shared" si="94"/>
        <v>1</v>
      </c>
      <c r="L990">
        <f t="shared" si="95"/>
        <v>166</v>
      </c>
    </row>
    <row r="991" spans="1:12" x14ac:dyDescent="0.3">
      <c r="A991">
        <v>188119778</v>
      </c>
      <c r="B991" s="1">
        <v>44944</v>
      </c>
      <c r="C991" s="1">
        <v>45095</v>
      </c>
      <c r="D991" t="s">
        <v>7</v>
      </c>
      <c r="E991">
        <v>39</v>
      </c>
      <c r="F991" t="s">
        <v>6</v>
      </c>
      <c r="G991">
        <f t="shared" si="90"/>
        <v>151</v>
      </c>
      <c r="H991" s="1" t="str">
        <f t="shared" si="91"/>
        <v>Wednesday</v>
      </c>
      <c r="I991" t="str">
        <f t="shared" si="92"/>
        <v>No</v>
      </c>
      <c r="J991">
        <f t="shared" si="93"/>
        <v>0</v>
      </c>
      <c r="K991">
        <f t="shared" si="94"/>
        <v>1</v>
      </c>
      <c r="L991">
        <f t="shared" si="95"/>
        <v>151</v>
      </c>
    </row>
    <row r="992" spans="1:12" ht="14.4" customHeight="1" x14ac:dyDescent="0.3">
      <c r="A992">
        <v>189410056</v>
      </c>
      <c r="B992" s="1">
        <v>44945</v>
      </c>
      <c r="D992" t="s">
        <v>7</v>
      </c>
      <c r="E992">
        <v>39</v>
      </c>
      <c r="F992" t="s">
        <v>6</v>
      </c>
      <c r="G992" t="str">
        <f t="shared" si="90"/>
        <v/>
      </c>
      <c r="H992" s="1" t="str">
        <f t="shared" si="91"/>
        <v>Thursday</v>
      </c>
      <c r="I992" t="str">
        <f t="shared" si="92"/>
        <v>No</v>
      </c>
      <c r="J992">
        <f t="shared" si="93"/>
        <v>0</v>
      </c>
      <c r="K992">
        <f t="shared" si="94"/>
        <v>0</v>
      </c>
      <c r="L992" t="str">
        <f t="shared" si="95"/>
        <v/>
      </c>
    </row>
    <row r="993" spans="1:12" ht="14.4" customHeight="1" x14ac:dyDescent="0.3">
      <c r="A993">
        <v>184970659</v>
      </c>
      <c r="B993" s="1">
        <v>44945</v>
      </c>
      <c r="D993" t="s">
        <v>7</v>
      </c>
      <c r="E993">
        <v>39</v>
      </c>
      <c r="F993" t="s">
        <v>6</v>
      </c>
      <c r="G993" t="str">
        <f t="shared" si="90"/>
        <v/>
      </c>
      <c r="H993" s="1" t="str">
        <f t="shared" si="91"/>
        <v>Thursday</v>
      </c>
      <c r="I993" t="str">
        <f t="shared" si="92"/>
        <v>No</v>
      </c>
      <c r="J993">
        <f t="shared" si="93"/>
        <v>0</v>
      </c>
      <c r="K993">
        <f t="shared" si="94"/>
        <v>0</v>
      </c>
      <c r="L993" t="str">
        <f t="shared" si="95"/>
        <v/>
      </c>
    </row>
    <row r="994" spans="1:12" x14ac:dyDescent="0.3">
      <c r="A994">
        <v>148476648</v>
      </c>
      <c r="B994" s="1">
        <v>44945</v>
      </c>
      <c r="C994" s="1">
        <v>45058</v>
      </c>
      <c r="D994" t="s">
        <v>7</v>
      </c>
      <c r="E994">
        <v>39</v>
      </c>
      <c r="F994" t="s">
        <v>6</v>
      </c>
      <c r="G994">
        <f t="shared" si="90"/>
        <v>113</v>
      </c>
      <c r="H994" s="1" t="str">
        <f t="shared" si="91"/>
        <v>Thursday</v>
      </c>
      <c r="I994" t="str">
        <f t="shared" si="92"/>
        <v>No</v>
      </c>
      <c r="J994">
        <f t="shared" si="93"/>
        <v>0</v>
      </c>
      <c r="K994">
        <f t="shared" si="94"/>
        <v>1</v>
      </c>
      <c r="L994">
        <f t="shared" si="95"/>
        <v>113</v>
      </c>
    </row>
    <row r="995" spans="1:12" x14ac:dyDescent="0.3">
      <c r="A995">
        <v>189289885</v>
      </c>
      <c r="B995" s="1">
        <v>44945</v>
      </c>
      <c r="C995" s="1">
        <v>45036</v>
      </c>
      <c r="D995" t="s">
        <v>7</v>
      </c>
      <c r="E995">
        <v>39</v>
      </c>
      <c r="F995" t="s">
        <v>6</v>
      </c>
      <c r="G995">
        <f t="shared" si="90"/>
        <v>91</v>
      </c>
      <c r="H995" s="1" t="str">
        <f t="shared" si="91"/>
        <v>Thursday</v>
      </c>
      <c r="I995" t="str">
        <f t="shared" si="92"/>
        <v>No</v>
      </c>
      <c r="J995">
        <f t="shared" si="93"/>
        <v>0</v>
      </c>
      <c r="K995">
        <f t="shared" si="94"/>
        <v>1</v>
      </c>
      <c r="L995">
        <f t="shared" si="95"/>
        <v>91</v>
      </c>
    </row>
    <row r="996" spans="1:12" x14ac:dyDescent="0.3">
      <c r="A996">
        <v>150442182</v>
      </c>
      <c r="B996" s="1">
        <v>44945</v>
      </c>
      <c r="C996" s="1">
        <v>45004</v>
      </c>
      <c r="D996" t="s">
        <v>7</v>
      </c>
      <c r="E996">
        <v>39</v>
      </c>
      <c r="F996" t="s">
        <v>6</v>
      </c>
      <c r="G996">
        <f t="shared" si="90"/>
        <v>59</v>
      </c>
      <c r="H996" s="1" t="str">
        <f t="shared" si="91"/>
        <v>Thursday</v>
      </c>
      <c r="I996" t="str">
        <f t="shared" si="92"/>
        <v>No</v>
      </c>
      <c r="J996">
        <f t="shared" si="93"/>
        <v>0</v>
      </c>
      <c r="K996">
        <f t="shared" si="94"/>
        <v>1</v>
      </c>
      <c r="L996">
        <f t="shared" si="95"/>
        <v>59</v>
      </c>
    </row>
    <row r="997" spans="1:12" ht="14.4" customHeight="1" x14ac:dyDescent="0.3">
      <c r="A997">
        <v>184826230</v>
      </c>
      <c r="B997" s="1">
        <v>44945</v>
      </c>
      <c r="C997" s="1">
        <v>44972</v>
      </c>
      <c r="D997" t="s">
        <v>7</v>
      </c>
      <c r="E997">
        <v>39</v>
      </c>
      <c r="F997" t="s">
        <v>6</v>
      </c>
      <c r="G997">
        <f t="shared" si="90"/>
        <v>27</v>
      </c>
      <c r="H997" s="1" t="str">
        <f t="shared" si="91"/>
        <v>Thursday</v>
      </c>
      <c r="I997" t="str">
        <f t="shared" si="92"/>
        <v>No</v>
      </c>
      <c r="J997">
        <f t="shared" si="93"/>
        <v>0</v>
      </c>
      <c r="K997">
        <f t="shared" si="94"/>
        <v>0</v>
      </c>
      <c r="L997">
        <f t="shared" si="95"/>
        <v>27</v>
      </c>
    </row>
    <row r="998" spans="1:12" ht="14.4" customHeight="1" x14ac:dyDescent="0.3">
      <c r="A998">
        <v>184786342</v>
      </c>
      <c r="B998" s="1">
        <v>44945</v>
      </c>
      <c r="C998" s="1">
        <v>44945</v>
      </c>
      <c r="D998" t="s">
        <v>7</v>
      </c>
      <c r="E998">
        <v>39</v>
      </c>
      <c r="F998" t="s">
        <v>6</v>
      </c>
      <c r="G998">
        <f t="shared" si="90"/>
        <v>0</v>
      </c>
      <c r="H998" s="1" t="str">
        <f t="shared" si="91"/>
        <v>Thursday</v>
      </c>
      <c r="I998" t="str">
        <f t="shared" si="92"/>
        <v>Yes</v>
      </c>
      <c r="J998">
        <f t="shared" si="93"/>
        <v>1</v>
      </c>
      <c r="K998">
        <f t="shared" si="94"/>
        <v>0</v>
      </c>
      <c r="L998">
        <f t="shared" si="95"/>
        <v>0</v>
      </c>
    </row>
    <row r="999" spans="1:12" ht="14.4" customHeight="1" x14ac:dyDescent="0.3">
      <c r="A999">
        <v>181565760</v>
      </c>
      <c r="B999" s="1">
        <v>44945</v>
      </c>
      <c r="C999" s="1">
        <v>44952</v>
      </c>
      <c r="D999" t="s">
        <v>7</v>
      </c>
      <c r="E999">
        <v>39</v>
      </c>
      <c r="F999" t="s">
        <v>6</v>
      </c>
      <c r="G999">
        <f t="shared" si="90"/>
        <v>7</v>
      </c>
      <c r="H999" s="1" t="str">
        <f t="shared" si="91"/>
        <v>Thursday</v>
      </c>
      <c r="I999" t="str">
        <f t="shared" si="92"/>
        <v>No</v>
      </c>
      <c r="J999">
        <f t="shared" si="93"/>
        <v>0</v>
      </c>
      <c r="K999">
        <f t="shared" si="94"/>
        <v>0</v>
      </c>
      <c r="L999">
        <f t="shared" si="95"/>
        <v>7</v>
      </c>
    </row>
    <row r="1000" spans="1:12" ht="14.4" customHeight="1" x14ac:dyDescent="0.3">
      <c r="A1000">
        <v>189278478</v>
      </c>
      <c r="B1000" s="1">
        <v>44946</v>
      </c>
      <c r="D1000" t="s">
        <v>7</v>
      </c>
      <c r="E1000">
        <v>39</v>
      </c>
      <c r="F1000" t="s">
        <v>6</v>
      </c>
      <c r="G1000" t="str">
        <f t="shared" si="90"/>
        <v/>
      </c>
      <c r="H1000" s="1" t="str">
        <f t="shared" si="91"/>
        <v>Friday</v>
      </c>
      <c r="I1000" t="str">
        <f t="shared" si="92"/>
        <v>No</v>
      </c>
      <c r="J1000">
        <f t="shared" si="93"/>
        <v>0</v>
      </c>
      <c r="K1000">
        <f t="shared" si="94"/>
        <v>0</v>
      </c>
      <c r="L1000" t="str">
        <f t="shared" si="95"/>
        <v/>
      </c>
    </row>
    <row r="1001" spans="1:12" ht="14.4" customHeight="1" x14ac:dyDescent="0.3">
      <c r="A1001">
        <v>184066428</v>
      </c>
      <c r="B1001" s="1">
        <v>44946</v>
      </c>
      <c r="D1001" t="s">
        <v>7</v>
      </c>
      <c r="E1001">
        <v>39</v>
      </c>
      <c r="F1001" t="s">
        <v>6</v>
      </c>
      <c r="G1001" t="str">
        <f t="shared" si="90"/>
        <v/>
      </c>
      <c r="H1001" s="1" t="str">
        <f t="shared" si="91"/>
        <v>Friday</v>
      </c>
      <c r="I1001" t="str">
        <f t="shared" si="92"/>
        <v>No</v>
      </c>
      <c r="J1001">
        <f t="shared" si="93"/>
        <v>0</v>
      </c>
      <c r="K1001">
        <f t="shared" si="94"/>
        <v>0</v>
      </c>
      <c r="L1001" t="str">
        <f t="shared" si="95"/>
        <v/>
      </c>
    </row>
    <row r="1002" spans="1:12" ht="14.4" customHeight="1" x14ac:dyDescent="0.3">
      <c r="A1002">
        <v>135771077</v>
      </c>
      <c r="B1002" s="1">
        <v>44946</v>
      </c>
      <c r="D1002" t="s">
        <v>7</v>
      </c>
      <c r="E1002">
        <v>39</v>
      </c>
      <c r="F1002" t="s">
        <v>6</v>
      </c>
      <c r="G1002" t="str">
        <f t="shared" si="90"/>
        <v/>
      </c>
      <c r="H1002" s="1" t="str">
        <f t="shared" si="91"/>
        <v>Friday</v>
      </c>
      <c r="I1002" t="str">
        <f t="shared" si="92"/>
        <v>No</v>
      </c>
      <c r="J1002">
        <f t="shared" si="93"/>
        <v>0</v>
      </c>
      <c r="K1002">
        <f t="shared" si="94"/>
        <v>0</v>
      </c>
      <c r="L1002" t="str">
        <f t="shared" si="95"/>
        <v/>
      </c>
    </row>
    <row r="1003" spans="1:12" x14ac:dyDescent="0.3">
      <c r="A1003">
        <v>184831280</v>
      </c>
      <c r="B1003" s="1">
        <v>44946</v>
      </c>
      <c r="C1003" s="1">
        <v>45055</v>
      </c>
      <c r="D1003" t="s">
        <v>7</v>
      </c>
      <c r="E1003">
        <v>39</v>
      </c>
      <c r="F1003" t="s">
        <v>6</v>
      </c>
      <c r="G1003">
        <f t="shared" si="90"/>
        <v>109</v>
      </c>
      <c r="H1003" s="1" t="str">
        <f t="shared" si="91"/>
        <v>Friday</v>
      </c>
      <c r="I1003" t="str">
        <f t="shared" si="92"/>
        <v>No</v>
      </c>
      <c r="J1003">
        <f t="shared" si="93"/>
        <v>0</v>
      </c>
      <c r="K1003">
        <f t="shared" si="94"/>
        <v>1</v>
      </c>
      <c r="L1003">
        <f t="shared" si="95"/>
        <v>109</v>
      </c>
    </row>
    <row r="1004" spans="1:12" x14ac:dyDescent="0.3">
      <c r="A1004">
        <v>188828652</v>
      </c>
      <c r="B1004" s="1">
        <v>44946</v>
      </c>
      <c r="C1004" s="1">
        <v>45047</v>
      </c>
      <c r="D1004" t="s">
        <v>7</v>
      </c>
      <c r="E1004">
        <v>39</v>
      </c>
      <c r="F1004" t="s">
        <v>6</v>
      </c>
      <c r="G1004">
        <f t="shared" si="90"/>
        <v>101</v>
      </c>
      <c r="H1004" s="1" t="str">
        <f t="shared" si="91"/>
        <v>Friday</v>
      </c>
      <c r="I1004" t="str">
        <f t="shared" si="92"/>
        <v>No</v>
      </c>
      <c r="J1004">
        <f t="shared" si="93"/>
        <v>0</v>
      </c>
      <c r="K1004">
        <f t="shared" si="94"/>
        <v>1</v>
      </c>
      <c r="L1004">
        <f t="shared" si="95"/>
        <v>101</v>
      </c>
    </row>
    <row r="1005" spans="1:12" x14ac:dyDescent="0.3">
      <c r="A1005">
        <v>188666673</v>
      </c>
      <c r="B1005" s="1">
        <v>44946</v>
      </c>
      <c r="C1005" s="1">
        <v>44993</v>
      </c>
      <c r="D1005" t="s">
        <v>7</v>
      </c>
      <c r="E1005">
        <v>39</v>
      </c>
      <c r="F1005" t="s">
        <v>6</v>
      </c>
      <c r="G1005">
        <f t="shared" si="90"/>
        <v>47</v>
      </c>
      <c r="H1005" s="1" t="str">
        <f t="shared" si="91"/>
        <v>Friday</v>
      </c>
      <c r="I1005" t="str">
        <f t="shared" si="92"/>
        <v>No</v>
      </c>
      <c r="J1005">
        <f t="shared" si="93"/>
        <v>0</v>
      </c>
      <c r="K1005">
        <f t="shared" si="94"/>
        <v>1</v>
      </c>
      <c r="L1005">
        <f t="shared" si="95"/>
        <v>47</v>
      </c>
    </row>
    <row r="1006" spans="1:12" ht="14.4" customHeight="1" x14ac:dyDescent="0.3">
      <c r="A1006">
        <v>189880452</v>
      </c>
      <c r="B1006" s="1">
        <v>44946</v>
      </c>
      <c r="C1006" s="1">
        <v>44976</v>
      </c>
      <c r="D1006" t="s">
        <v>7</v>
      </c>
      <c r="E1006">
        <v>39</v>
      </c>
      <c r="F1006" t="s">
        <v>6</v>
      </c>
      <c r="G1006">
        <f t="shared" si="90"/>
        <v>30</v>
      </c>
      <c r="H1006" s="1" t="str">
        <f t="shared" si="91"/>
        <v>Friday</v>
      </c>
      <c r="I1006" t="str">
        <f t="shared" si="92"/>
        <v>No</v>
      </c>
      <c r="J1006">
        <f t="shared" si="93"/>
        <v>0</v>
      </c>
      <c r="K1006">
        <f t="shared" si="94"/>
        <v>0</v>
      </c>
      <c r="L1006">
        <f t="shared" si="95"/>
        <v>30</v>
      </c>
    </row>
    <row r="1007" spans="1:12" x14ac:dyDescent="0.3">
      <c r="A1007">
        <v>160986271</v>
      </c>
      <c r="B1007" s="1">
        <v>44946</v>
      </c>
      <c r="C1007" s="1">
        <v>44984</v>
      </c>
      <c r="D1007" t="s">
        <v>7</v>
      </c>
      <c r="E1007">
        <v>39</v>
      </c>
      <c r="F1007" t="s">
        <v>6</v>
      </c>
      <c r="G1007">
        <f t="shared" si="90"/>
        <v>38</v>
      </c>
      <c r="H1007" s="1" t="str">
        <f t="shared" si="91"/>
        <v>Friday</v>
      </c>
      <c r="I1007" t="str">
        <f t="shared" si="92"/>
        <v>No</v>
      </c>
      <c r="J1007">
        <f t="shared" si="93"/>
        <v>0</v>
      </c>
      <c r="K1007">
        <f t="shared" si="94"/>
        <v>1</v>
      </c>
      <c r="L1007">
        <f t="shared" si="95"/>
        <v>38</v>
      </c>
    </row>
    <row r="1008" spans="1:12" ht="14.4" customHeight="1" x14ac:dyDescent="0.3">
      <c r="A1008">
        <v>187895888</v>
      </c>
      <c r="B1008" s="1">
        <v>44946</v>
      </c>
      <c r="C1008" s="1">
        <v>44970</v>
      </c>
      <c r="D1008" t="s">
        <v>7</v>
      </c>
      <c r="E1008">
        <v>39</v>
      </c>
      <c r="F1008" t="s">
        <v>6</v>
      </c>
      <c r="G1008">
        <f t="shared" si="90"/>
        <v>24</v>
      </c>
      <c r="H1008" s="1" t="str">
        <f t="shared" si="91"/>
        <v>Friday</v>
      </c>
      <c r="I1008" t="str">
        <f t="shared" si="92"/>
        <v>No</v>
      </c>
      <c r="J1008">
        <f t="shared" si="93"/>
        <v>0</v>
      </c>
      <c r="K1008">
        <f t="shared" si="94"/>
        <v>0</v>
      </c>
      <c r="L1008">
        <f t="shared" si="95"/>
        <v>24</v>
      </c>
    </row>
    <row r="1009" spans="1:12" ht="14.4" customHeight="1" x14ac:dyDescent="0.3">
      <c r="A1009">
        <v>190871376</v>
      </c>
      <c r="B1009" s="1">
        <v>44947</v>
      </c>
      <c r="D1009" t="s">
        <v>7</v>
      </c>
      <c r="E1009">
        <v>39</v>
      </c>
      <c r="F1009" t="s">
        <v>6</v>
      </c>
      <c r="G1009" t="str">
        <f t="shared" si="90"/>
        <v/>
      </c>
      <c r="H1009" s="1" t="str">
        <f t="shared" si="91"/>
        <v>Saturday</v>
      </c>
      <c r="I1009" t="str">
        <f t="shared" si="92"/>
        <v>No</v>
      </c>
      <c r="J1009">
        <f t="shared" si="93"/>
        <v>0</v>
      </c>
      <c r="K1009">
        <f t="shared" si="94"/>
        <v>0</v>
      </c>
      <c r="L1009" t="str">
        <f t="shared" si="95"/>
        <v/>
      </c>
    </row>
    <row r="1010" spans="1:12" x14ac:dyDescent="0.3">
      <c r="A1010">
        <v>166750222</v>
      </c>
      <c r="B1010" s="1">
        <v>44947</v>
      </c>
      <c r="C1010" s="1">
        <v>45048</v>
      </c>
      <c r="D1010" t="s">
        <v>7</v>
      </c>
      <c r="E1010">
        <v>39</v>
      </c>
      <c r="F1010" t="s">
        <v>6</v>
      </c>
      <c r="G1010">
        <f t="shared" si="90"/>
        <v>101</v>
      </c>
      <c r="H1010" s="1" t="str">
        <f t="shared" si="91"/>
        <v>Saturday</v>
      </c>
      <c r="I1010" t="str">
        <f t="shared" si="92"/>
        <v>No</v>
      </c>
      <c r="J1010">
        <f t="shared" si="93"/>
        <v>0</v>
      </c>
      <c r="K1010">
        <f t="shared" si="94"/>
        <v>1</v>
      </c>
      <c r="L1010">
        <f t="shared" si="95"/>
        <v>101</v>
      </c>
    </row>
    <row r="1011" spans="1:12" x14ac:dyDescent="0.3">
      <c r="A1011">
        <v>189360536</v>
      </c>
      <c r="B1011" s="1">
        <v>44947</v>
      </c>
      <c r="C1011" s="1">
        <v>45041</v>
      </c>
      <c r="D1011" t="s">
        <v>7</v>
      </c>
      <c r="E1011">
        <v>39</v>
      </c>
      <c r="F1011" t="s">
        <v>6</v>
      </c>
      <c r="G1011">
        <f t="shared" si="90"/>
        <v>94</v>
      </c>
      <c r="H1011" s="1" t="str">
        <f t="shared" si="91"/>
        <v>Saturday</v>
      </c>
      <c r="I1011" t="str">
        <f t="shared" si="92"/>
        <v>No</v>
      </c>
      <c r="J1011">
        <f t="shared" si="93"/>
        <v>0</v>
      </c>
      <c r="K1011">
        <f t="shared" si="94"/>
        <v>1</v>
      </c>
      <c r="L1011">
        <f t="shared" si="95"/>
        <v>94</v>
      </c>
    </row>
    <row r="1012" spans="1:12" x14ac:dyDescent="0.3">
      <c r="A1012">
        <v>188197564</v>
      </c>
      <c r="B1012" s="1">
        <v>44947</v>
      </c>
      <c r="C1012" s="1">
        <v>45036</v>
      </c>
      <c r="D1012" t="s">
        <v>7</v>
      </c>
      <c r="E1012">
        <v>39</v>
      </c>
      <c r="F1012" t="s">
        <v>6</v>
      </c>
      <c r="G1012">
        <f t="shared" si="90"/>
        <v>89</v>
      </c>
      <c r="H1012" s="1" t="str">
        <f t="shared" si="91"/>
        <v>Saturday</v>
      </c>
      <c r="I1012" t="str">
        <f t="shared" si="92"/>
        <v>No</v>
      </c>
      <c r="J1012">
        <f t="shared" si="93"/>
        <v>0</v>
      </c>
      <c r="K1012">
        <f t="shared" si="94"/>
        <v>1</v>
      </c>
      <c r="L1012">
        <f t="shared" si="95"/>
        <v>89</v>
      </c>
    </row>
    <row r="1013" spans="1:12" ht="14.4" customHeight="1" x14ac:dyDescent="0.3">
      <c r="A1013">
        <v>191034251</v>
      </c>
      <c r="B1013" s="1">
        <v>44947</v>
      </c>
      <c r="C1013" s="1">
        <v>44972</v>
      </c>
      <c r="D1013" t="s">
        <v>7</v>
      </c>
      <c r="E1013">
        <v>39</v>
      </c>
      <c r="F1013" t="s">
        <v>6</v>
      </c>
      <c r="G1013">
        <f t="shared" si="90"/>
        <v>25</v>
      </c>
      <c r="H1013" s="1" t="str">
        <f t="shared" si="91"/>
        <v>Saturday</v>
      </c>
      <c r="I1013" t="str">
        <f t="shared" si="92"/>
        <v>No</v>
      </c>
      <c r="J1013">
        <f t="shared" si="93"/>
        <v>0</v>
      </c>
      <c r="K1013">
        <f t="shared" si="94"/>
        <v>0</v>
      </c>
      <c r="L1013">
        <f t="shared" si="95"/>
        <v>25</v>
      </c>
    </row>
    <row r="1014" spans="1:12" ht="14.4" customHeight="1" x14ac:dyDescent="0.3">
      <c r="A1014">
        <v>182972593</v>
      </c>
      <c r="B1014" s="1">
        <v>44947</v>
      </c>
      <c r="C1014" s="1">
        <v>44960</v>
      </c>
      <c r="D1014" t="s">
        <v>7</v>
      </c>
      <c r="E1014">
        <v>39</v>
      </c>
      <c r="F1014" t="s">
        <v>6</v>
      </c>
      <c r="G1014">
        <f t="shared" si="90"/>
        <v>13</v>
      </c>
      <c r="H1014" s="1" t="str">
        <f t="shared" si="91"/>
        <v>Saturday</v>
      </c>
      <c r="I1014" t="str">
        <f t="shared" si="92"/>
        <v>No</v>
      </c>
      <c r="J1014">
        <f t="shared" si="93"/>
        <v>0</v>
      </c>
      <c r="K1014">
        <f t="shared" si="94"/>
        <v>0</v>
      </c>
      <c r="L1014">
        <f t="shared" si="95"/>
        <v>13</v>
      </c>
    </row>
    <row r="1015" spans="1:12" ht="14.4" customHeight="1" x14ac:dyDescent="0.3">
      <c r="A1015">
        <v>182958960</v>
      </c>
      <c r="B1015" s="1">
        <v>44948</v>
      </c>
      <c r="C1015" s="1">
        <v>44949</v>
      </c>
      <c r="D1015" t="s">
        <v>7</v>
      </c>
      <c r="E1015">
        <v>39</v>
      </c>
      <c r="F1015" t="s">
        <v>6</v>
      </c>
      <c r="G1015">
        <f t="shared" si="90"/>
        <v>1</v>
      </c>
      <c r="H1015" s="1" t="str">
        <f t="shared" si="91"/>
        <v>Sunday</v>
      </c>
      <c r="I1015" t="str">
        <f t="shared" si="92"/>
        <v>No</v>
      </c>
      <c r="J1015">
        <f t="shared" si="93"/>
        <v>1</v>
      </c>
      <c r="K1015">
        <f t="shared" si="94"/>
        <v>0</v>
      </c>
      <c r="L1015">
        <f t="shared" si="95"/>
        <v>1</v>
      </c>
    </row>
    <row r="1016" spans="1:12" x14ac:dyDescent="0.3">
      <c r="A1016">
        <v>163220556</v>
      </c>
      <c r="B1016" s="1">
        <v>44948</v>
      </c>
      <c r="C1016" s="1">
        <v>44994</v>
      </c>
      <c r="D1016" t="s">
        <v>7</v>
      </c>
      <c r="E1016">
        <v>39</v>
      </c>
      <c r="F1016" t="s">
        <v>6</v>
      </c>
      <c r="G1016">
        <f t="shared" si="90"/>
        <v>46</v>
      </c>
      <c r="H1016" s="1" t="str">
        <f t="shared" si="91"/>
        <v>Sunday</v>
      </c>
      <c r="I1016" t="str">
        <f t="shared" si="92"/>
        <v>No</v>
      </c>
      <c r="J1016">
        <f t="shared" si="93"/>
        <v>0</v>
      </c>
      <c r="K1016">
        <f t="shared" si="94"/>
        <v>1</v>
      </c>
      <c r="L1016">
        <f t="shared" si="95"/>
        <v>46</v>
      </c>
    </row>
    <row r="1017" spans="1:12" x14ac:dyDescent="0.3">
      <c r="A1017">
        <v>191730833</v>
      </c>
      <c r="B1017" s="1">
        <v>44948</v>
      </c>
      <c r="C1017" s="1">
        <v>45006</v>
      </c>
      <c r="D1017" t="s">
        <v>7</v>
      </c>
      <c r="E1017">
        <v>39</v>
      </c>
      <c r="F1017" t="s">
        <v>6</v>
      </c>
      <c r="G1017">
        <f t="shared" si="90"/>
        <v>58</v>
      </c>
      <c r="H1017" s="1" t="str">
        <f t="shared" si="91"/>
        <v>Sunday</v>
      </c>
      <c r="I1017" t="str">
        <f t="shared" si="92"/>
        <v>No</v>
      </c>
      <c r="J1017">
        <f t="shared" si="93"/>
        <v>0</v>
      </c>
      <c r="K1017">
        <f t="shared" si="94"/>
        <v>1</v>
      </c>
      <c r="L1017">
        <f t="shared" si="95"/>
        <v>58</v>
      </c>
    </row>
    <row r="1018" spans="1:12" x14ac:dyDescent="0.3">
      <c r="A1018">
        <v>189680563</v>
      </c>
      <c r="B1018" s="1">
        <v>44948</v>
      </c>
      <c r="C1018" s="1">
        <v>45006</v>
      </c>
      <c r="D1018" t="s">
        <v>7</v>
      </c>
      <c r="E1018">
        <v>39</v>
      </c>
      <c r="F1018" t="s">
        <v>6</v>
      </c>
      <c r="G1018">
        <f t="shared" si="90"/>
        <v>58</v>
      </c>
      <c r="H1018" s="1" t="str">
        <f t="shared" si="91"/>
        <v>Sunday</v>
      </c>
      <c r="I1018" t="str">
        <f t="shared" si="92"/>
        <v>No</v>
      </c>
      <c r="J1018">
        <f t="shared" si="93"/>
        <v>0</v>
      </c>
      <c r="K1018">
        <f t="shared" si="94"/>
        <v>1</v>
      </c>
      <c r="L1018">
        <f t="shared" si="95"/>
        <v>58</v>
      </c>
    </row>
    <row r="1019" spans="1:12" ht="14.4" customHeight="1" x14ac:dyDescent="0.3">
      <c r="A1019">
        <v>190666110</v>
      </c>
      <c r="B1019" s="1">
        <v>44949</v>
      </c>
      <c r="D1019" t="s">
        <v>7</v>
      </c>
      <c r="E1019">
        <v>39</v>
      </c>
      <c r="F1019" t="s">
        <v>6</v>
      </c>
      <c r="G1019" t="str">
        <f t="shared" si="90"/>
        <v/>
      </c>
      <c r="H1019" s="1" t="str">
        <f t="shared" si="91"/>
        <v>Monday</v>
      </c>
      <c r="I1019" t="str">
        <f t="shared" si="92"/>
        <v>No</v>
      </c>
      <c r="J1019">
        <f t="shared" si="93"/>
        <v>0</v>
      </c>
      <c r="K1019">
        <f t="shared" si="94"/>
        <v>0</v>
      </c>
      <c r="L1019" t="str">
        <f t="shared" si="95"/>
        <v/>
      </c>
    </row>
    <row r="1020" spans="1:12" ht="14.4" customHeight="1" x14ac:dyDescent="0.3">
      <c r="A1020">
        <v>180622613</v>
      </c>
      <c r="B1020" s="1">
        <v>44949</v>
      </c>
      <c r="D1020" t="s">
        <v>7</v>
      </c>
      <c r="E1020">
        <v>39</v>
      </c>
      <c r="F1020" t="s">
        <v>6</v>
      </c>
      <c r="G1020" t="str">
        <f t="shared" si="90"/>
        <v/>
      </c>
      <c r="H1020" s="1" t="str">
        <f t="shared" si="91"/>
        <v>Monday</v>
      </c>
      <c r="I1020" t="str">
        <f t="shared" si="92"/>
        <v>No</v>
      </c>
      <c r="J1020">
        <f t="shared" si="93"/>
        <v>0</v>
      </c>
      <c r="K1020">
        <f t="shared" si="94"/>
        <v>0</v>
      </c>
      <c r="L1020" t="str">
        <f t="shared" si="95"/>
        <v/>
      </c>
    </row>
    <row r="1021" spans="1:12" ht="14.4" customHeight="1" x14ac:dyDescent="0.3">
      <c r="A1021">
        <v>188827172</v>
      </c>
      <c r="B1021" s="1">
        <v>44949</v>
      </c>
      <c r="D1021" t="s">
        <v>7</v>
      </c>
      <c r="E1021">
        <v>39</v>
      </c>
      <c r="F1021" t="s">
        <v>6</v>
      </c>
      <c r="G1021" t="str">
        <f t="shared" si="90"/>
        <v/>
      </c>
      <c r="H1021" s="1" t="str">
        <f t="shared" si="91"/>
        <v>Monday</v>
      </c>
      <c r="I1021" t="str">
        <f t="shared" si="92"/>
        <v>No</v>
      </c>
      <c r="J1021">
        <f t="shared" si="93"/>
        <v>0</v>
      </c>
      <c r="K1021">
        <f t="shared" si="94"/>
        <v>0</v>
      </c>
      <c r="L1021" t="str">
        <f t="shared" si="95"/>
        <v/>
      </c>
    </row>
    <row r="1022" spans="1:12" x14ac:dyDescent="0.3">
      <c r="A1022">
        <v>188068965</v>
      </c>
      <c r="B1022" s="1">
        <v>44949</v>
      </c>
      <c r="C1022" s="1">
        <v>45076</v>
      </c>
      <c r="D1022" t="s">
        <v>7</v>
      </c>
      <c r="E1022">
        <v>39</v>
      </c>
      <c r="F1022" t="s">
        <v>6</v>
      </c>
      <c r="G1022">
        <f t="shared" si="90"/>
        <v>127</v>
      </c>
      <c r="H1022" s="1" t="str">
        <f t="shared" si="91"/>
        <v>Monday</v>
      </c>
      <c r="I1022" t="str">
        <f t="shared" si="92"/>
        <v>No</v>
      </c>
      <c r="J1022">
        <f t="shared" si="93"/>
        <v>0</v>
      </c>
      <c r="K1022">
        <f t="shared" si="94"/>
        <v>1</v>
      </c>
      <c r="L1022">
        <f t="shared" si="95"/>
        <v>127</v>
      </c>
    </row>
    <row r="1023" spans="1:12" x14ac:dyDescent="0.3">
      <c r="A1023">
        <v>182958960</v>
      </c>
      <c r="B1023" s="1">
        <v>44949</v>
      </c>
      <c r="C1023" s="1">
        <v>44987</v>
      </c>
      <c r="D1023" t="s">
        <v>7</v>
      </c>
      <c r="E1023">
        <v>39</v>
      </c>
      <c r="F1023" t="s">
        <v>6</v>
      </c>
      <c r="G1023">
        <f t="shared" si="90"/>
        <v>38</v>
      </c>
      <c r="H1023" s="1" t="str">
        <f t="shared" si="91"/>
        <v>Monday</v>
      </c>
      <c r="I1023" t="str">
        <f t="shared" si="92"/>
        <v>No</v>
      </c>
      <c r="J1023">
        <f t="shared" si="93"/>
        <v>0</v>
      </c>
      <c r="K1023">
        <f t="shared" si="94"/>
        <v>1</v>
      </c>
      <c r="L1023">
        <f t="shared" si="95"/>
        <v>38</v>
      </c>
    </row>
    <row r="1024" spans="1:12" ht="14.4" customHeight="1" x14ac:dyDescent="0.3">
      <c r="A1024">
        <v>191999674</v>
      </c>
      <c r="B1024" s="1">
        <v>44949</v>
      </c>
      <c r="C1024" s="1">
        <v>44970</v>
      </c>
      <c r="D1024" t="s">
        <v>7</v>
      </c>
      <c r="E1024">
        <v>39</v>
      </c>
      <c r="F1024" t="s">
        <v>6</v>
      </c>
      <c r="G1024">
        <f t="shared" si="90"/>
        <v>21</v>
      </c>
      <c r="H1024" s="1" t="str">
        <f t="shared" si="91"/>
        <v>Monday</v>
      </c>
      <c r="I1024" t="str">
        <f t="shared" si="92"/>
        <v>No</v>
      </c>
      <c r="J1024">
        <f t="shared" si="93"/>
        <v>0</v>
      </c>
      <c r="K1024">
        <f t="shared" si="94"/>
        <v>0</v>
      </c>
      <c r="L1024">
        <f t="shared" si="95"/>
        <v>21</v>
      </c>
    </row>
    <row r="1025" spans="1:12" x14ac:dyDescent="0.3">
      <c r="A1025">
        <v>183451114</v>
      </c>
      <c r="B1025" s="1">
        <v>44949</v>
      </c>
      <c r="C1025" s="1">
        <v>45168</v>
      </c>
      <c r="D1025" t="s">
        <v>7</v>
      </c>
      <c r="E1025">
        <v>39</v>
      </c>
      <c r="F1025" t="s">
        <v>6</v>
      </c>
      <c r="G1025">
        <f t="shared" si="90"/>
        <v>219</v>
      </c>
      <c r="H1025" s="1" t="str">
        <f t="shared" si="91"/>
        <v>Monday</v>
      </c>
      <c r="I1025" t="str">
        <f t="shared" si="92"/>
        <v>No</v>
      </c>
      <c r="J1025">
        <f t="shared" si="93"/>
        <v>0</v>
      </c>
      <c r="K1025">
        <f t="shared" si="94"/>
        <v>1</v>
      </c>
      <c r="L1025">
        <f t="shared" si="95"/>
        <v>219</v>
      </c>
    </row>
    <row r="1026" spans="1:12" ht="14.4" customHeight="1" x14ac:dyDescent="0.3">
      <c r="A1026">
        <v>191807491</v>
      </c>
      <c r="B1026" s="1">
        <v>44950</v>
      </c>
      <c r="D1026" t="s">
        <v>7</v>
      </c>
      <c r="E1026">
        <v>39</v>
      </c>
      <c r="F1026" t="s">
        <v>6</v>
      </c>
      <c r="G1026" t="str">
        <f t="shared" ref="G1026:G1089" si="96">IF(C1026="","",C1026-B1026)</f>
        <v/>
      </c>
      <c r="H1026" s="1" t="str">
        <f t="shared" si="91"/>
        <v>Tuesday</v>
      </c>
      <c r="I1026" t="str">
        <f t="shared" si="92"/>
        <v>No</v>
      </c>
      <c r="J1026">
        <f t="shared" si="93"/>
        <v>0</v>
      </c>
      <c r="K1026">
        <f t="shared" si="94"/>
        <v>0</v>
      </c>
      <c r="L1026" t="str">
        <f t="shared" si="95"/>
        <v/>
      </c>
    </row>
    <row r="1027" spans="1:12" x14ac:dyDescent="0.3">
      <c r="A1027">
        <v>157833252</v>
      </c>
      <c r="B1027" s="1">
        <v>44950</v>
      </c>
      <c r="C1027" s="1">
        <v>45176</v>
      </c>
      <c r="D1027" t="s">
        <v>7</v>
      </c>
      <c r="E1027">
        <v>39</v>
      </c>
      <c r="F1027" t="s">
        <v>6</v>
      </c>
      <c r="G1027">
        <f t="shared" si="96"/>
        <v>226</v>
      </c>
      <c r="H1027" s="1" t="str">
        <f t="shared" ref="H1027:H1090" si="97">TEXT(B1027,"dddd")</f>
        <v>Tuesday</v>
      </c>
      <c r="I1027" t="str">
        <f t="shared" ref="I1027:I1090" si="98">IF(B1027=C1027,"Yes","No")</f>
        <v>No</v>
      </c>
      <c r="J1027">
        <f t="shared" ref="J1027:J1090" si="99">IF(AND(C1027&lt;&gt;"",C1027-B1027&lt;=2),1,0)</f>
        <v>0</v>
      </c>
      <c r="K1027">
        <f t="shared" ref="K1027:K1090" si="100">IF(AND(C1027&lt;&gt;"",C1027-B1027&gt;30),1,0)</f>
        <v>1</v>
      </c>
      <c r="L1027">
        <f t="shared" ref="L1027:L1090" si="101">IF(C1027="","",C1027-B1027)</f>
        <v>226</v>
      </c>
    </row>
    <row r="1028" spans="1:12" x14ac:dyDescent="0.3">
      <c r="A1028">
        <v>188162430</v>
      </c>
      <c r="B1028" s="1">
        <v>44950</v>
      </c>
      <c r="C1028" s="1">
        <v>45093</v>
      </c>
      <c r="D1028" t="s">
        <v>7</v>
      </c>
      <c r="E1028">
        <v>39</v>
      </c>
      <c r="F1028" t="s">
        <v>6</v>
      </c>
      <c r="G1028">
        <f t="shared" si="96"/>
        <v>143</v>
      </c>
      <c r="H1028" s="1" t="str">
        <f t="shared" si="97"/>
        <v>Tuesday</v>
      </c>
      <c r="I1028" t="str">
        <f t="shared" si="98"/>
        <v>No</v>
      </c>
      <c r="J1028">
        <f t="shared" si="99"/>
        <v>0</v>
      </c>
      <c r="K1028">
        <f t="shared" si="100"/>
        <v>1</v>
      </c>
      <c r="L1028">
        <f t="shared" si="101"/>
        <v>143</v>
      </c>
    </row>
    <row r="1029" spans="1:12" x14ac:dyDescent="0.3">
      <c r="A1029">
        <v>190733249</v>
      </c>
      <c r="B1029" s="1">
        <v>44950</v>
      </c>
      <c r="C1029" s="1">
        <v>45005</v>
      </c>
      <c r="D1029" t="s">
        <v>7</v>
      </c>
      <c r="E1029">
        <v>39</v>
      </c>
      <c r="F1029" t="s">
        <v>6</v>
      </c>
      <c r="G1029">
        <f t="shared" si="96"/>
        <v>55</v>
      </c>
      <c r="H1029" s="1" t="str">
        <f t="shared" si="97"/>
        <v>Tuesday</v>
      </c>
      <c r="I1029" t="str">
        <f t="shared" si="98"/>
        <v>No</v>
      </c>
      <c r="J1029">
        <f t="shared" si="99"/>
        <v>0</v>
      </c>
      <c r="K1029">
        <f t="shared" si="100"/>
        <v>1</v>
      </c>
      <c r="L1029">
        <f t="shared" si="101"/>
        <v>55</v>
      </c>
    </row>
    <row r="1030" spans="1:12" x14ac:dyDescent="0.3">
      <c r="A1030">
        <v>192539054</v>
      </c>
      <c r="B1030" s="1">
        <v>44950</v>
      </c>
      <c r="C1030" s="1">
        <v>44985</v>
      </c>
      <c r="D1030" t="s">
        <v>7</v>
      </c>
      <c r="E1030">
        <v>39</v>
      </c>
      <c r="F1030" t="s">
        <v>6</v>
      </c>
      <c r="G1030">
        <f t="shared" si="96"/>
        <v>35</v>
      </c>
      <c r="H1030" s="1" t="str">
        <f t="shared" si="97"/>
        <v>Tuesday</v>
      </c>
      <c r="I1030" t="str">
        <f t="shared" si="98"/>
        <v>No</v>
      </c>
      <c r="J1030">
        <f t="shared" si="99"/>
        <v>0</v>
      </c>
      <c r="K1030">
        <f t="shared" si="100"/>
        <v>1</v>
      </c>
      <c r="L1030">
        <f t="shared" si="101"/>
        <v>35</v>
      </c>
    </row>
    <row r="1031" spans="1:12" ht="14.4" customHeight="1" x14ac:dyDescent="0.3">
      <c r="A1031">
        <v>193572822</v>
      </c>
      <c r="B1031" s="1">
        <v>44950</v>
      </c>
      <c r="C1031" s="1">
        <v>44977</v>
      </c>
      <c r="D1031" t="s">
        <v>7</v>
      </c>
      <c r="E1031">
        <v>39</v>
      </c>
      <c r="F1031" t="s">
        <v>6</v>
      </c>
      <c r="G1031">
        <f t="shared" si="96"/>
        <v>27</v>
      </c>
      <c r="H1031" s="1" t="str">
        <f t="shared" si="97"/>
        <v>Tuesday</v>
      </c>
      <c r="I1031" t="str">
        <f t="shared" si="98"/>
        <v>No</v>
      </c>
      <c r="J1031">
        <f t="shared" si="99"/>
        <v>0</v>
      </c>
      <c r="K1031">
        <f t="shared" si="100"/>
        <v>0</v>
      </c>
      <c r="L1031">
        <f t="shared" si="101"/>
        <v>27</v>
      </c>
    </row>
    <row r="1032" spans="1:12" ht="14.4" customHeight="1" x14ac:dyDescent="0.3">
      <c r="A1032">
        <v>141399368</v>
      </c>
      <c r="B1032" s="1">
        <v>44951</v>
      </c>
      <c r="D1032" t="s">
        <v>7</v>
      </c>
      <c r="E1032">
        <v>39</v>
      </c>
      <c r="F1032" t="s">
        <v>6</v>
      </c>
      <c r="G1032" t="str">
        <f t="shared" si="96"/>
        <v/>
      </c>
      <c r="H1032" s="1" t="str">
        <f t="shared" si="97"/>
        <v>Wednesday</v>
      </c>
      <c r="I1032" t="str">
        <f t="shared" si="98"/>
        <v>No</v>
      </c>
      <c r="J1032">
        <f t="shared" si="99"/>
        <v>0</v>
      </c>
      <c r="K1032">
        <f t="shared" si="100"/>
        <v>0</v>
      </c>
      <c r="L1032" t="str">
        <f t="shared" si="101"/>
        <v/>
      </c>
    </row>
    <row r="1033" spans="1:12" ht="14.4" customHeight="1" x14ac:dyDescent="0.3">
      <c r="A1033">
        <v>193285633</v>
      </c>
      <c r="B1033" s="1">
        <v>44951</v>
      </c>
      <c r="D1033" t="s">
        <v>7</v>
      </c>
      <c r="E1033">
        <v>39</v>
      </c>
      <c r="F1033" t="s">
        <v>6</v>
      </c>
      <c r="G1033" t="str">
        <f t="shared" si="96"/>
        <v/>
      </c>
      <c r="H1033" s="1" t="str">
        <f t="shared" si="97"/>
        <v>Wednesday</v>
      </c>
      <c r="I1033" t="str">
        <f t="shared" si="98"/>
        <v>No</v>
      </c>
      <c r="J1033">
        <f t="shared" si="99"/>
        <v>0</v>
      </c>
      <c r="K1033">
        <f t="shared" si="100"/>
        <v>0</v>
      </c>
      <c r="L1033" t="str">
        <f t="shared" si="101"/>
        <v/>
      </c>
    </row>
    <row r="1034" spans="1:12" ht="14.4" customHeight="1" x14ac:dyDescent="0.3">
      <c r="A1034">
        <v>193891378</v>
      </c>
      <c r="B1034" s="1">
        <v>44951</v>
      </c>
      <c r="D1034" t="s">
        <v>7</v>
      </c>
      <c r="E1034">
        <v>39</v>
      </c>
      <c r="F1034" t="s">
        <v>6</v>
      </c>
      <c r="G1034" t="str">
        <f t="shared" si="96"/>
        <v/>
      </c>
      <c r="H1034" s="1" t="str">
        <f t="shared" si="97"/>
        <v>Wednesday</v>
      </c>
      <c r="I1034" t="str">
        <f t="shared" si="98"/>
        <v>No</v>
      </c>
      <c r="J1034">
        <f t="shared" si="99"/>
        <v>0</v>
      </c>
      <c r="K1034">
        <f t="shared" si="100"/>
        <v>0</v>
      </c>
      <c r="L1034" t="str">
        <f t="shared" si="101"/>
        <v/>
      </c>
    </row>
    <row r="1035" spans="1:12" ht="14.4" customHeight="1" x14ac:dyDescent="0.3">
      <c r="A1035">
        <v>153628260</v>
      </c>
      <c r="B1035" s="1">
        <v>44951</v>
      </c>
      <c r="C1035" s="1">
        <v>44952</v>
      </c>
      <c r="D1035" t="s">
        <v>7</v>
      </c>
      <c r="E1035">
        <v>39</v>
      </c>
      <c r="F1035" t="s">
        <v>6</v>
      </c>
      <c r="G1035">
        <f t="shared" si="96"/>
        <v>1</v>
      </c>
      <c r="H1035" s="1" t="str">
        <f t="shared" si="97"/>
        <v>Wednesday</v>
      </c>
      <c r="I1035" t="str">
        <f t="shared" si="98"/>
        <v>No</v>
      </c>
      <c r="J1035">
        <f t="shared" si="99"/>
        <v>1</v>
      </c>
      <c r="K1035">
        <f t="shared" si="100"/>
        <v>0</v>
      </c>
      <c r="L1035">
        <f t="shared" si="101"/>
        <v>1</v>
      </c>
    </row>
    <row r="1036" spans="1:12" ht="14.4" customHeight="1" x14ac:dyDescent="0.3">
      <c r="A1036">
        <v>194719566</v>
      </c>
      <c r="B1036" s="1">
        <v>44951</v>
      </c>
      <c r="C1036" s="1">
        <v>44951</v>
      </c>
      <c r="D1036" t="s">
        <v>8</v>
      </c>
      <c r="E1036">
        <v>39</v>
      </c>
      <c r="F1036" t="s">
        <v>6</v>
      </c>
      <c r="G1036">
        <f t="shared" si="96"/>
        <v>0</v>
      </c>
      <c r="H1036" s="1" t="str">
        <f t="shared" si="97"/>
        <v>Wednesday</v>
      </c>
      <c r="I1036" t="str">
        <f t="shared" si="98"/>
        <v>Yes</v>
      </c>
      <c r="J1036">
        <f t="shared" si="99"/>
        <v>1</v>
      </c>
      <c r="K1036">
        <f t="shared" si="100"/>
        <v>0</v>
      </c>
      <c r="L1036">
        <f t="shared" si="101"/>
        <v>0</v>
      </c>
    </row>
    <row r="1037" spans="1:12" ht="14.4" customHeight="1" x14ac:dyDescent="0.3">
      <c r="A1037">
        <v>176559401</v>
      </c>
      <c r="B1037" s="1">
        <v>44951</v>
      </c>
      <c r="C1037" s="1">
        <v>44951</v>
      </c>
      <c r="D1037" t="s">
        <v>8</v>
      </c>
      <c r="E1037">
        <v>39</v>
      </c>
      <c r="F1037" t="s">
        <v>6</v>
      </c>
      <c r="G1037">
        <f t="shared" si="96"/>
        <v>0</v>
      </c>
      <c r="H1037" s="1" t="str">
        <f t="shared" si="97"/>
        <v>Wednesday</v>
      </c>
      <c r="I1037" t="str">
        <f t="shared" si="98"/>
        <v>Yes</v>
      </c>
      <c r="J1037">
        <f t="shared" si="99"/>
        <v>1</v>
      </c>
      <c r="K1037">
        <f t="shared" si="100"/>
        <v>0</v>
      </c>
      <c r="L1037">
        <f t="shared" si="101"/>
        <v>0</v>
      </c>
    </row>
    <row r="1038" spans="1:12" x14ac:dyDescent="0.3">
      <c r="A1038">
        <v>150178354</v>
      </c>
      <c r="B1038" s="1">
        <v>44951</v>
      </c>
      <c r="C1038" s="1">
        <v>45071</v>
      </c>
      <c r="D1038" t="s">
        <v>7</v>
      </c>
      <c r="E1038">
        <v>39</v>
      </c>
      <c r="F1038" t="s">
        <v>6</v>
      </c>
      <c r="G1038">
        <f t="shared" si="96"/>
        <v>120</v>
      </c>
      <c r="H1038" s="1" t="str">
        <f t="shared" si="97"/>
        <v>Wednesday</v>
      </c>
      <c r="I1038" t="str">
        <f t="shared" si="98"/>
        <v>No</v>
      </c>
      <c r="J1038">
        <f t="shared" si="99"/>
        <v>0</v>
      </c>
      <c r="K1038">
        <f t="shared" si="100"/>
        <v>1</v>
      </c>
      <c r="L1038">
        <f t="shared" si="101"/>
        <v>120</v>
      </c>
    </row>
    <row r="1039" spans="1:12" x14ac:dyDescent="0.3">
      <c r="A1039">
        <v>192395073</v>
      </c>
      <c r="B1039" s="1">
        <v>44951</v>
      </c>
      <c r="C1039" s="1">
        <v>45022</v>
      </c>
      <c r="D1039" t="s">
        <v>7</v>
      </c>
      <c r="E1039">
        <v>39</v>
      </c>
      <c r="F1039" t="s">
        <v>6</v>
      </c>
      <c r="G1039">
        <f t="shared" si="96"/>
        <v>71</v>
      </c>
      <c r="H1039" s="1" t="str">
        <f t="shared" si="97"/>
        <v>Wednesday</v>
      </c>
      <c r="I1039" t="str">
        <f t="shared" si="98"/>
        <v>No</v>
      </c>
      <c r="J1039">
        <f t="shared" si="99"/>
        <v>0</v>
      </c>
      <c r="K1039">
        <f t="shared" si="100"/>
        <v>1</v>
      </c>
      <c r="L1039">
        <f t="shared" si="101"/>
        <v>71</v>
      </c>
    </row>
    <row r="1040" spans="1:12" x14ac:dyDescent="0.3">
      <c r="A1040">
        <v>152690237</v>
      </c>
      <c r="B1040" s="1">
        <v>44951</v>
      </c>
      <c r="C1040" s="1">
        <v>45007</v>
      </c>
      <c r="D1040" t="s">
        <v>7</v>
      </c>
      <c r="E1040">
        <v>39</v>
      </c>
      <c r="F1040" t="s">
        <v>6</v>
      </c>
      <c r="G1040">
        <f t="shared" si="96"/>
        <v>56</v>
      </c>
      <c r="H1040" s="1" t="str">
        <f t="shared" si="97"/>
        <v>Wednesday</v>
      </c>
      <c r="I1040" t="str">
        <f t="shared" si="98"/>
        <v>No</v>
      </c>
      <c r="J1040">
        <f t="shared" si="99"/>
        <v>0</v>
      </c>
      <c r="K1040">
        <f t="shared" si="100"/>
        <v>1</v>
      </c>
      <c r="L1040">
        <f t="shared" si="101"/>
        <v>56</v>
      </c>
    </row>
    <row r="1041" spans="1:12" x14ac:dyDescent="0.3">
      <c r="A1041">
        <v>151572886</v>
      </c>
      <c r="B1041" s="1">
        <v>44951</v>
      </c>
      <c r="C1041" s="1">
        <v>44997</v>
      </c>
      <c r="D1041" t="s">
        <v>7</v>
      </c>
      <c r="E1041">
        <v>39</v>
      </c>
      <c r="F1041" t="s">
        <v>6</v>
      </c>
      <c r="G1041">
        <f t="shared" si="96"/>
        <v>46</v>
      </c>
      <c r="H1041" s="1" t="str">
        <f t="shared" si="97"/>
        <v>Wednesday</v>
      </c>
      <c r="I1041" t="str">
        <f t="shared" si="98"/>
        <v>No</v>
      </c>
      <c r="J1041">
        <f t="shared" si="99"/>
        <v>0</v>
      </c>
      <c r="K1041">
        <f t="shared" si="100"/>
        <v>1</v>
      </c>
      <c r="L1041">
        <f t="shared" si="101"/>
        <v>46</v>
      </c>
    </row>
    <row r="1042" spans="1:12" x14ac:dyDescent="0.3">
      <c r="A1042">
        <v>193869975</v>
      </c>
      <c r="B1042" s="1">
        <v>44951</v>
      </c>
      <c r="C1042" s="1">
        <v>45000</v>
      </c>
      <c r="D1042" t="s">
        <v>7</v>
      </c>
      <c r="E1042">
        <v>39</v>
      </c>
      <c r="F1042" t="s">
        <v>6</v>
      </c>
      <c r="G1042">
        <f t="shared" si="96"/>
        <v>49</v>
      </c>
      <c r="H1042" s="1" t="str">
        <f t="shared" si="97"/>
        <v>Wednesday</v>
      </c>
      <c r="I1042" t="str">
        <f t="shared" si="98"/>
        <v>No</v>
      </c>
      <c r="J1042">
        <f t="shared" si="99"/>
        <v>0</v>
      </c>
      <c r="K1042">
        <f t="shared" si="100"/>
        <v>1</v>
      </c>
      <c r="L1042">
        <f t="shared" si="101"/>
        <v>49</v>
      </c>
    </row>
    <row r="1043" spans="1:12" x14ac:dyDescent="0.3">
      <c r="A1043">
        <v>175077871</v>
      </c>
      <c r="B1043" s="1">
        <v>44951</v>
      </c>
      <c r="C1043" s="1">
        <v>45000</v>
      </c>
      <c r="D1043" t="s">
        <v>7</v>
      </c>
      <c r="E1043">
        <v>39</v>
      </c>
      <c r="F1043" t="s">
        <v>6</v>
      </c>
      <c r="G1043">
        <f t="shared" si="96"/>
        <v>49</v>
      </c>
      <c r="H1043" s="1" t="str">
        <f t="shared" si="97"/>
        <v>Wednesday</v>
      </c>
      <c r="I1043" t="str">
        <f t="shared" si="98"/>
        <v>No</v>
      </c>
      <c r="J1043">
        <f t="shared" si="99"/>
        <v>0</v>
      </c>
      <c r="K1043">
        <f t="shared" si="100"/>
        <v>1</v>
      </c>
      <c r="L1043">
        <f t="shared" si="101"/>
        <v>49</v>
      </c>
    </row>
    <row r="1044" spans="1:12" x14ac:dyDescent="0.3">
      <c r="A1044">
        <v>193229869</v>
      </c>
      <c r="B1044" s="1">
        <v>44951</v>
      </c>
      <c r="C1044" s="1">
        <v>44986</v>
      </c>
      <c r="D1044" t="s">
        <v>7</v>
      </c>
      <c r="E1044">
        <v>39</v>
      </c>
      <c r="F1044" t="s">
        <v>6</v>
      </c>
      <c r="G1044">
        <f t="shared" si="96"/>
        <v>35</v>
      </c>
      <c r="H1044" s="1" t="str">
        <f t="shared" si="97"/>
        <v>Wednesday</v>
      </c>
      <c r="I1044" t="str">
        <f t="shared" si="98"/>
        <v>No</v>
      </c>
      <c r="J1044">
        <f t="shared" si="99"/>
        <v>0</v>
      </c>
      <c r="K1044">
        <f t="shared" si="100"/>
        <v>1</v>
      </c>
      <c r="L1044">
        <f t="shared" si="101"/>
        <v>35</v>
      </c>
    </row>
    <row r="1045" spans="1:12" ht="14.4" customHeight="1" x14ac:dyDescent="0.3">
      <c r="A1045">
        <v>189257579</v>
      </c>
      <c r="B1045" s="1">
        <v>44952</v>
      </c>
      <c r="D1045" t="s">
        <v>7</v>
      </c>
      <c r="E1045">
        <v>39</v>
      </c>
      <c r="F1045" t="s">
        <v>6</v>
      </c>
      <c r="G1045" t="str">
        <f t="shared" si="96"/>
        <v/>
      </c>
      <c r="H1045" s="1" t="str">
        <f t="shared" si="97"/>
        <v>Thursday</v>
      </c>
      <c r="I1045" t="str">
        <f t="shared" si="98"/>
        <v>No</v>
      </c>
      <c r="J1045">
        <f t="shared" si="99"/>
        <v>0</v>
      </c>
      <c r="K1045">
        <f t="shared" si="100"/>
        <v>0</v>
      </c>
      <c r="L1045" t="str">
        <f t="shared" si="101"/>
        <v/>
      </c>
    </row>
    <row r="1046" spans="1:12" ht="14.4" customHeight="1" x14ac:dyDescent="0.3">
      <c r="A1046">
        <v>184333409</v>
      </c>
      <c r="B1046" s="1">
        <v>44952</v>
      </c>
      <c r="D1046" t="s">
        <v>7</v>
      </c>
      <c r="E1046">
        <v>39</v>
      </c>
      <c r="F1046" t="s">
        <v>6</v>
      </c>
      <c r="G1046" t="str">
        <f t="shared" si="96"/>
        <v/>
      </c>
      <c r="H1046" s="1" t="str">
        <f t="shared" si="97"/>
        <v>Thursday</v>
      </c>
      <c r="I1046" t="str">
        <f t="shared" si="98"/>
        <v>No</v>
      </c>
      <c r="J1046">
        <f t="shared" si="99"/>
        <v>0</v>
      </c>
      <c r="K1046">
        <f t="shared" si="100"/>
        <v>0</v>
      </c>
      <c r="L1046" t="str">
        <f t="shared" si="101"/>
        <v/>
      </c>
    </row>
    <row r="1047" spans="1:12" ht="14.4" customHeight="1" x14ac:dyDescent="0.3">
      <c r="A1047">
        <v>144719454</v>
      </c>
      <c r="B1047" s="1">
        <v>44952</v>
      </c>
      <c r="D1047" t="s">
        <v>7</v>
      </c>
      <c r="E1047">
        <v>39</v>
      </c>
      <c r="F1047" t="s">
        <v>6</v>
      </c>
      <c r="G1047" t="str">
        <f t="shared" si="96"/>
        <v/>
      </c>
      <c r="H1047" s="1" t="str">
        <f t="shared" si="97"/>
        <v>Thursday</v>
      </c>
      <c r="I1047" t="str">
        <f t="shared" si="98"/>
        <v>No</v>
      </c>
      <c r="J1047">
        <f t="shared" si="99"/>
        <v>0</v>
      </c>
      <c r="K1047">
        <f t="shared" si="100"/>
        <v>0</v>
      </c>
      <c r="L1047" t="str">
        <f t="shared" si="101"/>
        <v/>
      </c>
    </row>
    <row r="1048" spans="1:12" ht="14.4" customHeight="1" x14ac:dyDescent="0.3">
      <c r="A1048">
        <v>195759475</v>
      </c>
      <c r="B1048" s="1">
        <v>44952</v>
      </c>
      <c r="D1048" t="s">
        <v>7</v>
      </c>
      <c r="E1048">
        <v>39</v>
      </c>
      <c r="F1048" t="s">
        <v>6</v>
      </c>
      <c r="G1048" t="str">
        <f t="shared" si="96"/>
        <v/>
      </c>
      <c r="H1048" s="1" t="str">
        <f t="shared" si="97"/>
        <v>Thursday</v>
      </c>
      <c r="I1048" t="str">
        <f t="shared" si="98"/>
        <v>No</v>
      </c>
      <c r="J1048">
        <f t="shared" si="99"/>
        <v>0</v>
      </c>
      <c r="K1048">
        <f t="shared" si="100"/>
        <v>0</v>
      </c>
      <c r="L1048" t="str">
        <f t="shared" si="101"/>
        <v/>
      </c>
    </row>
    <row r="1049" spans="1:12" ht="14.4" customHeight="1" x14ac:dyDescent="0.3">
      <c r="A1049">
        <v>167602454</v>
      </c>
      <c r="B1049" s="1">
        <v>44952</v>
      </c>
      <c r="D1049" t="s">
        <v>7</v>
      </c>
      <c r="E1049">
        <v>39</v>
      </c>
      <c r="F1049" t="s">
        <v>6</v>
      </c>
      <c r="G1049" t="str">
        <f t="shared" si="96"/>
        <v/>
      </c>
      <c r="H1049" s="1" t="str">
        <f t="shared" si="97"/>
        <v>Thursday</v>
      </c>
      <c r="I1049" t="str">
        <f t="shared" si="98"/>
        <v>No</v>
      </c>
      <c r="J1049">
        <f t="shared" si="99"/>
        <v>0</v>
      </c>
      <c r="K1049">
        <f t="shared" si="100"/>
        <v>0</v>
      </c>
      <c r="L1049" t="str">
        <f t="shared" si="101"/>
        <v/>
      </c>
    </row>
    <row r="1050" spans="1:12" ht="14.4" customHeight="1" x14ac:dyDescent="0.3">
      <c r="A1050">
        <v>148838269</v>
      </c>
      <c r="B1050" s="1">
        <v>44952</v>
      </c>
      <c r="D1050" t="s">
        <v>7</v>
      </c>
      <c r="E1050">
        <v>39</v>
      </c>
      <c r="F1050" t="s">
        <v>6</v>
      </c>
      <c r="G1050" t="str">
        <f t="shared" si="96"/>
        <v/>
      </c>
      <c r="H1050" s="1" t="str">
        <f t="shared" si="97"/>
        <v>Thursday</v>
      </c>
      <c r="I1050" t="str">
        <f t="shared" si="98"/>
        <v>No</v>
      </c>
      <c r="J1050">
        <f t="shared" si="99"/>
        <v>0</v>
      </c>
      <c r="K1050">
        <f t="shared" si="100"/>
        <v>0</v>
      </c>
      <c r="L1050" t="str">
        <f t="shared" si="101"/>
        <v/>
      </c>
    </row>
    <row r="1051" spans="1:12" x14ac:dyDescent="0.3">
      <c r="A1051">
        <v>195938394</v>
      </c>
      <c r="B1051" s="1">
        <v>44952</v>
      </c>
      <c r="C1051" s="1">
        <v>45100</v>
      </c>
      <c r="D1051" t="s">
        <v>7</v>
      </c>
      <c r="E1051">
        <v>39</v>
      </c>
      <c r="F1051" t="s">
        <v>6</v>
      </c>
      <c r="G1051">
        <f t="shared" si="96"/>
        <v>148</v>
      </c>
      <c r="H1051" s="1" t="str">
        <f t="shared" si="97"/>
        <v>Thursday</v>
      </c>
      <c r="I1051" t="str">
        <f t="shared" si="98"/>
        <v>No</v>
      </c>
      <c r="J1051">
        <f t="shared" si="99"/>
        <v>0</v>
      </c>
      <c r="K1051">
        <f t="shared" si="100"/>
        <v>1</v>
      </c>
      <c r="L1051">
        <f t="shared" si="101"/>
        <v>148</v>
      </c>
    </row>
    <row r="1052" spans="1:12" x14ac:dyDescent="0.3">
      <c r="A1052">
        <v>194091086</v>
      </c>
      <c r="B1052" s="1">
        <v>44952</v>
      </c>
      <c r="C1052" s="1">
        <v>45020</v>
      </c>
      <c r="D1052" t="s">
        <v>7</v>
      </c>
      <c r="E1052">
        <v>39</v>
      </c>
      <c r="F1052" t="s">
        <v>6</v>
      </c>
      <c r="G1052">
        <f t="shared" si="96"/>
        <v>68</v>
      </c>
      <c r="H1052" s="1" t="str">
        <f t="shared" si="97"/>
        <v>Thursday</v>
      </c>
      <c r="I1052" t="str">
        <f t="shared" si="98"/>
        <v>No</v>
      </c>
      <c r="J1052">
        <f t="shared" si="99"/>
        <v>0</v>
      </c>
      <c r="K1052">
        <f t="shared" si="100"/>
        <v>1</v>
      </c>
      <c r="L1052">
        <f t="shared" si="101"/>
        <v>68</v>
      </c>
    </row>
    <row r="1053" spans="1:12" x14ac:dyDescent="0.3">
      <c r="A1053">
        <v>181456580</v>
      </c>
      <c r="B1053" s="1">
        <v>44952</v>
      </c>
      <c r="C1053" s="1">
        <v>45039</v>
      </c>
      <c r="D1053" t="s">
        <v>7</v>
      </c>
      <c r="E1053">
        <v>39</v>
      </c>
      <c r="F1053" t="s">
        <v>6</v>
      </c>
      <c r="G1053">
        <f t="shared" si="96"/>
        <v>87</v>
      </c>
      <c r="H1053" s="1" t="str">
        <f t="shared" si="97"/>
        <v>Thursday</v>
      </c>
      <c r="I1053" t="str">
        <f t="shared" si="98"/>
        <v>No</v>
      </c>
      <c r="J1053">
        <f t="shared" si="99"/>
        <v>0</v>
      </c>
      <c r="K1053">
        <f t="shared" si="100"/>
        <v>1</v>
      </c>
      <c r="L1053">
        <f t="shared" si="101"/>
        <v>87</v>
      </c>
    </row>
    <row r="1054" spans="1:12" x14ac:dyDescent="0.3">
      <c r="A1054">
        <v>169302100</v>
      </c>
      <c r="B1054" s="1">
        <v>44952</v>
      </c>
      <c r="C1054" s="1">
        <v>45015</v>
      </c>
      <c r="D1054" t="s">
        <v>7</v>
      </c>
      <c r="E1054">
        <v>39</v>
      </c>
      <c r="F1054" t="s">
        <v>6</v>
      </c>
      <c r="G1054">
        <f t="shared" si="96"/>
        <v>63</v>
      </c>
      <c r="H1054" s="1" t="str">
        <f t="shared" si="97"/>
        <v>Thursday</v>
      </c>
      <c r="I1054" t="str">
        <f t="shared" si="98"/>
        <v>No</v>
      </c>
      <c r="J1054">
        <f t="shared" si="99"/>
        <v>0</v>
      </c>
      <c r="K1054">
        <f t="shared" si="100"/>
        <v>1</v>
      </c>
      <c r="L1054">
        <f t="shared" si="101"/>
        <v>63</v>
      </c>
    </row>
    <row r="1055" spans="1:12" x14ac:dyDescent="0.3">
      <c r="A1055">
        <v>180997025</v>
      </c>
      <c r="B1055" s="1">
        <v>44952</v>
      </c>
      <c r="C1055" s="1">
        <v>44990</v>
      </c>
      <c r="D1055" t="s">
        <v>7</v>
      </c>
      <c r="E1055">
        <v>39</v>
      </c>
      <c r="F1055" t="s">
        <v>6</v>
      </c>
      <c r="G1055">
        <f t="shared" si="96"/>
        <v>38</v>
      </c>
      <c r="H1055" s="1" t="str">
        <f t="shared" si="97"/>
        <v>Thursday</v>
      </c>
      <c r="I1055" t="str">
        <f t="shared" si="98"/>
        <v>No</v>
      </c>
      <c r="J1055">
        <f t="shared" si="99"/>
        <v>0</v>
      </c>
      <c r="K1055">
        <f t="shared" si="100"/>
        <v>1</v>
      </c>
      <c r="L1055">
        <f t="shared" si="101"/>
        <v>38</v>
      </c>
    </row>
    <row r="1056" spans="1:12" ht="14.4" customHeight="1" x14ac:dyDescent="0.3">
      <c r="A1056">
        <v>196091620</v>
      </c>
      <c r="B1056" s="1">
        <v>44952</v>
      </c>
      <c r="C1056" s="1">
        <v>44959</v>
      </c>
      <c r="D1056" t="s">
        <v>7</v>
      </c>
      <c r="E1056">
        <v>39</v>
      </c>
      <c r="F1056" t="s">
        <v>6</v>
      </c>
      <c r="G1056">
        <f t="shared" si="96"/>
        <v>7</v>
      </c>
      <c r="H1056" s="1" t="str">
        <f t="shared" si="97"/>
        <v>Thursday</v>
      </c>
      <c r="I1056" t="str">
        <f t="shared" si="98"/>
        <v>No</v>
      </c>
      <c r="J1056">
        <f t="shared" si="99"/>
        <v>0</v>
      </c>
      <c r="K1056">
        <f t="shared" si="100"/>
        <v>0</v>
      </c>
      <c r="L1056">
        <f t="shared" si="101"/>
        <v>7</v>
      </c>
    </row>
    <row r="1057" spans="1:12" ht="14.4" customHeight="1" x14ac:dyDescent="0.3">
      <c r="A1057">
        <v>189277140</v>
      </c>
      <c r="B1057" s="1">
        <v>44952</v>
      </c>
      <c r="C1057" s="1">
        <v>44980</v>
      </c>
      <c r="D1057" t="s">
        <v>7</v>
      </c>
      <c r="E1057">
        <v>39</v>
      </c>
      <c r="F1057" t="s">
        <v>6</v>
      </c>
      <c r="G1057">
        <f t="shared" si="96"/>
        <v>28</v>
      </c>
      <c r="H1057" s="1" t="str">
        <f t="shared" si="97"/>
        <v>Thursday</v>
      </c>
      <c r="I1057" t="str">
        <f t="shared" si="98"/>
        <v>No</v>
      </c>
      <c r="J1057">
        <f t="shared" si="99"/>
        <v>0</v>
      </c>
      <c r="K1057">
        <f t="shared" si="100"/>
        <v>0</v>
      </c>
      <c r="L1057">
        <f t="shared" si="101"/>
        <v>28</v>
      </c>
    </row>
    <row r="1058" spans="1:12" ht="14.4" customHeight="1" x14ac:dyDescent="0.3">
      <c r="A1058">
        <v>195279352</v>
      </c>
      <c r="B1058" s="1">
        <v>44952</v>
      </c>
      <c r="C1058" s="1">
        <v>44980</v>
      </c>
      <c r="D1058" t="s">
        <v>7</v>
      </c>
      <c r="E1058">
        <v>39</v>
      </c>
      <c r="F1058" t="s">
        <v>6</v>
      </c>
      <c r="G1058">
        <f t="shared" si="96"/>
        <v>28</v>
      </c>
      <c r="H1058" s="1" t="str">
        <f t="shared" si="97"/>
        <v>Thursday</v>
      </c>
      <c r="I1058" t="str">
        <f t="shared" si="98"/>
        <v>No</v>
      </c>
      <c r="J1058">
        <f t="shared" si="99"/>
        <v>0</v>
      </c>
      <c r="K1058">
        <f t="shared" si="100"/>
        <v>0</v>
      </c>
      <c r="L1058">
        <f t="shared" si="101"/>
        <v>28</v>
      </c>
    </row>
    <row r="1059" spans="1:12" ht="14.4" customHeight="1" x14ac:dyDescent="0.3">
      <c r="A1059">
        <v>191113428</v>
      </c>
      <c r="B1059" s="1">
        <v>44952</v>
      </c>
      <c r="C1059" s="1">
        <v>44952</v>
      </c>
      <c r="D1059" t="s">
        <v>7</v>
      </c>
      <c r="E1059">
        <v>39</v>
      </c>
      <c r="F1059" t="s">
        <v>6</v>
      </c>
      <c r="G1059">
        <f t="shared" si="96"/>
        <v>0</v>
      </c>
      <c r="H1059" s="1" t="str">
        <f t="shared" si="97"/>
        <v>Thursday</v>
      </c>
      <c r="I1059" t="str">
        <f t="shared" si="98"/>
        <v>Yes</v>
      </c>
      <c r="J1059">
        <f t="shared" si="99"/>
        <v>1</v>
      </c>
      <c r="K1059">
        <f t="shared" si="100"/>
        <v>0</v>
      </c>
      <c r="L1059">
        <f t="shared" si="101"/>
        <v>0</v>
      </c>
    </row>
    <row r="1060" spans="1:12" x14ac:dyDescent="0.3">
      <c r="A1060">
        <v>193802414</v>
      </c>
      <c r="B1060" s="1">
        <v>44952</v>
      </c>
      <c r="C1060" s="1">
        <v>45104</v>
      </c>
      <c r="D1060" t="s">
        <v>7</v>
      </c>
      <c r="E1060">
        <v>39</v>
      </c>
      <c r="F1060" t="s">
        <v>6</v>
      </c>
      <c r="G1060">
        <f t="shared" si="96"/>
        <v>152</v>
      </c>
      <c r="H1060" s="1" t="str">
        <f t="shared" si="97"/>
        <v>Thursday</v>
      </c>
      <c r="I1060" t="str">
        <f t="shared" si="98"/>
        <v>No</v>
      </c>
      <c r="J1060">
        <f t="shared" si="99"/>
        <v>0</v>
      </c>
      <c r="K1060">
        <f t="shared" si="100"/>
        <v>1</v>
      </c>
      <c r="L1060">
        <f t="shared" si="101"/>
        <v>152</v>
      </c>
    </row>
    <row r="1061" spans="1:12" ht="14.4" customHeight="1" x14ac:dyDescent="0.3">
      <c r="A1061">
        <v>115735280</v>
      </c>
      <c r="B1061" s="1">
        <v>44953</v>
      </c>
      <c r="D1061" t="s">
        <v>7</v>
      </c>
      <c r="E1061">
        <v>39</v>
      </c>
      <c r="F1061" t="s">
        <v>6</v>
      </c>
      <c r="G1061" t="str">
        <f t="shared" si="96"/>
        <v/>
      </c>
      <c r="H1061" s="1" t="str">
        <f t="shared" si="97"/>
        <v>Friday</v>
      </c>
      <c r="I1061" t="str">
        <f t="shared" si="98"/>
        <v>No</v>
      </c>
      <c r="J1061">
        <f t="shared" si="99"/>
        <v>0</v>
      </c>
      <c r="K1061">
        <f t="shared" si="100"/>
        <v>0</v>
      </c>
      <c r="L1061" t="str">
        <f t="shared" si="101"/>
        <v/>
      </c>
    </row>
    <row r="1062" spans="1:12" ht="14.4" customHeight="1" x14ac:dyDescent="0.3">
      <c r="A1062">
        <v>153026024</v>
      </c>
      <c r="B1062" s="1">
        <v>44953</v>
      </c>
      <c r="D1062" t="s">
        <v>7</v>
      </c>
      <c r="E1062">
        <v>39</v>
      </c>
      <c r="F1062" t="s">
        <v>6</v>
      </c>
      <c r="G1062" t="str">
        <f t="shared" si="96"/>
        <v/>
      </c>
      <c r="H1062" s="1" t="str">
        <f t="shared" si="97"/>
        <v>Friday</v>
      </c>
      <c r="I1062" t="str">
        <f t="shared" si="98"/>
        <v>No</v>
      </c>
      <c r="J1062">
        <f t="shared" si="99"/>
        <v>0</v>
      </c>
      <c r="K1062">
        <f t="shared" si="100"/>
        <v>0</v>
      </c>
      <c r="L1062" t="str">
        <f t="shared" si="101"/>
        <v/>
      </c>
    </row>
    <row r="1063" spans="1:12" ht="14.4" customHeight="1" x14ac:dyDescent="0.3">
      <c r="A1063">
        <v>196069557</v>
      </c>
      <c r="B1063" s="1">
        <v>44953</v>
      </c>
      <c r="D1063" t="s">
        <v>7</v>
      </c>
      <c r="E1063">
        <v>39</v>
      </c>
      <c r="F1063" t="s">
        <v>6</v>
      </c>
      <c r="G1063" t="str">
        <f t="shared" si="96"/>
        <v/>
      </c>
      <c r="H1063" s="1" t="str">
        <f t="shared" si="97"/>
        <v>Friday</v>
      </c>
      <c r="I1063" t="str">
        <f t="shared" si="98"/>
        <v>No</v>
      </c>
      <c r="J1063">
        <f t="shared" si="99"/>
        <v>0</v>
      </c>
      <c r="K1063">
        <f t="shared" si="100"/>
        <v>0</v>
      </c>
      <c r="L1063" t="str">
        <f t="shared" si="101"/>
        <v/>
      </c>
    </row>
    <row r="1064" spans="1:12" ht="14.4" customHeight="1" x14ac:dyDescent="0.3">
      <c r="A1064">
        <v>193666586</v>
      </c>
      <c r="B1064" s="1">
        <v>44953</v>
      </c>
      <c r="D1064" t="s">
        <v>7</v>
      </c>
      <c r="E1064">
        <v>39</v>
      </c>
      <c r="F1064" t="s">
        <v>6</v>
      </c>
      <c r="G1064" t="str">
        <f t="shared" si="96"/>
        <v/>
      </c>
      <c r="H1064" s="1" t="str">
        <f t="shared" si="97"/>
        <v>Friday</v>
      </c>
      <c r="I1064" t="str">
        <f t="shared" si="98"/>
        <v>No</v>
      </c>
      <c r="J1064">
        <f t="shared" si="99"/>
        <v>0</v>
      </c>
      <c r="K1064">
        <f t="shared" si="100"/>
        <v>0</v>
      </c>
      <c r="L1064" t="str">
        <f t="shared" si="101"/>
        <v/>
      </c>
    </row>
    <row r="1065" spans="1:12" ht="14.4" customHeight="1" x14ac:dyDescent="0.3">
      <c r="A1065">
        <v>192550222</v>
      </c>
      <c r="B1065" s="1">
        <v>44953</v>
      </c>
      <c r="D1065" t="s">
        <v>7</v>
      </c>
      <c r="E1065">
        <v>39</v>
      </c>
      <c r="F1065" t="s">
        <v>6</v>
      </c>
      <c r="G1065" t="str">
        <f t="shared" si="96"/>
        <v/>
      </c>
      <c r="H1065" s="1" t="str">
        <f t="shared" si="97"/>
        <v>Friday</v>
      </c>
      <c r="I1065" t="str">
        <f t="shared" si="98"/>
        <v>No</v>
      </c>
      <c r="J1065">
        <f t="shared" si="99"/>
        <v>0</v>
      </c>
      <c r="K1065">
        <f t="shared" si="100"/>
        <v>0</v>
      </c>
      <c r="L1065" t="str">
        <f t="shared" si="101"/>
        <v/>
      </c>
    </row>
    <row r="1066" spans="1:12" x14ac:dyDescent="0.3">
      <c r="A1066">
        <v>196022560</v>
      </c>
      <c r="B1066" s="1">
        <v>44953</v>
      </c>
      <c r="C1066" s="1">
        <v>45174</v>
      </c>
      <c r="D1066" t="s">
        <v>7</v>
      </c>
      <c r="E1066">
        <v>39</v>
      </c>
      <c r="F1066" t="s">
        <v>6</v>
      </c>
      <c r="G1066">
        <f t="shared" si="96"/>
        <v>221</v>
      </c>
      <c r="H1066" s="1" t="str">
        <f t="shared" si="97"/>
        <v>Friday</v>
      </c>
      <c r="I1066" t="str">
        <f t="shared" si="98"/>
        <v>No</v>
      </c>
      <c r="J1066">
        <f t="shared" si="99"/>
        <v>0</v>
      </c>
      <c r="K1066">
        <f t="shared" si="100"/>
        <v>1</v>
      </c>
      <c r="L1066">
        <f t="shared" si="101"/>
        <v>221</v>
      </c>
    </row>
    <row r="1067" spans="1:12" ht="14.4" customHeight="1" x14ac:dyDescent="0.3">
      <c r="A1067">
        <v>196715854</v>
      </c>
      <c r="B1067" s="1">
        <v>44953</v>
      </c>
      <c r="C1067" s="1">
        <v>44954</v>
      </c>
      <c r="D1067" t="s">
        <v>8</v>
      </c>
      <c r="E1067">
        <v>39</v>
      </c>
      <c r="F1067" t="s">
        <v>6</v>
      </c>
      <c r="G1067">
        <f t="shared" si="96"/>
        <v>1</v>
      </c>
      <c r="H1067" s="1" t="str">
        <f t="shared" si="97"/>
        <v>Friday</v>
      </c>
      <c r="I1067" t="str">
        <f t="shared" si="98"/>
        <v>No</v>
      </c>
      <c r="J1067">
        <f t="shared" si="99"/>
        <v>1</v>
      </c>
      <c r="K1067">
        <f t="shared" si="100"/>
        <v>0</v>
      </c>
      <c r="L1067">
        <f t="shared" si="101"/>
        <v>1</v>
      </c>
    </row>
    <row r="1068" spans="1:12" x14ac:dyDescent="0.3">
      <c r="A1068">
        <v>196969212</v>
      </c>
      <c r="B1068" s="1">
        <v>44953</v>
      </c>
      <c r="C1068" s="1">
        <v>45040</v>
      </c>
      <c r="D1068" t="s">
        <v>7</v>
      </c>
      <c r="E1068">
        <v>39</v>
      </c>
      <c r="F1068" t="s">
        <v>6</v>
      </c>
      <c r="G1068">
        <f t="shared" si="96"/>
        <v>87</v>
      </c>
      <c r="H1068" s="1" t="str">
        <f t="shared" si="97"/>
        <v>Friday</v>
      </c>
      <c r="I1068" t="str">
        <f t="shared" si="98"/>
        <v>No</v>
      </c>
      <c r="J1068">
        <f t="shared" si="99"/>
        <v>0</v>
      </c>
      <c r="K1068">
        <f t="shared" si="100"/>
        <v>1</v>
      </c>
      <c r="L1068">
        <f t="shared" si="101"/>
        <v>87</v>
      </c>
    </row>
    <row r="1069" spans="1:12" x14ac:dyDescent="0.3">
      <c r="A1069">
        <v>196308725</v>
      </c>
      <c r="B1069" s="1">
        <v>44953</v>
      </c>
      <c r="C1069" s="1">
        <v>45016</v>
      </c>
      <c r="D1069" t="s">
        <v>7</v>
      </c>
      <c r="E1069">
        <v>39</v>
      </c>
      <c r="F1069" t="s">
        <v>6</v>
      </c>
      <c r="G1069">
        <f t="shared" si="96"/>
        <v>63</v>
      </c>
      <c r="H1069" s="1" t="str">
        <f t="shared" si="97"/>
        <v>Friday</v>
      </c>
      <c r="I1069" t="str">
        <f t="shared" si="98"/>
        <v>No</v>
      </c>
      <c r="J1069">
        <f t="shared" si="99"/>
        <v>0</v>
      </c>
      <c r="K1069">
        <f t="shared" si="100"/>
        <v>1</v>
      </c>
      <c r="L1069">
        <f t="shared" si="101"/>
        <v>63</v>
      </c>
    </row>
    <row r="1070" spans="1:12" x14ac:dyDescent="0.3">
      <c r="A1070">
        <v>196245690</v>
      </c>
      <c r="B1070" s="1">
        <v>44953</v>
      </c>
      <c r="C1070" s="1">
        <v>45012</v>
      </c>
      <c r="D1070" t="s">
        <v>7</v>
      </c>
      <c r="E1070">
        <v>39</v>
      </c>
      <c r="F1070" t="s">
        <v>6</v>
      </c>
      <c r="G1070">
        <f t="shared" si="96"/>
        <v>59</v>
      </c>
      <c r="H1070" s="1" t="str">
        <f t="shared" si="97"/>
        <v>Friday</v>
      </c>
      <c r="I1070" t="str">
        <f t="shared" si="98"/>
        <v>No</v>
      </c>
      <c r="J1070">
        <f t="shared" si="99"/>
        <v>0</v>
      </c>
      <c r="K1070">
        <f t="shared" si="100"/>
        <v>1</v>
      </c>
      <c r="L1070">
        <f t="shared" si="101"/>
        <v>59</v>
      </c>
    </row>
    <row r="1071" spans="1:12" x14ac:dyDescent="0.3">
      <c r="A1071">
        <v>195988242</v>
      </c>
      <c r="B1071" s="1">
        <v>44953</v>
      </c>
      <c r="C1071" s="1">
        <v>44991</v>
      </c>
      <c r="D1071" t="s">
        <v>7</v>
      </c>
      <c r="E1071">
        <v>39</v>
      </c>
      <c r="F1071" t="s">
        <v>6</v>
      </c>
      <c r="G1071">
        <f t="shared" si="96"/>
        <v>38</v>
      </c>
      <c r="H1071" s="1" t="str">
        <f t="shared" si="97"/>
        <v>Friday</v>
      </c>
      <c r="I1071" t="str">
        <f t="shared" si="98"/>
        <v>No</v>
      </c>
      <c r="J1071">
        <f t="shared" si="99"/>
        <v>0</v>
      </c>
      <c r="K1071">
        <f t="shared" si="100"/>
        <v>1</v>
      </c>
      <c r="L1071">
        <f t="shared" si="101"/>
        <v>38</v>
      </c>
    </row>
    <row r="1072" spans="1:12" x14ac:dyDescent="0.3">
      <c r="A1072">
        <v>192068317</v>
      </c>
      <c r="B1072" s="1">
        <v>44953</v>
      </c>
      <c r="C1072" s="1">
        <v>45013</v>
      </c>
      <c r="D1072" t="s">
        <v>7</v>
      </c>
      <c r="E1072">
        <v>39</v>
      </c>
      <c r="F1072" t="s">
        <v>6</v>
      </c>
      <c r="G1072">
        <f t="shared" si="96"/>
        <v>60</v>
      </c>
      <c r="H1072" s="1" t="str">
        <f t="shared" si="97"/>
        <v>Friday</v>
      </c>
      <c r="I1072" t="str">
        <f t="shared" si="98"/>
        <v>No</v>
      </c>
      <c r="J1072">
        <f t="shared" si="99"/>
        <v>0</v>
      </c>
      <c r="K1072">
        <f t="shared" si="100"/>
        <v>1</v>
      </c>
      <c r="L1072">
        <f t="shared" si="101"/>
        <v>60</v>
      </c>
    </row>
    <row r="1073" spans="1:12" ht="14.4" customHeight="1" x14ac:dyDescent="0.3">
      <c r="A1073">
        <v>195039185</v>
      </c>
      <c r="B1073" s="1">
        <v>44953</v>
      </c>
      <c r="C1073" s="1">
        <v>44980</v>
      </c>
      <c r="D1073" t="s">
        <v>7</v>
      </c>
      <c r="E1073">
        <v>39</v>
      </c>
      <c r="F1073" t="s">
        <v>6</v>
      </c>
      <c r="G1073">
        <f t="shared" si="96"/>
        <v>27</v>
      </c>
      <c r="H1073" s="1" t="str">
        <f t="shared" si="97"/>
        <v>Friday</v>
      </c>
      <c r="I1073" t="str">
        <f t="shared" si="98"/>
        <v>No</v>
      </c>
      <c r="J1073">
        <f t="shared" si="99"/>
        <v>0</v>
      </c>
      <c r="K1073">
        <f t="shared" si="100"/>
        <v>0</v>
      </c>
      <c r="L1073">
        <f t="shared" si="101"/>
        <v>27</v>
      </c>
    </row>
    <row r="1074" spans="1:12" x14ac:dyDescent="0.3">
      <c r="A1074">
        <v>188563149</v>
      </c>
      <c r="B1074" s="1">
        <v>44953</v>
      </c>
      <c r="C1074" s="1">
        <v>45154</v>
      </c>
      <c r="D1074" t="s">
        <v>7</v>
      </c>
      <c r="E1074">
        <v>39</v>
      </c>
      <c r="F1074" t="s">
        <v>6</v>
      </c>
      <c r="G1074">
        <f t="shared" si="96"/>
        <v>201</v>
      </c>
      <c r="H1074" s="1" t="str">
        <f t="shared" si="97"/>
        <v>Friday</v>
      </c>
      <c r="I1074" t="str">
        <f t="shared" si="98"/>
        <v>No</v>
      </c>
      <c r="J1074">
        <f t="shared" si="99"/>
        <v>0</v>
      </c>
      <c r="K1074">
        <f t="shared" si="100"/>
        <v>1</v>
      </c>
      <c r="L1074">
        <f t="shared" si="101"/>
        <v>201</v>
      </c>
    </row>
    <row r="1075" spans="1:12" x14ac:dyDescent="0.3">
      <c r="A1075">
        <v>188748439</v>
      </c>
      <c r="B1075" s="1">
        <v>44953</v>
      </c>
      <c r="C1075" s="1">
        <v>45157</v>
      </c>
      <c r="D1075" t="s">
        <v>7</v>
      </c>
      <c r="E1075">
        <v>39</v>
      </c>
      <c r="F1075" t="s">
        <v>6</v>
      </c>
      <c r="G1075">
        <f t="shared" si="96"/>
        <v>204</v>
      </c>
      <c r="H1075" s="1" t="str">
        <f t="shared" si="97"/>
        <v>Friday</v>
      </c>
      <c r="I1075" t="str">
        <f t="shared" si="98"/>
        <v>No</v>
      </c>
      <c r="J1075">
        <f t="shared" si="99"/>
        <v>0</v>
      </c>
      <c r="K1075">
        <f t="shared" si="100"/>
        <v>1</v>
      </c>
      <c r="L1075">
        <f t="shared" si="101"/>
        <v>204</v>
      </c>
    </row>
    <row r="1076" spans="1:12" ht="14.4" customHeight="1" x14ac:dyDescent="0.3">
      <c r="A1076">
        <v>160873880</v>
      </c>
      <c r="B1076" s="1">
        <v>44954</v>
      </c>
      <c r="D1076" t="s">
        <v>7</v>
      </c>
      <c r="E1076">
        <v>39</v>
      </c>
      <c r="F1076" t="s">
        <v>6</v>
      </c>
      <c r="G1076" t="str">
        <f t="shared" si="96"/>
        <v/>
      </c>
      <c r="H1076" s="1" t="str">
        <f t="shared" si="97"/>
        <v>Saturday</v>
      </c>
      <c r="I1076" t="str">
        <f t="shared" si="98"/>
        <v>No</v>
      </c>
      <c r="J1076">
        <f t="shared" si="99"/>
        <v>0</v>
      </c>
      <c r="K1076">
        <f t="shared" si="100"/>
        <v>0</v>
      </c>
      <c r="L1076" t="str">
        <f t="shared" si="101"/>
        <v/>
      </c>
    </row>
    <row r="1077" spans="1:12" ht="14.4" customHeight="1" x14ac:dyDescent="0.3">
      <c r="A1077">
        <v>160379194</v>
      </c>
      <c r="B1077" s="1">
        <v>44954</v>
      </c>
      <c r="C1077" s="1">
        <v>44954</v>
      </c>
      <c r="D1077" t="s">
        <v>7</v>
      </c>
      <c r="E1077">
        <v>39</v>
      </c>
      <c r="F1077" t="s">
        <v>6</v>
      </c>
      <c r="G1077">
        <f t="shared" si="96"/>
        <v>0</v>
      </c>
      <c r="H1077" s="1" t="str">
        <f t="shared" si="97"/>
        <v>Saturday</v>
      </c>
      <c r="I1077" t="str">
        <f t="shared" si="98"/>
        <v>Yes</v>
      </c>
      <c r="J1077">
        <f t="shared" si="99"/>
        <v>1</v>
      </c>
      <c r="K1077">
        <f t="shared" si="100"/>
        <v>0</v>
      </c>
      <c r="L1077">
        <f t="shared" si="101"/>
        <v>0</v>
      </c>
    </row>
    <row r="1078" spans="1:12" x14ac:dyDescent="0.3">
      <c r="A1078">
        <v>194169961</v>
      </c>
      <c r="B1078" s="1">
        <v>44954</v>
      </c>
      <c r="C1078" s="1">
        <v>45009</v>
      </c>
      <c r="D1078" t="s">
        <v>7</v>
      </c>
      <c r="E1078">
        <v>39</v>
      </c>
      <c r="F1078" t="s">
        <v>6</v>
      </c>
      <c r="G1078">
        <f t="shared" si="96"/>
        <v>55</v>
      </c>
      <c r="H1078" s="1" t="str">
        <f t="shared" si="97"/>
        <v>Saturday</v>
      </c>
      <c r="I1078" t="str">
        <f t="shared" si="98"/>
        <v>No</v>
      </c>
      <c r="J1078">
        <f t="shared" si="99"/>
        <v>0</v>
      </c>
      <c r="K1078">
        <f t="shared" si="100"/>
        <v>1</v>
      </c>
      <c r="L1078">
        <f t="shared" si="101"/>
        <v>55</v>
      </c>
    </row>
    <row r="1079" spans="1:12" x14ac:dyDescent="0.3">
      <c r="A1079">
        <v>184209232</v>
      </c>
      <c r="B1079" s="1">
        <v>44954</v>
      </c>
      <c r="C1079" s="1">
        <v>44992</v>
      </c>
      <c r="D1079" t="s">
        <v>7</v>
      </c>
      <c r="E1079">
        <v>39</v>
      </c>
      <c r="F1079" t="s">
        <v>6</v>
      </c>
      <c r="G1079">
        <f t="shared" si="96"/>
        <v>38</v>
      </c>
      <c r="H1079" s="1" t="str">
        <f t="shared" si="97"/>
        <v>Saturday</v>
      </c>
      <c r="I1079" t="str">
        <f t="shared" si="98"/>
        <v>No</v>
      </c>
      <c r="J1079">
        <f t="shared" si="99"/>
        <v>0</v>
      </c>
      <c r="K1079">
        <f t="shared" si="100"/>
        <v>1</v>
      </c>
      <c r="L1079">
        <f t="shared" si="101"/>
        <v>38</v>
      </c>
    </row>
    <row r="1080" spans="1:12" ht="14.4" customHeight="1" x14ac:dyDescent="0.3">
      <c r="A1080">
        <v>195198228</v>
      </c>
      <c r="B1080" s="1">
        <v>44954</v>
      </c>
      <c r="C1080" s="1">
        <v>44974</v>
      </c>
      <c r="D1080" t="s">
        <v>7</v>
      </c>
      <c r="E1080">
        <v>39</v>
      </c>
      <c r="F1080" t="s">
        <v>6</v>
      </c>
      <c r="G1080">
        <f t="shared" si="96"/>
        <v>20</v>
      </c>
      <c r="H1080" s="1" t="str">
        <f t="shared" si="97"/>
        <v>Saturday</v>
      </c>
      <c r="I1080" t="str">
        <f t="shared" si="98"/>
        <v>No</v>
      </c>
      <c r="J1080">
        <f t="shared" si="99"/>
        <v>0</v>
      </c>
      <c r="K1080">
        <f t="shared" si="100"/>
        <v>0</v>
      </c>
      <c r="L1080">
        <f t="shared" si="101"/>
        <v>20</v>
      </c>
    </row>
    <row r="1081" spans="1:12" ht="14.4" customHeight="1" x14ac:dyDescent="0.3">
      <c r="A1081">
        <v>153657568</v>
      </c>
      <c r="B1081" s="1">
        <v>44955</v>
      </c>
      <c r="D1081" t="s">
        <v>7</v>
      </c>
      <c r="E1081">
        <v>39</v>
      </c>
      <c r="F1081" t="s">
        <v>6</v>
      </c>
      <c r="G1081" t="str">
        <f t="shared" si="96"/>
        <v/>
      </c>
      <c r="H1081" s="1" t="str">
        <f t="shared" si="97"/>
        <v>Sunday</v>
      </c>
      <c r="I1081" t="str">
        <f t="shared" si="98"/>
        <v>No</v>
      </c>
      <c r="J1081">
        <f t="shared" si="99"/>
        <v>0</v>
      </c>
      <c r="K1081">
        <f t="shared" si="100"/>
        <v>0</v>
      </c>
      <c r="L1081" t="str">
        <f t="shared" si="101"/>
        <v/>
      </c>
    </row>
    <row r="1082" spans="1:12" x14ac:dyDescent="0.3">
      <c r="A1082">
        <v>127697219</v>
      </c>
      <c r="B1082" s="1">
        <v>44955</v>
      </c>
      <c r="C1082" s="1">
        <v>45071</v>
      </c>
      <c r="D1082" t="s">
        <v>7</v>
      </c>
      <c r="E1082">
        <v>39</v>
      </c>
      <c r="F1082" t="s">
        <v>6</v>
      </c>
      <c r="G1082">
        <f t="shared" si="96"/>
        <v>116</v>
      </c>
      <c r="H1082" s="1" t="str">
        <f t="shared" si="97"/>
        <v>Sunday</v>
      </c>
      <c r="I1082" t="str">
        <f t="shared" si="98"/>
        <v>No</v>
      </c>
      <c r="J1082">
        <f t="shared" si="99"/>
        <v>0</v>
      </c>
      <c r="K1082">
        <f t="shared" si="100"/>
        <v>1</v>
      </c>
      <c r="L1082">
        <f t="shared" si="101"/>
        <v>116</v>
      </c>
    </row>
    <row r="1083" spans="1:12" x14ac:dyDescent="0.3">
      <c r="A1083">
        <v>198448283</v>
      </c>
      <c r="B1083" s="1">
        <v>44955</v>
      </c>
      <c r="C1083" s="1">
        <v>45113</v>
      </c>
      <c r="D1083" t="s">
        <v>7</v>
      </c>
      <c r="E1083">
        <v>39</v>
      </c>
      <c r="F1083" t="s">
        <v>6</v>
      </c>
      <c r="G1083">
        <f t="shared" si="96"/>
        <v>158</v>
      </c>
      <c r="H1083" s="1" t="str">
        <f t="shared" si="97"/>
        <v>Sunday</v>
      </c>
      <c r="I1083" t="str">
        <f t="shared" si="98"/>
        <v>No</v>
      </c>
      <c r="J1083">
        <f t="shared" si="99"/>
        <v>0</v>
      </c>
      <c r="K1083">
        <f t="shared" si="100"/>
        <v>1</v>
      </c>
      <c r="L1083">
        <f t="shared" si="101"/>
        <v>158</v>
      </c>
    </row>
    <row r="1084" spans="1:12" x14ac:dyDescent="0.3">
      <c r="A1084">
        <v>159483118</v>
      </c>
      <c r="B1084" s="1">
        <v>44955</v>
      </c>
      <c r="C1084" s="1">
        <v>44986</v>
      </c>
      <c r="D1084" t="s">
        <v>7</v>
      </c>
      <c r="E1084">
        <v>39</v>
      </c>
      <c r="F1084" t="s">
        <v>6</v>
      </c>
      <c r="G1084">
        <f t="shared" si="96"/>
        <v>31</v>
      </c>
      <c r="H1084" s="1" t="str">
        <f t="shared" si="97"/>
        <v>Sunday</v>
      </c>
      <c r="I1084" t="str">
        <f t="shared" si="98"/>
        <v>No</v>
      </c>
      <c r="J1084">
        <f t="shared" si="99"/>
        <v>0</v>
      </c>
      <c r="K1084">
        <f t="shared" si="100"/>
        <v>1</v>
      </c>
      <c r="L1084">
        <f t="shared" si="101"/>
        <v>31</v>
      </c>
    </row>
    <row r="1085" spans="1:12" x14ac:dyDescent="0.3">
      <c r="A1085">
        <v>152433647</v>
      </c>
      <c r="B1085" s="1">
        <v>44955</v>
      </c>
      <c r="C1085" s="1">
        <v>44998</v>
      </c>
      <c r="D1085" t="s">
        <v>7</v>
      </c>
      <c r="E1085">
        <v>39</v>
      </c>
      <c r="F1085" t="s">
        <v>6</v>
      </c>
      <c r="G1085">
        <f t="shared" si="96"/>
        <v>43</v>
      </c>
      <c r="H1085" s="1" t="str">
        <f t="shared" si="97"/>
        <v>Sunday</v>
      </c>
      <c r="I1085" t="str">
        <f t="shared" si="98"/>
        <v>No</v>
      </c>
      <c r="J1085">
        <f t="shared" si="99"/>
        <v>0</v>
      </c>
      <c r="K1085">
        <f t="shared" si="100"/>
        <v>1</v>
      </c>
      <c r="L1085">
        <f t="shared" si="101"/>
        <v>43</v>
      </c>
    </row>
    <row r="1086" spans="1:12" ht="14.4" customHeight="1" x14ac:dyDescent="0.3">
      <c r="A1086">
        <v>154790198</v>
      </c>
      <c r="B1086" s="1">
        <v>44955</v>
      </c>
      <c r="C1086" s="1">
        <v>44972</v>
      </c>
      <c r="D1086" t="s">
        <v>7</v>
      </c>
      <c r="E1086">
        <v>39</v>
      </c>
      <c r="F1086" t="s">
        <v>6</v>
      </c>
      <c r="G1086">
        <f t="shared" si="96"/>
        <v>17</v>
      </c>
      <c r="H1086" s="1" t="str">
        <f t="shared" si="97"/>
        <v>Sunday</v>
      </c>
      <c r="I1086" t="str">
        <f t="shared" si="98"/>
        <v>No</v>
      </c>
      <c r="J1086">
        <f t="shared" si="99"/>
        <v>0</v>
      </c>
      <c r="K1086">
        <f t="shared" si="100"/>
        <v>0</v>
      </c>
      <c r="L1086">
        <f t="shared" si="101"/>
        <v>17</v>
      </c>
    </row>
    <row r="1087" spans="1:12" ht="14.4" customHeight="1" x14ac:dyDescent="0.3">
      <c r="A1087">
        <v>191896242</v>
      </c>
      <c r="B1087" s="1">
        <v>44956</v>
      </c>
      <c r="D1087" t="s">
        <v>7</v>
      </c>
      <c r="E1087">
        <v>39</v>
      </c>
      <c r="F1087" t="s">
        <v>6</v>
      </c>
      <c r="G1087" t="str">
        <f t="shared" si="96"/>
        <v/>
      </c>
      <c r="H1087" s="1" t="str">
        <f t="shared" si="97"/>
        <v>Monday</v>
      </c>
      <c r="I1087" t="str">
        <f t="shared" si="98"/>
        <v>No</v>
      </c>
      <c r="J1087">
        <f t="shared" si="99"/>
        <v>0</v>
      </c>
      <c r="K1087">
        <f t="shared" si="100"/>
        <v>0</v>
      </c>
      <c r="L1087" t="str">
        <f t="shared" si="101"/>
        <v/>
      </c>
    </row>
    <row r="1088" spans="1:12" x14ac:dyDescent="0.3">
      <c r="A1088">
        <v>136407072</v>
      </c>
      <c r="B1088" s="1">
        <v>44956</v>
      </c>
      <c r="C1088" s="1">
        <v>45138</v>
      </c>
      <c r="D1088" t="s">
        <v>7</v>
      </c>
      <c r="E1088">
        <v>39</v>
      </c>
      <c r="F1088" t="s">
        <v>6</v>
      </c>
      <c r="G1088">
        <f t="shared" si="96"/>
        <v>182</v>
      </c>
      <c r="H1088" s="1" t="str">
        <f t="shared" si="97"/>
        <v>Monday</v>
      </c>
      <c r="I1088" t="str">
        <f t="shared" si="98"/>
        <v>No</v>
      </c>
      <c r="J1088">
        <f t="shared" si="99"/>
        <v>0</v>
      </c>
      <c r="K1088">
        <f t="shared" si="100"/>
        <v>1</v>
      </c>
      <c r="L1088">
        <f t="shared" si="101"/>
        <v>182</v>
      </c>
    </row>
    <row r="1089" spans="1:12" x14ac:dyDescent="0.3">
      <c r="A1089">
        <v>199439964</v>
      </c>
      <c r="B1089" s="1">
        <v>44956</v>
      </c>
      <c r="C1089" s="1">
        <v>45083</v>
      </c>
      <c r="D1089" t="s">
        <v>7</v>
      </c>
      <c r="E1089">
        <v>39</v>
      </c>
      <c r="F1089" t="s">
        <v>6</v>
      </c>
      <c r="G1089">
        <f t="shared" si="96"/>
        <v>127</v>
      </c>
      <c r="H1089" s="1" t="str">
        <f t="shared" si="97"/>
        <v>Monday</v>
      </c>
      <c r="I1089" t="str">
        <f t="shared" si="98"/>
        <v>No</v>
      </c>
      <c r="J1089">
        <f t="shared" si="99"/>
        <v>0</v>
      </c>
      <c r="K1089">
        <f t="shared" si="100"/>
        <v>1</v>
      </c>
      <c r="L1089">
        <f t="shared" si="101"/>
        <v>127</v>
      </c>
    </row>
    <row r="1090" spans="1:12" x14ac:dyDescent="0.3">
      <c r="A1090">
        <v>199255574</v>
      </c>
      <c r="B1090" s="1">
        <v>44956</v>
      </c>
      <c r="C1090" s="1">
        <v>45098</v>
      </c>
      <c r="D1090" t="s">
        <v>7</v>
      </c>
      <c r="E1090">
        <v>39</v>
      </c>
      <c r="F1090" t="s">
        <v>6</v>
      </c>
      <c r="G1090">
        <f t="shared" ref="G1090:G1153" si="102">IF(C1090="","",C1090-B1090)</f>
        <v>142</v>
      </c>
      <c r="H1090" s="1" t="str">
        <f t="shared" si="97"/>
        <v>Monday</v>
      </c>
      <c r="I1090" t="str">
        <f t="shared" si="98"/>
        <v>No</v>
      </c>
      <c r="J1090">
        <f t="shared" si="99"/>
        <v>0</v>
      </c>
      <c r="K1090">
        <f t="shared" si="100"/>
        <v>1</v>
      </c>
      <c r="L1090">
        <f t="shared" si="101"/>
        <v>142</v>
      </c>
    </row>
    <row r="1091" spans="1:12" x14ac:dyDescent="0.3">
      <c r="A1091">
        <v>167938302</v>
      </c>
      <c r="B1091" s="1">
        <v>44956</v>
      </c>
      <c r="C1091" s="1">
        <v>45022</v>
      </c>
      <c r="D1091" t="s">
        <v>7</v>
      </c>
      <c r="E1091">
        <v>39</v>
      </c>
      <c r="F1091" t="s">
        <v>6</v>
      </c>
      <c r="G1091">
        <f t="shared" si="102"/>
        <v>66</v>
      </c>
      <c r="H1091" s="1" t="str">
        <f t="shared" ref="H1091:H1154" si="103">TEXT(B1091,"dddd")</f>
        <v>Monday</v>
      </c>
      <c r="I1091" t="str">
        <f t="shared" ref="I1091:I1154" si="104">IF(B1091=C1091,"Yes","No")</f>
        <v>No</v>
      </c>
      <c r="J1091">
        <f t="shared" ref="J1091:J1154" si="105">IF(AND(C1091&lt;&gt;"",C1091-B1091&lt;=2),1,0)</f>
        <v>0</v>
      </c>
      <c r="K1091">
        <f t="shared" ref="K1091:K1154" si="106">IF(AND(C1091&lt;&gt;"",C1091-B1091&gt;30),1,0)</f>
        <v>1</v>
      </c>
      <c r="L1091">
        <f t="shared" ref="L1091:L1154" si="107">IF(C1091="","",C1091-B1091)</f>
        <v>66</v>
      </c>
    </row>
    <row r="1092" spans="1:12" ht="14.4" customHeight="1" x14ac:dyDescent="0.3">
      <c r="A1092">
        <v>154173057</v>
      </c>
      <c r="B1092" s="1">
        <v>44956</v>
      </c>
      <c r="C1092" s="1">
        <v>44961</v>
      </c>
      <c r="D1092" t="s">
        <v>7</v>
      </c>
      <c r="E1092">
        <v>39</v>
      </c>
      <c r="F1092" t="s">
        <v>6</v>
      </c>
      <c r="G1092">
        <f t="shared" si="102"/>
        <v>5</v>
      </c>
      <c r="H1092" s="1" t="str">
        <f t="shared" si="103"/>
        <v>Monday</v>
      </c>
      <c r="I1092" t="str">
        <f t="shared" si="104"/>
        <v>No</v>
      </c>
      <c r="J1092">
        <f t="shared" si="105"/>
        <v>0</v>
      </c>
      <c r="K1092">
        <f t="shared" si="106"/>
        <v>0</v>
      </c>
      <c r="L1092">
        <f t="shared" si="107"/>
        <v>5</v>
      </c>
    </row>
    <row r="1093" spans="1:12" ht="14.4" customHeight="1" x14ac:dyDescent="0.3">
      <c r="A1093">
        <v>153199550</v>
      </c>
      <c r="B1093" s="1">
        <v>44956</v>
      </c>
      <c r="C1093" s="1">
        <v>44959</v>
      </c>
      <c r="D1093" t="s">
        <v>7</v>
      </c>
      <c r="E1093">
        <v>39</v>
      </c>
      <c r="F1093" t="s">
        <v>6</v>
      </c>
      <c r="G1093">
        <f t="shared" si="102"/>
        <v>3</v>
      </c>
      <c r="H1093" s="1" t="str">
        <f t="shared" si="103"/>
        <v>Monday</v>
      </c>
      <c r="I1093" t="str">
        <f t="shared" si="104"/>
        <v>No</v>
      </c>
      <c r="J1093">
        <f t="shared" si="105"/>
        <v>0</v>
      </c>
      <c r="K1093">
        <f t="shared" si="106"/>
        <v>0</v>
      </c>
      <c r="L1093">
        <f t="shared" si="107"/>
        <v>3</v>
      </c>
    </row>
    <row r="1094" spans="1:12" ht="14.4" customHeight="1" x14ac:dyDescent="0.3">
      <c r="A1094">
        <v>199302158</v>
      </c>
      <c r="B1094" s="1">
        <v>44956</v>
      </c>
      <c r="C1094" s="1">
        <v>44959</v>
      </c>
      <c r="D1094" t="s">
        <v>7</v>
      </c>
      <c r="E1094">
        <v>39</v>
      </c>
      <c r="F1094" t="s">
        <v>6</v>
      </c>
      <c r="G1094">
        <f t="shared" si="102"/>
        <v>3</v>
      </c>
      <c r="H1094" s="1" t="str">
        <f t="shared" si="103"/>
        <v>Monday</v>
      </c>
      <c r="I1094" t="str">
        <f t="shared" si="104"/>
        <v>No</v>
      </c>
      <c r="J1094">
        <f t="shared" si="105"/>
        <v>0</v>
      </c>
      <c r="K1094">
        <f t="shared" si="106"/>
        <v>0</v>
      </c>
      <c r="L1094">
        <f t="shared" si="107"/>
        <v>3</v>
      </c>
    </row>
    <row r="1095" spans="1:12" x14ac:dyDescent="0.3">
      <c r="A1095">
        <v>187482966</v>
      </c>
      <c r="B1095" s="1">
        <v>44956</v>
      </c>
      <c r="C1095" s="1">
        <v>45147</v>
      </c>
      <c r="D1095" t="s">
        <v>7</v>
      </c>
      <c r="E1095">
        <v>39</v>
      </c>
      <c r="F1095" t="s">
        <v>6</v>
      </c>
      <c r="G1095">
        <f t="shared" si="102"/>
        <v>191</v>
      </c>
      <c r="H1095" s="1" t="str">
        <f t="shared" si="103"/>
        <v>Monday</v>
      </c>
      <c r="I1095" t="str">
        <f t="shared" si="104"/>
        <v>No</v>
      </c>
      <c r="J1095">
        <f t="shared" si="105"/>
        <v>0</v>
      </c>
      <c r="K1095">
        <f t="shared" si="106"/>
        <v>1</v>
      </c>
      <c r="L1095">
        <f t="shared" si="107"/>
        <v>191</v>
      </c>
    </row>
    <row r="1096" spans="1:12" x14ac:dyDescent="0.3">
      <c r="A1096">
        <v>168436547</v>
      </c>
      <c r="B1096" s="1">
        <v>44956</v>
      </c>
      <c r="C1096" s="1">
        <v>45127</v>
      </c>
      <c r="D1096" t="s">
        <v>7</v>
      </c>
      <c r="E1096">
        <v>39</v>
      </c>
      <c r="F1096" t="s">
        <v>6</v>
      </c>
      <c r="G1096">
        <f t="shared" si="102"/>
        <v>171</v>
      </c>
      <c r="H1096" s="1" t="str">
        <f t="shared" si="103"/>
        <v>Monday</v>
      </c>
      <c r="I1096" t="str">
        <f t="shared" si="104"/>
        <v>No</v>
      </c>
      <c r="J1096">
        <f t="shared" si="105"/>
        <v>0</v>
      </c>
      <c r="K1096">
        <f t="shared" si="106"/>
        <v>1</v>
      </c>
      <c r="L1096">
        <f t="shared" si="107"/>
        <v>171</v>
      </c>
    </row>
    <row r="1097" spans="1:12" ht="14.4" customHeight="1" x14ac:dyDescent="0.3">
      <c r="A1097">
        <v>195007481</v>
      </c>
      <c r="B1097" s="1">
        <v>44957</v>
      </c>
      <c r="D1097" t="s">
        <v>7</v>
      </c>
      <c r="E1097">
        <v>39</v>
      </c>
      <c r="F1097" t="s">
        <v>6</v>
      </c>
      <c r="G1097" t="str">
        <f t="shared" si="102"/>
        <v/>
      </c>
      <c r="H1097" s="1" t="str">
        <f t="shared" si="103"/>
        <v>Tuesday</v>
      </c>
      <c r="I1097" t="str">
        <f t="shared" si="104"/>
        <v>No</v>
      </c>
      <c r="J1097">
        <f t="shared" si="105"/>
        <v>0</v>
      </c>
      <c r="K1097">
        <f t="shared" si="106"/>
        <v>0</v>
      </c>
      <c r="L1097" t="str">
        <f t="shared" si="107"/>
        <v/>
      </c>
    </row>
    <row r="1098" spans="1:12" ht="14.4" customHeight="1" x14ac:dyDescent="0.3">
      <c r="A1098">
        <v>181830574</v>
      </c>
      <c r="B1098" s="1">
        <v>44957</v>
      </c>
      <c r="D1098" t="s">
        <v>7</v>
      </c>
      <c r="E1098">
        <v>39</v>
      </c>
      <c r="F1098" t="s">
        <v>6</v>
      </c>
      <c r="G1098" t="str">
        <f t="shared" si="102"/>
        <v/>
      </c>
      <c r="H1098" s="1" t="str">
        <f t="shared" si="103"/>
        <v>Tuesday</v>
      </c>
      <c r="I1098" t="str">
        <f t="shared" si="104"/>
        <v>No</v>
      </c>
      <c r="J1098">
        <f t="shared" si="105"/>
        <v>0</v>
      </c>
      <c r="K1098">
        <f t="shared" si="106"/>
        <v>0</v>
      </c>
      <c r="L1098" t="str">
        <f t="shared" si="107"/>
        <v/>
      </c>
    </row>
    <row r="1099" spans="1:12" ht="14.4" customHeight="1" x14ac:dyDescent="0.3">
      <c r="A1099">
        <v>198691553</v>
      </c>
      <c r="B1099" s="1">
        <v>44957</v>
      </c>
      <c r="D1099" t="s">
        <v>7</v>
      </c>
      <c r="E1099">
        <v>39</v>
      </c>
      <c r="F1099" t="s">
        <v>6</v>
      </c>
      <c r="G1099" t="str">
        <f t="shared" si="102"/>
        <v/>
      </c>
      <c r="H1099" s="1" t="str">
        <f t="shared" si="103"/>
        <v>Tuesday</v>
      </c>
      <c r="I1099" t="str">
        <f t="shared" si="104"/>
        <v>No</v>
      </c>
      <c r="J1099">
        <f t="shared" si="105"/>
        <v>0</v>
      </c>
      <c r="K1099">
        <f t="shared" si="106"/>
        <v>0</v>
      </c>
      <c r="L1099" t="str">
        <f t="shared" si="107"/>
        <v/>
      </c>
    </row>
    <row r="1100" spans="1:12" x14ac:dyDescent="0.3">
      <c r="A1100">
        <v>200001674</v>
      </c>
      <c r="B1100" s="1">
        <v>44957</v>
      </c>
      <c r="C1100" s="1">
        <v>45074</v>
      </c>
      <c r="D1100" t="s">
        <v>7</v>
      </c>
      <c r="E1100">
        <v>39</v>
      </c>
      <c r="F1100" t="s">
        <v>6</v>
      </c>
      <c r="G1100">
        <f t="shared" si="102"/>
        <v>117</v>
      </c>
      <c r="H1100" s="1" t="str">
        <f t="shared" si="103"/>
        <v>Tuesday</v>
      </c>
      <c r="I1100" t="str">
        <f t="shared" si="104"/>
        <v>No</v>
      </c>
      <c r="J1100">
        <f t="shared" si="105"/>
        <v>0</v>
      </c>
      <c r="K1100">
        <f t="shared" si="106"/>
        <v>1</v>
      </c>
      <c r="L1100">
        <f t="shared" si="107"/>
        <v>117</v>
      </c>
    </row>
    <row r="1101" spans="1:12" x14ac:dyDescent="0.3">
      <c r="A1101">
        <v>200252155</v>
      </c>
      <c r="B1101" s="1">
        <v>44957</v>
      </c>
      <c r="C1101" s="1">
        <v>45084</v>
      </c>
      <c r="D1101" t="s">
        <v>7</v>
      </c>
      <c r="E1101">
        <v>39</v>
      </c>
      <c r="F1101" t="s">
        <v>6</v>
      </c>
      <c r="G1101">
        <f t="shared" si="102"/>
        <v>127</v>
      </c>
      <c r="H1101" s="1" t="str">
        <f t="shared" si="103"/>
        <v>Tuesday</v>
      </c>
      <c r="I1101" t="str">
        <f t="shared" si="104"/>
        <v>No</v>
      </c>
      <c r="J1101">
        <f t="shared" si="105"/>
        <v>0</v>
      </c>
      <c r="K1101">
        <f t="shared" si="106"/>
        <v>1</v>
      </c>
      <c r="L1101">
        <f t="shared" si="107"/>
        <v>127</v>
      </c>
    </row>
    <row r="1102" spans="1:12" x14ac:dyDescent="0.3">
      <c r="A1102">
        <v>188206991</v>
      </c>
      <c r="B1102" s="1">
        <v>44957</v>
      </c>
      <c r="C1102" s="1">
        <v>45033</v>
      </c>
      <c r="D1102" t="s">
        <v>7</v>
      </c>
      <c r="E1102">
        <v>39</v>
      </c>
      <c r="F1102" t="s">
        <v>6</v>
      </c>
      <c r="G1102">
        <f t="shared" si="102"/>
        <v>76</v>
      </c>
      <c r="H1102" s="1" t="str">
        <f t="shared" si="103"/>
        <v>Tuesday</v>
      </c>
      <c r="I1102" t="str">
        <f t="shared" si="104"/>
        <v>No</v>
      </c>
      <c r="J1102">
        <f t="shared" si="105"/>
        <v>0</v>
      </c>
      <c r="K1102">
        <f t="shared" si="106"/>
        <v>1</v>
      </c>
      <c r="L1102">
        <f t="shared" si="107"/>
        <v>76</v>
      </c>
    </row>
    <row r="1103" spans="1:12" x14ac:dyDescent="0.3">
      <c r="A1103">
        <v>184330352</v>
      </c>
      <c r="B1103" s="1">
        <v>44957</v>
      </c>
      <c r="C1103" s="1">
        <v>45046</v>
      </c>
      <c r="D1103" t="s">
        <v>7</v>
      </c>
      <c r="E1103">
        <v>39</v>
      </c>
      <c r="F1103" t="s">
        <v>6</v>
      </c>
      <c r="G1103">
        <f t="shared" si="102"/>
        <v>89</v>
      </c>
      <c r="H1103" s="1" t="str">
        <f t="shared" si="103"/>
        <v>Tuesday</v>
      </c>
      <c r="I1103" t="str">
        <f t="shared" si="104"/>
        <v>No</v>
      </c>
      <c r="J1103">
        <f t="shared" si="105"/>
        <v>0</v>
      </c>
      <c r="K1103">
        <f t="shared" si="106"/>
        <v>1</v>
      </c>
      <c r="L1103">
        <f t="shared" si="107"/>
        <v>89</v>
      </c>
    </row>
    <row r="1104" spans="1:12" x14ac:dyDescent="0.3">
      <c r="A1104">
        <v>198701510</v>
      </c>
      <c r="B1104" s="1">
        <v>44957</v>
      </c>
      <c r="C1104" s="1">
        <v>45031</v>
      </c>
      <c r="D1104" t="s">
        <v>7</v>
      </c>
      <c r="E1104">
        <v>39</v>
      </c>
      <c r="F1104" t="s">
        <v>6</v>
      </c>
      <c r="G1104">
        <f t="shared" si="102"/>
        <v>74</v>
      </c>
      <c r="H1104" s="1" t="str">
        <f t="shared" si="103"/>
        <v>Tuesday</v>
      </c>
      <c r="I1104" t="str">
        <f t="shared" si="104"/>
        <v>No</v>
      </c>
      <c r="J1104">
        <f t="shared" si="105"/>
        <v>0</v>
      </c>
      <c r="K1104">
        <f t="shared" si="106"/>
        <v>1</v>
      </c>
      <c r="L1104">
        <f t="shared" si="107"/>
        <v>74</v>
      </c>
    </row>
    <row r="1105" spans="1:12" ht="14.4" customHeight="1" x14ac:dyDescent="0.3">
      <c r="A1105">
        <v>164909402</v>
      </c>
      <c r="B1105" s="1">
        <v>44957</v>
      </c>
      <c r="C1105" s="1">
        <v>44984</v>
      </c>
      <c r="D1105" t="s">
        <v>7</v>
      </c>
      <c r="E1105">
        <v>39</v>
      </c>
      <c r="F1105" t="s">
        <v>6</v>
      </c>
      <c r="G1105">
        <f t="shared" si="102"/>
        <v>27</v>
      </c>
      <c r="H1105" s="1" t="str">
        <f t="shared" si="103"/>
        <v>Tuesday</v>
      </c>
      <c r="I1105" t="str">
        <f t="shared" si="104"/>
        <v>No</v>
      </c>
      <c r="J1105">
        <f t="shared" si="105"/>
        <v>0</v>
      </c>
      <c r="K1105">
        <f t="shared" si="106"/>
        <v>0</v>
      </c>
      <c r="L1105">
        <f t="shared" si="107"/>
        <v>27</v>
      </c>
    </row>
    <row r="1106" spans="1:12" x14ac:dyDescent="0.3">
      <c r="A1106">
        <v>126737063</v>
      </c>
      <c r="B1106" s="1">
        <v>44957</v>
      </c>
      <c r="C1106" s="1">
        <v>45156</v>
      </c>
      <c r="D1106" t="s">
        <v>7</v>
      </c>
      <c r="E1106">
        <v>39</v>
      </c>
      <c r="F1106" t="s">
        <v>6</v>
      </c>
      <c r="G1106">
        <f t="shared" si="102"/>
        <v>199</v>
      </c>
      <c r="H1106" s="1" t="str">
        <f t="shared" si="103"/>
        <v>Tuesday</v>
      </c>
      <c r="I1106" t="str">
        <f t="shared" si="104"/>
        <v>No</v>
      </c>
      <c r="J1106">
        <f t="shared" si="105"/>
        <v>0</v>
      </c>
      <c r="K1106">
        <f t="shared" si="106"/>
        <v>1</v>
      </c>
      <c r="L1106">
        <f t="shared" si="107"/>
        <v>199</v>
      </c>
    </row>
    <row r="1107" spans="1:12" ht="14.4" customHeight="1" x14ac:dyDescent="0.3">
      <c r="A1107">
        <v>194472898</v>
      </c>
      <c r="B1107" s="1">
        <v>44958</v>
      </c>
      <c r="D1107" t="s">
        <v>7</v>
      </c>
      <c r="E1107">
        <v>39</v>
      </c>
      <c r="F1107" t="s">
        <v>6</v>
      </c>
      <c r="G1107" t="str">
        <f t="shared" si="102"/>
        <v/>
      </c>
      <c r="H1107" s="1" t="str">
        <f t="shared" si="103"/>
        <v>Wednesday</v>
      </c>
      <c r="I1107" t="str">
        <f t="shared" si="104"/>
        <v>No</v>
      </c>
      <c r="J1107">
        <f t="shared" si="105"/>
        <v>0</v>
      </c>
      <c r="K1107">
        <f t="shared" si="106"/>
        <v>0</v>
      </c>
      <c r="L1107" t="str">
        <f t="shared" si="107"/>
        <v/>
      </c>
    </row>
    <row r="1108" spans="1:12" ht="14.4" customHeight="1" x14ac:dyDescent="0.3">
      <c r="A1108">
        <v>200962065</v>
      </c>
      <c r="B1108" s="1">
        <v>44958</v>
      </c>
      <c r="D1108" t="s">
        <v>7</v>
      </c>
      <c r="E1108">
        <v>39</v>
      </c>
      <c r="F1108" t="s">
        <v>6</v>
      </c>
      <c r="G1108" t="str">
        <f t="shared" si="102"/>
        <v/>
      </c>
      <c r="H1108" s="1" t="str">
        <f t="shared" si="103"/>
        <v>Wednesday</v>
      </c>
      <c r="I1108" t="str">
        <f t="shared" si="104"/>
        <v>No</v>
      </c>
      <c r="J1108">
        <f t="shared" si="105"/>
        <v>0</v>
      </c>
      <c r="K1108">
        <f t="shared" si="106"/>
        <v>0</v>
      </c>
      <c r="L1108" t="str">
        <f t="shared" si="107"/>
        <v/>
      </c>
    </row>
    <row r="1109" spans="1:12" ht="14.4" customHeight="1" x14ac:dyDescent="0.3">
      <c r="A1109">
        <v>196821289</v>
      </c>
      <c r="B1109" s="1">
        <v>44958</v>
      </c>
      <c r="D1109" t="s">
        <v>7</v>
      </c>
      <c r="E1109">
        <v>39</v>
      </c>
      <c r="F1109" t="s">
        <v>6</v>
      </c>
      <c r="G1109" t="str">
        <f t="shared" si="102"/>
        <v/>
      </c>
      <c r="H1109" s="1" t="str">
        <f t="shared" si="103"/>
        <v>Wednesday</v>
      </c>
      <c r="I1109" t="str">
        <f t="shared" si="104"/>
        <v>No</v>
      </c>
      <c r="J1109">
        <f t="shared" si="105"/>
        <v>0</v>
      </c>
      <c r="K1109">
        <f t="shared" si="106"/>
        <v>0</v>
      </c>
      <c r="L1109" t="str">
        <f t="shared" si="107"/>
        <v/>
      </c>
    </row>
    <row r="1110" spans="1:12" ht="14.4" customHeight="1" x14ac:dyDescent="0.3">
      <c r="A1110">
        <v>200867442</v>
      </c>
      <c r="B1110" s="1">
        <v>44958</v>
      </c>
      <c r="D1110" t="s">
        <v>7</v>
      </c>
      <c r="E1110">
        <v>39</v>
      </c>
      <c r="F1110" t="s">
        <v>6</v>
      </c>
      <c r="G1110" t="str">
        <f t="shared" si="102"/>
        <v/>
      </c>
      <c r="H1110" s="1" t="str">
        <f t="shared" si="103"/>
        <v>Wednesday</v>
      </c>
      <c r="I1110" t="str">
        <f t="shared" si="104"/>
        <v>No</v>
      </c>
      <c r="J1110">
        <f t="shared" si="105"/>
        <v>0</v>
      </c>
      <c r="K1110">
        <f t="shared" si="106"/>
        <v>0</v>
      </c>
      <c r="L1110" t="str">
        <f t="shared" si="107"/>
        <v/>
      </c>
    </row>
    <row r="1111" spans="1:12" ht="14.4" customHeight="1" x14ac:dyDescent="0.3">
      <c r="A1111">
        <v>187855576</v>
      </c>
      <c r="B1111" s="1">
        <v>44958</v>
      </c>
      <c r="D1111" t="s">
        <v>7</v>
      </c>
      <c r="E1111">
        <v>39</v>
      </c>
      <c r="F1111" t="s">
        <v>6</v>
      </c>
      <c r="G1111" t="str">
        <f t="shared" si="102"/>
        <v/>
      </c>
      <c r="H1111" s="1" t="str">
        <f t="shared" si="103"/>
        <v>Wednesday</v>
      </c>
      <c r="I1111" t="str">
        <f t="shared" si="104"/>
        <v>No</v>
      </c>
      <c r="J1111">
        <f t="shared" si="105"/>
        <v>0</v>
      </c>
      <c r="K1111">
        <f t="shared" si="106"/>
        <v>0</v>
      </c>
      <c r="L1111" t="str">
        <f t="shared" si="107"/>
        <v/>
      </c>
    </row>
    <row r="1112" spans="1:12" ht="14.4" customHeight="1" x14ac:dyDescent="0.3">
      <c r="A1112">
        <v>198475060</v>
      </c>
      <c r="B1112" s="1">
        <v>44958</v>
      </c>
      <c r="C1112" s="1">
        <v>44959</v>
      </c>
      <c r="D1112" t="s">
        <v>8</v>
      </c>
      <c r="E1112">
        <v>39</v>
      </c>
      <c r="F1112" t="s">
        <v>6</v>
      </c>
      <c r="G1112">
        <f t="shared" si="102"/>
        <v>1</v>
      </c>
      <c r="H1112" s="1" t="str">
        <f t="shared" si="103"/>
        <v>Wednesday</v>
      </c>
      <c r="I1112" t="str">
        <f t="shared" si="104"/>
        <v>No</v>
      </c>
      <c r="J1112">
        <f t="shared" si="105"/>
        <v>1</v>
      </c>
      <c r="K1112">
        <f t="shared" si="106"/>
        <v>0</v>
      </c>
      <c r="L1112">
        <f t="shared" si="107"/>
        <v>1</v>
      </c>
    </row>
    <row r="1113" spans="1:12" x14ac:dyDescent="0.3">
      <c r="A1113">
        <v>137201021</v>
      </c>
      <c r="B1113" s="1">
        <v>44958</v>
      </c>
      <c r="C1113" s="1">
        <v>45106</v>
      </c>
      <c r="D1113" t="s">
        <v>7</v>
      </c>
      <c r="E1113">
        <v>39</v>
      </c>
      <c r="F1113" t="s">
        <v>6</v>
      </c>
      <c r="G1113">
        <f t="shared" si="102"/>
        <v>148</v>
      </c>
      <c r="H1113" s="1" t="str">
        <f t="shared" si="103"/>
        <v>Wednesday</v>
      </c>
      <c r="I1113" t="str">
        <f t="shared" si="104"/>
        <v>No</v>
      </c>
      <c r="J1113">
        <f t="shared" si="105"/>
        <v>0</v>
      </c>
      <c r="K1113">
        <f t="shared" si="106"/>
        <v>1</v>
      </c>
      <c r="L1113">
        <f t="shared" si="107"/>
        <v>148</v>
      </c>
    </row>
    <row r="1114" spans="1:12" x14ac:dyDescent="0.3">
      <c r="A1114">
        <v>192942271</v>
      </c>
      <c r="B1114" s="1">
        <v>44958</v>
      </c>
      <c r="C1114" s="1">
        <v>45104</v>
      </c>
      <c r="D1114" t="s">
        <v>7</v>
      </c>
      <c r="E1114">
        <v>39</v>
      </c>
      <c r="F1114" t="s">
        <v>6</v>
      </c>
      <c r="G1114">
        <f t="shared" si="102"/>
        <v>146</v>
      </c>
      <c r="H1114" s="1" t="str">
        <f t="shared" si="103"/>
        <v>Wednesday</v>
      </c>
      <c r="I1114" t="str">
        <f t="shared" si="104"/>
        <v>No</v>
      </c>
      <c r="J1114">
        <f t="shared" si="105"/>
        <v>0</v>
      </c>
      <c r="K1114">
        <f t="shared" si="106"/>
        <v>1</v>
      </c>
      <c r="L1114">
        <f t="shared" si="107"/>
        <v>146</v>
      </c>
    </row>
    <row r="1115" spans="1:12" x14ac:dyDescent="0.3">
      <c r="A1115">
        <v>155088727</v>
      </c>
      <c r="B1115" s="1">
        <v>44958</v>
      </c>
      <c r="C1115" s="1">
        <v>45071</v>
      </c>
      <c r="D1115" t="s">
        <v>7</v>
      </c>
      <c r="E1115">
        <v>39</v>
      </c>
      <c r="F1115" t="s">
        <v>6</v>
      </c>
      <c r="G1115">
        <f t="shared" si="102"/>
        <v>113</v>
      </c>
      <c r="H1115" s="1" t="str">
        <f t="shared" si="103"/>
        <v>Wednesday</v>
      </c>
      <c r="I1115" t="str">
        <f t="shared" si="104"/>
        <v>No</v>
      </c>
      <c r="J1115">
        <f t="shared" si="105"/>
        <v>0</v>
      </c>
      <c r="K1115">
        <f t="shared" si="106"/>
        <v>1</v>
      </c>
      <c r="L1115">
        <f t="shared" si="107"/>
        <v>113</v>
      </c>
    </row>
    <row r="1116" spans="1:12" x14ac:dyDescent="0.3">
      <c r="A1116">
        <v>145416349</v>
      </c>
      <c r="B1116" s="1">
        <v>44958</v>
      </c>
      <c r="C1116" s="1">
        <v>45047</v>
      </c>
      <c r="D1116" t="s">
        <v>7</v>
      </c>
      <c r="E1116">
        <v>39</v>
      </c>
      <c r="F1116" t="s">
        <v>6</v>
      </c>
      <c r="G1116">
        <f t="shared" si="102"/>
        <v>89</v>
      </c>
      <c r="H1116" s="1" t="str">
        <f t="shared" si="103"/>
        <v>Wednesday</v>
      </c>
      <c r="I1116" t="str">
        <f t="shared" si="104"/>
        <v>No</v>
      </c>
      <c r="J1116">
        <f t="shared" si="105"/>
        <v>0</v>
      </c>
      <c r="K1116">
        <f t="shared" si="106"/>
        <v>1</v>
      </c>
      <c r="L1116">
        <f t="shared" si="107"/>
        <v>89</v>
      </c>
    </row>
    <row r="1117" spans="1:12" x14ac:dyDescent="0.3">
      <c r="A1117">
        <v>154064672</v>
      </c>
      <c r="B1117" s="1">
        <v>44958</v>
      </c>
      <c r="C1117" s="1">
        <v>45041</v>
      </c>
      <c r="D1117" t="s">
        <v>7</v>
      </c>
      <c r="E1117">
        <v>39</v>
      </c>
      <c r="F1117" t="s">
        <v>6</v>
      </c>
      <c r="G1117">
        <f t="shared" si="102"/>
        <v>83</v>
      </c>
      <c r="H1117" s="1" t="str">
        <f t="shared" si="103"/>
        <v>Wednesday</v>
      </c>
      <c r="I1117" t="str">
        <f t="shared" si="104"/>
        <v>No</v>
      </c>
      <c r="J1117">
        <f t="shared" si="105"/>
        <v>0</v>
      </c>
      <c r="K1117">
        <f t="shared" si="106"/>
        <v>1</v>
      </c>
      <c r="L1117">
        <f t="shared" si="107"/>
        <v>83</v>
      </c>
    </row>
    <row r="1118" spans="1:12" x14ac:dyDescent="0.3">
      <c r="A1118">
        <v>174670793</v>
      </c>
      <c r="B1118" s="1">
        <v>44958</v>
      </c>
      <c r="C1118" s="1">
        <v>45039</v>
      </c>
      <c r="D1118" t="s">
        <v>7</v>
      </c>
      <c r="E1118">
        <v>39</v>
      </c>
      <c r="F1118" t="s">
        <v>6</v>
      </c>
      <c r="G1118">
        <f t="shared" si="102"/>
        <v>81</v>
      </c>
      <c r="H1118" s="1" t="str">
        <f t="shared" si="103"/>
        <v>Wednesday</v>
      </c>
      <c r="I1118" t="str">
        <f t="shared" si="104"/>
        <v>No</v>
      </c>
      <c r="J1118">
        <f t="shared" si="105"/>
        <v>0</v>
      </c>
      <c r="K1118">
        <f t="shared" si="106"/>
        <v>1</v>
      </c>
      <c r="L1118">
        <f t="shared" si="107"/>
        <v>81</v>
      </c>
    </row>
    <row r="1119" spans="1:12" x14ac:dyDescent="0.3">
      <c r="A1119">
        <v>200600365</v>
      </c>
      <c r="B1119" s="1">
        <v>44958</v>
      </c>
      <c r="C1119" s="1">
        <v>45029</v>
      </c>
      <c r="D1119" t="s">
        <v>7</v>
      </c>
      <c r="E1119">
        <v>39</v>
      </c>
      <c r="F1119" t="s">
        <v>6</v>
      </c>
      <c r="G1119">
        <f t="shared" si="102"/>
        <v>71</v>
      </c>
      <c r="H1119" s="1" t="str">
        <f t="shared" si="103"/>
        <v>Wednesday</v>
      </c>
      <c r="I1119" t="str">
        <f t="shared" si="104"/>
        <v>No</v>
      </c>
      <c r="J1119">
        <f t="shared" si="105"/>
        <v>0</v>
      </c>
      <c r="K1119">
        <f t="shared" si="106"/>
        <v>1</v>
      </c>
      <c r="L1119">
        <f t="shared" si="107"/>
        <v>71</v>
      </c>
    </row>
    <row r="1120" spans="1:12" ht="14.4" customHeight="1" x14ac:dyDescent="0.3">
      <c r="A1120">
        <v>196253752</v>
      </c>
      <c r="B1120" s="1">
        <v>44958</v>
      </c>
      <c r="C1120" s="1">
        <v>44976</v>
      </c>
      <c r="D1120" t="s">
        <v>7</v>
      </c>
      <c r="E1120">
        <v>39</v>
      </c>
      <c r="F1120" t="s">
        <v>6</v>
      </c>
      <c r="G1120">
        <f t="shared" si="102"/>
        <v>18</v>
      </c>
      <c r="H1120" s="1" t="str">
        <f t="shared" si="103"/>
        <v>Wednesday</v>
      </c>
      <c r="I1120" t="str">
        <f t="shared" si="104"/>
        <v>No</v>
      </c>
      <c r="J1120">
        <f t="shared" si="105"/>
        <v>0</v>
      </c>
      <c r="K1120">
        <f t="shared" si="106"/>
        <v>0</v>
      </c>
      <c r="L1120">
        <f t="shared" si="107"/>
        <v>18</v>
      </c>
    </row>
    <row r="1121" spans="1:12" ht="14.4" customHeight="1" x14ac:dyDescent="0.3">
      <c r="A1121">
        <v>148710722</v>
      </c>
      <c r="B1121" s="1">
        <v>44958</v>
      </c>
      <c r="C1121" s="1">
        <v>44960</v>
      </c>
      <c r="D1121" t="s">
        <v>7</v>
      </c>
      <c r="E1121">
        <v>39</v>
      </c>
      <c r="F1121" t="s">
        <v>6</v>
      </c>
      <c r="G1121">
        <f t="shared" si="102"/>
        <v>2</v>
      </c>
      <c r="H1121" s="1" t="str">
        <f t="shared" si="103"/>
        <v>Wednesday</v>
      </c>
      <c r="I1121" t="str">
        <f t="shared" si="104"/>
        <v>No</v>
      </c>
      <c r="J1121">
        <f t="shared" si="105"/>
        <v>1</v>
      </c>
      <c r="K1121">
        <f t="shared" si="106"/>
        <v>0</v>
      </c>
      <c r="L1121">
        <f t="shared" si="107"/>
        <v>2</v>
      </c>
    </row>
    <row r="1122" spans="1:12" ht="14.4" customHeight="1" x14ac:dyDescent="0.3">
      <c r="A1122">
        <v>201015936</v>
      </c>
      <c r="B1122" s="1">
        <v>44958</v>
      </c>
      <c r="C1122" s="1">
        <v>44971</v>
      </c>
      <c r="D1122" t="s">
        <v>7</v>
      </c>
      <c r="E1122">
        <v>39</v>
      </c>
      <c r="F1122" t="s">
        <v>6</v>
      </c>
      <c r="G1122">
        <f t="shared" si="102"/>
        <v>13</v>
      </c>
      <c r="H1122" s="1" t="str">
        <f t="shared" si="103"/>
        <v>Wednesday</v>
      </c>
      <c r="I1122" t="str">
        <f t="shared" si="104"/>
        <v>No</v>
      </c>
      <c r="J1122">
        <f t="shared" si="105"/>
        <v>0</v>
      </c>
      <c r="K1122">
        <f t="shared" si="106"/>
        <v>0</v>
      </c>
      <c r="L1122">
        <f t="shared" si="107"/>
        <v>13</v>
      </c>
    </row>
    <row r="1123" spans="1:12" ht="14.4" customHeight="1" x14ac:dyDescent="0.3">
      <c r="A1123">
        <v>200766423</v>
      </c>
      <c r="B1123" s="1">
        <v>44958</v>
      </c>
      <c r="C1123" s="1">
        <v>44963</v>
      </c>
      <c r="D1123" t="s">
        <v>7</v>
      </c>
      <c r="E1123">
        <v>39</v>
      </c>
      <c r="F1123" t="s">
        <v>6</v>
      </c>
      <c r="G1123">
        <f t="shared" si="102"/>
        <v>5</v>
      </c>
      <c r="H1123" s="1" t="str">
        <f t="shared" si="103"/>
        <v>Wednesday</v>
      </c>
      <c r="I1123" t="str">
        <f t="shared" si="104"/>
        <v>No</v>
      </c>
      <c r="J1123">
        <f t="shared" si="105"/>
        <v>0</v>
      </c>
      <c r="K1123">
        <f t="shared" si="106"/>
        <v>0</v>
      </c>
      <c r="L1123">
        <f t="shared" si="107"/>
        <v>5</v>
      </c>
    </row>
    <row r="1124" spans="1:12" x14ac:dyDescent="0.3">
      <c r="A1124">
        <v>188152753</v>
      </c>
      <c r="B1124" s="1">
        <v>44958</v>
      </c>
      <c r="C1124" s="1">
        <v>44995</v>
      </c>
      <c r="D1124" t="s">
        <v>7</v>
      </c>
      <c r="E1124">
        <v>39</v>
      </c>
      <c r="F1124" t="s">
        <v>6</v>
      </c>
      <c r="G1124">
        <f t="shared" si="102"/>
        <v>37</v>
      </c>
      <c r="H1124" s="1" t="str">
        <f t="shared" si="103"/>
        <v>Wednesday</v>
      </c>
      <c r="I1124" t="str">
        <f t="shared" si="104"/>
        <v>No</v>
      </c>
      <c r="J1124">
        <f t="shared" si="105"/>
        <v>0</v>
      </c>
      <c r="K1124">
        <f t="shared" si="106"/>
        <v>1</v>
      </c>
      <c r="L1124">
        <f t="shared" si="107"/>
        <v>37</v>
      </c>
    </row>
    <row r="1125" spans="1:12" x14ac:dyDescent="0.3">
      <c r="A1125">
        <v>194406214</v>
      </c>
      <c r="B1125" s="1">
        <v>44958</v>
      </c>
      <c r="C1125" s="1">
        <v>45149</v>
      </c>
      <c r="D1125" t="s">
        <v>7</v>
      </c>
      <c r="E1125">
        <v>39</v>
      </c>
      <c r="F1125" t="s">
        <v>6</v>
      </c>
      <c r="G1125">
        <f t="shared" si="102"/>
        <v>191</v>
      </c>
      <c r="H1125" s="1" t="str">
        <f t="shared" si="103"/>
        <v>Wednesday</v>
      </c>
      <c r="I1125" t="str">
        <f t="shared" si="104"/>
        <v>No</v>
      </c>
      <c r="J1125">
        <f t="shared" si="105"/>
        <v>0</v>
      </c>
      <c r="K1125">
        <f t="shared" si="106"/>
        <v>1</v>
      </c>
      <c r="L1125">
        <f t="shared" si="107"/>
        <v>191</v>
      </c>
    </row>
    <row r="1126" spans="1:12" ht="14.4" customHeight="1" x14ac:dyDescent="0.3">
      <c r="A1126">
        <v>199388324</v>
      </c>
      <c r="B1126" s="1">
        <v>44959</v>
      </c>
      <c r="D1126" t="s">
        <v>7</v>
      </c>
      <c r="E1126">
        <v>39</v>
      </c>
      <c r="F1126" t="s">
        <v>6</v>
      </c>
      <c r="G1126" t="str">
        <f t="shared" si="102"/>
        <v/>
      </c>
      <c r="H1126" s="1" t="str">
        <f t="shared" si="103"/>
        <v>Thursday</v>
      </c>
      <c r="I1126" t="str">
        <f t="shared" si="104"/>
        <v>No</v>
      </c>
      <c r="J1126">
        <f t="shared" si="105"/>
        <v>0</v>
      </c>
      <c r="K1126">
        <f t="shared" si="106"/>
        <v>0</v>
      </c>
      <c r="L1126" t="str">
        <f t="shared" si="107"/>
        <v/>
      </c>
    </row>
    <row r="1127" spans="1:12" ht="14.4" customHeight="1" x14ac:dyDescent="0.3">
      <c r="A1127">
        <v>202030516</v>
      </c>
      <c r="B1127" s="1">
        <v>44959</v>
      </c>
      <c r="D1127" t="s">
        <v>7</v>
      </c>
      <c r="E1127">
        <v>39</v>
      </c>
      <c r="F1127" t="s">
        <v>6</v>
      </c>
      <c r="G1127" t="str">
        <f t="shared" si="102"/>
        <v/>
      </c>
      <c r="H1127" s="1" t="str">
        <f t="shared" si="103"/>
        <v>Thursday</v>
      </c>
      <c r="I1127" t="str">
        <f t="shared" si="104"/>
        <v>No</v>
      </c>
      <c r="J1127">
        <f t="shared" si="105"/>
        <v>0</v>
      </c>
      <c r="K1127">
        <f t="shared" si="106"/>
        <v>0</v>
      </c>
      <c r="L1127" t="str">
        <f t="shared" si="107"/>
        <v/>
      </c>
    </row>
    <row r="1128" spans="1:12" ht="14.4" customHeight="1" x14ac:dyDescent="0.3">
      <c r="A1128">
        <v>196926212</v>
      </c>
      <c r="B1128" s="1">
        <v>44959</v>
      </c>
      <c r="D1128" t="s">
        <v>7</v>
      </c>
      <c r="E1128">
        <v>39</v>
      </c>
      <c r="F1128" t="s">
        <v>6</v>
      </c>
      <c r="G1128" t="str">
        <f t="shared" si="102"/>
        <v/>
      </c>
      <c r="H1128" s="1" t="str">
        <f t="shared" si="103"/>
        <v>Thursday</v>
      </c>
      <c r="I1128" t="str">
        <f t="shared" si="104"/>
        <v>No</v>
      </c>
      <c r="J1128">
        <f t="shared" si="105"/>
        <v>0</v>
      </c>
      <c r="K1128">
        <f t="shared" si="106"/>
        <v>0</v>
      </c>
      <c r="L1128" t="str">
        <f t="shared" si="107"/>
        <v/>
      </c>
    </row>
    <row r="1129" spans="1:12" x14ac:dyDescent="0.3">
      <c r="A1129">
        <v>199374328</v>
      </c>
      <c r="B1129" s="1">
        <v>44959</v>
      </c>
      <c r="C1129" s="1">
        <v>45113</v>
      </c>
      <c r="D1129" t="s">
        <v>7</v>
      </c>
      <c r="E1129">
        <v>39</v>
      </c>
      <c r="F1129" t="s">
        <v>6</v>
      </c>
      <c r="G1129">
        <f t="shared" si="102"/>
        <v>154</v>
      </c>
      <c r="H1129" s="1" t="str">
        <f t="shared" si="103"/>
        <v>Thursday</v>
      </c>
      <c r="I1129" t="str">
        <f t="shared" si="104"/>
        <v>No</v>
      </c>
      <c r="J1129">
        <f t="shared" si="105"/>
        <v>0</v>
      </c>
      <c r="K1129">
        <f t="shared" si="106"/>
        <v>1</v>
      </c>
      <c r="L1129">
        <f t="shared" si="107"/>
        <v>154</v>
      </c>
    </row>
    <row r="1130" spans="1:12" x14ac:dyDescent="0.3">
      <c r="A1130">
        <v>201313318</v>
      </c>
      <c r="B1130" s="1">
        <v>44959</v>
      </c>
      <c r="C1130" s="1">
        <v>45076</v>
      </c>
      <c r="D1130" t="s">
        <v>7</v>
      </c>
      <c r="E1130">
        <v>39</v>
      </c>
      <c r="F1130" t="s">
        <v>6</v>
      </c>
      <c r="G1130">
        <f t="shared" si="102"/>
        <v>117</v>
      </c>
      <c r="H1130" s="1" t="str">
        <f t="shared" si="103"/>
        <v>Thursday</v>
      </c>
      <c r="I1130" t="str">
        <f t="shared" si="104"/>
        <v>No</v>
      </c>
      <c r="J1130">
        <f t="shared" si="105"/>
        <v>0</v>
      </c>
      <c r="K1130">
        <f t="shared" si="106"/>
        <v>1</v>
      </c>
      <c r="L1130">
        <f t="shared" si="107"/>
        <v>117</v>
      </c>
    </row>
    <row r="1131" spans="1:12" x14ac:dyDescent="0.3">
      <c r="A1131">
        <v>200960179</v>
      </c>
      <c r="B1131" s="1">
        <v>44959</v>
      </c>
      <c r="C1131" s="1">
        <v>45077</v>
      </c>
      <c r="D1131" t="s">
        <v>7</v>
      </c>
      <c r="E1131">
        <v>39</v>
      </c>
      <c r="F1131" t="s">
        <v>6</v>
      </c>
      <c r="G1131">
        <f t="shared" si="102"/>
        <v>118</v>
      </c>
      <c r="H1131" s="1" t="str">
        <f t="shared" si="103"/>
        <v>Thursday</v>
      </c>
      <c r="I1131" t="str">
        <f t="shared" si="104"/>
        <v>No</v>
      </c>
      <c r="J1131">
        <f t="shared" si="105"/>
        <v>0</v>
      </c>
      <c r="K1131">
        <f t="shared" si="106"/>
        <v>1</v>
      </c>
      <c r="L1131">
        <f t="shared" si="107"/>
        <v>118</v>
      </c>
    </row>
    <row r="1132" spans="1:12" x14ac:dyDescent="0.3">
      <c r="A1132">
        <v>180890046</v>
      </c>
      <c r="B1132" s="1">
        <v>44959</v>
      </c>
      <c r="C1132" s="1">
        <v>45073</v>
      </c>
      <c r="D1132" t="s">
        <v>7</v>
      </c>
      <c r="E1132">
        <v>39</v>
      </c>
      <c r="F1132" t="s">
        <v>6</v>
      </c>
      <c r="G1132">
        <f t="shared" si="102"/>
        <v>114</v>
      </c>
      <c r="H1132" s="1" t="str">
        <f t="shared" si="103"/>
        <v>Thursday</v>
      </c>
      <c r="I1132" t="str">
        <f t="shared" si="104"/>
        <v>No</v>
      </c>
      <c r="J1132">
        <f t="shared" si="105"/>
        <v>0</v>
      </c>
      <c r="K1132">
        <f t="shared" si="106"/>
        <v>1</v>
      </c>
      <c r="L1132">
        <f t="shared" si="107"/>
        <v>114</v>
      </c>
    </row>
    <row r="1133" spans="1:12" x14ac:dyDescent="0.3">
      <c r="A1133">
        <v>159227956</v>
      </c>
      <c r="B1133" s="1">
        <v>44959</v>
      </c>
      <c r="C1133" s="1">
        <v>45055</v>
      </c>
      <c r="D1133" t="s">
        <v>7</v>
      </c>
      <c r="E1133">
        <v>39</v>
      </c>
      <c r="F1133" t="s">
        <v>6</v>
      </c>
      <c r="G1133">
        <f t="shared" si="102"/>
        <v>96</v>
      </c>
      <c r="H1133" s="1" t="str">
        <f t="shared" si="103"/>
        <v>Thursday</v>
      </c>
      <c r="I1133" t="str">
        <f t="shared" si="104"/>
        <v>No</v>
      </c>
      <c r="J1133">
        <f t="shared" si="105"/>
        <v>0</v>
      </c>
      <c r="K1133">
        <f t="shared" si="106"/>
        <v>1</v>
      </c>
      <c r="L1133">
        <f t="shared" si="107"/>
        <v>96</v>
      </c>
    </row>
    <row r="1134" spans="1:12" x14ac:dyDescent="0.3">
      <c r="A1134">
        <v>182325407</v>
      </c>
      <c r="B1134" s="1">
        <v>44959</v>
      </c>
      <c r="C1134" s="1">
        <v>45019</v>
      </c>
      <c r="D1134" t="s">
        <v>7</v>
      </c>
      <c r="E1134">
        <v>39</v>
      </c>
      <c r="F1134" t="s">
        <v>6</v>
      </c>
      <c r="G1134">
        <f t="shared" si="102"/>
        <v>60</v>
      </c>
      <c r="H1134" s="1" t="str">
        <f t="shared" si="103"/>
        <v>Thursday</v>
      </c>
      <c r="I1134" t="str">
        <f t="shared" si="104"/>
        <v>No</v>
      </c>
      <c r="J1134">
        <f t="shared" si="105"/>
        <v>0</v>
      </c>
      <c r="K1134">
        <f t="shared" si="106"/>
        <v>1</v>
      </c>
      <c r="L1134">
        <f t="shared" si="107"/>
        <v>60</v>
      </c>
    </row>
    <row r="1135" spans="1:12" x14ac:dyDescent="0.3">
      <c r="A1135">
        <v>194828965</v>
      </c>
      <c r="B1135" s="1">
        <v>44959</v>
      </c>
      <c r="C1135" s="1">
        <v>45018</v>
      </c>
      <c r="D1135" t="s">
        <v>7</v>
      </c>
      <c r="E1135">
        <v>39</v>
      </c>
      <c r="F1135" t="s">
        <v>6</v>
      </c>
      <c r="G1135">
        <f t="shared" si="102"/>
        <v>59</v>
      </c>
      <c r="H1135" s="1" t="str">
        <f t="shared" si="103"/>
        <v>Thursday</v>
      </c>
      <c r="I1135" t="str">
        <f t="shared" si="104"/>
        <v>No</v>
      </c>
      <c r="J1135">
        <f t="shared" si="105"/>
        <v>0</v>
      </c>
      <c r="K1135">
        <f t="shared" si="106"/>
        <v>1</v>
      </c>
      <c r="L1135">
        <f t="shared" si="107"/>
        <v>59</v>
      </c>
    </row>
    <row r="1136" spans="1:12" x14ac:dyDescent="0.3">
      <c r="A1136">
        <v>202139613</v>
      </c>
      <c r="B1136" s="1">
        <v>44959</v>
      </c>
      <c r="C1136" s="1">
        <v>44991</v>
      </c>
      <c r="D1136" t="s">
        <v>7</v>
      </c>
      <c r="E1136">
        <v>39</v>
      </c>
      <c r="F1136" t="s">
        <v>6</v>
      </c>
      <c r="G1136">
        <f t="shared" si="102"/>
        <v>32</v>
      </c>
      <c r="H1136" s="1" t="str">
        <f t="shared" si="103"/>
        <v>Thursday</v>
      </c>
      <c r="I1136" t="str">
        <f t="shared" si="104"/>
        <v>No</v>
      </c>
      <c r="J1136">
        <f t="shared" si="105"/>
        <v>0</v>
      </c>
      <c r="K1136">
        <f t="shared" si="106"/>
        <v>1</v>
      </c>
      <c r="L1136">
        <f t="shared" si="107"/>
        <v>32</v>
      </c>
    </row>
    <row r="1137" spans="1:12" x14ac:dyDescent="0.3">
      <c r="A1137">
        <v>202137510</v>
      </c>
      <c r="B1137" s="1">
        <v>44959</v>
      </c>
      <c r="C1137" s="1">
        <v>44995</v>
      </c>
      <c r="D1137" t="s">
        <v>7</v>
      </c>
      <c r="E1137">
        <v>39</v>
      </c>
      <c r="F1137" t="s">
        <v>6</v>
      </c>
      <c r="G1137">
        <f t="shared" si="102"/>
        <v>36</v>
      </c>
      <c r="H1137" s="1" t="str">
        <f t="shared" si="103"/>
        <v>Thursday</v>
      </c>
      <c r="I1137" t="str">
        <f t="shared" si="104"/>
        <v>No</v>
      </c>
      <c r="J1137">
        <f t="shared" si="105"/>
        <v>0</v>
      </c>
      <c r="K1137">
        <f t="shared" si="106"/>
        <v>1</v>
      </c>
      <c r="L1137">
        <f t="shared" si="107"/>
        <v>36</v>
      </c>
    </row>
    <row r="1138" spans="1:12" ht="14.4" customHeight="1" x14ac:dyDescent="0.3">
      <c r="A1138">
        <v>201182176</v>
      </c>
      <c r="B1138" s="1">
        <v>44959</v>
      </c>
      <c r="C1138" s="1">
        <v>44987</v>
      </c>
      <c r="D1138" t="s">
        <v>7</v>
      </c>
      <c r="E1138">
        <v>39</v>
      </c>
      <c r="F1138" t="s">
        <v>6</v>
      </c>
      <c r="G1138">
        <f t="shared" si="102"/>
        <v>28</v>
      </c>
      <c r="H1138" s="1" t="str">
        <f t="shared" si="103"/>
        <v>Thursday</v>
      </c>
      <c r="I1138" t="str">
        <f t="shared" si="104"/>
        <v>No</v>
      </c>
      <c r="J1138">
        <f t="shared" si="105"/>
        <v>0</v>
      </c>
      <c r="K1138">
        <f t="shared" si="106"/>
        <v>0</v>
      </c>
      <c r="L1138">
        <f t="shared" si="107"/>
        <v>28</v>
      </c>
    </row>
    <row r="1139" spans="1:12" ht="14.4" customHeight="1" x14ac:dyDescent="0.3">
      <c r="A1139">
        <v>202010803</v>
      </c>
      <c r="B1139" s="1">
        <v>44959</v>
      </c>
      <c r="C1139" s="1">
        <v>44986</v>
      </c>
      <c r="D1139" t="s">
        <v>7</v>
      </c>
      <c r="E1139">
        <v>39</v>
      </c>
      <c r="F1139" t="s">
        <v>6</v>
      </c>
      <c r="G1139">
        <f t="shared" si="102"/>
        <v>27</v>
      </c>
      <c r="H1139" s="1" t="str">
        <f t="shared" si="103"/>
        <v>Thursday</v>
      </c>
      <c r="I1139" t="str">
        <f t="shared" si="104"/>
        <v>No</v>
      </c>
      <c r="J1139">
        <f t="shared" si="105"/>
        <v>0</v>
      </c>
      <c r="K1139">
        <f t="shared" si="106"/>
        <v>0</v>
      </c>
      <c r="L1139">
        <f t="shared" si="107"/>
        <v>27</v>
      </c>
    </row>
    <row r="1140" spans="1:12" x14ac:dyDescent="0.3">
      <c r="A1140">
        <v>131734107</v>
      </c>
      <c r="B1140" s="1">
        <v>44960</v>
      </c>
      <c r="C1140" s="1">
        <v>45172</v>
      </c>
      <c r="D1140" t="s">
        <v>7</v>
      </c>
      <c r="E1140">
        <v>39</v>
      </c>
      <c r="F1140" t="s">
        <v>6</v>
      </c>
      <c r="G1140">
        <f t="shared" si="102"/>
        <v>212</v>
      </c>
      <c r="H1140" s="1" t="str">
        <f t="shared" si="103"/>
        <v>Friday</v>
      </c>
      <c r="I1140" t="str">
        <f t="shared" si="104"/>
        <v>No</v>
      </c>
      <c r="J1140">
        <f t="shared" si="105"/>
        <v>0</v>
      </c>
      <c r="K1140">
        <f t="shared" si="106"/>
        <v>1</v>
      </c>
      <c r="L1140">
        <f t="shared" si="107"/>
        <v>212</v>
      </c>
    </row>
    <row r="1141" spans="1:12" x14ac:dyDescent="0.3">
      <c r="A1141">
        <v>202277130</v>
      </c>
      <c r="B1141" s="1">
        <v>44960</v>
      </c>
      <c r="C1141" s="1">
        <v>45017</v>
      </c>
      <c r="D1141" t="s">
        <v>7</v>
      </c>
      <c r="E1141">
        <v>39</v>
      </c>
      <c r="F1141" t="s">
        <v>6</v>
      </c>
      <c r="G1141">
        <f t="shared" si="102"/>
        <v>57</v>
      </c>
      <c r="H1141" s="1" t="str">
        <f t="shared" si="103"/>
        <v>Friday</v>
      </c>
      <c r="I1141" t="str">
        <f t="shared" si="104"/>
        <v>No</v>
      </c>
      <c r="J1141">
        <f t="shared" si="105"/>
        <v>0</v>
      </c>
      <c r="K1141">
        <f t="shared" si="106"/>
        <v>1</v>
      </c>
      <c r="L1141">
        <f t="shared" si="107"/>
        <v>57</v>
      </c>
    </row>
    <row r="1142" spans="1:12" x14ac:dyDescent="0.3">
      <c r="A1142">
        <v>137196428</v>
      </c>
      <c r="B1142" s="1">
        <v>44960</v>
      </c>
      <c r="C1142" s="1">
        <v>44994</v>
      </c>
      <c r="D1142" t="s">
        <v>7</v>
      </c>
      <c r="E1142">
        <v>39</v>
      </c>
      <c r="F1142" t="s">
        <v>6</v>
      </c>
      <c r="G1142">
        <f t="shared" si="102"/>
        <v>34</v>
      </c>
      <c r="H1142" s="1" t="str">
        <f t="shared" si="103"/>
        <v>Friday</v>
      </c>
      <c r="I1142" t="str">
        <f t="shared" si="104"/>
        <v>No</v>
      </c>
      <c r="J1142">
        <f t="shared" si="105"/>
        <v>0</v>
      </c>
      <c r="K1142">
        <f t="shared" si="106"/>
        <v>1</v>
      </c>
      <c r="L1142">
        <f t="shared" si="107"/>
        <v>34</v>
      </c>
    </row>
    <row r="1143" spans="1:12" ht="14.4" customHeight="1" x14ac:dyDescent="0.3">
      <c r="A1143">
        <v>153568282</v>
      </c>
      <c r="B1143" s="1">
        <v>44960</v>
      </c>
      <c r="C1143" s="1">
        <v>44973</v>
      </c>
      <c r="D1143" t="s">
        <v>7</v>
      </c>
      <c r="E1143">
        <v>39</v>
      </c>
      <c r="F1143" t="s">
        <v>6</v>
      </c>
      <c r="G1143">
        <f t="shared" si="102"/>
        <v>13</v>
      </c>
      <c r="H1143" s="1" t="str">
        <f t="shared" si="103"/>
        <v>Friday</v>
      </c>
      <c r="I1143" t="str">
        <f t="shared" si="104"/>
        <v>No</v>
      </c>
      <c r="J1143">
        <f t="shared" si="105"/>
        <v>0</v>
      </c>
      <c r="K1143">
        <f t="shared" si="106"/>
        <v>0</v>
      </c>
      <c r="L1143">
        <f t="shared" si="107"/>
        <v>13</v>
      </c>
    </row>
    <row r="1144" spans="1:12" x14ac:dyDescent="0.3">
      <c r="A1144">
        <v>199895190</v>
      </c>
      <c r="B1144" s="1">
        <v>44960</v>
      </c>
      <c r="C1144" s="1">
        <v>44998</v>
      </c>
      <c r="D1144" t="s">
        <v>7</v>
      </c>
      <c r="E1144">
        <v>39</v>
      </c>
      <c r="F1144" t="s">
        <v>6</v>
      </c>
      <c r="G1144">
        <f t="shared" si="102"/>
        <v>38</v>
      </c>
      <c r="H1144" s="1" t="str">
        <f t="shared" si="103"/>
        <v>Friday</v>
      </c>
      <c r="I1144" t="str">
        <f t="shared" si="104"/>
        <v>No</v>
      </c>
      <c r="J1144">
        <f t="shared" si="105"/>
        <v>0</v>
      </c>
      <c r="K1144">
        <f t="shared" si="106"/>
        <v>1</v>
      </c>
      <c r="L1144">
        <f t="shared" si="107"/>
        <v>38</v>
      </c>
    </row>
    <row r="1145" spans="1:12" x14ac:dyDescent="0.3">
      <c r="A1145">
        <v>200894076</v>
      </c>
      <c r="B1145" s="1">
        <v>44960</v>
      </c>
      <c r="C1145" s="1">
        <v>45015</v>
      </c>
      <c r="D1145" t="s">
        <v>7</v>
      </c>
      <c r="E1145">
        <v>39</v>
      </c>
      <c r="F1145" t="s">
        <v>6</v>
      </c>
      <c r="G1145">
        <f t="shared" si="102"/>
        <v>55</v>
      </c>
      <c r="H1145" s="1" t="str">
        <f t="shared" si="103"/>
        <v>Friday</v>
      </c>
      <c r="I1145" t="str">
        <f t="shared" si="104"/>
        <v>No</v>
      </c>
      <c r="J1145">
        <f t="shared" si="105"/>
        <v>0</v>
      </c>
      <c r="K1145">
        <f t="shared" si="106"/>
        <v>1</v>
      </c>
      <c r="L1145">
        <f t="shared" si="107"/>
        <v>55</v>
      </c>
    </row>
    <row r="1146" spans="1:12" x14ac:dyDescent="0.3">
      <c r="A1146">
        <v>201162862</v>
      </c>
      <c r="B1146" s="1">
        <v>44960</v>
      </c>
      <c r="C1146" s="1">
        <v>44995</v>
      </c>
      <c r="D1146" t="s">
        <v>7</v>
      </c>
      <c r="E1146">
        <v>39</v>
      </c>
      <c r="F1146" t="s">
        <v>6</v>
      </c>
      <c r="G1146">
        <f t="shared" si="102"/>
        <v>35</v>
      </c>
      <c r="H1146" s="1" t="str">
        <f t="shared" si="103"/>
        <v>Friday</v>
      </c>
      <c r="I1146" t="str">
        <f t="shared" si="104"/>
        <v>No</v>
      </c>
      <c r="J1146">
        <f t="shared" si="105"/>
        <v>0</v>
      </c>
      <c r="K1146">
        <f t="shared" si="106"/>
        <v>1</v>
      </c>
      <c r="L1146">
        <f t="shared" si="107"/>
        <v>35</v>
      </c>
    </row>
    <row r="1147" spans="1:12" x14ac:dyDescent="0.3">
      <c r="A1147">
        <v>198748705</v>
      </c>
      <c r="B1147" s="1">
        <v>44960</v>
      </c>
      <c r="C1147" s="1">
        <v>45011</v>
      </c>
      <c r="D1147" t="s">
        <v>7</v>
      </c>
      <c r="E1147">
        <v>39</v>
      </c>
      <c r="F1147" t="s">
        <v>6</v>
      </c>
      <c r="G1147">
        <f t="shared" si="102"/>
        <v>51</v>
      </c>
      <c r="H1147" s="1" t="str">
        <f t="shared" si="103"/>
        <v>Friday</v>
      </c>
      <c r="I1147" t="str">
        <f t="shared" si="104"/>
        <v>No</v>
      </c>
      <c r="J1147">
        <f t="shared" si="105"/>
        <v>0</v>
      </c>
      <c r="K1147">
        <f t="shared" si="106"/>
        <v>1</v>
      </c>
      <c r="L1147">
        <f t="shared" si="107"/>
        <v>51</v>
      </c>
    </row>
    <row r="1148" spans="1:12" x14ac:dyDescent="0.3">
      <c r="A1148">
        <v>202308735</v>
      </c>
      <c r="B1148" s="1">
        <v>44960</v>
      </c>
      <c r="C1148" s="1">
        <v>45159</v>
      </c>
      <c r="D1148" t="s">
        <v>7</v>
      </c>
      <c r="E1148">
        <v>39</v>
      </c>
      <c r="F1148" t="s">
        <v>6</v>
      </c>
      <c r="G1148">
        <f t="shared" si="102"/>
        <v>199</v>
      </c>
      <c r="H1148" s="1" t="str">
        <f t="shared" si="103"/>
        <v>Friday</v>
      </c>
      <c r="I1148" t="str">
        <f t="shared" si="104"/>
        <v>No</v>
      </c>
      <c r="J1148">
        <f t="shared" si="105"/>
        <v>0</v>
      </c>
      <c r="K1148">
        <f t="shared" si="106"/>
        <v>1</v>
      </c>
      <c r="L1148">
        <f t="shared" si="107"/>
        <v>199</v>
      </c>
    </row>
    <row r="1149" spans="1:12" x14ac:dyDescent="0.3">
      <c r="A1149">
        <v>202276540</v>
      </c>
      <c r="B1149" s="1">
        <v>44960</v>
      </c>
      <c r="C1149" s="1">
        <v>45110</v>
      </c>
      <c r="D1149" t="s">
        <v>7</v>
      </c>
      <c r="E1149">
        <v>39</v>
      </c>
      <c r="F1149" t="s">
        <v>6</v>
      </c>
      <c r="G1149">
        <f t="shared" si="102"/>
        <v>150</v>
      </c>
      <c r="H1149" s="1" t="str">
        <f t="shared" si="103"/>
        <v>Friday</v>
      </c>
      <c r="I1149" t="str">
        <f t="shared" si="104"/>
        <v>No</v>
      </c>
      <c r="J1149">
        <f t="shared" si="105"/>
        <v>0</v>
      </c>
      <c r="K1149">
        <f t="shared" si="106"/>
        <v>1</v>
      </c>
      <c r="L1149">
        <f t="shared" si="107"/>
        <v>150</v>
      </c>
    </row>
    <row r="1150" spans="1:12" ht="14.4" customHeight="1" x14ac:dyDescent="0.3">
      <c r="A1150">
        <v>202401357</v>
      </c>
      <c r="B1150" s="1">
        <v>44961</v>
      </c>
      <c r="D1150" t="s">
        <v>7</v>
      </c>
      <c r="E1150">
        <v>39</v>
      </c>
      <c r="F1150" t="s">
        <v>6</v>
      </c>
      <c r="G1150" t="str">
        <f t="shared" si="102"/>
        <v/>
      </c>
      <c r="H1150" s="1" t="str">
        <f t="shared" si="103"/>
        <v>Saturday</v>
      </c>
      <c r="I1150" t="str">
        <f t="shared" si="104"/>
        <v>No</v>
      </c>
      <c r="J1150">
        <f t="shared" si="105"/>
        <v>0</v>
      </c>
      <c r="K1150">
        <f t="shared" si="106"/>
        <v>0</v>
      </c>
      <c r="L1150" t="str">
        <f t="shared" si="107"/>
        <v/>
      </c>
    </row>
    <row r="1151" spans="1:12" x14ac:dyDescent="0.3">
      <c r="A1151">
        <v>184539258</v>
      </c>
      <c r="B1151" s="1">
        <v>44961</v>
      </c>
      <c r="C1151" s="1">
        <v>45048</v>
      </c>
      <c r="D1151" t="s">
        <v>7</v>
      </c>
      <c r="E1151">
        <v>39</v>
      </c>
      <c r="F1151" t="s">
        <v>6</v>
      </c>
      <c r="G1151">
        <f t="shared" si="102"/>
        <v>87</v>
      </c>
      <c r="H1151" s="1" t="str">
        <f t="shared" si="103"/>
        <v>Saturday</v>
      </c>
      <c r="I1151" t="str">
        <f t="shared" si="104"/>
        <v>No</v>
      </c>
      <c r="J1151">
        <f t="shared" si="105"/>
        <v>0</v>
      </c>
      <c r="K1151">
        <f t="shared" si="106"/>
        <v>1</v>
      </c>
      <c r="L1151">
        <f t="shared" si="107"/>
        <v>87</v>
      </c>
    </row>
    <row r="1152" spans="1:12" x14ac:dyDescent="0.3">
      <c r="A1152">
        <v>202349754</v>
      </c>
      <c r="B1152" s="1">
        <v>44961</v>
      </c>
      <c r="C1152" s="1">
        <v>45054</v>
      </c>
      <c r="D1152" t="s">
        <v>7</v>
      </c>
      <c r="E1152">
        <v>39</v>
      </c>
      <c r="F1152" t="s">
        <v>6</v>
      </c>
      <c r="G1152">
        <f t="shared" si="102"/>
        <v>93</v>
      </c>
      <c r="H1152" s="1" t="str">
        <f t="shared" si="103"/>
        <v>Saturday</v>
      </c>
      <c r="I1152" t="str">
        <f t="shared" si="104"/>
        <v>No</v>
      </c>
      <c r="J1152">
        <f t="shared" si="105"/>
        <v>0</v>
      </c>
      <c r="K1152">
        <f t="shared" si="106"/>
        <v>1</v>
      </c>
      <c r="L1152">
        <f t="shared" si="107"/>
        <v>93</v>
      </c>
    </row>
    <row r="1153" spans="1:12" ht="14.4" customHeight="1" x14ac:dyDescent="0.3">
      <c r="A1153">
        <v>202410436</v>
      </c>
      <c r="B1153" s="1">
        <v>44961</v>
      </c>
      <c r="C1153" s="1">
        <v>44982</v>
      </c>
      <c r="D1153" t="s">
        <v>7</v>
      </c>
      <c r="E1153">
        <v>39</v>
      </c>
      <c r="F1153" t="s">
        <v>6</v>
      </c>
      <c r="G1153">
        <f t="shared" si="102"/>
        <v>21</v>
      </c>
      <c r="H1153" s="1" t="str">
        <f t="shared" si="103"/>
        <v>Saturday</v>
      </c>
      <c r="I1153" t="str">
        <f t="shared" si="104"/>
        <v>No</v>
      </c>
      <c r="J1153">
        <f t="shared" si="105"/>
        <v>0</v>
      </c>
      <c r="K1153">
        <f t="shared" si="106"/>
        <v>0</v>
      </c>
      <c r="L1153">
        <f t="shared" si="107"/>
        <v>21</v>
      </c>
    </row>
    <row r="1154" spans="1:12" x14ac:dyDescent="0.3">
      <c r="A1154">
        <v>197151544</v>
      </c>
      <c r="B1154" s="1">
        <v>44961</v>
      </c>
      <c r="C1154" s="1">
        <v>45006</v>
      </c>
      <c r="D1154" t="s">
        <v>7</v>
      </c>
      <c r="E1154">
        <v>39</v>
      </c>
      <c r="F1154" t="s">
        <v>6</v>
      </c>
      <c r="G1154">
        <f t="shared" ref="G1154:G1217" si="108">IF(C1154="","",C1154-B1154)</f>
        <v>45</v>
      </c>
      <c r="H1154" s="1" t="str">
        <f t="shared" si="103"/>
        <v>Saturday</v>
      </c>
      <c r="I1154" t="str">
        <f t="shared" si="104"/>
        <v>No</v>
      </c>
      <c r="J1154">
        <f t="shared" si="105"/>
        <v>0</v>
      </c>
      <c r="K1154">
        <f t="shared" si="106"/>
        <v>1</v>
      </c>
      <c r="L1154">
        <f t="shared" si="107"/>
        <v>45</v>
      </c>
    </row>
    <row r="1155" spans="1:12" x14ac:dyDescent="0.3">
      <c r="A1155">
        <v>202305934</v>
      </c>
      <c r="B1155" s="1">
        <v>44961</v>
      </c>
      <c r="C1155" s="1">
        <v>45004</v>
      </c>
      <c r="D1155" t="s">
        <v>7</v>
      </c>
      <c r="E1155">
        <v>39</v>
      </c>
      <c r="F1155" t="s">
        <v>6</v>
      </c>
      <c r="G1155">
        <f t="shared" si="108"/>
        <v>43</v>
      </c>
      <c r="H1155" s="1" t="str">
        <f t="shared" ref="H1155:H1218" si="109">TEXT(B1155,"dddd")</f>
        <v>Saturday</v>
      </c>
      <c r="I1155" t="str">
        <f t="shared" ref="I1155:I1218" si="110">IF(B1155=C1155,"Yes","No")</f>
        <v>No</v>
      </c>
      <c r="J1155">
        <f t="shared" ref="J1155:J1218" si="111">IF(AND(C1155&lt;&gt;"",C1155-B1155&lt;=2),1,0)</f>
        <v>0</v>
      </c>
      <c r="K1155">
        <f t="shared" ref="K1155:K1218" si="112">IF(AND(C1155&lt;&gt;"",C1155-B1155&gt;30),1,0)</f>
        <v>1</v>
      </c>
      <c r="L1155">
        <f t="shared" ref="L1155:L1218" si="113">IF(C1155="","",C1155-B1155)</f>
        <v>43</v>
      </c>
    </row>
    <row r="1156" spans="1:12" ht="14.4" customHeight="1" x14ac:dyDescent="0.3">
      <c r="A1156">
        <v>202304812</v>
      </c>
      <c r="B1156" s="1">
        <v>44962</v>
      </c>
      <c r="D1156" t="s">
        <v>7</v>
      </c>
      <c r="E1156">
        <v>39</v>
      </c>
      <c r="F1156" t="s">
        <v>6</v>
      </c>
      <c r="G1156" t="str">
        <f t="shared" si="108"/>
        <v/>
      </c>
      <c r="H1156" s="1" t="str">
        <f t="shared" si="109"/>
        <v>Sunday</v>
      </c>
      <c r="I1156" t="str">
        <f t="shared" si="110"/>
        <v>No</v>
      </c>
      <c r="J1156">
        <f t="shared" si="111"/>
        <v>0</v>
      </c>
      <c r="K1156">
        <f t="shared" si="112"/>
        <v>0</v>
      </c>
      <c r="L1156" t="str">
        <f t="shared" si="113"/>
        <v/>
      </c>
    </row>
    <row r="1157" spans="1:12" ht="14.4" customHeight="1" x14ac:dyDescent="0.3">
      <c r="A1157">
        <v>160030890</v>
      </c>
      <c r="B1157" s="1">
        <v>44962</v>
      </c>
      <c r="D1157" t="s">
        <v>7</v>
      </c>
      <c r="E1157">
        <v>39</v>
      </c>
      <c r="F1157" t="s">
        <v>6</v>
      </c>
      <c r="G1157" t="str">
        <f t="shared" si="108"/>
        <v/>
      </c>
      <c r="H1157" s="1" t="str">
        <f t="shared" si="109"/>
        <v>Sunday</v>
      </c>
      <c r="I1157" t="str">
        <f t="shared" si="110"/>
        <v>No</v>
      </c>
      <c r="J1157">
        <f t="shared" si="111"/>
        <v>0</v>
      </c>
      <c r="K1157">
        <f t="shared" si="112"/>
        <v>0</v>
      </c>
      <c r="L1157" t="str">
        <f t="shared" si="113"/>
        <v/>
      </c>
    </row>
    <row r="1158" spans="1:12" ht="14.4" customHeight="1" x14ac:dyDescent="0.3">
      <c r="A1158">
        <v>202524608</v>
      </c>
      <c r="B1158" s="1">
        <v>44962</v>
      </c>
      <c r="D1158" t="s">
        <v>7</v>
      </c>
      <c r="E1158">
        <v>39</v>
      </c>
      <c r="F1158" t="s">
        <v>6</v>
      </c>
      <c r="G1158" t="str">
        <f t="shared" si="108"/>
        <v/>
      </c>
      <c r="H1158" s="1" t="str">
        <f t="shared" si="109"/>
        <v>Sunday</v>
      </c>
      <c r="I1158" t="str">
        <f t="shared" si="110"/>
        <v>No</v>
      </c>
      <c r="J1158">
        <f t="shared" si="111"/>
        <v>0</v>
      </c>
      <c r="K1158">
        <f t="shared" si="112"/>
        <v>0</v>
      </c>
      <c r="L1158" t="str">
        <f t="shared" si="113"/>
        <v/>
      </c>
    </row>
    <row r="1159" spans="1:12" ht="14.4" customHeight="1" x14ac:dyDescent="0.3">
      <c r="A1159">
        <v>198447368</v>
      </c>
      <c r="B1159" s="1">
        <v>44962</v>
      </c>
      <c r="D1159" t="s">
        <v>7</v>
      </c>
      <c r="E1159">
        <v>39</v>
      </c>
      <c r="F1159" t="s">
        <v>6</v>
      </c>
      <c r="G1159" t="str">
        <f t="shared" si="108"/>
        <v/>
      </c>
      <c r="H1159" s="1" t="str">
        <f t="shared" si="109"/>
        <v>Sunday</v>
      </c>
      <c r="I1159" t="str">
        <f t="shared" si="110"/>
        <v>No</v>
      </c>
      <c r="J1159">
        <f t="shared" si="111"/>
        <v>0</v>
      </c>
      <c r="K1159">
        <f t="shared" si="112"/>
        <v>0</v>
      </c>
      <c r="L1159" t="str">
        <f t="shared" si="113"/>
        <v/>
      </c>
    </row>
    <row r="1160" spans="1:12" ht="14.4" customHeight="1" x14ac:dyDescent="0.3">
      <c r="A1160">
        <v>202458624</v>
      </c>
      <c r="B1160" s="1">
        <v>44962</v>
      </c>
      <c r="D1160" t="s">
        <v>7</v>
      </c>
      <c r="E1160">
        <v>39</v>
      </c>
      <c r="F1160" t="s">
        <v>6</v>
      </c>
      <c r="G1160" t="str">
        <f t="shared" si="108"/>
        <v/>
      </c>
      <c r="H1160" s="1" t="str">
        <f t="shared" si="109"/>
        <v>Sunday</v>
      </c>
      <c r="I1160" t="str">
        <f t="shared" si="110"/>
        <v>No</v>
      </c>
      <c r="J1160">
        <f t="shared" si="111"/>
        <v>0</v>
      </c>
      <c r="K1160">
        <f t="shared" si="112"/>
        <v>0</v>
      </c>
      <c r="L1160" t="str">
        <f t="shared" si="113"/>
        <v/>
      </c>
    </row>
    <row r="1161" spans="1:12" x14ac:dyDescent="0.3">
      <c r="A1161">
        <v>132256211</v>
      </c>
      <c r="B1161" s="1">
        <v>44962</v>
      </c>
      <c r="C1161" s="1">
        <v>44997</v>
      </c>
      <c r="D1161" t="s">
        <v>7</v>
      </c>
      <c r="E1161">
        <v>39</v>
      </c>
      <c r="F1161" t="s">
        <v>6</v>
      </c>
      <c r="G1161">
        <f t="shared" si="108"/>
        <v>35</v>
      </c>
      <c r="H1161" s="1" t="str">
        <f t="shared" si="109"/>
        <v>Sunday</v>
      </c>
      <c r="I1161" t="str">
        <f t="shared" si="110"/>
        <v>No</v>
      </c>
      <c r="J1161">
        <f t="shared" si="111"/>
        <v>0</v>
      </c>
      <c r="K1161">
        <f t="shared" si="112"/>
        <v>1</v>
      </c>
      <c r="L1161">
        <f t="shared" si="113"/>
        <v>35</v>
      </c>
    </row>
    <row r="1162" spans="1:12" x14ac:dyDescent="0.3">
      <c r="A1162">
        <v>202504135</v>
      </c>
      <c r="B1162" s="1">
        <v>44962</v>
      </c>
      <c r="C1162" s="1">
        <v>45089</v>
      </c>
      <c r="D1162" t="s">
        <v>7</v>
      </c>
      <c r="E1162">
        <v>39</v>
      </c>
      <c r="F1162" t="s">
        <v>6</v>
      </c>
      <c r="G1162">
        <f t="shared" si="108"/>
        <v>127</v>
      </c>
      <c r="H1162" s="1" t="str">
        <f t="shared" si="109"/>
        <v>Sunday</v>
      </c>
      <c r="I1162" t="str">
        <f t="shared" si="110"/>
        <v>No</v>
      </c>
      <c r="J1162">
        <f t="shared" si="111"/>
        <v>0</v>
      </c>
      <c r="K1162">
        <f t="shared" si="112"/>
        <v>1</v>
      </c>
      <c r="L1162">
        <f t="shared" si="113"/>
        <v>127</v>
      </c>
    </row>
    <row r="1163" spans="1:12" x14ac:dyDescent="0.3">
      <c r="A1163">
        <v>192182455</v>
      </c>
      <c r="B1163" s="1">
        <v>44962</v>
      </c>
      <c r="C1163" s="1">
        <v>45052</v>
      </c>
      <c r="D1163" t="s">
        <v>7</v>
      </c>
      <c r="E1163">
        <v>39</v>
      </c>
      <c r="F1163" t="s">
        <v>6</v>
      </c>
      <c r="G1163">
        <f t="shared" si="108"/>
        <v>90</v>
      </c>
      <c r="H1163" s="1" t="str">
        <f t="shared" si="109"/>
        <v>Sunday</v>
      </c>
      <c r="I1163" t="str">
        <f t="shared" si="110"/>
        <v>No</v>
      </c>
      <c r="J1163">
        <f t="shared" si="111"/>
        <v>0</v>
      </c>
      <c r="K1163">
        <f t="shared" si="112"/>
        <v>1</v>
      </c>
      <c r="L1163">
        <f t="shared" si="113"/>
        <v>90</v>
      </c>
    </row>
    <row r="1164" spans="1:12" x14ac:dyDescent="0.3">
      <c r="A1164">
        <v>202505276</v>
      </c>
      <c r="B1164" s="1">
        <v>44962</v>
      </c>
      <c r="C1164" s="1">
        <v>44999</v>
      </c>
      <c r="D1164" t="s">
        <v>7</v>
      </c>
      <c r="E1164">
        <v>39</v>
      </c>
      <c r="F1164" t="s">
        <v>6</v>
      </c>
      <c r="G1164">
        <f t="shared" si="108"/>
        <v>37</v>
      </c>
      <c r="H1164" s="1" t="str">
        <f t="shared" si="109"/>
        <v>Sunday</v>
      </c>
      <c r="I1164" t="str">
        <f t="shared" si="110"/>
        <v>No</v>
      </c>
      <c r="J1164">
        <f t="shared" si="111"/>
        <v>0</v>
      </c>
      <c r="K1164">
        <f t="shared" si="112"/>
        <v>1</v>
      </c>
      <c r="L1164">
        <f t="shared" si="113"/>
        <v>37</v>
      </c>
    </row>
    <row r="1165" spans="1:12" ht="14.4" customHeight="1" x14ac:dyDescent="0.3">
      <c r="A1165">
        <v>152050632</v>
      </c>
      <c r="B1165" s="1">
        <v>44963</v>
      </c>
      <c r="D1165" t="s">
        <v>7</v>
      </c>
      <c r="E1165">
        <v>39</v>
      </c>
      <c r="F1165" t="s">
        <v>6</v>
      </c>
      <c r="G1165" t="str">
        <f t="shared" si="108"/>
        <v/>
      </c>
      <c r="H1165" s="1" t="str">
        <f t="shared" si="109"/>
        <v>Monday</v>
      </c>
      <c r="I1165" t="str">
        <f t="shared" si="110"/>
        <v>No</v>
      </c>
      <c r="J1165">
        <f t="shared" si="111"/>
        <v>0</v>
      </c>
      <c r="K1165">
        <f t="shared" si="112"/>
        <v>0</v>
      </c>
      <c r="L1165" t="str">
        <f t="shared" si="113"/>
        <v/>
      </c>
    </row>
    <row r="1166" spans="1:12" ht="14.4" customHeight="1" x14ac:dyDescent="0.3">
      <c r="A1166">
        <v>201313284</v>
      </c>
      <c r="B1166" s="1">
        <v>44963</v>
      </c>
      <c r="D1166" t="s">
        <v>7</v>
      </c>
      <c r="E1166">
        <v>39</v>
      </c>
      <c r="F1166" t="s">
        <v>6</v>
      </c>
      <c r="G1166" t="str">
        <f t="shared" si="108"/>
        <v/>
      </c>
      <c r="H1166" s="1" t="str">
        <f t="shared" si="109"/>
        <v>Monday</v>
      </c>
      <c r="I1166" t="str">
        <f t="shared" si="110"/>
        <v>No</v>
      </c>
      <c r="J1166">
        <f t="shared" si="111"/>
        <v>0</v>
      </c>
      <c r="K1166">
        <f t="shared" si="112"/>
        <v>0</v>
      </c>
      <c r="L1166" t="str">
        <f t="shared" si="113"/>
        <v/>
      </c>
    </row>
    <row r="1167" spans="1:12" ht="14.4" customHeight="1" x14ac:dyDescent="0.3">
      <c r="A1167">
        <v>202118292</v>
      </c>
      <c r="B1167" s="1">
        <v>44963</v>
      </c>
      <c r="D1167" t="s">
        <v>7</v>
      </c>
      <c r="E1167">
        <v>39</v>
      </c>
      <c r="F1167" t="s">
        <v>6</v>
      </c>
      <c r="G1167" t="str">
        <f t="shared" si="108"/>
        <v/>
      </c>
      <c r="H1167" s="1" t="str">
        <f t="shared" si="109"/>
        <v>Monday</v>
      </c>
      <c r="I1167" t="str">
        <f t="shared" si="110"/>
        <v>No</v>
      </c>
      <c r="J1167">
        <f t="shared" si="111"/>
        <v>0</v>
      </c>
      <c r="K1167">
        <f t="shared" si="112"/>
        <v>0</v>
      </c>
      <c r="L1167" t="str">
        <f t="shared" si="113"/>
        <v/>
      </c>
    </row>
    <row r="1168" spans="1:12" ht="14.4" customHeight="1" x14ac:dyDescent="0.3">
      <c r="A1168">
        <v>202298964</v>
      </c>
      <c r="B1168" s="1">
        <v>44963</v>
      </c>
      <c r="D1168" t="s">
        <v>7</v>
      </c>
      <c r="E1168">
        <v>39</v>
      </c>
      <c r="F1168" t="s">
        <v>6</v>
      </c>
      <c r="G1168" t="str">
        <f t="shared" si="108"/>
        <v/>
      </c>
      <c r="H1168" s="1" t="str">
        <f t="shared" si="109"/>
        <v>Monday</v>
      </c>
      <c r="I1168" t="str">
        <f t="shared" si="110"/>
        <v>No</v>
      </c>
      <c r="J1168">
        <f t="shared" si="111"/>
        <v>0</v>
      </c>
      <c r="K1168">
        <f t="shared" si="112"/>
        <v>0</v>
      </c>
      <c r="L1168" t="str">
        <f t="shared" si="113"/>
        <v/>
      </c>
    </row>
    <row r="1169" spans="1:12" ht="14.4" customHeight="1" x14ac:dyDescent="0.3">
      <c r="A1169">
        <v>202496216</v>
      </c>
      <c r="B1169" s="1">
        <v>44963</v>
      </c>
      <c r="D1169" t="s">
        <v>7</v>
      </c>
      <c r="E1169">
        <v>39</v>
      </c>
      <c r="F1169" t="s">
        <v>6</v>
      </c>
      <c r="G1169" t="str">
        <f t="shared" si="108"/>
        <v/>
      </c>
      <c r="H1169" s="1" t="str">
        <f t="shared" si="109"/>
        <v>Monday</v>
      </c>
      <c r="I1169" t="str">
        <f t="shared" si="110"/>
        <v>No</v>
      </c>
      <c r="J1169">
        <f t="shared" si="111"/>
        <v>0</v>
      </c>
      <c r="K1169">
        <f t="shared" si="112"/>
        <v>0</v>
      </c>
      <c r="L1169" t="str">
        <f t="shared" si="113"/>
        <v/>
      </c>
    </row>
    <row r="1170" spans="1:12" ht="14.4" customHeight="1" x14ac:dyDescent="0.3">
      <c r="A1170">
        <v>152354478</v>
      </c>
      <c r="B1170" s="1">
        <v>44963</v>
      </c>
      <c r="D1170" t="s">
        <v>7</v>
      </c>
      <c r="E1170">
        <v>39</v>
      </c>
      <c r="F1170" t="s">
        <v>6</v>
      </c>
      <c r="G1170" t="str">
        <f t="shared" si="108"/>
        <v/>
      </c>
      <c r="H1170" s="1" t="str">
        <f t="shared" si="109"/>
        <v>Monday</v>
      </c>
      <c r="I1170" t="str">
        <f t="shared" si="110"/>
        <v>No</v>
      </c>
      <c r="J1170">
        <f t="shared" si="111"/>
        <v>0</v>
      </c>
      <c r="K1170">
        <f t="shared" si="112"/>
        <v>0</v>
      </c>
      <c r="L1170" t="str">
        <f t="shared" si="113"/>
        <v/>
      </c>
    </row>
    <row r="1171" spans="1:12" ht="14.4" customHeight="1" x14ac:dyDescent="0.3">
      <c r="A1171">
        <v>200490112</v>
      </c>
      <c r="B1171" s="1">
        <v>44963</v>
      </c>
      <c r="C1171" s="1">
        <v>44964</v>
      </c>
      <c r="D1171" t="s">
        <v>8</v>
      </c>
      <c r="E1171">
        <v>39</v>
      </c>
      <c r="F1171" t="s">
        <v>6</v>
      </c>
      <c r="G1171">
        <f t="shared" si="108"/>
        <v>1</v>
      </c>
      <c r="H1171" s="1" t="str">
        <f t="shared" si="109"/>
        <v>Monday</v>
      </c>
      <c r="I1171" t="str">
        <f t="shared" si="110"/>
        <v>No</v>
      </c>
      <c r="J1171">
        <f t="shared" si="111"/>
        <v>1</v>
      </c>
      <c r="K1171">
        <f t="shared" si="112"/>
        <v>0</v>
      </c>
      <c r="L1171">
        <f t="shared" si="113"/>
        <v>1</v>
      </c>
    </row>
    <row r="1172" spans="1:12" ht="14.4" customHeight="1" x14ac:dyDescent="0.3">
      <c r="A1172">
        <v>131310280</v>
      </c>
      <c r="B1172" s="1">
        <v>44963</v>
      </c>
      <c r="C1172" s="1">
        <v>44974</v>
      </c>
      <c r="D1172" t="s">
        <v>7</v>
      </c>
      <c r="E1172">
        <v>39</v>
      </c>
      <c r="F1172" t="s">
        <v>6</v>
      </c>
      <c r="G1172">
        <f t="shared" si="108"/>
        <v>11</v>
      </c>
      <c r="H1172" s="1" t="str">
        <f t="shared" si="109"/>
        <v>Monday</v>
      </c>
      <c r="I1172" t="str">
        <f t="shared" si="110"/>
        <v>No</v>
      </c>
      <c r="J1172">
        <f t="shared" si="111"/>
        <v>0</v>
      </c>
      <c r="K1172">
        <f t="shared" si="112"/>
        <v>0</v>
      </c>
      <c r="L1172">
        <f t="shared" si="113"/>
        <v>11</v>
      </c>
    </row>
    <row r="1173" spans="1:12" x14ac:dyDescent="0.3">
      <c r="A1173">
        <v>154161250</v>
      </c>
      <c r="B1173" s="1">
        <v>44963</v>
      </c>
      <c r="C1173" s="1">
        <v>45006</v>
      </c>
      <c r="D1173" t="s">
        <v>7</v>
      </c>
      <c r="E1173">
        <v>39</v>
      </c>
      <c r="F1173" t="s">
        <v>6</v>
      </c>
      <c r="G1173">
        <f t="shared" si="108"/>
        <v>43</v>
      </c>
      <c r="H1173" s="1" t="str">
        <f t="shared" si="109"/>
        <v>Monday</v>
      </c>
      <c r="I1173" t="str">
        <f t="shared" si="110"/>
        <v>No</v>
      </c>
      <c r="J1173">
        <f t="shared" si="111"/>
        <v>0</v>
      </c>
      <c r="K1173">
        <f t="shared" si="112"/>
        <v>1</v>
      </c>
      <c r="L1173">
        <f t="shared" si="113"/>
        <v>43</v>
      </c>
    </row>
    <row r="1174" spans="1:12" x14ac:dyDescent="0.3">
      <c r="A1174">
        <v>150521180</v>
      </c>
      <c r="B1174" s="1">
        <v>44963</v>
      </c>
      <c r="C1174" s="1">
        <v>45082</v>
      </c>
      <c r="D1174" t="s">
        <v>7</v>
      </c>
      <c r="E1174">
        <v>39</v>
      </c>
      <c r="F1174" t="s">
        <v>6</v>
      </c>
      <c r="G1174">
        <f t="shared" si="108"/>
        <v>119</v>
      </c>
      <c r="H1174" s="1" t="str">
        <f t="shared" si="109"/>
        <v>Monday</v>
      </c>
      <c r="I1174" t="str">
        <f t="shared" si="110"/>
        <v>No</v>
      </c>
      <c r="J1174">
        <f t="shared" si="111"/>
        <v>0</v>
      </c>
      <c r="K1174">
        <f t="shared" si="112"/>
        <v>1</v>
      </c>
      <c r="L1174">
        <f t="shared" si="113"/>
        <v>119</v>
      </c>
    </row>
    <row r="1175" spans="1:12" x14ac:dyDescent="0.3">
      <c r="A1175">
        <v>195280988</v>
      </c>
      <c r="B1175" s="1">
        <v>44963</v>
      </c>
      <c r="C1175" s="1">
        <v>45098</v>
      </c>
      <c r="D1175" t="s">
        <v>7</v>
      </c>
      <c r="E1175">
        <v>39</v>
      </c>
      <c r="F1175" t="s">
        <v>6</v>
      </c>
      <c r="G1175">
        <f t="shared" si="108"/>
        <v>135</v>
      </c>
      <c r="H1175" s="1" t="str">
        <f t="shared" si="109"/>
        <v>Monday</v>
      </c>
      <c r="I1175" t="str">
        <f t="shared" si="110"/>
        <v>No</v>
      </c>
      <c r="J1175">
        <f t="shared" si="111"/>
        <v>0</v>
      </c>
      <c r="K1175">
        <f t="shared" si="112"/>
        <v>1</v>
      </c>
      <c r="L1175">
        <f t="shared" si="113"/>
        <v>135</v>
      </c>
    </row>
    <row r="1176" spans="1:12" x14ac:dyDescent="0.3">
      <c r="A1176">
        <v>201231494</v>
      </c>
      <c r="B1176" s="1">
        <v>44963</v>
      </c>
      <c r="C1176" s="1">
        <v>45055</v>
      </c>
      <c r="D1176" t="s">
        <v>7</v>
      </c>
      <c r="E1176">
        <v>39</v>
      </c>
      <c r="F1176" t="s">
        <v>6</v>
      </c>
      <c r="G1176">
        <f t="shared" si="108"/>
        <v>92</v>
      </c>
      <c r="H1176" s="1" t="str">
        <f t="shared" si="109"/>
        <v>Monday</v>
      </c>
      <c r="I1176" t="str">
        <f t="shared" si="110"/>
        <v>No</v>
      </c>
      <c r="J1176">
        <f t="shared" si="111"/>
        <v>0</v>
      </c>
      <c r="K1176">
        <f t="shared" si="112"/>
        <v>1</v>
      </c>
      <c r="L1176">
        <f t="shared" si="113"/>
        <v>92</v>
      </c>
    </row>
    <row r="1177" spans="1:12" ht="14.4" customHeight="1" x14ac:dyDescent="0.3">
      <c r="A1177">
        <v>199554496</v>
      </c>
      <c r="B1177" s="1">
        <v>44963</v>
      </c>
      <c r="C1177" s="1">
        <v>44965</v>
      </c>
      <c r="D1177" t="s">
        <v>7</v>
      </c>
      <c r="E1177">
        <v>39</v>
      </c>
      <c r="F1177" t="s">
        <v>6</v>
      </c>
      <c r="G1177">
        <f t="shared" si="108"/>
        <v>2</v>
      </c>
      <c r="H1177" s="1" t="str">
        <f t="shared" si="109"/>
        <v>Monday</v>
      </c>
      <c r="I1177" t="str">
        <f t="shared" si="110"/>
        <v>No</v>
      </c>
      <c r="J1177">
        <f t="shared" si="111"/>
        <v>1</v>
      </c>
      <c r="K1177">
        <f t="shared" si="112"/>
        <v>0</v>
      </c>
      <c r="L1177">
        <f t="shared" si="113"/>
        <v>2</v>
      </c>
    </row>
    <row r="1178" spans="1:12" ht="14.4" customHeight="1" x14ac:dyDescent="0.3">
      <c r="A1178">
        <v>125747106</v>
      </c>
      <c r="B1178" s="1">
        <v>44963</v>
      </c>
      <c r="C1178" s="1">
        <v>44989</v>
      </c>
      <c r="D1178" t="s">
        <v>7</v>
      </c>
      <c r="E1178">
        <v>39</v>
      </c>
      <c r="F1178" t="s">
        <v>6</v>
      </c>
      <c r="G1178">
        <f t="shared" si="108"/>
        <v>26</v>
      </c>
      <c r="H1178" s="1" t="str">
        <f t="shared" si="109"/>
        <v>Monday</v>
      </c>
      <c r="I1178" t="str">
        <f t="shared" si="110"/>
        <v>No</v>
      </c>
      <c r="J1178">
        <f t="shared" si="111"/>
        <v>0</v>
      </c>
      <c r="K1178">
        <f t="shared" si="112"/>
        <v>0</v>
      </c>
      <c r="L1178">
        <f t="shared" si="113"/>
        <v>26</v>
      </c>
    </row>
    <row r="1179" spans="1:12" ht="14.4" customHeight="1" x14ac:dyDescent="0.3">
      <c r="A1179">
        <v>195345030</v>
      </c>
      <c r="B1179" s="1">
        <v>44963</v>
      </c>
      <c r="C1179" s="1">
        <v>44989</v>
      </c>
      <c r="D1179" t="s">
        <v>7</v>
      </c>
      <c r="E1179">
        <v>39</v>
      </c>
      <c r="F1179" t="s">
        <v>6</v>
      </c>
      <c r="G1179">
        <f t="shared" si="108"/>
        <v>26</v>
      </c>
      <c r="H1179" s="1" t="str">
        <f t="shared" si="109"/>
        <v>Monday</v>
      </c>
      <c r="I1179" t="str">
        <f t="shared" si="110"/>
        <v>No</v>
      </c>
      <c r="J1179">
        <f t="shared" si="111"/>
        <v>0</v>
      </c>
      <c r="K1179">
        <f t="shared" si="112"/>
        <v>0</v>
      </c>
      <c r="L1179">
        <f t="shared" si="113"/>
        <v>26</v>
      </c>
    </row>
    <row r="1180" spans="1:12" x14ac:dyDescent="0.3">
      <c r="A1180">
        <v>202269874</v>
      </c>
      <c r="B1180" s="1">
        <v>44963</v>
      </c>
      <c r="C1180" s="1">
        <v>45010</v>
      </c>
      <c r="D1180" t="s">
        <v>7</v>
      </c>
      <c r="E1180">
        <v>39</v>
      </c>
      <c r="F1180" t="s">
        <v>6</v>
      </c>
      <c r="G1180">
        <f t="shared" si="108"/>
        <v>47</v>
      </c>
      <c r="H1180" s="1" t="str">
        <f t="shared" si="109"/>
        <v>Monday</v>
      </c>
      <c r="I1180" t="str">
        <f t="shared" si="110"/>
        <v>No</v>
      </c>
      <c r="J1180">
        <f t="shared" si="111"/>
        <v>0</v>
      </c>
      <c r="K1180">
        <f t="shared" si="112"/>
        <v>1</v>
      </c>
      <c r="L1180">
        <f t="shared" si="113"/>
        <v>47</v>
      </c>
    </row>
    <row r="1181" spans="1:12" ht="14.4" customHeight="1" x14ac:dyDescent="0.3">
      <c r="A1181">
        <v>191036527</v>
      </c>
      <c r="B1181" s="1">
        <v>44963</v>
      </c>
      <c r="C1181" s="1">
        <v>44992</v>
      </c>
      <c r="D1181" t="s">
        <v>7</v>
      </c>
      <c r="E1181">
        <v>39</v>
      </c>
      <c r="F1181" t="s">
        <v>6</v>
      </c>
      <c r="G1181">
        <f t="shared" si="108"/>
        <v>29</v>
      </c>
      <c r="H1181" s="1" t="str">
        <f t="shared" si="109"/>
        <v>Monday</v>
      </c>
      <c r="I1181" t="str">
        <f t="shared" si="110"/>
        <v>No</v>
      </c>
      <c r="J1181">
        <f t="shared" si="111"/>
        <v>0</v>
      </c>
      <c r="K1181">
        <f t="shared" si="112"/>
        <v>0</v>
      </c>
      <c r="L1181">
        <f t="shared" si="113"/>
        <v>29</v>
      </c>
    </row>
    <row r="1182" spans="1:12" ht="14.4" customHeight="1" x14ac:dyDescent="0.3">
      <c r="A1182">
        <v>202633556</v>
      </c>
      <c r="B1182" s="1">
        <v>44963</v>
      </c>
      <c r="C1182" s="1">
        <v>44979</v>
      </c>
      <c r="D1182" t="s">
        <v>7</v>
      </c>
      <c r="E1182">
        <v>39</v>
      </c>
      <c r="F1182" t="s">
        <v>6</v>
      </c>
      <c r="G1182">
        <f t="shared" si="108"/>
        <v>16</v>
      </c>
      <c r="H1182" s="1" t="str">
        <f t="shared" si="109"/>
        <v>Monday</v>
      </c>
      <c r="I1182" t="str">
        <f t="shared" si="110"/>
        <v>No</v>
      </c>
      <c r="J1182">
        <f t="shared" si="111"/>
        <v>0</v>
      </c>
      <c r="K1182">
        <f t="shared" si="112"/>
        <v>0</v>
      </c>
      <c r="L1182">
        <f t="shared" si="113"/>
        <v>16</v>
      </c>
    </row>
    <row r="1183" spans="1:12" x14ac:dyDescent="0.3">
      <c r="A1183">
        <v>202750328</v>
      </c>
      <c r="B1183" s="1">
        <v>44963</v>
      </c>
      <c r="C1183" s="1">
        <v>45140</v>
      </c>
      <c r="D1183" t="s">
        <v>7</v>
      </c>
      <c r="E1183">
        <v>39</v>
      </c>
      <c r="F1183" t="s">
        <v>6</v>
      </c>
      <c r="G1183">
        <f t="shared" si="108"/>
        <v>177</v>
      </c>
      <c r="H1183" s="1" t="str">
        <f t="shared" si="109"/>
        <v>Monday</v>
      </c>
      <c r="I1183" t="str">
        <f t="shared" si="110"/>
        <v>No</v>
      </c>
      <c r="J1183">
        <f t="shared" si="111"/>
        <v>0</v>
      </c>
      <c r="K1183">
        <f t="shared" si="112"/>
        <v>1</v>
      </c>
      <c r="L1183">
        <f t="shared" si="113"/>
        <v>177</v>
      </c>
    </row>
    <row r="1184" spans="1:12" ht="14.4" customHeight="1" x14ac:dyDescent="0.3">
      <c r="A1184">
        <v>192781688</v>
      </c>
      <c r="B1184" s="1">
        <v>44964</v>
      </c>
      <c r="D1184" t="s">
        <v>7</v>
      </c>
      <c r="E1184">
        <v>39</v>
      </c>
      <c r="F1184" t="s">
        <v>6</v>
      </c>
      <c r="G1184" t="str">
        <f t="shared" si="108"/>
        <v/>
      </c>
      <c r="H1184" s="1" t="str">
        <f t="shared" si="109"/>
        <v>Tuesday</v>
      </c>
      <c r="I1184" t="str">
        <f t="shared" si="110"/>
        <v>No</v>
      </c>
      <c r="J1184">
        <f t="shared" si="111"/>
        <v>0</v>
      </c>
      <c r="K1184">
        <f t="shared" si="112"/>
        <v>0</v>
      </c>
      <c r="L1184" t="str">
        <f t="shared" si="113"/>
        <v/>
      </c>
    </row>
    <row r="1185" spans="1:12" ht="14.4" customHeight="1" x14ac:dyDescent="0.3">
      <c r="A1185">
        <v>196859472</v>
      </c>
      <c r="B1185" s="1">
        <v>44964</v>
      </c>
      <c r="D1185" t="s">
        <v>7</v>
      </c>
      <c r="E1185">
        <v>39</v>
      </c>
      <c r="F1185" t="s">
        <v>6</v>
      </c>
      <c r="G1185" t="str">
        <f t="shared" si="108"/>
        <v/>
      </c>
      <c r="H1185" s="1" t="str">
        <f t="shared" si="109"/>
        <v>Tuesday</v>
      </c>
      <c r="I1185" t="str">
        <f t="shared" si="110"/>
        <v>No</v>
      </c>
      <c r="J1185">
        <f t="shared" si="111"/>
        <v>0</v>
      </c>
      <c r="K1185">
        <f t="shared" si="112"/>
        <v>0</v>
      </c>
      <c r="L1185" t="str">
        <f t="shared" si="113"/>
        <v/>
      </c>
    </row>
    <row r="1186" spans="1:12" ht="14.4" customHeight="1" x14ac:dyDescent="0.3">
      <c r="A1186">
        <v>200333728</v>
      </c>
      <c r="B1186" s="1">
        <v>44964</v>
      </c>
      <c r="D1186" t="s">
        <v>7</v>
      </c>
      <c r="E1186">
        <v>39</v>
      </c>
      <c r="F1186" t="s">
        <v>6</v>
      </c>
      <c r="G1186" t="str">
        <f t="shared" si="108"/>
        <v/>
      </c>
      <c r="H1186" s="1" t="str">
        <f t="shared" si="109"/>
        <v>Tuesday</v>
      </c>
      <c r="I1186" t="str">
        <f t="shared" si="110"/>
        <v>No</v>
      </c>
      <c r="J1186">
        <f t="shared" si="111"/>
        <v>0</v>
      </c>
      <c r="K1186">
        <f t="shared" si="112"/>
        <v>0</v>
      </c>
      <c r="L1186" t="str">
        <f t="shared" si="113"/>
        <v/>
      </c>
    </row>
    <row r="1187" spans="1:12" ht="14.4" customHeight="1" x14ac:dyDescent="0.3">
      <c r="A1187">
        <v>129896329</v>
      </c>
      <c r="B1187" s="1">
        <v>44964</v>
      </c>
      <c r="D1187" t="s">
        <v>7</v>
      </c>
      <c r="E1187">
        <v>39</v>
      </c>
      <c r="F1187" t="s">
        <v>6</v>
      </c>
      <c r="G1187" t="str">
        <f t="shared" si="108"/>
        <v/>
      </c>
      <c r="H1187" s="1" t="str">
        <f t="shared" si="109"/>
        <v>Tuesday</v>
      </c>
      <c r="I1187" t="str">
        <f t="shared" si="110"/>
        <v>No</v>
      </c>
      <c r="J1187">
        <f t="shared" si="111"/>
        <v>0</v>
      </c>
      <c r="K1187">
        <f t="shared" si="112"/>
        <v>0</v>
      </c>
      <c r="L1187" t="str">
        <f t="shared" si="113"/>
        <v/>
      </c>
    </row>
    <row r="1188" spans="1:12" ht="14.4" customHeight="1" x14ac:dyDescent="0.3">
      <c r="A1188">
        <v>168202891</v>
      </c>
      <c r="B1188" s="1">
        <v>44964</v>
      </c>
      <c r="C1188" s="1">
        <v>44964</v>
      </c>
      <c r="D1188" t="s">
        <v>8</v>
      </c>
      <c r="E1188">
        <v>39</v>
      </c>
      <c r="F1188" t="s">
        <v>6</v>
      </c>
      <c r="G1188">
        <f t="shared" si="108"/>
        <v>0</v>
      </c>
      <c r="H1188" s="1" t="str">
        <f t="shared" si="109"/>
        <v>Tuesday</v>
      </c>
      <c r="I1188" t="str">
        <f t="shared" si="110"/>
        <v>Yes</v>
      </c>
      <c r="J1188">
        <f t="shared" si="111"/>
        <v>1</v>
      </c>
      <c r="K1188">
        <f t="shared" si="112"/>
        <v>0</v>
      </c>
      <c r="L1188">
        <f t="shared" si="113"/>
        <v>0</v>
      </c>
    </row>
    <row r="1189" spans="1:12" x14ac:dyDescent="0.3">
      <c r="A1189">
        <v>202924219</v>
      </c>
      <c r="B1189" s="1">
        <v>44964</v>
      </c>
      <c r="C1189" s="1">
        <v>45097</v>
      </c>
      <c r="D1189" t="s">
        <v>7</v>
      </c>
      <c r="E1189">
        <v>39</v>
      </c>
      <c r="F1189" t="s">
        <v>6</v>
      </c>
      <c r="G1189">
        <f t="shared" si="108"/>
        <v>133</v>
      </c>
      <c r="H1189" s="1" t="str">
        <f t="shared" si="109"/>
        <v>Tuesday</v>
      </c>
      <c r="I1189" t="str">
        <f t="shared" si="110"/>
        <v>No</v>
      </c>
      <c r="J1189">
        <f t="shared" si="111"/>
        <v>0</v>
      </c>
      <c r="K1189">
        <f t="shared" si="112"/>
        <v>1</v>
      </c>
      <c r="L1189">
        <f t="shared" si="113"/>
        <v>133</v>
      </c>
    </row>
    <row r="1190" spans="1:12" x14ac:dyDescent="0.3">
      <c r="A1190">
        <v>202863670</v>
      </c>
      <c r="B1190" s="1">
        <v>44964</v>
      </c>
      <c r="C1190" s="1">
        <v>45030</v>
      </c>
      <c r="D1190" t="s">
        <v>7</v>
      </c>
      <c r="E1190">
        <v>39</v>
      </c>
      <c r="F1190" t="s">
        <v>6</v>
      </c>
      <c r="G1190">
        <f t="shared" si="108"/>
        <v>66</v>
      </c>
      <c r="H1190" s="1" t="str">
        <f t="shared" si="109"/>
        <v>Tuesday</v>
      </c>
      <c r="I1190" t="str">
        <f t="shared" si="110"/>
        <v>No</v>
      </c>
      <c r="J1190">
        <f t="shared" si="111"/>
        <v>0</v>
      </c>
      <c r="K1190">
        <f t="shared" si="112"/>
        <v>1</v>
      </c>
      <c r="L1190">
        <f t="shared" si="113"/>
        <v>66</v>
      </c>
    </row>
    <row r="1191" spans="1:12" ht="14.4" customHeight="1" x14ac:dyDescent="0.3">
      <c r="A1191">
        <v>202398629</v>
      </c>
      <c r="B1191" s="1">
        <v>44964</v>
      </c>
      <c r="C1191" s="1">
        <v>44991</v>
      </c>
      <c r="D1191" t="s">
        <v>7</v>
      </c>
      <c r="E1191">
        <v>39</v>
      </c>
      <c r="F1191" t="s">
        <v>6</v>
      </c>
      <c r="G1191">
        <f t="shared" si="108"/>
        <v>27</v>
      </c>
      <c r="H1191" s="1" t="str">
        <f t="shared" si="109"/>
        <v>Tuesday</v>
      </c>
      <c r="I1191" t="str">
        <f t="shared" si="110"/>
        <v>No</v>
      </c>
      <c r="J1191">
        <f t="shared" si="111"/>
        <v>0</v>
      </c>
      <c r="K1191">
        <f t="shared" si="112"/>
        <v>0</v>
      </c>
      <c r="L1191">
        <f t="shared" si="113"/>
        <v>27</v>
      </c>
    </row>
    <row r="1192" spans="1:12" ht="14.4" customHeight="1" x14ac:dyDescent="0.3">
      <c r="A1192">
        <v>188448878</v>
      </c>
      <c r="B1192" s="1">
        <v>44964</v>
      </c>
      <c r="C1192" s="1">
        <v>44964</v>
      </c>
      <c r="D1192" t="s">
        <v>7</v>
      </c>
      <c r="E1192">
        <v>39</v>
      </c>
      <c r="F1192" t="s">
        <v>6</v>
      </c>
      <c r="G1192">
        <f t="shared" si="108"/>
        <v>0</v>
      </c>
      <c r="H1192" s="1" t="str">
        <f t="shared" si="109"/>
        <v>Tuesday</v>
      </c>
      <c r="I1192" t="str">
        <f t="shared" si="110"/>
        <v>Yes</v>
      </c>
      <c r="J1192">
        <f t="shared" si="111"/>
        <v>1</v>
      </c>
      <c r="K1192">
        <f t="shared" si="112"/>
        <v>0</v>
      </c>
      <c r="L1192">
        <f t="shared" si="113"/>
        <v>0</v>
      </c>
    </row>
    <row r="1193" spans="1:12" ht="14.4" customHeight="1" x14ac:dyDescent="0.3">
      <c r="A1193">
        <v>203254948</v>
      </c>
      <c r="B1193" s="1">
        <v>44965</v>
      </c>
      <c r="D1193" t="s">
        <v>7</v>
      </c>
      <c r="E1193">
        <v>39</v>
      </c>
      <c r="F1193" t="s">
        <v>6</v>
      </c>
      <c r="G1193" t="str">
        <f t="shared" si="108"/>
        <v/>
      </c>
      <c r="H1193" s="1" t="str">
        <f t="shared" si="109"/>
        <v>Wednesday</v>
      </c>
      <c r="I1193" t="str">
        <f t="shared" si="110"/>
        <v>No</v>
      </c>
      <c r="J1193">
        <f t="shared" si="111"/>
        <v>0</v>
      </c>
      <c r="K1193">
        <f t="shared" si="112"/>
        <v>0</v>
      </c>
      <c r="L1193" t="str">
        <f t="shared" si="113"/>
        <v/>
      </c>
    </row>
    <row r="1194" spans="1:12" x14ac:dyDescent="0.3">
      <c r="A1194">
        <v>203120229</v>
      </c>
      <c r="B1194" s="1">
        <v>44965</v>
      </c>
      <c r="C1194" s="1">
        <v>45094</v>
      </c>
      <c r="D1194" t="s">
        <v>7</v>
      </c>
      <c r="E1194">
        <v>39</v>
      </c>
      <c r="F1194" t="s">
        <v>6</v>
      </c>
      <c r="G1194">
        <f t="shared" si="108"/>
        <v>129</v>
      </c>
      <c r="H1194" s="1" t="str">
        <f t="shared" si="109"/>
        <v>Wednesday</v>
      </c>
      <c r="I1194" t="str">
        <f t="shared" si="110"/>
        <v>No</v>
      </c>
      <c r="J1194">
        <f t="shared" si="111"/>
        <v>0</v>
      </c>
      <c r="K1194">
        <f t="shared" si="112"/>
        <v>1</v>
      </c>
      <c r="L1194">
        <f t="shared" si="113"/>
        <v>129</v>
      </c>
    </row>
    <row r="1195" spans="1:12" x14ac:dyDescent="0.3">
      <c r="A1195">
        <v>203225874</v>
      </c>
      <c r="B1195" s="1">
        <v>44965</v>
      </c>
      <c r="C1195" s="1">
        <v>45050</v>
      </c>
      <c r="D1195" t="s">
        <v>7</v>
      </c>
      <c r="E1195">
        <v>39</v>
      </c>
      <c r="F1195" t="s">
        <v>6</v>
      </c>
      <c r="G1195">
        <f t="shared" si="108"/>
        <v>85</v>
      </c>
      <c r="H1195" s="1" t="str">
        <f t="shared" si="109"/>
        <v>Wednesday</v>
      </c>
      <c r="I1195" t="str">
        <f t="shared" si="110"/>
        <v>No</v>
      </c>
      <c r="J1195">
        <f t="shared" si="111"/>
        <v>0</v>
      </c>
      <c r="K1195">
        <f t="shared" si="112"/>
        <v>1</v>
      </c>
      <c r="L1195">
        <f t="shared" si="113"/>
        <v>85</v>
      </c>
    </row>
    <row r="1196" spans="1:12" x14ac:dyDescent="0.3">
      <c r="A1196">
        <v>203107308</v>
      </c>
      <c r="B1196" s="1">
        <v>44965</v>
      </c>
      <c r="C1196" s="1">
        <v>45062</v>
      </c>
      <c r="D1196" t="s">
        <v>7</v>
      </c>
      <c r="E1196">
        <v>39</v>
      </c>
      <c r="F1196" t="s">
        <v>6</v>
      </c>
      <c r="G1196">
        <f t="shared" si="108"/>
        <v>97</v>
      </c>
      <c r="H1196" s="1" t="str">
        <f t="shared" si="109"/>
        <v>Wednesday</v>
      </c>
      <c r="I1196" t="str">
        <f t="shared" si="110"/>
        <v>No</v>
      </c>
      <c r="J1196">
        <f t="shared" si="111"/>
        <v>0</v>
      </c>
      <c r="K1196">
        <f t="shared" si="112"/>
        <v>1</v>
      </c>
      <c r="L1196">
        <f t="shared" si="113"/>
        <v>97</v>
      </c>
    </row>
    <row r="1197" spans="1:12" x14ac:dyDescent="0.3">
      <c r="A1197">
        <v>156558244</v>
      </c>
      <c r="B1197" s="1">
        <v>44965</v>
      </c>
      <c r="C1197" s="1">
        <v>45138</v>
      </c>
      <c r="D1197" t="s">
        <v>7</v>
      </c>
      <c r="E1197">
        <v>39</v>
      </c>
      <c r="F1197" t="s">
        <v>6</v>
      </c>
      <c r="G1197">
        <f t="shared" si="108"/>
        <v>173</v>
      </c>
      <c r="H1197" s="1" t="str">
        <f t="shared" si="109"/>
        <v>Wednesday</v>
      </c>
      <c r="I1197" t="str">
        <f t="shared" si="110"/>
        <v>No</v>
      </c>
      <c r="J1197">
        <f t="shared" si="111"/>
        <v>0</v>
      </c>
      <c r="K1197">
        <f t="shared" si="112"/>
        <v>1</v>
      </c>
      <c r="L1197">
        <f t="shared" si="113"/>
        <v>173</v>
      </c>
    </row>
    <row r="1198" spans="1:12" ht="14.4" customHeight="1" x14ac:dyDescent="0.3">
      <c r="A1198">
        <v>194306726</v>
      </c>
      <c r="B1198" s="1">
        <v>44965</v>
      </c>
      <c r="C1198" s="1">
        <v>44986</v>
      </c>
      <c r="D1198" t="s">
        <v>7</v>
      </c>
      <c r="E1198">
        <v>39</v>
      </c>
      <c r="F1198" t="s">
        <v>6</v>
      </c>
      <c r="G1198">
        <f t="shared" si="108"/>
        <v>21</v>
      </c>
      <c r="H1198" s="1" t="str">
        <f t="shared" si="109"/>
        <v>Wednesday</v>
      </c>
      <c r="I1198" t="str">
        <f t="shared" si="110"/>
        <v>No</v>
      </c>
      <c r="J1198">
        <f t="shared" si="111"/>
        <v>0</v>
      </c>
      <c r="K1198">
        <f t="shared" si="112"/>
        <v>0</v>
      </c>
      <c r="L1198">
        <f t="shared" si="113"/>
        <v>21</v>
      </c>
    </row>
    <row r="1199" spans="1:12" x14ac:dyDescent="0.3">
      <c r="A1199">
        <v>202410948</v>
      </c>
      <c r="B1199" s="1">
        <v>44965</v>
      </c>
      <c r="C1199" s="1">
        <v>45000</v>
      </c>
      <c r="D1199" t="s">
        <v>7</v>
      </c>
      <c r="E1199">
        <v>39</v>
      </c>
      <c r="F1199" t="s">
        <v>6</v>
      </c>
      <c r="G1199">
        <f t="shared" si="108"/>
        <v>35</v>
      </c>
      <c r="H1199" s="1" t="str">
        <f t="shared" si="109"/>
        <v>Wednesday</v>
      </c>
      <c r="I1199" t="str">
        <f t="shared" si="110"/>
        <v>No</v>
      </c>
      <c r="J1199">
        <f t="shared" si="111"/>
        <v>0</v>
      </c>
      <c r="K1199">
        <f t="shared" si="112"/>
        <v>1</v>
      </c>
      <c r="L1199">
        <f t="shared" si="113"/>
        <v>35</v>
      </c>
    </row>
    <row r="1200" spans="1:12" ht="14.4" customHeight="1" x14ac:dyDescent="0.3">
      <c r="A1200">
        <v>203166018</v>
      </c>
      <c r="B1200" s="1">
        <v>44965</v>
      </c>
      <c r="C1200" s="1">
        <v>44993</v>
      </c>
      <c r="D1200" t="s">
        <v>7</v>
      </c>
      <c r="E1200">
        <v>39</v>
      </c>
      <c r="F1200" t="s">
        <v>6</v>
      </c>
      <c r="G1200">
        <f t="shared" si="108"/>
        <v>28</v>
      </c>
      <c r="H1200" s="1" t="str">
        <f t="shared" si="109"/>
        <v>Wednesday</v>
      </c>
      <c r="I1200" t="str">
        <f t="shared" si="110"/>
        <v>No</v>
      </c>
      <c r="J1200">
        <f t="shared" si="111"/>
        <v>0</v>
      </c>
      <c r="K1200">
        <f t="shared" si="112"/>
        <v>0</v>
      </c>
      <c r="L1200">
        <f t="shared" si="113"/>
        <v>28</v>
      </c>
    </row>
    <row r="1201" spans="1:12" x14ac:dyDescent="0.3">
      <c r="A1201">
        <v>203116697</v>
      </c>
      <c r="B1201" s="1">
        <v>44965</v>
      </c>
      <c r="C1201" s="1">
        <v>45008</v>
      </c>
      <c r="D1201" t="s">
        <v>7</v>
      </c>
      <c r="E1201">
        <v>39</v>
      </c>
      <c r="F1201" t="s">
        <v>6</v>
      </c>
      <c r="G1201">
        <f t="shared" si="108"/>
        <v>43</v>
      </c>
      <c r="H1201" s="1" t="str">
        <f t="shared" si="109"/>
        <v>Wednesday</v>
      </c>
      <c r="I1201" t="str">
        <f t="shared" si="110"/>
        <v>No</v>
      </c>
      <c r="J1201">
        <f t="shared" si="111"/>
        <v>0</v>
      </c>
      <c r="K1201">
        <f t="shared" si="112"/>
        <v>1</v>
      </c>
      <c r="L1201">
        <f t="shared" si="113"/>
        <v>43</v>
      </c>
    </row>
    <row r="1202" spans="1:12" ht="14.4" customHeight="1" x14ac:dyDescent="0.3">
      <c r="A1202">
        <v>202982608</v>
      </c>
      <c r="B1202" s="1">
        <v>44965</v>
      </c>
      <c r="C1202" s="1">
        <v>44987</v>
      </c>
      <c r="D1202" t="s">
        <v>7</v>
      </c>
      <c r="E1202">
        <v>39</v>
      </c>
      <c r="F1202" t="s">
        <v>6</v>
      </c>
      <c r="G1202">
        <f t="shared" si="108"/>
        <v>22</v>
      </c>
      <c r="H1202" s="1" t="str">
        <f t="shared" si="109"/>
        <v>Wednesday</v>
      </c>
      <c r="I1202" t="str">
        <f t="shared" si="110"/>
        <v>No</v>
      </c>
      <c r="J1202">
        <f t="shared" si="111"/>
        <v>0</v>
      </c>
      <c r="K1202">
        <f t="shared" si="112"/>
        <v>0</v>
      </c>
      <c r="L1202">
        <f t="shared" si="113"/>
        <v>22</v>
      </c>
    </row>
    <row r="1203" spans="1:12" ht="14.4" customHeight="1" x14ac:dyDescent="0.3">
      <c r="A1203">
        <v>198167700</v>
      </c>
      <c r="B1203" s="1">
        <v>44965</v>
      </c>
      <c r="C1203" s="1">
        <v>44968</v>
      </c>
      <c r="D1203" t="s">
        <v>7</v>
      </c>
      <c r="E1203">
        <v>39</v>
      </c>
      <c r="F1203" t="s">
        <v>6</v>
      </c>
      <c r="G1203">
        <f t="shared" si="108"/>
        <v>3</v>
      </c>
      <c r="H1203" s="1" t="str">
        <f t="shared" si="109"/>
        <v>Wednesday</v>
      </c>
      <c r="I1203" t="str">
        <f t="shared" si="110"/>
        <v>No</v>
      </c>
      <c r="J1203">
        <f t="shared" si="111"/>
        <v>0</v>
      </c>
      <c r="K1203">
        <f t="shared" si="112"/>
        <v>0</v>
      </c>
      <c r="L1203">
        <f t="shared" si="113"/>
        <v>3</v>
      </c>
    </row>
    <row r="1204" spans="1:12" ht="14.4" customHeight="1" x14ac:dyDescent="0.3">
      <c r="A1204">
        <v>190567582</v>
      </c>
      <c r="B1204" s="1">
        <v>44965</v>
      </c>
      <c r="C1204" s="1">
        <v>44979</v>
      </c>
      <c r="D1204" t="s">
        <v>7</v>
      </c>
      <c r="E1204">
        <v>39</v>
      </c>
      <c r="F1204" t="s">
        <v>6</v>
      </c>
      <c r="G1204">
        <f t="shared" si="108"/>
        <v>14</v>
      </c>
      <c r="H1204" s="1" t="str">
        <f t="shared" si="109"/>
        <v>Wednesday</v>
      </c>
      <c r="I1204" t="str">
        <f t="shared" si="110"/>
        <v>No</v>
      </c>
      <c r="J1204">
        <f t="shared" si="111"/>
        <v>0</v>
      </c>
      <c r="K1204">
        <f t="shared" si="112"/>
        <v>0</v>
      </c>
      <c r="L1204">
        <f t="shared" si="113"/>
        <v>14</v>
      </c>
    </row>
    <row r="1205" spans="1:12" x14ac:dyDescent="0.3">
      <c r="A1205">
        <v>202699972</v>
      </c>
      <c r="B1205" s="1">
        <v>44965</v>
      </c>
      <c r="C1205" s="1">
        <v>45145</v>
      </c>
      <c r="D1205" t="s">
        <v>7</v>
      </c>
      <c r="E1205">
        <v>39</v>
      </c>
      <c r="F1205" t="s">
        <v>6</v>
      </c>
      <c r="G1205">
        <f t="shared" si="108"/>
        <v>180</v>
      </c>
      <c r="H1205" s="1" t="str">
        <f t="shared" si="109"/>
        <v>Wednesday</v>
      </c>
      <c r="I1205" t="str">
        <f t="shared" si="110"/>
        <v>No</v>
      </c>
      <c r="J1205">
        <f t="shared" si="111"/>
        <v>0</v>
      </c>
      <c r="K1205">
        <f t="shared" si="112"/>
        <v>1</v>
      </c>
      <c r="L1205">
        <f t="shared" si="113"/>
        <v>180</v>
      </c>
    </row>
    <row r="1206" spans="1:12" ht="14.4" customHeight="1" x14ac:dyDescent="0.3">
      <c r="A1206">
        <v>203242766</v>
      </c>
      <c r="B1206" s="1">
        <v>44966</v>
      </c>
      <c r="D1206" t="s">
        <v>7</v>
      </c>
      <c r="E1206">
        <v>39</v>
      </c>
      <c r="F1206" t="s">
        <v>6</v>
      </c>
      <c r="G1206" t="str">
        <f t="shared" si="108"/>
        <v/>
      </c>
      <c r="H1206" s="1" t="str">
        <f t="shared" si="109"/>
        <v>Thursday</v>
      </c>
      <c r="I1206" t="str">
        <f t="shared" si="110"/>
        <v>No</v>
      </c>
      <c r="J1206">
        <f t="shared" si="111"/>
        <v>0</v>
      </c>
      <c r="K1206">
        <f t="shared" si="112"/>
        <v>0</v>
      </c>
      <c r="L1206" t="str">
        <f t="shared" si="113"/>
        <v/>
      </c>
    </row>
    <row r="1207" spans="1:12" ht="14.4" customHeight="1" x14ac:dyDescent="0.3">
      <c r="A1207">
        <v>203398103</v>
      </c>
      <c r="B1207" s="1">
        <v>44966</v>
      </c>
      <c r="D1207" t="s">
        <v>7</v>
      </c>
      <c r="E1207">
        <v>39</v>
      </c>
      <c r="F1207" t="s">
        <v>6</v>
      </c>
      <c r="G1207" t="str">
        <f t="shared" si="108"/>
        <v/>
      </c>
      <c r="H1207" s="1" t="str">
        <f t="shared" si="109"/>
        <v>Thursday</v>
      </c>
      <c r="I1207" t="str">
        <f t="shared" si="110"/>
        <v>No</v>
      </c>
      <c r="J1207">
        <f t="shared" si="111"/>
        <v>0</v>
      </c>
      <c r="K1207">
        <f t="shared" si="112"/>
        <v>0</v>
      </c>
      <c r="L1207" t="str">
        <f t="shared" si="113"/>
        <v/>
      </c>
    </row>
    <row r="1208" spans="1:12" ht="14.4" customHeight="1" x14ac:dyDescent="0.3">
      <c r="A1208">
        <v>203243685</v>
      </c>
      <c r="B1208" s="1">
        <v>44966</v>
      </c>
      <c r="D1208" t="s">
        <v>7</v>
      </c>
      <c r="E1208">
        <v>39</v>
      </c>
      <c r="F1208" t="s">
        <v>6</v>
      </c>
      <c r="G1208" t="str">
        <f t="shared" si="108"/>
        <v/>
      </c>
      <c r="H1208" s="1" t="str">
        <f t="shared" si="109"/>
        <v>Thursday</v>
      </c>
      <c r="I1208" t="str">
        <f t="shared" si="110"/>
        <v>No</v>
      </c>
      <c r="J1208">
        <f t="shared" si="111"/>
        <v>0</v>
      </c>
      <c r="K1208">
        <f t="shared" si="112"/>
        <v>0</v>
      </c>
      <c r="L1208" t="str">
        <f t="shared" si="113"/>
        <v/>
      </c>
    </row>
    <row r="1209" spans="1:12" ht="14.4" customHeight="1" x14ac:dyDescent="0.3">
      <c r="A1209">
        <v>203370322</v>
      </c>
      <c r="B1209" s="1">
        <v>44966</v>
      </c>
      <c r="D1209" t="s">
        <v>7</v>
      </c>
      <c r="E1209">
        <v>39</v>
      </c>
      <c r="F1209" t="s">
        <v>6</v>
      </c>
      <c r="G1209" t="str">
        <f t="shared" si="108"/>
        <v/>
      </c>
      <c r="H1209" s="1" t="str">
        <f t="shared" si="109"/>
        <v>Thursday</v>
      </c>
      <c r="I1209" t="str">
        <f t="shared" si="110"/>
        <v>No</v>
      </c>
      <c r="J1209">
        <f t="shared" si="111"/>
        <v>0</v>
      </c>
      <c r="K1209">
        <f t="shared" si="112"/>
        <v>0</v>
      </c>
      <c r="L1209" t="str">
        <f t="shared" si="113"/>
        <v/>
      </c>
    </row>
    <row r="1210" spans="1:12" ht="14.4" customHeight="1" x14ac:dyDescent="0.3">
      <c r="A1210">
        <v>138689458</v>
      </c>
      <c r="B1210" s="1">
        <v>44966</v>
      </c>
      <c r="D1210" t="s">
        <v>7</v>
      </c>
      <c r="E1210">
        <v>39</v>
      </c>
      <c r="F1210" t="s">
        <v>6</v>
      </c>
      <c r="G1210" t="str">
        <f t="shared" si="108"/>
        <v/>
      </c>
      <c r="H1210" s="1" t="str">
        <f t="shared" si="109"/>
        <v>Thursday</v>
      </c>
      <c r="I1210" t="str">
        <f t="shared" si="110"/>
        <v>No</v>
      </c>
      <c r="J1210">
        <f t="shared" si="111"/>
        <v>0</v>
      </c>
      <c r="K1210">
        <f t="shared" si="112"/>
        <v>0</v>
      </c>
      <c r="L1210" t="str">
        <f t="shared" si="113"/>
        <v/>
      </c>
    </row>
    <row r="1211" spans="1:12" ht="14.4" customHeight="1" x14ac:dyDescent="0.3">
      <c r="A1211">
        <v>203315186</v>
      </c>
      <c r="B1211" s="1">
        <v>44966</v>
      </c>
      <c r="D1211" t="s">
        <v>7</v>
      </c>
      <c r="E1211">
        <v>39</v>
      </c>
      <c r="F1211" t="s">
        <v>6</v>
      </c>
      <c r="G1211" t="str">
        <f t="shared" si="108"/>
        <v/>
      </c>
      <c r="H1211" s="1" t="str">
        <f t="shared" si="109"/>
        <v>Thursday</v>
      </c>
      <c r="I1211" t="str">
        <f t="shared" si="110"/>
        <v>No</v>
      </c>
      <c r="J1211">
        <f t="shared" si="111"/>
        <v>0</v>
      </c>
      <c r="K1211">
        <f t="shared" si="112"/>
        <v>0</v>
      </c>
      <c r="L1211" t="str">
        <f t="shared" si="113"/>
        <v/>
      </c>
    </row>
    <row r="1212" spans="1:12" ht="14.4" customHeight="1" x14ac:dyDescent="0.3">
      <c r="A1212">
        <v>203292575</v>
      </c>
      <c r="B1212" s="1">
        <v>44966</v>
      </c>
      <c r="D1212" t="s">
        <v>7</v>
      </c>
      <c r="E1212">
        <v>39</v>
      </c>
      <c r="F1212" t="s">
        <v>6</v>
      </c>
      <c r="G1212" t="str">
        <f t="shared" si="108"/>
        <v/>
      </c>
      <c r="H1212" s="1" t="str">
        <f t="shared" si="109"/>
        <v>Thursday</v>
      </c>
      <c r="I1212" t="str">
        <f t="shared" si="110"/>
        <v>No</v>
      </c>
      <c r="J1212">
        <f t="shared" si="111"/>
        <v>0</v>
      </c>
      <c r="K1212">
        <f t="shared" si="112"/>
        <v>0</v>
      </c>
      <c r="L1212" t="str">
        <f t="shared" si="113"/>
        <v/>
      </c>
    </row>
    <row r="1213" spans="1:12" ht="14.4" customHeight="1" x14ac:dyDescent="0.3">
      <c r="A1213">
        <v>144830936</v>
      </c>
      <c r="B1213" s="1">
        <v>44966</v>
      </c>
      <c r="C1213" s="1">
        <v>44967</v>
      </c>
      <c r="D1213" t="s">
        <v>7</v>
      </c>
      <c r="E1213">
        <v>39</v>
      </c>
      <c r="F1213" t="s">
        <v>6</v>
      </c>
      <c r="G1213">
        <f t="shared" si="108"/>
        <v>1</v>
      </c>
      <c r="H1213" s="1" t="str">
        <f t="shared" si="109"/>
        <v>Thursday</v>
      </c>
      <c r="I1213" t="str">
        <f t="shared" si="110"/>
        <v>No</v>
      </c>
      <c r="J1213">
        <f t="shared" si="111"/>
        <v>1</v>
      </c>
      <c r="K1213">
        <f t="shared" si="112"/>
        <v>0</v>
      </c>
      <c r="L1213">
        <f t="shared" si="113"/>
        <v>1</v>
      </c>
    </row>
    <row r="1214" spans="1:12" ht="14.4" customHeight="1" x14ac:dyDescent="0.3">
      <c r="A1214">
        <v>168980588</v>
      </c>
      <c r="B1214" s="1">
        <v>44966</v>
      </c>
      <c r="C1214" s="1">
        <v>44966</v>
      </c>
      <c r="D1214" t="s">
        <v>8</v>
      </c>
      <c r="E1214">
        <v>39</v>
      </c>
      <c r="F1214" t="s">
        <v>6</v>
      </c>
      <c r="G1214">
        <f t="shared" si="108"/>
        <v>0</v>
      </c>
      <c r="H1214" s="1" t="str">
        <f t="shared" si="109"/>
        <v>Thursday</v>
      </c>
      <c r="I1214" t="str">
        <f t="shared" si="110"/>
        <v>Yes</v>
      </c>
      <c r="J1214">
        <f t="shared" si="111"/>
        <v>1</v>
      </c>
      <c r="K1214">
        <f t="shared" si="112"/>
        <v>0</v>
      </c>
      <c r="L1214">
        <f t="shared" si="113"/>
        <v>0</v>
      </c>
    </row>
    <row r="1215" spans="1:12" ht="14.4" customHeight="1" x14ac:dyDescent="0.3">
      <c r="A1215">
        <v>136832520</v>
      </c>
      <c r="B1215" s="1">
        <v>44966</v>
      </c>
      <c r="C1215" s="1">
        <v>44995</v>
      </c>
      <c r="D1215" t="s">
        <v>7</v>
      </c>
      <c r="E1215">
        <v>39</v>
      </c>
      <c r="F1215" t="s">
        <v>6</v>
      </c>
      <c r="G1215">
        <f t="shared" si="108"/>
        <v>29</v>
      </c>
      <c r="H1215" s="1" t="str">
        <f t="shared" si="109"/>
        <v>Thursday</v>
      </c>
      <c r="I1215" t="str">
        <f t="shared" si="110"/>
        <v>No</v>
      </c>
      <c r="J1215">
        <f t="shared" si="111"/>
        <v>0</v>
      </c>
      <c r="K1215">
        <f t="shared" si="112"/>
        <v>0</v>
      </c>
      <c r="L1215">
        <f t="shared" si="113"/>
        <v>29</v>
      </c>
    </row>
    <row r="1216" spans="1:12" x14ac:dyDescent="0.3">
      <c r="A1216">
        <v>202103959</v>
      </c>
      <c r="B1216" s="1">
        <v>44966</v>
      </c>
      <c r="C1216" s="1">
        <v>45073</v>
      </c>
      <c r="D1216" t="s">
        <v>7</v>
      </c>
      <c r="E1216">
        <v>39</v>
      </c>
      <c r="F1216" t="s">
        <v>6</v>
      </c>
      <c r="G1216">
        <f t="shared" si="108"/>
        <v>107</v>
      </c>
      <c r="H1216" s="1" t="str">
        <f t="shared" si="109"/>
        <v>Thursday</v>
      </c>
      <c r="I1216" t="str">
        <f t="shared" si="110"/>
        <v>No</v>
      </c>
      <c r="J1216">
        <f t="shared" si="111"/>
        <v>0</v>
      </c>
      <c r="K1216">
        <f t="shared" si="112"/>
        <v>1</v>
      </c>
      <c r="L1216">
        <f t="shared" si="113"/>
        <v>107</v>
      </c>
    </row>
    <row r="1217" spans="1:12" x14ac:dyDescent="0.3">
      <c r="A1217">
        <v>148764147</v>
      </c>
      <c r="B1217" s="1">
        <v>44966</v>
      </c>
      <c r="C1217" s="1">
        <v>45024</v>
      </c>
      <c r="D1217" t="s">
        <v>7</v>
      </c>
      <c r="E1217">
        <v>39</v>
      </c>
      <c r="F1217" t="s">
        <v>6</v>
      </c>
      <c r="G1217">
        <f t="shared" si="108"/>
        <v>58</v>
      </c>
      <c r="H1217" s="1" t="str">
        <f t="shared" si="109"/>
        <v>Thursday</v>
      </c>
      <c r="I1217" t="str">
        <f t="shared" si="110"/>
        <v>No</v>
      </c>
      <c r="J1217">
        <f t="shared" si="111"/>
        <v>0</v>
      </c>
      <c r="K1217">
        <f t="shared" si="112"/>
        <v>1</v>
      </c>
      <c r="L1217">
        <f t="shared" si="113"/>
        <v>58</v>
      </c>
    </row>
    <row r="1218" spans="1:12" x14ac:dyDescent="0.3">
      <c r="A1218">
        <v>182748610</v>
      </c>
      <c r="B1218" s="1">
        <v>44966</v>
      </c>
      <c r="C1218" s="1">
        <v>45027</v>
      </c>
      <c r="D1218" t="s">
        <v>7</v>
      </c>
      <c r="E1218">
        <v>39</v>
      </c>
      <c r="F1218" t="s">
        <v>6</v>
      </c>
      <c r="G1218">
        <f t="shared" ref="G1218:G1281" si="114">IF(C1218="","",C1218-B1218)</f>
        <v>61</v>
      </c>
      <c r="H1218" s="1" t="str">
        <f t="shared" si="109"/>
        <v>Thursday</v>
      </c>
      <c r="I1218" t="str">
        <f t="shared" si="110"/>
        <v>No</v>
      </c>
      <c r="J1218">
        <f t="shared" si="111"/>
        <v>0</v>
      </c>
      <c r="K1218">
        <f t="shared" si="112"/>
        <v>1</v>
      </c>
      <c r="L1218">
        <f t="shared" si="113"/>
        <v>61</v>
      </c>
    </row>
    <row r="1219" spans="1:12" x14ac:dyDescent="0.3">
      <c r="A1219">
        <v>197883626</v>
      </c>
      <c r="B1219" s="1">
        <v>44966</v>
      </c>
      <c r="C1219" s="1">
        <v>45001</v>
      </c>
      <c r="D1219" t="s">
        <v>7</v>
      </c>
      <c r="E1219">
        <v>39</v>
      </c>
      <c r="F1219" t="s">
        <v>6</v>
      </c>
      <c r="G1219">
        <f t="shared" si="114"/>
        <v>35</v>
      </c>
      <c r="H1219" s="1" t="str">
        <f t="shared" ref="H1219:H1282" si="115">TEXT(B1219,"dddd")</f>
        <v>Thursday</v>
      </c>
      <c r="I1219" t="str">
        <f t="shared" ref="I1219:I1282" si="116">IF(B1219=C1219,"Yes","No")</f>
        <v>No</v>
      </c>
      <c r="J1219">
        <f t="shared" ref="J1219:J1282" si="117">IF(AND(C1219&lt;&gt;"",C1219-B1219&lt;=2),1,0)</f>
        <v>0</v>
      </c>
      <c r="K1219">
        <f t="shared" ref="K1219:K1282" si="118">IF(AND(C1219&lt;&gt;"",C1219-B1219&gt;30),1,0)</f>
        <v>1</v>
      </c>
      <c r="L1219">
        <f t="shared" ref="L1219:L1282" si="119">IF(C1219="","",C1219-B1219)</f>
        <v>35</v>
      </c>
    </row>
    <row r="1220" spans="1:12" ht="14.4" customHeight="1" x14ac:dyDescent="0.3">
      <c r="A1220">
        <v>195893842</v>
      </c>
      <c r="B1220" s="1">
        <v>44966</v>
      </c>
      <c r="C1220" s="1">
        <v>44985</v>
      </c>
      <c r="D1220" t="s">
        <v>7</v>
      </c>
      <c r="E1220">
        <v>39</v>
      </c>
      <c r="F1220" t="s">
        <v>6</v>
      </c>
      <c r="G1220">
        <f t="shared" si="114"/>
        <v>19</v>
      </c>
      <c r="H1220" s="1" t="str">
        <f t="shared" si="115"/>
        <v>Thursday</v>
      </c>
      <c r="I1220" t="str">
        <f t="shared" si="116"/>
        <v>No</v>
      </c>
      <c r="J1220">
        <f t="shared" si="117"/>
        <v>0</v>
      </c>
      <c r="K1220">
        <f t="shared" si="118"/>
        <v>0</v>
      </c>
      <c r="L1220">
        <f t="shared" si="119"/>
        <v>19</v>
      </c>
    </row>
    <row r="1221" spans="1:12" x14ac:dyDescent="0.3">
      <c r="A1221">
        <v>169081778</v>
      </c>
      <c r="B1221" s="1">
        <v>44966</v>
      </c>
      <c r="C1221" s="1">
        <v>45154</v>
      </c>
      <c r="D1221" t="s">
        <v>7</v>
      </c>
      <c r="E1221">
        <v>39</v>
      </c>
      <c r="F1221" t="s">
        <v>6</v>
      </c>
      <c r="G1221">
        <f t="shared" si="114"/>
        <v>188</v>
      </c>
      <c r="H1221" s="1" t="str">
        <f t="shared" si="115"/>
        <v>Thursday</v>
      </c>
      <c r="I1221" t="str">
        <f t="shared" si="116"/>
        <v>No</v>
      </c>
      <c r="J1221">
        <f t="shared" si="117"/>
        <v>0</v>
      </c>
      <c r="K1221">
        <f t="shared" si="118"/>
        <v>1</v>
      </c>
      <c r="L1221">
        <f t="shared" si="119"/>
        <v>188</v>
      </c>
    </row>
    <row r="1222" spans="1:12" ht="14.4" customHeight="1" x14ac:dyDescent="0.3">
      <c r="A1222">
        <v>150422738</v>
      </c>
      <c r="B1222" s="1">
        <v>44967</v>
      </c>
      <c r="C1222" s="1">
        <v>44968</v>
      </c>
      <c r="D1222" t="s">
        <v>7</v>
      </c>
      <c r="E1222">
        <v>39</v>
      </c>
      <c r="F1222" t="s">
        <v>6</v>
      </c>
      <c r="G1222">
        <f t="shared" si="114"/>
        <v>1</v>
      </c>
      <c r="H1222" s="1" t="str">
        <f t="shared" si="115"/>
        <v>Friday</v>
      </c>
      <c r="I1222" t="str">
        <f t="shared" si="116"/>
        <v>No</v>
      </c>
      <c r="J1222">
        <f t="shared" si="117"/>
        <v>1</v>
      </c>
      <c r="K1222">
        <f t="shared" si="118"/>
        <v>0</v>
      </c>
      <c r="L1222">
        <f t="shared" si="119"/>
        <v>1</v>
      </c>
    </row>
    <row r="1223" spans="1:12" x14ac:dyDescent="0.3">
      <c r="A1223">
        <v>190839721</v>
      </c>
      <c r="B1223" s="1">
        <v>44967</v>
      </c>
      <c r="C1223" s="1">
        <v>45002</v>
      </c>
      <c r="D1223" t="s">
        <v>7</v>
      </c>
      <c r="E1223">
        <v>39</v>
      </c>
      <c r="F1223" t="s">
        <v>6</v>
      </c>
      <c r="G1223">
        <f t="shared" si="114"/>
        <v>35</v>
      </c>
      <c r="H1223" s="1" t="str">
        <f t="shared" si="115"/>
        <v>Friday</v>
      </c>
      <c r="I1223" t="str">
        <f t="shared" si="116"/>
        <v>No</v>
      </c>
      <c r="J1223">
        <f t="shared" si="117"/>
        <v>0</v>
      </c>
      <c r="K1223">
        <f t="shared" si="118"/>
        <v>1</v>
      </c>
      <c r="L1223">
        <f t="shared" si="119"/>
        <v>35</v>
      </c>
    </row>
    <row r="1224" spans="1:12" ht="14.4" customHeight="1" x14ac:dyDescent="0.3">
      <c r="A1224">
        <v>152193617</v>
      </c>
      <c r="B1224" s="1">
        <v>44968</v>
      </c>
      <c r="D1224" t="s">
        <v>7</v>
      </c>
      <c r="E1224">
        <v>39</v>
      </c>
      <c r="F1224" t="s">
        <v>6</v>
      </c>
      <c r="G1224" t="str">
        <f t="shared" si="114"/>
        <v/>
      </c>
      <c r="H1224" s="1" t="str">
        <f t="shared" si="115"/>
        <v>Saturday</v>
      </c>
      <c r="I1224" t="str">
        <f t="shared" si="116"/>
        <v>No</v>
      </c>
      <c r="J1224">
        <f t="shared" si="117"/>
        <v>0</v>
      </c>
      <c r="K1224">
        <f t="shared" si="118"/>
        <v>0</v>
      </c>
      <c r="L1224" t="str">
        <f t="shared" si="119"/>
        <v/>
      </c>
    </row>
    <row r="1225" spans="1:12" ht="14.4" customHeight="1" x14ac:dyDescent="0.3">
      <c r="A1225">
        <v>133869989</v>
      </c>
      <c r="B1225" s="1">
        <v>44968</v>
      </c>
      <c r="C1225" s="1">
        <v>44969</v>
      </c>
      <c r="D1225" t="s">
        <v>7</v>
      </c>
      <c r="E1225">
        <v>39</v>
      </c>
      <c r="F1225" t="s">
        <v>6</v>
      </c>
      <c r="G1225">
        <f t="shared" si="114"/>
        <v>1</v>
      </c>
      <c r="H1225" s="1" t="str">
        <f t="shared" si="115"/>
        <v>Saturday</v>
      </c>
      <c r="I1225" t="str">
        <f t="shared" si="116"/>
        <v>No</v>
      </c>
      <c r="J1225">
        <f t="shared" si="117"/>
        <v>1</v>
      </c>
      <c r="K1225">
        <f t="shared" si="118"/>
        <v>0</v>
      </c>
      <c r="L1225">
        <f t="shared" si="119"/>
        <v>1</v>
      </c>
    </row>
    <row r="1226" spans="1:12" x14ac:dyDescent="0.3">
      <c r="A1226">
        <v>186843516</v>
      </c>
      <c r="B1226" s="1">
        <v>44968</v>
      </c>
      <c r="C1226" s="1">
        <v>45035</v>
      </c>
      <c r="D1226" t="s">
        <v>7</v>
      </c>
      <c r="E1226">
        <v>39</v>
      </c>
      <c r="F1226" t="s">
        <v>6</v>
      </c>
      <c r="G1226">
        <f t="shared" si="114"/>
        <v>67</v>
      </c>
      <c r="H1226" s="1" t="str">
        <f t="shared" si="115"/>
        <v>Saturday</v>
      </c>
      <c r="I1226" t="str">
        <f t="shared" si="116"/>
        <v>No</v>
      </c>
      <c r="J1226">
        <f t="shared" si="117"/>
        <v>0</v>
      </c>
      <c r="K1226">
        <f t="shared" si="118"/>
        <v>1</v>
      </c>
      <c r="L1226">
        <f t="shared" si="119"/>
        <v>67</v>
      </c>
    </row>
    <row r="1227" spans="1:12" x14ac:dyDescent="0.3">
      <c r="A1227">
        <v>138913080</v>
      </c>
      <c r="B1227" s="1">
        <v>44968</v>
      </c>
      <c r="C1227" s="1">
        <v>45038</v>
      </c>
      <c r="D1227" t="s">
        <v>7</v>
      </c>
      <c r="E1227">
        <v>39</v>
      </c>
      <c r="F1227" t="s">
        <v>6</v>
      </c>
      <c r="G1227">
        <f t="shared" si="114"/>
        <v>70</v>
      </c>
      <c r="H1227" s="1" t="str">
        <f t="shared" si="115"/>
        <v>Saturday</v>
      </c>
      <c r="I1227" t="str">
        <f t="shared" si="116"/>
        <v>No</v>
      </c>
      <c r="J1227">
        <f t="shared" si="117"/>
        <v>0</v>
      </c>
      <c r="K1227">
        <f t="shared" si="118"/>
        <v>1</v>
      </c>
      <c r="L1227">
        <f t="shared" si="119"/>
        <v>70</v>
      </c>
    </row>
    <row r="1228" spans="1:12" ht="14.4" customHeight="1" x14ac:dyDescent="0.3">
      <c r="A1228">
        <v>134879280</v>
      </c>
      <c r="B1228" s="1">
        <v>44968</v>
      </c>
      <c r="C1228" s="1">
        <v>44992</v>
      </c>
      <c r="D1228" t="s">
        <v>7</v>
      </c>
      <c r="E1228">
        <v>39</v>
      </c>
      <c r="F1228" t="s">
        <v>6</v>
      </c>
      <c r="G1228">
        <f t="shared" si="114"/>
        <v>24</v>
      </c>
      <c r="H1228" s="1" t="str">
        <f t="shared" si="115"/>
        <v>Saturday</v>
      </c>
      <c r="I1228" t="str">
        <f t="shared" si="116"/>
        <v>No</v>
      </c>
      <c r="J1228">
        <f t="shared" si="117"/>
        <v>0</v>
      </c>
      <c r="K1228">
        <f t="shared" si="118"/>
        <v>0</v>
      </c>
      <c r="L1228">
        <f t="shared" si="119"/>
        <v>24</v>
      </c>
    </row>
    <row r="1229" spans="1:12" ht="14.4" customHeight="1" x14ac:dyDescent="0.3">
      <c r="A1229">
        <v>160878134</v>
      </c>
      <c r="B1229" s="1">
        <v>44970</v>
      </c>
      <c r="D1229" t="s">
        <v>7</v>
      </c>
      <c r="E1229">
        <v>39</v>
      </c>
      <c r="F1229" t="s">
        <v>6</v>
      </c>
      <c r="G1229" t="str">
        <f t="shared" si="114"/>
        <v/>
      </c>
      <c r="H1229" s="1" t="str">
        <f t="shared" si="115"/>
        <v>Monday</v>
      </c>
      <c r="I1229" t="str">
        <f t="shared" si="116"/>
        <v>No</v>
      </c>
      <c r="J1229">
        <f t="shared" si="117"/>
        <v>0</v>
      </c>
      <c r="K1229">
        <f t="shared" si="118"/>
        <v>0</v>
      </c>
      <c r="L1229" t="str">
        <f t="shared" si="119"/>
        <v/>
      </c>
    </row>
    <row r="1230" spans="1:12" x14ac:dyDescent="0.3">
      <c r="A1230">
        <v>144423338</v>
      </c>
      <c r="B1230" s="1">
        <v>44970</v>
      </c>
      <c r="C1230" s="1">
        <v>45159</v>
      </c>
      <c r="D1230" t="s">
        <v>7</v>
      </c>
      <c r="E1230">
        <v>39</v>
      </c>
      <c r="F1230" t="s">
        <v>6</v>
      </c>
      <c r="G1230">
        <f t="shared" si="114"/>
        <v>189</v>
      </c>
      <c r="H1230" s="1" t="str">
        <f t="shared" si="115"/>
        <v>Monday</v>
      </c>
      <c r="I1230" t="str">
        <f t="shared" si="116"/>
        <v>No</v>
      </c>
      <c r="J1230">
        <f t="shared" si="117"/>
        <v>0</v>
      </c>
      <c r="K1230">
        <f t="shared" si="118"/>
        <v>1</v>
      </c>
      <c r="L1230">
        <f t="shared" si="119"/>
        <v>189</v>
      </c>
    </row>
    <row r="1231" spans="1:12" x14ac:dyDescent="0.3">
      <c r="A1231">
        <v>136218542</v>
      </c>
      <c r="B1231" s="1">
        <v>44970</v>
      </c>
      <c r="C1231" s="1">
        <v>45059</v>
      </c>
      <c r="D1231" t="s">
        <v>7</v>
      </c>
      <c r="E1231">
        <v>39</v>
      </c>
      <c r="F1231" t="s">
        <v>6</v>
      </c>
      <c r="G1231">
        <f t="shared" si="114"/>
        <v>89</v>
      </c>
      <c r="H1231" s="1" t="str">
        <f t="shared" si="115"/>
        <v>Monday</v>
      </c>
      <c r="I1231" t="str">
        <f t="shared" si="116"/>
        <v>No</v>
      </c>
      <c r="J1231">
        <f t="shared" si="117"/>
        <v>0</v>
      </c>
      <c r="K1231">
        <f t="shared" si="118"/>
        <v>1</v>
      </c>
      <c r="L1231">
        <f t="shared" si="119"/>
        <v>89</v>
      </c>
    </row>
    <row r="1232" spans="1:12" x14ac:dyDescent="0.3">
      <c r="A1232">
        <v>204121686</v>
      </c>
      <c r="B1232" s="1">
        <v>44970</v>
      </c>
      <c r="C1232" s="1">
        <v>45089</v>
      </c>
      <c r="D1232" t="s">
        <v>7</v>
      </c>
      <c r="E1232">
        <v>39</v>
      </c>
      <c r="F1232" t="s">
        <v>6</v>
      </c>
      <c r="G1232">
        <f t="shared" si="114"/>
        <v>119</v>
      </c>
      <c r="H1232" s="1" t="str">
        <f t="shared" si="115"/>
        <v>Monday</v>
      </c>
      <c r="I1232" t="str">
        <f t="shared" si="116"/>
        <v>No</v>
      </c>
      <c r="J1232">
        <f t="shared" si="117"/>
        <v>0</v>
      </c>
      <c r="K1232">
        <f t="shared" si="118"/>
        <v>1</v>
      </c>
      <c r="L1232">
        <f t="shared" si="119"/>
        <v>119</v>
      </c>
    </row>
    <row r="1233" spans="1:12" x14ac:dyDescent="0.3">
      <c r="A1233">
        <v>204114138</v>
      </c>
      <c r="B1233" s="1">
        <v>44970</v>
      </c>
      <c r="C1233" s="1">
        <v>45056</v>
      </c>
      <c r="D1233" t="s">
        <v>7</v>
      </c>
      <c r="E1233">
        <v>39</v>
      </c>
      <c r="F1233" t="s">
        <v>6</v>
      </c>
      <c r="G1233">
        <f t="shared" si="114"/>
        <v>86</v>
      </c>
      <c r="H1233" s="1" t="str">
        <f t="shared" si="115"/>
        <v>Monday</v>
      </c>
      <c r="I1233" t="str">
        <f t="shared" si="116"/>
        <v>No</v>
      </c>
      <c r="J1233">
        <f t="shared" si="117"/>
        <v>0</v>
      </c>
      <c r="K1233">
        <f t="shared" si="118"/>
        <v>1</v>
      </c>
      <c r="L1233">
        <f t="shared" si="119"/>
        <v>86</v>
      </c>
    </row>
    <row r="1234" spans="1:12" ht="14.4" customHeight="1" x14ac:dyDescent="0.3">
      <c r="A1234">
        <v>152197442</v>
      </c>
      <c r="B1234" s="1">
        <v>44970</v>
      </c>
      <c r="C1234" s="1">
        <v>44998</v>
      </c>
      <c r="D1234" t="s">
        <v>7</v>
      </c>
      <c r="E1234">
        <v>39</v>
      </c>
      <c r="F1234" t="s">
        <v>6</v>
      </c>
      <c r="G1234">
        <f t="shared" si="114"/>
        <v>28</v>
      </c>
      <c r="H1234" s="1" t="str">
        <f t="shared" si="115"/>
        <v>Monday</v>
      </c>
      <c r="I1234" t="str">
        <f t="shared" si="116"/>
        <v>No</v>
      </c>
      <c r="J1234">
        <f t="shared" si="117"/>
        <v>0</v>
      </c>
      <c r="K1234">
        <f t="shared" si="118"/>
        <v>0</v>
      </c>
      <c r="L1234">
        <f t="shared" si="119"/>
        <v>28</v>
      </c>
    </row>
    <row r="1235" spans="1:12" x14ac:dyDescent="0.3">
      <c r="A1235">
        <v>151695881</v>
      </c>
      <c r="B1235" s="1">
        <v>44970</v>
      </c>
      <c r="C1235" s="1">
        <v>45012</v>
      </c>
      <c r="D1235" t="s">
        <v>7</v>
      </c>
      <c r="E1235">
        <v>39</v>
      </c>
      <c r="F1235" t="s">
        <v>6</v>
      </c>
      <c r="G1235">
        <f t="shared" si="114"/>
        <v>42</v>
      </c>
      <c r="H1235" s="1" t="str">
        <f t="shared" si="115"/>
        <v>Monday</v>
      </c>
      <c r="I1235" t="str">
        <f t="shared" si="116"/>
        <v>No</v>
      </c>
      <c r="J1235">
        <f t="shared" si="117"/>
        <v>0</v>
      </c>
      <c r="K1235">
        <f t="shared" si="118"/>
        <v>1</v>
      </c>
      <c r="L1235">
        <f t="shared" si="119"/>
        <v>42</v>
      </c>
    </row>
    <row r="1236" spans="1:12" ht="14.4" customHeight="1" x14ac:dyDescent="0.3">
      <c r="A1236">
        <v>204378294</v>
      </c>
      <c r="B1236" s="1">
        <v>44971</v>
      </c>
      <c r="D1236" t="s">
        <v>7</v>
      </c>
      <c r="E1236">
        <v>39</v>
      </c>
      <c r="F1236" t="s">
        <v>6</v>
      </c>
      <c r="G1236" t="str">
        <f t="shared" si="114"/>
        <v/>
      </c>
      <c r="H1236" s="1" t="str">
        <f t="shared" si="115"/>
        <v>Tuesday</v>
      </c>
      <c r="I1236" t="str">
        <f t="shared" si="116"/>
        <v>No</v>
      </c>
      <c r="J1236">
        <f t="shared" si="117"/>
        <v>0</v>
      </c>
      <c r="K1236">
        <f t="shared" si="118"/>
        <v>0</v>
      </c>
      <c r="L1236" t="str">
        <f t="shared" si="119"/>
        <v/>
      </c>
    </row>
    <row r="1237" spans="1:12" ht="14.4" customHeight="1" x14ac:dyDescent="0.3">
      <c r="A1237">
        <v>204376665</v>
      </c>
      <c r="B1237" s="1">
        <v>44971</v>
      </c>
      <c r="D1237" t="s">
        <v>7</v>
      </c>
      <c r="E1237">
        <v>39</v>
      </c>
      <c r="F1237" t="s">
        <v>6</v>
      </c>
      <c r="G1237" t="str">
        <f t="shared" si="114"/>
        <v/>
      </c>
      <c r="H1237" s="1" t="str">
        <f t="shared" si="115"/>
        <v>Tuesday</v>
      </c>
      <c r="I1237" t="str">
        <f t="shared" si="116"/>
        <v>No</v>
      </c>
      <c r="J1237">
        <f t="shared" si="117"/>
        <v>0</v>
      </c>
      <c r="K1237">
        <f t="shared" si="118"/>
        <v>0</v>
      </c>
      <c r="L1237" t="str">
        <f t="shared" si="119"/>
        <v/>
      </c>
    </row>
    <row r="1238" spans="1:12" ht="14.4" customHeight="1" x14ac:dyDescent="0.3">
      <c r="A1238">
        <v>204270637</v>
      </c>
      <c r="B1238" s="1">
        <v>44971</v>
      </c>
      <c r="D1238" t="s">
        <v>7</v>
      </c>
      <c r="E1238">
        <v>39</v>
      </c>
      <c r="F1238" t="s">
        <v>6</v>
      </c>
      <c r="G1238" t="str">
        <f t="shared" si="114"/>
        <v/>
      </c>
      <c r="H1238" s="1" t="str">
        <f t="shared" si="115"/>
        <v>Tuesday</v>
      </c>
      <c r="I1238" t="str">
        <f t="shared" si="116"/>
        <v>No</v>
      </c>
      <c r="J1238">
        <f t="shared" si="117"/>
        <v>0</v>
      </c>
      <c r="K1238">
        <f t="shared" si="118"/>
        <v>0</v>
      </c>
      <c r="L1238" t="str">
        <f t="shared" si="119"/>
        <v/>
      </c>
    </row>
    <row r="1239" spans="1:12" ht="14.4" customHeight="1" x14ac:dyDescent="0.3">
      <c r="A1239">
        <v>204380751</v>
      </c>
      <c r="B1239" s="1">
        <v>44971</v>
      </c>
      <c r="C1239" s="1">
        <v>44971</v>
      </c>
      <c r="D1239" t="s">
        <v>7</v>
      </c>
      <c r="E1239">
        <v>39</v>
      </c>
      <c r="F1239" t="s">
        <v>6</v>
      </c>
      <c r="G1239">
        <f t="shared" si="114"/>
        <v>0</v>
      </c>
      <c r="H1239" s="1" t="str">
        <f t="shared" si="115"/>
        <v>Tuesday</v>
      </c>
      <c r="I1239" t="str">
        <f t="shared" si="116"/>
        <v>Yes</v>
      </c>
      <c r="J1239">
        <f t="shared" si="117"/>
        <v>1</v>
      </c>
      <c r="K1239">
        <f t="shared" si="118"/>
        <v>0</v>
      </c>
      <c r="L1239">
        <f t="shared" si="119"/>
        <v>0</v>
      </c>
    </row>
    <row r="1240" spans="1:12" x14ac:dyDescent="0.3">
      <c r="A1240">
        <v>204402989</v>
      </c>
      <c r="B1240" s="1">
        <v>44971</v>
      </c>
      <c r="C1240" s="1">
        <v>45085</v>
      </c>
      <c r="D1240" t="s">
        <v>7</v>
      </c>
      <c r="E1240">
        <v>39</v>
      </c>
      <c r="F1240" t="s">
        <v>6</v>
      </c>
      <c r="G1240">
        <f t="shared" si="114"/>
        <v>114</v>
      </c>
      <c r="H1240" s="1" t="str">
        <f t="shared" si="115"/>
        <v>Tuesday</v>
      </c>
      <c r="I1240" t="str">
        <f t="shared" si="116"/>
        <v>No</v>
      </c>
      <c r="J1240">
        <f t="shared" si="117"/>
        <v>0</v>
      </c>
      <c r="K1240">
        <f t="shared" si="118"/>
        <v>1</v>
      </c>
      <c r="L1240">
        <f t="shared" si="119"/>
        <v>114</v>
      </c>
    </row>
    <row r="1241" spans="1:12" x14ac:dyDescent="0.3">
      <c r="A1241">
        <v>203403136</v>
      </c>
      <c r="B1241" s="1">
        <v>44971</v>
      </c>
      <c r="C1241" s="1">
        <v>45089</v>
      </c>
      <c r="D1241" t="s">
        <v>7</v>
      </c>
      <c r="E1241">
        <v>39</v>
      </c>
      <c r="F1241" t="s">
        <v>6</v>
      </c>
      <c r="G1241">
        <f t="shared" si="114"/>
        <v>118</v>
      </c>
      <c r="H1241" s="1" t="str">
        <f t="shared" si="115"/>
        <v>Tuesday</v>
      </c>
      <c r="I1241" t="str">
        <f t="shared" si="116"/>
        <v>No</v>
      </c>
      <c r="J1241">
        <f t="shared" si="117"/>
        <v>0</v>
      </c>
      <c r="K1241">
        <f t="shared" si="118"/>
        <v>1</v>
      </c>
      <c r="L1241">
        <f t="shared" si="119"/>
        <v>118</v>
      </c>
    </row>
    <row r="1242" spans="1:12" x14ac:dyDescent="0.3">
      <c r="A1242">
        <v>198453918</v>
      </c>
      <c r="B1242" s="1">
        <v>44971</v>
      </c>
      <c r="C1242" s="1">
        <v>45061</v>
      </c>
      <c r="D1242" t="s">
        <v>7</v>
      </c>
      <c r="E1242">
        <v>39</v>
      </c>
      <c r="F1242" t="s">
        <v>6</v>
      </c>
      <c r="G1242">
        <f t="shared" si="114"/>
        <v>90</v>
      </c>
      <c r="H1242" s="1" t="str">
        <f t="shared" si="115"/>
        <v>Tuesday</v>
      </c>
      <c r="I1242" t="str">
        <f t="shared" si="116"/>
        <v>No</v>
      </c>
      <c r="J1242">
        <f t="shared" si="117"/>
        <v>0</v>
      </c>
      <c r="K1242">
        <f t="shared" si="118"/>
        <v>1</v>
      </c>
      <c r="L1242">
        <f t="shared" si="119"/>
        <v>90</v>
      </c>
    </row>
    <row r="1243" spans="1:12" ht="14.4" customHeight="1" x14ac:dyDescent="0.3">
      <c r="A1243">
        <v>133514912</v>
      </c>
      <c r="B1243" s="1">
        <v>44971</v>
      </c>
      <c r="C1243" s="1">
        <v>44992</v>
      </c>
      <c r="D1243" t="s">
        <v>7</v>
      </c>
      <c r="E1243">
        <v>39</v>
      </c>
      <c r="F1243" t="s">
        <v>6</v>
      </c>
      <c r="G1243">
        <f t="shared" si="114"/>
        <v>21</v>
      </c>
      <c r="H1243" s="1" t="str">
        <f t="shared" si="115"/>
        <v>Tuesday</v>
      </c>
      <c r="I1243" t="str">
        <f t="shared" si="116"/>
        <v>No</v>
      </c>
      <c r="J1243">
        <f t="shared" si="117"/>
        <v>0</v>
      </c>
      <c r="K1243">
        <f t="shared" si="118"/>
        <v>0</v>
      </c>
      <c r="L1243">
        <f t="shared" si="119"/>
        <v>21</v>
      </c>
    </row>
    <row r="1244" spans="1:12" x14ac:dyDescent="0.3">
      <c r="A1244">
        <v>203414698</v>
      </c>
      <c r="B1244" s="1">
        <v>44971</v>
      </c>
      <c r="C1244" s="1">
        <v>45011</v>
      </c>
      <c r="D1244" t="s">
        <v>7</v>
      </c>
      <c r="E1244">
        <v>39</v>
      </c>
      <c r="F1244" t="s">
        <v>6</v>
      </c>
      <c r="G1244">
        <f t="shared" si="114"/>
        <v>40</v>
      </c>
      <c r="H1244" s="1" t="str">
        <f t="shared" si="115"/>
        <v>Tuesday</v>
      </c>
      <c r="I1244" t="str">
        <f t="shared" si="116"/>
        <v>No</v>
      </c>
      <c r="J1244">
        <f t="shared" si="117"/>
        <v>0</v>
      </c>
      <c r="K1244">
        <f t="shared" si="118"/>
        <v>1</v>
      </c>
      <c r="L1244">
        <f t="shared" si="119"/>
        <v>40</v>
      </c>
    </row>
    <row r="1245" spans="1:12" x14ac:dyDescent="0.3">
      <c r="A1245">
        <v>190400854</v>
      </c>
      <c r="B1245" s="1">
        <v>44971</v>
      </c>
      <c r="C1245" s="1">
        <v>45127</v>
      </c>
      <c r="D1245" t="s">
        <v>7</v>
      </c>
      <c r="E1245">
        <v>39</v>
      </c>
      <c r="F1245" t="s">
        <v>6</v>
      </c>
      <c r="G1245">
        <f t="shared" si="114"/>
        <v>156</v>
      </c>
      <c r="H1245" s="1" t="str">
        <f t="shared" si="115"/>
        <v>Tuesday</v>
      </c>
      <c r="I1245" t="str">
        <f t="shared" si="116"/>
        <v>No</v>
      </c>
      <c r="J1245">
        <f t="shared" si="117"/>
        <v>0</v>
      </c>
      <c r="K1245">
        <f t="shared" si="118"/>
        <v>1</v>
      </c>
      <c r="L1245">
        <f t="shared" si="119"/>
        <v>156</v>
      </c>
    </row>
    <row r="1246" spans="1:12" x14ac:dyDescent="0.3">
      <c r="A1246">
        <v>204114797</v>
      </c>
      <c r="B1246" s="1">
        <v>44971</v>
      </c>
      <c r="C1246" s="1">
        <v>45095</v>
      </c>
      <c r="D1246" t="s">
        <v>7</v>
      </c>
      <c r="E1246">
        <v>39</v>
      </c>
      <c r="F1246" t="s">
        <v>6</v>
      </c>
      <c r="G1246">
        <f t="shared" si="114"/>
        <v>124</v>
      </c>
      <c r="H1246" s="1" t="str">
        <f t="shared" si="115"/>
        <v>Tuesday</v>
      </c>
      <c r="I1246" t="str">
        <f t="shared" si="116"/>
        <v>No</v>
      </c>
      <c r="J1246">
        <f t="shared" si="117"/>
        <v>0</v>
      </c>
      <c r="K1246">
        <f t="shared" si="118"/>
        <v>1</v>
      </c>
      <c r="L1246">
        <f t="shared" si="119"/>
        <v>124</v>
      </c>
    </row>
    <row r="1247" spans="1:12" ht="14.4" customHeight="1" x14ac:dyDescent="0.3">
      <c r="A1247">
        <v>202377942</v>
      </c>
      <c r="B1247" s="1">
        <v>44972</v>
      </c>
      <c r="D1247" t="s">
        <v>7</v>
      </c>
      <c r="E1247">
        <v>39</v>
      </c>
      <c r="F1247" t="s">
        <v>6</v>
      </c>
      <c r="G1247" t="str">
        <f t="shared" si="114"/>
        <v/>
      </c>
      <c r="H1247" s="1" t="str">
        <f t="shared" si="115"/>
        <v>Wednesday</v>
      </c>
      <c r="I1247" t="str">
        <f t="shared" si="116"/>
        <v>No</v>
      </c>
      <c r="J1247">
        <f t="shared" si="117"/>
        <v>0</v>
      </c>
      <c r="K1247">
        <f t="shared" si="118"/>
        <v>0</v>
      </c>
      <c r="L1247" t="str">
        <f t="shared" si="119"/>
        <v/>
      </c>
    </row>
    <row r="1248" spans="1:12" ht="14.4" customHeight="1" x14ac:dyDescent="0.3">
      <c r="A1248">
        <v>204555612</v>
      </c>
      <c r="B1248" s="1">
        <v>44972</v>
      </c>
      <c r="C1248" s="1">
        <v>44972</v>
      </c>
      <c r="D1248" t="s">
        <v>8</v>
      </c>
      <c r="E1248">
        <v>39</v>
      </c>
      <c r="F1248" t="s">
        <v>6</v>
      </c>
      <c r="G1248">
        <f t="shared" si="114"/>
        <v>0</v>
      </c>
      <c r="H1248" s="1" t="str">
        <f t="shared" si="115"/>
        <v>Wednesday</v>
      </c>
      <c r="I1248" t="str">
        <f t="shared" si="116"/>
        <v>Yes</v>
      </c>
      <c r="J1248">
        <f t="shared" si="117"/>
        <v>1</v>
      </c>
      <c r="K1248">
        <f t="shared" si="118"/>
        <v>0</v>
      </c>
      <c r="L1248">
        <f t="shared" si="119"/>
        <v>0</v>
      </c>
    </row>
    <row r="1249" spans="1:12" ht="14.4" customHeight="1" x14ac:dyDescent="0.3">
      <c r="A1249">
        <v>204556376</v>
      </c>
      <c r="B1249" s="1">
        <v>44972</v>
      </c>
      <c r="C1249" s="1">
        <v>44972</v>
      </c>
      <c r="D1249" t="s">
        <v>8</v>
      </c>
      <c r="E1249">
        <v>39</v>
      </c>
      <c r="F1249" t="s">
        <v>6</v>
      </c>
      <c r="G1249">
        <f t="shared" si="114"/>
        <v>0</v>
      </c>
      <c r="H1249" s="1" t="str">
        <f t="shared" si="115"/>
        <v>Wednesday</v>
      </c>
      <c r="I1249" t="str">
        <f t="shared" si="116"/>
        <v>Yes</v>
      </c>
      <c r="J1249">
        <f t="shared" si="117"/>
        <v>1</v>
      </c>
      <c r="K1249">
        <f t="shared" si="118"/>
        <v>0</v>
      </c>
      <c r="L1249">
        <f t="shared" si="119"/>
        <v>0</v>
      </c>
    </row>
    <row r="1250" spans="1:12" x14ac:dyDescent="0.3">
      <c r="A1250">
        <v>204515997</v>
      </c>
      <c r="B1250" s="1">
        <v>44972</v>
      </c>
      <c r="C1250" s="1">
        <v>45091</v>
      </c>
      <c r="D1250" t="s">
        <v>7</v>
      </c>
      <c r="E1250">
        <v>39</v>
      </c>
      <c r="F1250" t="s">
        <v>6</v>
      </c>
      <c r="G1250">
        <f t="shared" si="114"/>
        <v>119</v>
      </c>
      <c r="H1250" s="1" t="str">
        <f t="shared" si="115"/>
        <v>Wednesday</v>
      </c>
      <c r="I1250" t="str">
        <f t="shared" si="116"/>
        <v>No</v>
      </c>
      <c r="J1250">
        <f t="shared" si="117"/>
        <v>0</v>
      </c>
      <c r="K1250">
        <f t="shared" si="118"/>
        <v>1</v>
      </c>
      <c r="L1250">
        <f t="shared" si="119"/>
        <v>119</v>
      </c>
    </row>
    <row r="1251" spans="1:12" x14ac:dyDescent="0.3">
      <c r="A1251">
        <v>153342734</v>
      </c>
      <c r="B1251" s="1">
        <v>44972</v>
      </c>
      <c r="C1251" s="1">
        <v>45007</v>
      </c>
      <c r="D1251" t="s">
        <v>7</v>
      </c>
      <c r="E1251">
        <v>39</v>
      </c>
      <c r="F1251" t="s">
        <v>6</v>
      </c>
      <c r="G1251">
        <f t="shared" si="114"/>
        <v>35</v>
      </c>
      <c r="H1251" s="1" t="str">
        <f t="shared" si="115"/>
        <v>Wednesday</v>
      </c>
      <c r="I1251" t="str">
        <f t="shared" si="116"/>
        <v>No</v>
      </c>
      <c r="J1251">
        <f t="shared" si="117"/>
        <v>0</v>
      </c>
      <c r="K1251">
        <f t="shared" si="118"/>
        <v>1</v>
      </c>
      <c r="L1251">
        <f t="shared" si="119"/>
        <v>35</v>
      </c>
    </row>
    <row r="1252" spans="1:12" ht="14.4" customHeight="1" x14ac:dyDescent="0.3">
      <c r="A1252">
        <v>204650391</v>
      </c>
      <c r="B1252" s="1">
        <v>44973</v>
      </c>
      <c r="D1252" t="s">
        <v>7</v>
      </c>
      <c r="E1252">
        <v>39</v>
      </c>
      <c r="F1252" t="s">
        <v>6</v>
      </c>
      <c r="G1252" t="str">
        <f t="shared" si="114"/>
        <v/>
      </c>
      <c r="H1252" s="1" t="str">
        <f t="shared" si="115"/>
        <v>Thursday</v>
      </c>
      <c r="I1252" t="str">
        <f t="shared" si="116"/>
        <v>No</v>
      </c>
      <c r="J1252">
        <f t="shared" si="117"/>
        <v>0</v>
      </c>
      <c r="K1252">
        <f t="shared" si="118"/>
        <v>0</v>
      </c>
      <c r="L1252" t="str">
        <f t="shared" si="119"/>
        <v/>
      </c>
    </row>
    <row r="1253" spans="1:12" ht="14.4" customHeight="1" x14ac:dyDescent="0.3">
      <c r="A1253">
        <v>150906486</v>
      </c>
      <c r="B1253" s="1">
        <v>44973</v>
      </c>
      <c r="C1253" s="1">
        <v>45002</v>
      </c>
      <c r="D1253" t="s">
        <v>7</v>
      </c>
      <c r="E1253">
        <v>39</v>
      </c>
      <c r="F1253" t="s">
        <v>6</v>
      </c>
      <c r="G1253">
        <f t="shared" si="114"/>
        <v>29</v>
      </c>
      <c r="H1253" s="1" t="str">
        <f t="shared" si="115"/>
        <v>Thursday</v>
      </c>
      <c r="I1253" t="str">
        <f t="shared" si="116"/>
        <v>No</v>
      </c>
      <c r="J1253">
        <f t="shared" si="117"/>
        <v>0</v>
      </c>
      <c r="K1253">
        <f t="shared" si="118"/>
        <v>0</v>
      </c>
      <c r="L1253">
        <f t="shared" si="119"/>
        <v>29</v>
      </c>
    </row>
    <row r="1254" spans="1:12" ht="14.4" customHeight="1" x14ac:dyDescent="0.3">
      <c r="A1254">
        <v>153961940</v>
      </c>
      <c r="B1254" s="1">
        <v>44973</v>
      </c>
      <c r="C1254" s="1">
        <v>44973</v>
      </c>
      <c r="D1254" t="s">
        <v>7</v>
      </c>
      <c r="E1254">
        <v>39</v>
      </c>
      <c r="F1254" t="s">
        <v>6</v>
      </c>
      <c r="G1254">
        <f t="shared" si="114"/>
        <v>0</v>
      </c>
      <c r="H1254" s="1" t="str">
        <f t="shared" si="115"/>
        <v>Thursday</v>
      </c>
      <c r="I1254" t="str">
        <f t="shared" si="116"/>
        <v>Yes</v>
      </c>
      <c r="J1254">
        <f t="shared" si="117"/>
        <v>1</v>
      </c>
      <c r="K1254">
        <f t="shared" si="118"/>
        <v>0</v>
      </c>
      <c r="L1254">
        <f t="shared" si="119"/>
        <v>0</v>
      </c>
    </row>
    <row r="1255" spans="1:12" ht="14.4" customHeight="1" x14ac:dyDescent="0.3">
      <c r="A1255">
        <v>154175766</v>
      </c>
      <c r="B1255" s="1">
        <v>44973</v>
      </c>
      <c r="C1255" s="1">
        <v>45000</v>
      </c>
      <c r="D1255" t="s">
        <v>7</v>
      </c>
      <c r="E1255">
        <v>39</v>
      </c>
      <c r="F1255" t="s">
        <v>6</v>
      </c>
      <c r="G1255">
        <f t="shared" si="114"/>
        <v>27</v>
      </c>
      <c r="H1255" s="1" t="str">
        <f t="shared" si="115"/>
        <v>Thursday</v>
      </c>
      <c r="I1255" t="str">
        <f t="shared" si="116"/>
        <v>No</v>
      </c>
      <c r="J1255">
        <f t="shared" si="117"/>
        <v>0</v>
      </c>
      <c r="K1255">
        <f t="shared" si="118"/>
        <v>0</v>
      </c>
      <c r="L1255">
        <f t="shared" si="119"/>
        <v>27</v>
      </c>
    </row>
    <row r="1256" spans="1:12" x14ac:dyDescent="0.3">
      <c r="A1256">
        <v>204631298</v>
      </c>
      <c r="B1256" s="1">
        <v>44973</v>
      </c>
      <c r="C1256" s="1">
        <v>45033</v>
      </c>
      <c r="D1256" t="s">
        <v>7</v>
      </c>
      <c r="E1256">
        <v>39</v>
      </c>
      <c r="F1256" t="s">
        <v>6</v>
      </c>
      <c r="G1256">
        <f t="shared" si="114"/>
        <v>60</v>
      </c>
      <c r="H1256" s="1" t="str">
        <f t="shared" si="115"/>
        <v>Thursday</v>
      </c>
      <c r="I1256" t="str">
        <f t="shared" si="116"/>
        <v>No</v>
      </c>
      <c r="J1256">
        <f t="shared" si="117"/>
        <v>0</v>
      </c>
      <c r="K1256">
        <f t="shared" si="118"/>
        <v>1</v>
      </c>
      <c r="L1256">
        <f t="shared" si="119"/>
        <v>60</v>
      </c>
    </row>
    <row r="1257" spans="1:12" x14ac:dyDescent="0.3">
      <c r="A1257">
        <v>195534585</v>
      </c>
      <c r="B1257" s="1">
        <v>44973</v>
      </c>
      <c r="C1257" s="1">
        <v>45030</v>
      </c>
      <c r="D1257" t="s">
        <v>7</v>
      </c>
      <c r="E1257">
        <v>39</v>
      </c>
      <c r="F1257" t="s">
        <v>6</v>
      </c>
      <c r="G1257">
        <f t="shared" si="114"/>
        <v>57</v>
      </c>
      <c r="H1257" s="1" t="str">
        <f t="shared" si="115"/>
        <v>Thursday</v>
      </c>
      <c r="I1257" t="str">
        <f t="shared" si="116"/>
        <v>No</v>
      </c>
      <c r="J1257">
        <f t="shared" si="117"/>
        <v>0</v>
      </c>
      <c r="K1257">
        <f t="shared" si="118"/>
        <v>1</v>
      </c>
      <c r="L1257">
        <f t="shared" si="119"/>
        <v>57</v>
      </c>
    </row>
    <row r="1258" spans="1:12" x14ac:dyDescent="0.3">
      <c r="A1258">
        <v>176421166</v>
      </c>
      <c r="B1258" s="1">
        <v>44973</v>
      </c>
      <c r="C1258" s="1">
        <v>45030</v>
      </c>
      <c r="D1258" t="s">
        <v>7</v>
      </c>
      <c r="E1258">
        <v>39</v>
      </c>
      <c r="F1258" t="s">
        <v>6</v>
      </c>
      <c r="G1258">
        <f t="shared" si="114"/>
        <v>57</v>
      </c>
      <c r="H1258" s="1" t="str">
        <f t="shared" si="115"/>
        <v>Thursday</v>
      </c>
      <c r="I1258" t="str">
        <f t="shared" si="116"/>
        <v>No</v>
      </c>
      <c r="J1258">
        <f t="shared" si="117"/>
        <v>0</v>
      </c>
      <c r="K1258">
        <f t="shared" si="118"/>
        <v>1</v>
      </c>
      <c r="L1258">
        <f t="shared" si="119"/>
        <v>57</v>
      </c>
    </row>
    <row r="1259" spans="1:12" ht="14.4" customHeight="1" x14ac:dyDescent="0.3">
      <c r="A1259">
        <v>204679416</v>
      </c>
      <c r="B1259" s="1">
        <v>44973</v>
      </c>
      <c r="C1259" s="1">
        <v>45002</v>
      </c>
      <c r="D1259" t="s">
        <v>7</v>
      </c>
      <c r="E1259">
        <v>39</v>
      </c>
      <c r="F1259" t="s">
        <v>6</v>
      </c>
      <c r="G1259">
        <f t="shared" si="114"/>
        <v>29</v>
      </c>
      <c r="H1259" s="1" t="str">
        <f t="shared" si="115"/>
        <v>Thursday</v>
      </c>
      <c r="I1259" t="str">
        <f t="shared" si="116"/>
        <v>No</v>
      </c>
      <c r="J1259">
        <f t="shared" si="117"/>
        <v>0</v>
      </c>
      <c r="K1259">
        <f t="shared" si="118"/>
        <v>0</v>
      </c>
      <c r="L1259">
        <f t="shared" si="119"/>
        <v>29</v>
      </c>
    </row>
    <row r="1260" spans="1:12" ht="14.4" customHeight="1" x14ac:dyDescent="0.3">
      <c r="A1260">
        <v>204448721</v>
      </c>
      <c r="B1260" s="1">
        <v>44973</v>
      </c>
      <c r="C1260" s="1">
        <v>44975</v>
      </c>
      <c r="D1260" t="s">
        <v>7</v>
      </c>
      <c r="E1260">
        <v>39</v>
      </c>
      <c r="F1260" t="s">
        <v>6</v>
      </c>
      <c r="G1260">
        <f t="shared" si="114"/>
        <v>2</v>
      </c>
      <c r="H1260" s="1" t="str">
        <f t="shared" si="115"/>
        <v>Thursday</v>
      </c>
      <c r="I1260" t="str">
        <f t="shared" si="116"/>
        <v>No</v>
      </c>
      <c r="J1260">
        <f t="shared" si="117"/>
        <v>1</v>
      </c>
      <c r="K1260">
        <f t="shared" si="118"/>
        <v>0</v>
      </c>
      <c r="L1260">
        <f t="shared" si="119"/>
        <v>2</v>
      </c>
    </row>
    <row r="1261" spans="1:12" x14ac:dyDescent="0.3">
      <c r="A1261">
        <v>151908347</v>
      </c>
      <c r="B1261" s="1">
        <v>44973</v>
      </c>
      <c r="C1261" s="1">
        <v>45095</v>
      </c>
      <c r="D1261" t="s">
        <v>7</v>
      </c>
      <c r="E1261">
        <v>39</v>
      </c>
      <c r="F1261" t="s">
        <v>6</v>
      </c>
      <c r="G1261">
        <f t="shared" si="114"/>
        <v>122</v>
      </c>
      <c r="H1261" s="1" t="str">
        <f t="shared" si="115"/>
        <v>Thursday</v>
      </c>
      <c r="I1261" t="str">
        <f t="shared" si="116"/>
        <v>No</v>
      </c>
      <c r="J1261">
        <f t="shared" si="117"/>
        <v>0</v>
      </c>
      <c r="K1261">
        <f t="shared" si="118"/>
        <v>1</v>
      </c>
      <c r="L1261">
        <f t="shared" si="119"/>
        <v>122</v>
      </c>
    </row>
    <row r="1262" spans="1:12" ht="14.4" customHeight="1" x14ac:dyDescent="0.3">
      <c r="A1262">
        <v>150652956</v>
      </c>
      <c r="B1262" s="1">
        <v>44974</v>
      </c>
      <c r="C1262" s="1">
        <v>44975</v>
      </c>
      <c r="D1262" t="s">
        <v>7</v>
      </c>
      <c r="E1262">
        <v>39</v>
      </c>
      <c r="F1262" t="s">
        <v>6</v>
      </c>
      <c r="G1262">
        <f t="shared" si="114"/>
        <v>1</v>
      </c>
      <c r="H1262" s="1" t="str">
        <f t="shared" si="115"/>
        <v>Friday</v>
      </c>
      <c r="I1262" t="str">
        <f t="shared" si="116"/>
        <v>No</v>
      </c>
      <c r="J1262">
        <f t="shared" si="117"/>
        <v>1</v>
      </c>
      <c r="K1262">
        <f t="shared" si="118"/>
        <v>0</v>
      </c>
      <c r="L1262">
        <f t="shared" si="119"/>
        <v>1</v>
      </c>
    </row>
    <row r="1263" spans="1:12" ht="14.4" customHeight="1" x14ac:dyDescent="0.3">
      <c r="A1263">
        <v>183321644</v>
      </c>
      <c r="B1263" s="1">
        <v>44974</v>
      </c>
      <c r="C1263" s="1">
        <v>44974</v>
      </c>
      <c r="D1263" t="s">
        <v>8</v>
      </c>
      <c r="E1263">
        <v>39</v>
      </c>
      <c r="F1263" t="s">
        <v>6</v>
      </c>
      <c r="G1263">
        <f t="shared" si="114"/>
        <v>0</v>
      </c>
      <c r="H1263" s="1" t="str">
        <f t="shared" si="115"/>
        <v>Friday</v>
      </c>
      <c r="I1263" t="str">
        <f t="shared" si="116"/>
        <v>Yes</v>
      </c>
      <c r="J1263">
        <f t="shared" si="117"/>
        <v>1</v>
      </c>
      <c r="K1263">
        <f t="shared" si="118"/>
        <v>0</v>
      </c>
      <c r="L1263">
        <f t="shared" si="119"/>
        <v>0</v>
      </c>
    </row>
    <row r="1264" spans="1:12" ht="14.4" customHeight="1" x14ac:dyDescent="0.3">
      <c r="A1264">
        <v>204740476</v>
      </c>
      <c r="B1264" s="1">
        <v>44974</v>
      </c>
      <c r="C1264" s="1">
        <v>44999</v>
      </c>
      <c r="D1264" t="s">
        <v>8</v>
      </c>
      <c r="E1264">
        <v>39</v>
      </c>
      <c r="F1264" t="s">
        <v>6</v>
      </c>
      <c r="G1264">
        <f t="shared" si="114"/>
        <v>25</v>
      </c>
      <c r="H1264" s="1" t="str">
        <f t="shared" si="115"/>
        <v>Friday</v>
      </c>
      <c r="I1264" t="str">
        <f t="shared" si="116"/>
        <v>No</v>
      </c>
      <c r="J1264">
        <f t="shared" si="117"/>
        <v>0</v>
      </c>
      <c r="K1264">
        <f t="shared" si="118"/>
        <v>0</v>
      </c>
      <c r="L1264">
        <f t="shared" si="119"/>
        <v>25</v>
      </c>
    </row>
    <row r="1265" spans="1:12" x14ac:dyDescent="0.3">
      <c r="A1265">
        <v>204439086</v>
      </c>
      <c r="B1265" s="1">
        <v>44974</v>
      </c>
      <c r="C1265" s="1">
        <v>45093</v>
      </c>
      <c r="D1265" t="s">
        <v>7</v>
      </c>
      <c r="E1265">
        <v>39</v>
      </c>
      <c r="F1265" t="s">
        <v>6</v>
      </c>
      <c r="G1265">
        <f t="shared" si="114"/>
        <v>119</v>
      </c>
      <c r="H1265" s="1" t="str">
        <f t="shared" si="115"/>
        <v>Friday</v>
      </c>
      <c r="I1265" t="str">
        <f t="shared" si="116"/>
        <v>No</v>
      </c>
      <c r="J1265">
        <f t="shared" si="117"/>
        <v>0</v>
      </c>
      <c r="K1265">
        <f t="shared" si="118"/>
        <v>1</v>
      </c>
      <c r="L1265">
        <f t="shared" si="119"/>
        <v>119</v>
      </c>
    </row>
    <row r="1266" spans="1:12" x14ac:dyDescent="0.3">
      <c r="A1266">
        <v>204685109</v>
      </c>
      <c r="B1266" s="1">
        <v>44974</v>
      </c>
      <c r="C1266" s="1">
        <v>45069</v>
      </c>
      <c r="D1266" t="s">
        <v>7</v>
      </c>
      <c r="E1266">
        <v>39</v>
      </c>
      <c r="F1266" t="s">
        <v>6</v>
      </c>
      <c r="G1266">
        <f t="shared" si="114"/>
        <v>95</v>
      </c>
      <c r="H1266" s="1" t="str">
        <f t="shared" si="115"/>
        <v>Friday</v>
      </c>
      <c r="I1266" t="str">
        <f t="shared" si="116"/>
        <v>No</v>
      </c>
      <c r="J1266">
        <f t="shared" si="117"/>
        <v>0</v>
      </c>
      <c r="K1266">
        <f t="shared" si="118"/>
        <v>1</v>
      </c>
      <c r="L1266">
        <f t="shared" si="119"/>
        <v>95</v>
      </c>
    </row>
    <row r="1267" spans="1:12" ht="14.4" customHeight="1" x14ac:dyDescent="0.3">
      <c r="A1267">
        <v>175211528</v>
      </c>
      <c r="B1267" s="1">
        <v>44974</v>
      </c>
      <c r="C1267" s="1">
        <v>44980</v>
      </c>
      <c r="D1267" t="s">
        <v>7</v>
      </c>
      <c r="E1267">
        <v>39</v>
      </c>
      <c r="F1267" t="s">
        <v>6</v>
      </c>
      <c r="G1267">
        <f t="shared" si="114"/>
        <v>6</v>
      </c>
      <c r="H1267" s="1" t="str">
        <f t="shared" si="115"/>
        <v>Friday</v>
      </c>
      <c r="I1267" t="str">
        <f t="shared" si="116"/>
        <v>No</v>
      </c>
      <c r="J1267">
        <f t="shared" si="117"/>
        <v>0</v>
      </c>
      <c r="K1267">
        <f t="shared" si="118"/>
        <v>0</v>
      </c>
      <c r="L1267">
        <f t="shared" si="119"/>
        <v>6</v>
      </c>
    </row>
    <row r="1268" spans="1:12" ht="14.4" customHeight="1" x14ac:dyDescent="0.3">
      <c r="A1268">
        <v>204646698</v>
      </c>
      <c r="B1268" s="1">
        <v>44974</v>
      </c>
      <c r="C1268" s="1">
        <v>44974</v>
      </c>
      <c r="D1268" t="s">
        <v>7</v>
      </c>
      <c r="E1268">
        <v>39</v>
      </c>
      <c r="F1268" t="s">
        <v>6</v>
      </c>
      <c r="G1268">
        <f t="shared" si="114"/>
        <v>0</v>
      </c>
      <c r="H1268" s="1" t="str">
        <f t="shared" si="115"/>
        <v>Friday</v>
      </c>
      <c r="I1268" t="str">
        <f t="shared" si="116"/>
        <v>Yes</v>
      </c>
      <c r="J1268">
        <f t="shared" si="117"/>
        <v>1</v>
      </c>
      <c r="K1268">
        <f t="shared" si="118"/>
        <v>0</v>
      </c>
      <c r="L1268">
        <f t="shared" si="119"/>
        <v>0</v>
      </c>
    </row>
    <row r="1269" spans="1:12" x14ac:dyDescent="0.3">
      <c r="A1269">
        <v>204728203</v>
      </c>
      <c r="B1269" s="1">
        <v>44974</v>
      </c>
      <c r="C1269" s="1">
        <v>45144</v>
      </c>
      <c r="D1269" t="s">
        <v>7</v>
      </c>
      <c r="E1269">
        <v>39</v>
      </c>
      <c r="F1269" t="s">
        <v>6</v>
      </c>
      <c r="G1269">
        <f t="shared" si="114"/>
        <v>170</v>
      </c>
      <c r="H1269" s="1" t="str">
        <f t="shared" si="115"/>
        <v>Friday</v>
      </c>
      <c r="I1269" t="str">
        <f t="shared" si="116"/>
        <v>No</v>
      </c>
      <c r="J1269">
        <f t="shared" si="117"/>
        <v>0</v>
      </c>
      <c r="K1269">
        <f t="shared" si="118"/>
        <v>1</v>
      </c>
      <c r="L1269">
        <f t="shared" si="119"/>
        <v>170</v>
      </c>
    </row>
    <row r="1270" spans="1:12" x14ac:dyDescent="0.3">
      <c r="A1270">
        <v>166674547</v>
      </c>
      <c r="B1270" s="1">
        <v>44974</v>
      </c>
      <c r="C1270" s="1">
        <v>45099</v>
      </c>
      <c r="D1270" t="s">
        <v>7</v>
      </c>
      <c r="E1270">
        <v>39</v>
      </c>
      <c r="F1270" t="s">
        <v>6</v>
      </c>
      <c r="G1270">
        <f t="shared" si="114"/>
        <v>125</v>
      </c>
      <c r="H1270" s="1" t="str">
        <f t="shared" si="115"/>
        <v>Friday</v>
      </c>
      <c r="I1270" t="str">
        <f t="shared" si="116"/>
        <v>No</v>
      </c>
      <c r="J1270">
        <f t="shared" si="117"/>
        <v>0</v>
      </c>
      <c r="K1270">
        <f t="shared" si="118"/>
        <v>1</v>
      </c>
      <c r="L1270">
        <f t="shared" si="119"/>
        <v>125</v>
      </c>
    </row>
    <row r="1271" spans="1:12" ht="14.4" customHeight="1" x14ac:dyDescent="0.3">
      <c r="A1271">
        <v>202459470</v>
      </c>
      <c r="B1271" s="1">
        <v>44975</v>
      </c>
      <c r="D1271" t="s">
        <v>7</v>
      </c>
      <c r="E1271">
        <v>39</v>
      </c>
      <c r="F1271" t="s">
        <v>6</v>
      </c>
      <c r="G1271" t="str">
        <f t="shared" si="114"/>
        <v/>
      </c>
      <c r="H1271" s="1" t="str">
        <f t="shared" si="115"/>
        <v>Saturday</v>
      </c>
      <c r="I1271" t="str">
        <f t="shared" si="116"/>
        <v>No</v>
      </c>
      <c r="J1271">
        <f t="shared" si="117"/>
        <v>0</v>
      </c>
      <c r="K1271">
        <f t="shared" si="118"/>
        <v>0</v>
      </c>
      <c r="L1271" t="str">
        <f t="shared" si="119"/>
        <v/>
      </c>
    </row>
    <row r="1272" spans="1:12" ht="14.4" customHeight="1" x14ac:dyDescent="0.3">
      <c r="A1272">
        <v>155508761</v>
      </c>
      <c r="B1272" s="1">
        <v>44975</v>
      </c>
      <c r="D1272" t="s">
        <v>7</v>
      </c>
      <c r="E1272">
        <v>39</v>
      </c>
      <c r="F1272" t="s">
        <v>6</v>
      </c>
      <c r="G1272" t="str">
        <f t="shared" si="114"/>
        <v/>
      </c>
      <c r="H1272" s="1" t="str">
        <f t="shared" si="115"/>
        <v>Saturday</v>
      </c>
      <c r="I1272" t="str">
        <f t="shared" si="116"/>
        <v>No</v>
      </c>
      <c r="J1272">
        <f t="shared" si="117"/>
        <v>0</v>
      </c>
      <c r="K1272">
        <f t="shared" si="118"/>
        <v>0</v>
      </c>
      <c r="L1272" t="str">
        <f t="shared" si="119"/>
        <v/>
      </c>
    </row>
    <row r="1273" spans="1:12" ht="14.4" customHeight="1" x14ac:dyDescent="0.3">
      <c r="A1273">
        <v>168484421</v>
      </c>
      <c r="B1273" s="1">
        <v>44975</v>
      </c>
      <c r="C1273" s="1">
        <v>44975</v>
      </c>
      <c r="D1273" t="s">
        <v>8</v>
      </c>
      <c r="E1273">
        <v>39</v>
      </c>
      <c r="F1273" t="s">
        <v>6</v>
      </c>
      <c r="G1273">
        <f t="shared" si="114"/>
        <v>0</v>
      </c>
      <c r="H1273" s="1" t="str">
        <f t="shared" si="115"/>
        <v>Saturday</v>
      </c>
      <c r="I1273" t="str">
        <f t="shared" si="116"/>
        <v>Yes</v>
      </c>
      <c r="J1273">
        <f t="shared" si="117"/>
        <v>1</v>
      </c>
      <c r="K1273">
        <f t="shared" si="118"/>
        <v>0</v>
      </c>
      <c r="L1273">
        <f t="shared" si="119"/>
        <v>0</v>
      </c>
    </row>
    <row r="1274" spans="1:12" ht="14.4" customHeight="1" x14ac:dyDescent="0.3">
      <c r="A1274">
        <v>130864124</v>
      </c>
      <c r="B1274" s="1">
        <v>44975</v>
      </c>
      <c r="C1274" s="1">
        <v>44976</v>
      </c>
      <c r="D1274" t="s">
        <v>7</v>
      </c>
      <c r="E1274">
        <v>39</v>
      </c>
      <c r="F1274" t="s">
        <v>6</v>
      </c>
      <c r="G1274">
        <f t="shared" si="114"/>
        <v>1</v>
      </c>
      <c r="H1274" s="1" t="str">
        <f t="shared" si="115"/>
        <v>Saturday</v>
      </c>
      <c r="I1274" t="str">
        <f t="shared" si="116"/>
        <v>No</v>
      </c>
      <c r="J1274">
        <f t="shared" si="117"/>
        <v>1</v>
      </c>
      <c r="K1274">
        <f t="shared" si="118"/>
        <v>0</v>
      </c>
      <c r="L1274">
        <f t="shared" si="119"/>
        <v>1</v>
      </c>
    </row>
    <row r="1275" spans="1:12" x14ac:dyDescent="0.3">
      <c r="A1275">
        <v>204752959</v>
      </c>
      <c r="B1275" s="1">
        <v>44975</v>
      </c>
      <c r="C1275" s="1">
        <v>45102</v>
      </c>
      <c r="D1275" t="s">
        <v>7</v>
      </c>
      <c r="E1275">
        <v>39</v>
      </c>
      <c r="F1275" t="s">
        <v>6</v>
      </c>
      <c r="G1275">
        <f t="shared" si="114"/>
        <v>127</v>
      </c>
      <c r="H1275" s="1" t="str">
        <f t="shared" si="115"/>
        <v>Saturday</v>
      </c>
      <c r="I1275" t="str">
        <f t="shared" si="116"/>
        <v>No</v>
      </c>
      <c r="J1275">
        <f t="shared" si="117"/>
        <v>0</v>
      </c>
      <c r="K1275">
        <f t="shared" si="118"/>
        <v>1</v>
      </c>
      <c r="L1275">
        <f t="shared" si="119"/>
        <v>127</v>
      </c>
    </row>
    <row r="1276" spans="1:12" x14ac:dyDescent="0.3">
      <c r="A1276">
        <v>204761235</v>
      </c>
      <c r="B1276" s="1">
        <v>44975</v>
      </c>
      <c r="C1276" s="1">
        <v>45063</v>
      </c>
      <c r="D1276" t="s">
        <v>7</v>
      </c>
      <c r="E1276">
        <v>39</v>
      </c>
      <c r="F1276" t="s">
        <v>6</v>
      </c>
      <c r="G1276">
        <f t="shared" si="114"/>
        <v>88</v>
      </c>
      <c r="H1276" s="1" t="str">
        <f t="shared" si="115"/>
        <v>Saturday</v>
      </c>
      <c r="I1276" t="str">
        <f t="shared" si="116"/>
        <v>No</v>
      </c>
      <c r="J1276">
        <f t="shared" si="117"/>
        <v>0</v>
      </c>
      <c r="K1276">
        <f t="shared" si="118"/>
        <v>1</v>
      </c>
      <c r="L1276">
        <f t="shared" si="119"/>
        <v>88</v>
      </c>
    </row>
    <row r="1277" spans="1:12" x14ac:dyDescent="0.3">
      <c r="A1277">
        <v>159142615</v>
      </c>
      <c r="B1277" s="1">
        <v>44975</v>
      </c>
      <c r="C1277" s="1">
        <v>45074</v>
      </c>
      <c r="D1277" t="s">
        <v>7</v>
      </c>
      <c r="E1277">
        <v>39</v>
      </c>
      <c r="F1277" t="s">
        <v>6</v>
      </c>
      <c r="G1277">
        <f t="shared" si="114"/>
        <v>99</v>
      </c>
      <c r="H1277" s="1" t="str">
        <f t="shared" si="115"/>
        <v>Saturday</v>
      </c>
      <c r="I1277" t="str">
        <f t="shared" si="116"/>
        <v>No</v>
      </c>
      <c r="J1277">
        <f t="shared" si="117"/>
        <v>0</v>
      </c>
      <c r="K1277">
        <f t="shared" si="118"/>
        <v>1</v>
      </c>
      <c r="L1277">
        <f t="shared" si="119"/>
        <v>99</v>
      </c>
    </row>
    <row r="1278" spans="1:12" x14ac:dyDescent="0.3">
      <c r="A1278">
        <v>204753316</v>
      </c>
      <c r="B1278" s="1">
        <v>44975</v>
      </c>
      <c r="C1278" s="1">
        <v>45010</v>
      </c>
      <c r="D1278" t="s">
        <v>7</v>
      </c>
      <c r="E1278">
        <v>39</v>
      </c>
      <c r="F1278" t="s">
        <v>6</v>
      </c>
      <c r="G1278">
        <f t="shared" si="114"/>
        <v>35</v>
      </c>
      <c r="H1278" s="1" t="str">
        <f t="shared" si="115"/>
        <v>Saturday</v>
      </c>
      <c r="I1278" t="str">
        <f t="shared" si="116"/>
        <v>No</v>
      </c>
      <c r="J1278">
        <f t="shared" si="117"/>
        <v>0</v>
      </c>
      <c r="K1278">
        <f t="shared" si="118"/>
        <v>1</v>
      </c>
      <c r="L1278">
        <f t="shared" si="119"/>
        <v>35</v>
      </c>
    </row>
    <row r="1279" spans="1:12" ht="14.4" customHeight="1" x14ac:dyDescent="0.3">
      <c r="A1279">
        <v>195188483</v>
      </c>
      <c r="B1279" s="1">
        <v>44976</v>
      </c>
      <c r="D1279" t="s">
        <v>7</v>
      </c>
      <c r="E1279">
        <v>39</v>
      </c>
      <c r="F1279" t="s">
        <v>6</v>
      </c>
      <c r="G1279" t="str">
        <f t="shared" si="114"/>
        <v/>
      </c>
      <c r="H1279" s="1" t="str">
        <f t="shared" si="115"/>
        <v>Sunday</v>
      </c>
      <c r="I1279" t="str">
        <f t="shared" si="116"/>
        <v>No</v>
      </c>
      <c r="J1279">
        <f t="shared" si="117"/>
        <v>0</v>
      </c>
      <c r="K1279">
        <f t="shared" si="118"/>
        <v>0</v>
      </c>
      <c r="L1279" t="str">
        <f t="shared" si="119"/>
        <v/>
      </c>
    </row>
    <row r="1280" spans="1:12" ht="14.4" customHeight="1" x14ac:dyDescent="0.3">
      <c r="A1280">
        <v>204773056</v>
      </c>
      <c r="B1280" s="1">
        <v>44976</v>
      </c>
      <c r="D1280" t="s">
        <v>7</v>
      </c>
      <c r="E1280">
        <v>39</v>
      </c>
      <c r="F1280" t="s">
        <v>6</v>
      </c>
      <c r="G1280" t="str">
        <f t="shared" si="114"/>
        <v/>
      </c>
      <c r="H1280" s="1" t="str">
        <f t="shared" si="115"/>
        <v>Sunday</v>
      </c>
      <c r="I1280" t="str">
        <f t="shared" si="116"/>
        <v>No</v>
      </c>
      <c r="J1280">
        <f t="shared" si="117"/>
        <v>0</v>
      </c>
      <c r="K1280">
        <f t="shared" si="118"/>
        <v>0</v>
      </c>
      <c r="L1280" t="str">
        <f t="shared" si="119"/>
        <v/>
      </c>
    </row>
    <row r="1281" spans="1:12" x14ac:dyDescent="0.3">
      <c r="A1281">
        <v>204814698</v>
      </c>
      <c r="B1281" s="1">
        <v>44976</v>
      </c>
      <c r="C1281" s="1">
        <v>45160</v>
      </c>
      <c r="D1281" t="s">
        <v>7</v>
      </c>
      <c r="E1281">
        <v>39</v>
      </c>
      <c r="F1281" t="s">
        <v>6</v>
      </c>
      <c r="G1281">
        <f t="shared" si="114"/>
        <v>184</v>
      </c>
      <c r="H1281" s="1" t="str">
        <f t="shared" si="115"/>
        <v>Sunday</v>
      </c>
      <c r="I1281" t="str">
        <f t="shared" si="116"/>
        <v>No</v>
      </c>
      <c r="J1281">
        <f t="shared" si="117"/>
        <v>0</v>
      </c>
      <c r="K1281">
        <f t="shared" si="118"/>
        <v>1</v>
      </c>
      <c r="L1281">
        <f t="shared" si="119"/>
        <v>184</v>
      </c>
    </row>
    <row r="1282" spans="1:12" x14ac:dyDescent="0.3">
      <c r="A1282">
        <v>204732463</v>
      </c>
      <c r="B1282" s="1">
        <v>44976</v>
      </c>
      <c r="C1282" s="1">
        <v>45089</v>
      </c>
      <c r="D1282" t="s">
        <v>7</v>
      </c>
      <c r="E1282">
        <v>39</v>
      </c>
      <c r="F1282" t="s">
        <v>6</v>
      </c>
      <c r="G1282">
        <f t="shared" ref="G1282:G1345" si="120">IF(C1282="","",C1282-B1282)</f>
        <v>113</v>
      </c>
      <c r="H1282" s="1" t="str">
        <f t="shared" si="115"/>
        <v>Sunday</v>
      </c>
      <c r="I1282" t="str">
        <f t="shared" si="116"/>
        <v>No</v>
      </c>
      <c r="J1282">
        <f t="shared" si="117"/>
        <v>0</v>
      </c>
      <c r="K1282">
        <f t="shared" si="118"/>
        <v>1</v>
      </c>
      <c r="L1282">
        <f t="shared" si="119"/>
        <v>113</v>
      </c>
    </row>
    <row r="1283" spans="1:12" x14ac:dyDescent="0.3">
      <c r="A1283">
        <v>204772360</v>
      </c>
      <c r="B1283" s="1">
        <v>44976</v>
      </c>
      <c r="C1283" s="1">
        <v>45034</v>
      </c>
      <c r="D1283" t="s">
        <v>7</v>
      </c>
      <c r="E1283">
        <v>39</v>
      </c>
      <c r="F1283" t="s">
        <v>6</v>
      </c>
      <c r="G1283">
        <f t="shared" si="120"/>
        <v>58</v>
      </c>
      <c r="H1283" s="1" t="str">
        <f t="shared" ref="H1283:H1346" si="121">TEXT(B1283,"dddd")</f>
        <v>Sunday</v>
      </c>
      <c r="I1283" t="str">
        <f t="shared" ref="I1283:I1346" si="122">IF(B1283=C1283,"Yes","No")</f>
        <v>No</v>
      </c>
      <c r="J1283">
        <f t="shared" ref="J1283:J1346" si="123">IF(AND(C1283&lt;&gt;"",C1283-B1283&lt;=2),1,0)</f>
        <v>0</v>
      </c>
      <c r="K1283">
        <f t="shared" ref="K1283:K1346" si="124">IF(AND(C1283&lt;&gt;"",C1283-B1283&gt;30),1,0)</f>
        <v>1</v>
      </c>
      <c r="L1283">
        <f t="shared" ref="L1283:L1346" si="125">IF(C1283="","",C1283-B1283)</f>
        <v>58</v>
      </c>
    </row>
    <row r="1284" spans="1:12" x14ac:dyDescent="0.3">
      <c r="A1284">
        <v>204812582</v>
      </c>
      <c r="B1284" s="1">
        <v>44976</v>
      </c>
      <c r="C1284" s="1">
        <v>45023</v>
      </c>
      <c r="D1284" t="s">
        <v>7</v>
      </c>
      <c r="E1284">
        <v>39</v>
      </c>
      <c r="F1284" t="s">
        <v>6</v>
      </c>
      <c r="G1284">
        <f t="shared" si="120"/>
        <v>47</v>
      </c>
      <c r="H1284" s="1" t="str">
        <f t="shared" si="121"/>
        <v>Sunday</v>
      </c>
      <c r="I1284" t="str">
        <f t="shared" si="122"/>
        <v>No</v>
      </c>
      <c r="J1284">
        <f t="shared" si="123"/>
        <v>0</v>
      </c>
      <c r="K1284">
        <f t="shared" si="124"/>
        <v>1</v>
      </c>
      <c r="L1284">
        <f t="shared" si="125"/>
        <v>47</v>
      </c>
    </row>
    <row r="1285" spans="1:12" x14ac:dyDescent="0.3">
      <c r="A1285">
        <v>204662556</v>
      </c>
      <c r="B1285" s="1">
        <v>44976</v>
      </c>
      <c r="C1285" s="1">
        <v>45018</v>
      </c>
      <c r="D1285" t="s">
        <v>7</v>
      </c>
      <c r="E1285">
        <v>39</v>
      </c>
      <c r="F1285" t="s">
        <v>6</v>
      </c>
      <c r="G1285">
        <f t="shared" si="120"/>
        <v>42</v>
      </c>
      <c r="H1285" s="1" t="str">
        <f t="shared" si="121"/>
        <v>Sunday</v>
      </c>
      <c r="I1285" t="str">
        <f t="shared" si="122"/>
        <v>No</v>
      </c>
      <c r="J1285">
        <f t="shared" si="123"/>
        <v>0</v>
      </c>
      <c r="K1285">
        <f t="shared" si="124"/>
        <v>1</v>
      </c>
      <c r="L1285">
        <f t="shared" si="125"/>
        <v>42</v>
      </c>
    </row>
    <row r="1286" spans="1:12" x14ac:dyDescent="0.3">
      <c r="A1286">
        <v>163781430</v>
      </c>
      <c r="B1286" s="1">
        <v>44976</v>
      </c>
      <c r="C1286" s="1">
        <v>45042</v>
      </c>
      <c r="D1286" t="s">
        <v>7</v>
      </c>
      <c r="E1286">
        <v>39</v>
      </c>
      <c r="F1286" t="s">
        <v>6</v>
      </c>
      <c r="G1286">
        <f t="shared" si="120"/>
        <v>66</v>
      </c>
      <c r="H1286" s="1" t="str">
        <f t="shared" si="121"/>
        <v>Sunday</v>
      </c>
      <c r="I1286" t="str">
        <f t="shared" si="122"/>
        <v>No</v>
      </c>
      <c r="J1286">
        <f t="shared" si="123"/>
        <v>0</v>
      </c>
      <c r="K1286">
        <f t="shared" si="124"/>
        <v>1</v>
      </c>
      <c r="L1286">
        <f t="shared" si="125"/>
        <v>66</v>
      </c>
    </row>
    <row r="1287" spans="1:12" x14ac:dyDescent="0.3">
      <c r="A1287">
        <v>143963064</v>
      </c>
      <c r="B1287" s="1">
        <v>44976</v>
      </c>
      <c r="C1287" s="1">
        <v>45125</v>
      </c>
      <c r="D1287" t="s">
        <v>7</v>
      </c>
      <c r="E1287">
        <v>39</v>
      </c>
      <c r="F1287" t="s">
        <v>6</v>
      </c>
      <c r="G1287">
        <f t="shared" si="120"/>
        <v>149</v>
      </c>
      <c r="H1287" s="1" t="str">
        <f t="shared" si="121"/>
        <v>Sunday</v>
      </c>
      <c r="I1287" t="str">
        <f t="shared" si="122"/>
        <v>No</v>
      </c>
      <c r="J1287">
        <f t="shared" si="123"/>
        <v>0</v>
      </c>
      <c r="K1287">
        <f t="shared" si="124"/>
        <v>1</v>
      </c>
      <c r="L1287">
        <f t="shared" si="125"/>
        <v>149</v>
      </c>
    </row>
    <row r="1288" spans="1:12" ht="14.4" customHeight="1" x14ac:dyDescent="0.3">
      <c r="A1288">
        <v>204797166</v>
      </c>
      <c r="B1288" s="1">
        <v>44976</v>
      </c>
      <c r="C1288" s="1">
        <v>44991</v>
      </c>
      <c r="D1288" t="s">
        <v>7</v>
      </c>
      <c r="E1288">
        <v>39</v>
      </c>
      <c r="F1288" t="s">
        <v>6</v>
      </c>
      <c r="G1288">
        <f t="shared" si="120"/>
        <v>15</v>
      </c>
      <c r="H1288" s="1" t="str">
        <f t="shared" si="121"/>
        <v>Sunday</v>
      </c>
      <c r="I1288" t="str">
        <f t="shared" si="122"/>
        <v>No</v>
      </c>
      <c r="J1288">
        <f t="shared" si="123"/>
        <v>0</v>
      </c>
      <c r="K1288">
        <f t="shared" si="124"/>
        <v>0</v>
      </c>
      <c r="L1288">
        <f t="shared" si="125"/>
        <v>15</v>
      </c>
    </row>
    <row r="1289" spans="1:12" ht="14.4" customHeight="1" x14ac:dyDescent="0.3">
      <c r="A1289">
        <v>204774421</v>
      </c>
      <c r="B1289" s="1">
        <v>44976</v>
      </c>
      <c r="C1289" s="1">
        <v>44999</v>
      </c>
      <c r="D1289" t="s">
        <v>7</v>
      </c>
      <c r="E1289">
        <v>39</v>
      </c>
      <c r="F1289" t="s">
        <v>6</v>
      </c>
      <c r="G1289">
        <f t="shared" si="120"/>
        <v>23</v>
      </c>
      <c r="H1289" s="1" t="str">
        <f t="shared" si="121"/>
        <v>Sunday</v>
      </c>
      <c r="I1289" t="str">
        <f t="shared" si="122"/>
        <v>No</v>
      </c>
      <c r="J1289">
        <f t="shared" si="123"/>
        <v>0</v>
      </c>
      <c r="K1289">
        <f t="shared" si="124"/>
        <v>0</v>
      </c>
      <c r="L1289">
        <f t="shared" si="125"/>
        <v>23</v>
      </c>
    </row>
    <row r="1290" spans="1:12" x14ac:dyDescent="0.3">
      <c r="A1290">
        <v>204801675</v>
      </c>
      <c r="B1290" s="1">
        <v>44976</v>
      </c>
      <c r="C1290" s="1">
        <v>45007</v>
      </c>
      <c r="D1290" t="s">
        <v>7</v>
      </c>
      <c r="E1290">
        <v>39</v>
      </c>
      <c r="F1290" t="s">
        <v>6</v>
      </c>
      <c r="G1290">
        <f t="shared" si="120"/>
        <v>31</v>
      </c>
      <c r="H1290" s="1" t="str">
        <f t="shared" si="121"/>
        <v>Sunday</v>
      </c>
      <c r="I1290" t="str">
        <f t="shared" si="122"/>
        <v>No</v>
      </c>
      <c r="J1290">
        <f t="shared" si="123"/>
        <v>0</v>
      </c>
      <c r="K1290">
        <f t="shared" si="124"/>
        <v>1</v>
      </c>
      <c r="L1290">
        <f t="shared" si="125"/>
        <v>31</v>
      </c>
    </row>
    <row r="1291" spans="1:12" ht="14.4" customHeight="1" x14ac:dyDescent="0.3">
      <c r="A1291">
        <v>204518099</v>
      </c>
      <c r="B1291" s="1">
        <v>44976</v>
      </c>
      <c r="C1291" s="1">
        <v>44981</v>
      </c>
      <c r="D1291" t="s">
        <v>7</v>
      </c>
      <c r="E1291">
        <v>39</v>
      </c>
      <c r="F1291" t="s">
        <v>6</v>
      </c>
      <c r="G1291">
        <f t="shared" si="120"/>
        <v>5</v>
      </c>
      <c r="H1291" s="1" t="str">
        <f t="shared" si="121"/>
        <v>Sunday</v>
      </c>
      <c r="I1291" t="str">
        <f t="shared" si="122"/>
        <v>No</v>
      </c>
      <c r="J1291">
        <f t="shared" si="123"/>
        <v>0</v>
      </c>
      <c r="K1291">
        <f t="shared" si="124"/>
        <v>0</v>
      </c>
      <c r="L1291">
        <f t="shared" si="125"/>
        <v>5</v>
      </c>
    </row>
    <row r="1292" spans="1:12" ht="14.4" customHeight="1" x14ac:dyDescent="0.3">
      <c r="A1292">
        <v>204814320</v>
      </c>
      <c r="B1292" s="1">
        <v>44977</v>
      </c>
      <c r="D1292" t="s">
        <v>7</v>
      </c>
      <c r="E1292">
        <v>39</v>
      </c>
      <c r="F1292" t="s">
        <v>6</v>
      </c>
      <c r="G1292" t="str">
        <f t="shared" si="120"/>
        <v/>
      </c>
      <c r="H1292" s="1" t="str">
        <f t="shared" si="121"/>
        <v>Monday</v>
      </c>
      <c r="I1292" t="str">
        <f t="shared" si="122"/>
        <v>No</v>
      </c>
      <c r="J1292">
        <f t="shared" si="123"/>
        <v>0</v>
      </c>
      <c r="K1292">
        <f t="shared" si="124"/>
        <v>0</v>
      </c>
      <c r="L1292" t="str">
        <f t="shared" si="125"/>
        <v/>
      </c>
    </row>
    <row r="1293" spans="1:12" ht="14.4" customHeight="1" x14ac:dyDescent="0.3">
      <c r="A1293">
        <v>126851221</v>
      </c>
      <c r="B1293" s="1">
        <v>44977</v>
      </c>
      <c r="D1293" t="s">
        <v>7</v>
      </c>
      <c r="E1293">
        <v>39</v>
      </c>
      <c r="F1293" t="s">
        <v>6</v>
      </c>
      <c r="G1293" t="str">
        <f t="shared" si="120"/>
        <v/>
      </c>
      <c r="H1293" s="1" t="str">
        <f t="shared" si="121"/>
        <v>Monday</v>
      </c>
      <c r="I1293" t="str">
        <f t="shared" si="122"/>
        <v>No</v>
      </c>
      <c r="J1293">
        <f t="shared" si="123"/>
        <v>0</v>
      </c>
      <c r="K1293">
        <f t="shared" si="124"/>
        <v>0</v>
      </c>
      <c r="L1293" t="str">
        <f t="shared" si="125"/>
        <v/>
      </c>
    </row>
    <row r="1294" spans="1:12" ht="14.4" customHeight="1" x14ac:dyDescent="0.3">
      <c r="A1294">
        <v>204845935</v>
      </c>
      <c r="B1294" s="1">
        <v>44977</v>
      </c>
      <c r="D1294" t="s">
        <v>7</v>
      </c>
      <c r="E1294">
        <v>39</v>
      </c>
      <c r="F1294" t="s">
        <v>6</v>
      </c>
      <c r="G1294" t="str">
        <f t="shared" si="120"/>
        <v/>
      </c>
      <c r="H1294" s="1" t="str">
        <f t="shared" si="121"/>
        <v>Monday</v>
      </c>
      <c r="I1294" t="str">
        <f t="shared" si="122"/>
        <v>No</v>
      </c>
      <c r="J1294">
        <f t="shared" si="123"/>
        <v>0</v>
      </c>
      <c r="K1294">
        <f t="shared" si="124"/>
        <v>0</v>
      </c>
      <c r="L1294" t="str">
        <f t="shared" si="125"/>
        <v/>
      </c>
    </row>
    <row r="1295" spans="1:12" ht="14.4" customHeight="1" x14ac:dyDescent="0.3">
      <c r="A1295">
        <v>122215146</v>
      </c>
      <c r="B1295" s="1">
        <v>44977</v>
      </c>
      <c r="C1295" s="1">
        <v>44978</v>
      </c>
      <c r="D1295" t="s">
        <v>7</v>
      </c>
      <c r="E1295">
        <v>39</v>
      </c>
      <c r="F1295" t="s">
        <v>6</v>
      </c>
      <c r="G1295">
        <f t="shared" si="120"/>
        <v>1</v>
      </c>
      <c r="H1295" s="1" t="str">
        <f t="shared" si="121"/>
        <v>Monday</v>
      </c>
      <c r="I1295" t="str">
        <f t="shared" si="122"/>
        <v>No</v>
      </c>
      <c r="J1295">
        <f t="shared" si="123"/>
        <v>1</v>
      </c>
      <c r="K1295">
        <f t="shared" si="124"/>
        <v>0</v>
      </c>
      <c r="L1295">
        <f t="shared" si="125"/>
        <v>1</v>
      </c>
    </row>
    <row r="1296" spans="1:12" x14ac:dyDescent="0.3">
      <c r="A1296">
        <v>147300748</v>
      </c>
      <c r="B1296" s="1">
        <v>44977</v>
      </c>
      <c r="C1296" s="1">
        <v>45119</v>
      </c>
      <c r="D1296" t="s">
        <v>7</v>
      </c>
      <c r="E1296">
        <v>39</v>
      </c>
      <c r="F1296" t="s">
        <v>6</v>
      </c>
      <c r="G1296">
        <f t="shared" si="120"/>
        <v>142</v>
      </c>
      <c r="H1296" s="1" t="str">
        <f t="shared" si="121"/>
        <v>Monday</v>
      </c>
      <c r="I1296" t="str">
        <f t="shared" si="122"/>
        <v>No</v>
      </c>
      <c r="J1296">
        <f t="shared" si="123"/>
        <v>0</v>
      </c>
      <c r="K1296">
        <f t="shared" si="124"/>
        <v>1</v>
      </c>
      <c r="L1296">
        <f t="shared" si="125"/>
        <v>142</v>
      </c>
    </row>
    <row r="1297" spans="1:12" x14ac:dyDescent="0.3">
      <c r="A1297">
        <v>162596645</v>
      </c>
      <c r="B1297" s="1">
        <v>44977</v>
      </c>
      <c r="C1297" s="1">
        <v>45105</v>
      </c>
      <c r="D1297" t="s">
        <v>7</v>
      </c>
      <c r="E1297">
        <v>39</v>
      </c>
      <c r="F1297" t="s">
        <v>6</v>
      </c>
      <c r="G1297">
        <f t="shared" si="120"/>
        <v>128</v>
      </c>
      <c r="H1297" s="1" t="str">
        <f t="shared" si="121"/>
        <v>Monday</v>
      </c>
      <c r="I1297" t="str">
        <f t="shared" si="122"/>
        <v>No</v>
      </c>
      <c r="J1297">
        <f t="shared" si="123"/>
        <v>0</v>
      </c>
      <c r="K1297">
        <f t="shared" si="124"/>
        <v>1</v>
      </c>
      <c r="L1297">
        <f t="shared" si="125"/>
        <v>128</v>
      </c>
    </row>
    <row r="1298" spans="1:12" x14ac:dyDescent="0.3">
      <c r="A1298">
        <v>177666771</v>
      </c>
      <c r="B1298" s="1">
        <v>44977</v>
      </c>
      <c r="C1298" s="1">
        <v>45089</v>
      </c>
      <c r="D1298" t="s">
        <v>7</v>
      </c>
      <c r="E1298">
        <v>39</v>
      </c>
      <c r="F1298" t="s">
        <v>6</v>
      </c>
      <c r="G1298">
        <f t="shared" si="120"/>
        <v>112</v>
      </c>
      <c r="H1298" s="1" t="str">
        <f t="shared" si="121"/>
        <v>Monday</v>
      </c>
      <c r="I1298" t="str">
        <f t="shared" si="122"/>
        <v>No</v>
      </c>
      <c r="J1298">
        <f t="shared" si="123"/>
        <v>0</v>
      </c>
      <c r="K1298">
        <f t="shared" si="124"/>
        <v>1</v>
      </c>
      <c r="L1298">
        <f t="shared" si="125"/>
        <v>112</v>
      </c>
    </row>
    <row r="1299" spans="1:12" x14ac:dyDescent="0.3">
      <c r="A1299">
        <v>204884248</v>
      </c>
      <c r="B1299" s="1">
        <v>44977</v>
      </c>
      <c r="C1299" s="1">
        <v>45048</v>
      </c>
      <c r="D1299" t="s">
        <v>7</v>
      </c>
      <c r="E1299">
        <v>39</v>
      </c>
      <c r="F1299" t="s">
        <v>6</v>
      </c>
      <c r="G1299">
        <f t="shared" si="120"/>
        <v>71</v>
      </c>
      <c r="H1299" s="1" t="str">
        <f t="shared" si="121"/>
        <v>Monday</v>
      </c>
      <c r="I1299" t="str">
        <f t="shared" si="122"/>
        <v>No</v>
      </c>
      <c r="J1299">
        <f t="shared" si="123"/>
        <v>0</v>
      </c>
      <c r="K1299">
        <f t="shared" si="124"/>
        <v>1</v>
      </c>
      <c r="L1299">
        <f t="shared" si="125"/>
        <v>71</v>
      </c>
    </row>
    <row r="1300" spans="1:12" x14ac:dyDescent="0.3">
      <c r="A1300">
        <v>204826054</v>
      </c>
      <c r="B1300" s="1">
        <v>44977</v>
      </c>
      <c r="C1300" s="1">
        <v>45077</v>
      </c>
      <c r="D1300" t="s">
        <v>7</v>
      </c>
      <c r="E1300">
        <v>39</v>
      </c>
      <c r="F1300" t="s">
        <v>6</v>
      </c>
      <c r="G1300">
        <f t="shared" si="120"/>
        <v>100</v>
      </c>
      <c r="H1300" s="1" t="str">
        <f t="shared" si="121"/>
        <v>Monday</v>
      </c>
      <c r="I1300" t="str">
        <f t="shared" si="122"/>
        <v>No</v>
      </c>
      <c r="J1300">
        <f t="shared" si="123"/>
        <v>0</v>
      </c>
      <c r="K1300">
        <f t="shared" si="124"/>
        <v>1</v>
      </c>
      <c r="L1300">
        <f t="shared" si="125"/>
        <v>100</v>
      </c>
    </row>
    <row r="1301" spans="1:12" ht="14.4" customHeight="1" x14ac:dyDescent="0.3">
      <c r="A1301">
        <v>145096572</v>
      </c>
      <c r="B1301" s="1">
        <v>44977</v>
      </c>
      <c r="C1301" s="1">
        <v>44999</v>
      </c>
      <c r="D1301" t="s">
        <v>7</v>
      </c>
      <c r="E1301">
        <v>39</v>
      </c>
      <c r="F1301" t="s">
        <v>6</v>
      </c>
      <c r="G1301">
        <f t="shared" si="120"/>
        <v>22</v>
      </c>
      <c r="H1301" s="1" t="str">
        <f t="shared" si="121"/>
        <v>Monday</v>
      </c>
      <c r="I1301" t="str">
        <f t="shared" si="122"/>
        <v>No</v>
      </c>
      <c r="J1301">
        <f t="shared" si="123"/>
        <v>0</v>
      </c>
      <c r="K1301">
        <f t="shared" si="124"/>
        <v>0</v>
      </c>
      <c r="L1301">
        <f t="shared" si="125"/>
        <v>22</v>
      </c>
    </row>
    <row r="1302" spans="1:12" ht="14.4" customHeight="1" x14ac:dyDescent="0.3">
      <c r="A1302">
        <v>158472404</v>
      </c>
      <c r="B1302" s="1">
        <v>44977</v>
      </c>
      <c r="C1302" s="1">
        <v>44995</v>
      </c>
      <c r="D1302" t="s">
        <v>7</v>
      </c>
      <c r="E1302">
        <v>39</v>
      </c>
      <c r="F1302" t="s">
        <v>6</v>
      </c>
      <c r="G1302">
        <f t="shared" si="120"/>
        <v>18</v>
      </c>
      <c r="H1302" s="1" t="str">
        <f t="shared" si="121"/>
        <v>Monday</v>
      </c>
      <c r="I1302" t="str">
        <f t="shared" si="122"/>
        <v>No</v>
      </c>
      <c r="J1302">
        <f t="shared" si="123"/>
        <v>0</v>
      </c>
      <c r="K1302">
        <f t="shared" si="124"/>
        <v>0</v>
      </c>
      <c r="L1302">
        <f t="shared" si="125"/>
        <v>18</v>
      </c>
    </row>
    <row r="1303" spans="1:12" x14ac:dyDescent="0.3">
      <c r="A1303">
        <v>204907118</v>
      </c>
      <c r="B1303" s="1">
        <v>44977</v>
      </c>
      <c r="C1303" s="1">
        <v>45026</v>
      </c>
      <c r="D1303" t="s">
        <v>7</v>
      </c>
      <c r="E1303">
        <v>39</v>
      </c>
      <c r="F1303" t="s">
        <v>6</v>
      </c>
      <c r="G1303">
        <f t="shared" si="120"/>
        <v>49</v>
      </c>
      <c r="H1303" s="1" t="str">
        <f t="shared" si="121"/>
        <v>Monday</v>
      </c>
      <c r="I1303" t="str">
        <f t="shared" si="122"/>
        <v>No</v>
      </c>
      <c r="J1303">
        <f t="shared" si="123"/>
        <v>0</v>
      </c>
      <c r="K1303">
        <f t="shared" si="124"/>
        <v>1</v>
      </c>
      <c r="L1303">
        <f t="shared" si="125"/>
        <v>49</v>
      </c>
    </row>
    <row r="1304" spans="1:12" ht="14.4" customHeight="1" x14ac:dyDescent="0.3">
      <c r="A1304">
        <v>204602410</v>
      </c>
      <c r="B1304" s="1">
        <v>44977</v>
      </c>
      <c r="C1304" s="1">
        <v>45005</v>
      </c>
      <c r="D1304" t="s">
        <v>7</v>
      </c>
      <c r="E1304">
        <v>39</v>
      </c>
      <c r="F1304" t="s">
        <v>6</v>
      </c>
      <c r="G1304">
        <f t="shared" si="120"/>
        <v>28</v>
      </c>
      <c r="H1304" s="1" t="str">
        <f t="shared" si="121"/>
        <v>Monday</v>
      </c>
      <c r="I1304" t="str">
        <f t="shared" si="122"/>
        <v>No</v>
      </c>
      <c r="J1304">
        <f t="shared" si="123"/>
        <v>0</v>
      </c>
      <c r="K1304">
        <f t="shared" si="124"/>
        <v>0</v>
      </c>
      <c r="L1304">
        <f t="shared" si="125"/>
        <v>28</v>
      </c>
    </row>
    <row r="1305" spans="1:12" x14ac:dyDescent="0.3">
      <c r="A1305">
        <v>204853460</v>
      </c>
      <c r="B1305" s="1">
        <v>44977</v>
      </c>
      <c r="C1305" s="1">
        <v>45126</v>
      </c>
      <c r="D1305" t="s">
        <v>7</v>
      </c>
      <c r="E1305">
        <v>39</v>
      </c>
      <c r="F1305" t="s">
        <v>6</v>
      </c>
      <c r="G1305">
        <f t="shared" si="120"/>
        <v>149</v>
      </c>
      <c r="H1305" s="1" t="str">
        <f t="shared" si="121"/>
        <v>Monday</v>
      </c>
      <c r="I1305" t="str">
        <f t="shared" si="122"/>
        <v>No</v>
      </c>
      <c r="J1305">
        <f t="shared" si="123"/>
        <v>0</v>
      </c>
      <c r="K1305">
        <f t="shared" si="124"/>
        <v>1</v>
      </c>
      <c r="L1305">
        <f t="shared" si="125"/>
        <v>149</v>
      </c>
    </row>
    <row r="1306" spans="1:12" x14ac:dyDescent="0.3">
      <c r="A1306">
        <v>194310997</v>
      </c>
      <c r="B1306" s="1">
        <v>44977</v>
      </c>
      <c r="C1306" s="1">
        <v>45124</v>
      </c>
      <c r="D1306" t="s">
        <v>7</v>
      </c>
      <c r="E1306">
        <v>39</v>
      </c>
      <c r="F1306" t="s">
        <v>6</v>
      </c>
      <c r="G1306">
        <f t="shared" si="120"/>
        <v>147</v>
      </c>
      <c r="H1306" s="1" t="str">
        <f t="shared" si="121"/>
        <v>Monday</v>
      </c>
      <c r="I1306" t="str">
        <f t="shared" si="122"/>
        <v>No</v>
      </c>
      <c r="J1306">
        <f t="shared" si="123"/>
        <v>0</v>
      </c>
      <c r="K1306">
        <f t="shared" si="124"/>
        <v>1</v>
      </c>
      <c r="L1306">
        <f t="shared" si="125"/>
        <v>147</v>
      </c>
    </row>
    <row r="1307" spans="1:12" ht="14.4" customHeight="1" x14ac:dyDescent="0.3">
      <c r="A1307">
        <v>204902258</v>
      </c>
      <c r="B1307" s="1">
        <v>44978</v>
      </c>
      <c r="D1307" t="s">
        <v>7</v>
      </c>
      <c r="E1307">
        <v>39</v>
      </c>
      <c r="F1307" t="s">
        <v>6</v>
      </c>
      <c r="G1307" t="str">
        <f t="shared" si="120"/>
        <v/>
      </c>
      <c r="H1307" s="1" t="str">
        <f t="shared" si="121"/>
        <v>Tuesday</v>
      </c>
      <c r="I1307" t="str">
        <f t="shared" si="122"/>
        <v>No</v>
      </c>
      <c r="J1307">
        <f t="shared" si="123"/>
        <v>0</v>
      </c>
      <c r="K1307">
        <f t="shared" si="124"/>
        <v>0</v>
      </c>
      <c r="L1307" t="str">
        <f t="shared" si="125"/>
        <v/>
      </c>
    </row>
    <row r="1308" spans="1:12" x14ac:dyDescent="0.3">
      <c r="A1308">
        <v>162865034</v>
      </c>
      <c r="B1308" s="1">
        <v>44978</v>
      </c>
      <c r="C1308" s="1">
        <v>45013</v>
      </c>
      <c r="D1308" t="s">
        <v>7</v>
      </c>
      <c r="E1308">
        <v>39</v>
      </c>
      <c r="F1308" t="s">
        <v>6</v>
      </c>
      <c r="G1308">
        <f t="shared" si="120"/>
        <v>35</v>
      </c>
      <c r="H1308" s="1" t="str">
        <f t="shared" si="121"/>
        <v>Tuesday</v>
      </c>
      <c r="I1308" t="str">
        <f t="shared" si="122"/>
        <v>No</v>
      </c>
      <c r="J1308">
        <f t="shared" si="123"/>
        <v>0</v>
      </c>
      <c r="K1308">
        <f t="shared" si="124"/>
        <v>1</v>
      </c>
      <c r="L1308">
        <f t="shared" si="125"/>
        <v>35</v>
      </c>
    </row>
    <row r="1309" spans="1:12" x14ac:dyDescent="0.3">
      <c r="A1309">
        <v>204467695</v>
      </c>
      <c r="B1309" s="1">
        <v>44978</v>
      </c>
      <c r="C1309" s="1">
        <v>45055</v>
      </c>
      <c r="D1309" t="s">
        <v>7</v>
      </c>
      <c r="E1309">
        <v>39</v>
      </c>
      <c r="F1309" t="s">
        <v>6</v>
      </c>
      <c r="G1309">
        <f t="shared" si="120"/>
        <v>77</v>
      </c>
      <c r="H1309" s="1" t="str">
        <f t="shared" si="121"/>
        <v>Tuesday</v>
      </c>
      <c r="I1309" t="str">
        <f t="shared" si="122"/>
        <v>No</v>
      </c>
      <c r="J1309">
        <f t="shared" si="123"/>
        <v>0</v>
      </c>
      <c r="K1309">
        <f t="shared" si="124"/>
        <v>1</v>
      </c>
      <c r="L1309">
        <f t="shared" si="125"/>
        <v>77</v>
      </c>
    </row>
    <row r="1310" spans="1:12" x14ac:dyDescent="0.3">
      <c r="A1310">
        <v>204774193</v>
      </c>
      <c r="B1310" s="1">
        <v>44978</v>
      </c>
      <c r="C1310" s="1">
        <v>45076</v>
      </c>
      <c r="D1310" t="s">
        <v>7</v>
      </c>
      <c r="E1310">
        <v>39</v>
      </c>
      <c r="F1310" t="s">
        <v>6</v>
      </c>
      <c r="G1310">
        <f t="shared" si="120"/>
        <v>98</v>
      </c>
      <c r="H1310" s="1" t="str">
        <f t="shared" si="121"/>
        <v>Tuesday</v>
      </c>
      <c r="I1310" t="str">
        <f t="shared" si="122"/>
        <v>No</v>
      </c>
      <c r="J1310">
        <f t="shared" si="123"/>
        <v>0</v>
      </c>
      <c r="K1310">
        <f t="shared" si="124"/>
        <v>1</v>
      </c>
      <c r="L1310">
        <f t="shared" si="125"/>
        <v>98</v>
      </c>
    </row>
    <row r="1311" spans="1:12" x14ac:dyDescent="0.3">
      <c r="A1311">
        <v>189046085</v>
      </c>
      <c r="B1311" s="1">
        <v>44978</v>
      </c>
      <c r="C1311" s="1">
        <v>45064</v>
      </c>
      <c r="D1311" t="s">
        <v>7</v>
      </c>
      <c r="E1311">
        <v>39</v>
      </c>
      <c r="F1311" t="s">
        <v>6</v>
      </c>
      <c r="G1311">
        <f t="shared" si="120"/>
        <v>86</v>
      </c>
      <c r="H1311" s="1" t="str">
        <f t="shared" si="121"/>
        <v>Tuesday</v>
      </c>
      <c r="I1311" t="str">
        <f t="shared" si="122"/>
        <v>No</v>
      </c>
      <c r="J1311">
        <f t="shared" si="123"/>
        <v>0</v>
      </c>
      <c r="K1311">
        <f t="shared" si="124"/>
        <v>1</v>
      </c>
      <c r="L1311">
        <f t="shared" si="125"/>
        <v>86</v>
      </c>
    </row>
    <row r="1312" spans="1:12" x14ac:dyDescent="0.3">
      <c r="A1312">
        <v>188082436</v>
      </c>
      <c r="B1312" s="1">
        <v>44978</v>
      </c>
      <c r="C1312" s="1">
        <v>45020</v>
      </c>
      <c r="D1312" t="s">
        <v>7</v>
      </c>
      <c r="E1312">
        <v>39</v>
      </c>
      <c r="F1312" t="s">
        <v>6</v>
      </c>
      <c r="G1312">
        <f t="shared" si="120"/>
        <v>42</v>
      </c>
      <c r="H1312" s="1" t="str">
        <f t="shared" si="121"/>
        <v>Tuesday</v>
      </c>
      <c r="I1312" t="str">
        <f t="shared" si="122"/>
        <v>No</v>
      </c>
      <c r="J1312">
        <f t="shared" si="123"/>
        <v>0</v>
      </c>
      <c r="K1312">
        <f t="shared" si="124"/>
        <v>1</v>
      </c>
      <c r="L1312">
        <f t="shared" si="125"/>
        <v>42</v>
      </c>
    </row>
    <row r="1313" spans="1:12" x14ac:dyDescent="0.3">
      <c r="A1313">
        <v>204947361</v>
      </c>
      <c r="B1313" s="1">
        <v>44978</v>
      </c>
      <c r="C1313" s="1">
        <v>45021</v>
      </c>
      <c r="D1313" t="s">
        <v>7</v>
      </c>
      <c r="E1313">
        <v>39</v>
      </c>
      <c r="F1313" t="s">
        <v>6</v>
      </c>
      <c r="G1313">
        <f t="shared" si="120"/>
        <v>43</v>
      </c>
      <c r="H1313" s="1" t="str">
        <f t="shared" si="121"/>
        <v>Tuesday</v>
      </c>
      <c r="I1313" t="str">
        <f t="shared" si="122"/>
        <v>No</v>
      </c>
      <c r="J1313">
        <f t="shared" si="123"/>
        <v>0</v>
      </c>
      <c r="K1313">
        <f t="shared" si="124"/>
        <v>1</v>
      </c>
      <c r="L1313">
        <f t="shared" si="125"/>
        <v>43</v>
      </c>
    </row>
    <row r="1314" spans="1:12" x14ac:dyDescent="0.3">
      <c r="A1314">
        <v>158852962</v>
      </c>
      <c r="B1314" s="1">
        <v>44978</v>
      </c>
      <c r="C1314" s="1">
        <v>45030</v>
      </c>
      <c r="D1314" t="s">
        <v>7</v>
      </c>
      <c r="E1314">
        <v>39</v>
      </c>
      <c r="F1314" t="s">
        <v>6</v>
      </c>
      <c r="G1314">
        <f t="shared" si="120"/>
        <v>52</v>
      </c>
      <c r="H1314" s="1" t="str">
        <f t="shared" si="121"/>
        <v>Tuesday</v>
      </c>
      <c r="I1314" t="str">
        <f t="shared" si="122"/>
        <v>No</v>
      </c>
      <c r="J1314">
        <f t="shared" si="123"/>
        <v>0</v>
      </c>
      <c r="K1314">
        <f t="shared" si="124"/>
        <v>1</v>
      </c>
      <c r="L1314">
        <f t="shared" si="125"/>
        <v>52</v>
      </c>
    </row>
    <row r="1315" spans="1:12" ht="14.4" customHeight="1" x14ac:dyDescent="0.3">
      <c r="A1315">
        <v>204742960</v>
      </c>
      <c r="B1315" s="1">
        <v>44978</v>
      </c>
      <c r="C1315" s="1">
        <v>44991</v>
      </c>
      <c r="D1315" t="s">
        <v>7</v>
      </c>
      <c r="E1315">
        <v>39</v>
      </c>
      <c r="F1315" t="s">
        <v>6</v>
      </c>
      <c r="G1315">
        <f t="shared" si="120"/>
        <v>13</v>
      </c>
      <c r="H1315" s="1" t="str">
        <f t="shared" si="121"/>
        <v>Tuesday</v>
      </c>
      <c r="I1315" t="str">
        <f t="shared" si="122"/>
        <v>No</v>
      </c>
      <c r="J1315">
        <f t="shared" si="123"/>
        <v>0</v>
      </c>
      <c r="K1315">
        <f t="shared" si="124"/>
        <v>0</v>
      </c>
      <c r="L1315">
        <f t="shared" si="125"/>
        <v>13</v>
      </c>
    </row>
    <row r="1316" spans="1:12" ht="14.4" customHeight="1" x14ac:dyDescent="0.3">
      <c r="A1316">
        <v>204726042</v>
      </c>
      <c r="B1316" s="1">
        <v>44978</v>
      </c>
      <c r="C1316" s="1">
        <v>45002</v>
      </c>
      <c r="D1316" t="s">
        <v>7</v>
      </c>
      <c r="E1316">
        <v>39</v>
      </c>
      <c r="F1316" t="s">
        <v>6</v>
      </c>
      <c r="G1316">
        <f t="shared" si="120"/>
        <v>24</v>
      </c>
      <c r="H1316" s="1" t="str">
        <f t="shared" si="121"/>
        <v>Tuesday</v>
      </c>
      <c r="I1316" t="str">
        <f t="shared" si="122"/>
        <v>No</v>
      </c>
      <c r="J1316">
        <f t="shared" si="123"/>
        <v>0</v>
      </c>
      <c r="K1316">
        <f t="shared" si="124"/>
        <v>0</v>
      </c>
      <c r="L1316">
        <f t="shared" si="125"/>
        <v>24</v>
      </c>
    </row>
    <row r="1317" spans="1:12" ht="14.4" customHeight="1" x14ac:dyDescent="0.3">
      <c r="A1317">
        <v>204997225</v>
      </c>
      <c r="B1317" s="1">
        <v>44979</v>
      </c>
      <c r="D1317" t="s">
        <v>7</v>
      </c>
      <c r="E1317">
        <v>39</v>
      </c>
      <c r="F1317" t="s">
        <v>6</v>
      </c>
      <c r="G1317" t="str">
        <f t="shared" si="120"/>
        <v/>
      </c>
      <c r="H1317" s="1" t="str">
        <f t="shared" si="121"/>
        <v>Wednesday</v>
      </c>
      <c r="I1317" t="str">
        <f t="shared" si="122"/>
        <v>No</v>
      </c>
      <c r="J1317">
        <f t="shared" si="123"/>
        <v>0</v>
      </c>
      <c r="K1317">
        <f t="shared" si="124"/>
        <v>0</v>
      </c>
      <c r="L1317" t="str">
        <f t="shared" si="125"/>
        <v/>
      </c>
    </row>
    <row r="1318" spans="1:12" ht="14.4" customHeight="1" x14ac:dyDescent="0.3">
      <c r="A1318">
        <v>126103612</v>
      </c>
      <c r="B1318" s="1">
        <v>44979</v>
      </c>
      <c r="D1318" t="s">
        <v>7</v>
      </c>
      <c r="E1318">
        <v>39</v>
      </c>
      <c r="F1318" t="s">
        <v>6</v>
      </c>
      <c r="G1318" t="str">
        <f t="shared" si="120"/>
        <v/>
      </c>
      <c r="H1318" s="1" t="str">
        <f t="shared" si="121"/>
        <v>Wednesday</v>
      </c>
      <c r="I1318" t="str">
        <f t="shared" si="122"/>
        <v>No</v>
      </c>
      <c r="J1318">
        <f t="shared" si="123"/>
        <v>0</v>
      </c>
      <c r="K1318">
        <f t="shared" si="124"/>
        <v>0</v>
      </c>
      <c r="L1318" t="str">
        <f t="shared" si="125"/>
        <v/>
      </c>
    </row>
    <row r="1319" spans="1:12" ht="14.4" customHeight="1" x14ac:dyDescent="0.3">
      <c r="A1319">
        <v>204934860</v>
      </c>
      <c r="B1319" s="1">
        <v>44979</v>
      </c>
      <c r="C1319" s="1">
        <v>44980</v>
      </c>
      <c r="D1319" t="s">
        <v>8</v>
      </c>
      <c r="E1319">
        <v>39</v>
      </c>
      <c r="F1319" t="s">
        <v>6</v>
      </c>
      <c r="G1319">
        <f t="shared" si="120"/>
        <v>1</v>
      </c>
      <c r="H1319" s="1" t="str">
        <f t="shared" si="121"/>
        <v>Wednesday</v>
      </c>
      <c r="I1319" t="str">
        <f t="shared" si="122"/>
        <v>No</v>
      </c>
      <c r="J1319">
        <f t="shared" si="123"/>
        <v>1</v>
      </c>
      <c r="K1319">
        <f t="shared" si="124"/>
        <v>0</v>
      </c>
      <c r="L1319">
        <f t="shared" si="125"/>
        <v>1</v>
      </c>
    </row>
    <row r="1320" spans="1:12" x14ac:dyDescent="0.3">
      <c r="A1320">
        <v>197086298</v>
      </c>
      <c r="B1320" s="1">
        <v>44979</v>
      </c>
      <c r="C1320" s="1">
        <v>45048</v>
      </c>
      <c r="D1320" t="s">
        <v>7</v>
      </c>
      <c r="E1320">
        <v>39</v>
      </c>
      <c r="F1320" t="s">
        <v>6</v>
      </c>
      <c r="G1320">
        <f t="shared" si="120"/>
        <v>69</v>
      </c>
      <c r="H1320" s="1" t="str">
        <f t="shared" si="121"/>
        <v>Wednesday</v>
      </c>
      <c r="I1320" t="str">
        <f t="shared" si="122"/>
        <v>No</v>
      </c>
      <c r="J1320">
        <f t="shared" si="123"/>
        <v>0</v>
      </c>
      <c r="K1320">
        <f t="shared" si="124"/>
        <v>1</v>
      </c>
      <c r="L1320">
        <f t="shared" si="125"/>
        <v>69</v>
      </c>
    </row>
    <row r="1321" spans="1:12" x14ac:dyDescent="0.3">
      <c r="A1321">
        <v>204732760</v>
      </c>
      <c r="B1321" s="1">
        <v>44979</v>
      </c>
      <c r="C1321" s="1">
        <v>45037</v>
      </c>
      <c r="D1321" t="s">
        <v>7</v>
      </c>
      <c r="E1321">
        <v>39</v>
      </c>
      <c r="F1321" t="s">
        <v>6</v>
      </c>
      <c r="G1321">
        <f t="shared" si="120"/>
        <v>58</v>
      </c>
      <c r="H1321" s="1" t="str">
        <f t="shared" si="121"/>
        <v>Wednesday</v>
      </c>
      <c r="I1321" t="str">
        <f t="shared" si="122"/>
        <v>No</v>
      </c>
      <c r="J1321">
        <f t="shared" si="123"/>
        <v>0</v>
      </c>
      <c r="K1321">
        <f t="shared" si="124"/>
        <v>1</v>
      </c>
      <c r="L1321">
        <f t="shared" si="125"/>
        <v>58</v>
      </c>
    </row>
    <row r="1322" spans="1:12" x14ac:dyDescent="0.3">
      <c r="A1322">
        <v>204985175</v>
      </c>
      <c r="B1322" s="1">
        <v>44979</v>
      </c>
      <c r="C1322" s="1">
        <v>45029</v>
      </c>
      <c r="D1322" t="s">
        <v>7</v>
      </c>
      <c r="E1322">
        <v>39</v>
      </c>
      <c r="F1322" t="s">
        <v>6</v>
      </c>
      <c r="G1322">
        <f t="shared" si="120"/>
        <v>50</v>
      </c>
      <c r="H1322" s="1" t="str">
        <f t="shared" si="121"/>
        <v>Wednesday</v>
      </c>
      <c r="I1322" t="str">
        <f t="shared" si="122"/>
        <v>No</v>
      </c>
      <c r="J1322">
        <f t="shared" si="123"/>
        <v>0</v>
      </c>
      <c r="K1322">
        <f t="shared" si="124"/>
        <v>1</v>
      </c>
      <c r="L1322">
        <f t="shared" si="125"/>
        <v>50</v>
      </c>
    </row>
    <row r="1323" spans="1:12" x14ac:dyDescent="0.3">
      <c r="A1323">
        <v>189387698</v>
      </c>
      <c r="B1323" s="1">
        <v>44979</v>
      </c>
      <c r="C1323" s="1">
        <v>45023</v>
      </c>
      <c r="D1323" t="s">
        <v>7</v>
      </c>
      <c r="E1323">
        <v>39</v>
      </c>
      <c r="F1323" t="s">
        <v>6</v>
      </c>
      <c r="G1323">
        <f t="shared" si="120"/>
        <v>44</v>
      </c>
      <c r="H1323" s="1" t="str">
        <f t="shared" si="121"/>
        <v>Wednesday</v>
      </c>
      <c r="I1323" t="str">
        <f t="shared" si="122"/>
        <v>No</v>
      </c>
      <c r="J1323">
        <f t="shared" si="123"/>
        <v>0</v>
      </c>
      <c r="K1323">
        <f t="shared" si="124"/>
        <v>1</v>
      </c>
      <c r="L1323">
        <f t="shared" si="125"/>
        <v>44</v>
      </c>
    </row>
    <row r="1324" spans="1:12" x14ac:dyDescent="0.3">
      <c r="A1324">
        <v>144160302</v>
      </c>
      <c r="B1324" s="1">
        <v>44979</v>
      </c>
      <c r="C1324" s="1">
        <v>45022</v>
      </c>
      <c r="D1324" t="s">
        <v>7</v>
      </c>
      <c r="E1324">
        <v>39</v>
      </c>
      <c r="F1324" t="s">
        <v>6</v>
      </c>
      <c r="G1324">
        <f t="shared" si="120"/>
        <v>43</v>
      </c>
      <c r="H1324" s="1" t="str">
        <f t="shared" si="121"/>
        <v>Wednesday</v>
      </c>
      <c r="I1324" t="str">
        <f t="shared" si="122"/>
        <v>No</v>
      </c>
      <c r="J1324">
        <f t="shared" si="123"/>
        <v>0</v>
      </c>
      <c r="K1324">
        <f t="shared" si="124"/>
        <v>1</v>
      </c>
      <c r="L1324">
        <f t="shared" si="125"/>
        <v>43</v>
      </c>
    </row>
    <row r="1325" spans="1:12" x14ac:dyDescent="0.3">
      <c r="A1325">
        <v>195774465</v>
      </c>
      <c r="B1325" s="1">
        <v>44979</v>
      </c>
      <c r="C1325" s="1">
        <v>45045</v>
      </c>
      <c r="D1325" t="s">
        <v>7</v>
      </c>
      <c r="E1325">
        <v>39</v>
      </c>
      <c r="F1325" t="s">
        <v>6</v>
      </c>
      <c r="G1325">
        <f t="shared" si="120"/>
        <v>66</v>
      </c>
      <c r="H1325" s="1" t="str">
        <f t="shared" si="121"/>
        <v>Wednesday</v>
      </c>
      <c r="I1325" t="str">
        <f t="shared" si="122"/>
        <v>No</v>
      </c>
      <c r="J1325">
        <f t="shared" si="123"/>
        <v>0</v>
      </c>
      <c r="K1325">
        <f t="shared" si="124"/>
        <v>1</v>
      </c>
      <c r="L1325">
        <f t="shared" si="125"/>
        <v>66</v>
      </c>
    </row>
    <row r="1326" spans="1:12" ht="14.4" customHeight="1" x14ac:dyDescent="0.3">
      <c r="A1326">
        <v>204890622</v>
      </c>
      <c r="B1326" s="1">
        <v>44979</v>
      </c>
      <c r="C1326" s="1">
        <v>45003</v>
      </c>
      <c r="D1326" t="s">
        <v>7</v>
      </c>
      <c r="E1326">
        <v>39</v>
      </c>
      <c r="F1326" t="s">
        <v>6</v>
      </c>
      <c r="G1326">
        <f t="shared" si="120"/>
        <v>24</v>
      </c>
      <c r="H1326" s="1" t="str">
        <f t="shared" si="121"/>
        <v>Wednesday</v>
      </c>
      <c r="I1326" t="str">
        <f t="shared" si="122"/>
        <v>No</v>
      </c>
      <c r="J1326">
        <f t="shared" si="123"/>
        <v>0</v>
      </c>
      <c r="K1326">
        <f t="shared" si="124"/>
        <v>0</v>
      </c>
      <c r="L1326">
        <f t="shared" si="125"/>
        <v>24</v>
      </c>
    </row>
    <row r="1327" spans="1:12" ht="14.4" customHeight="1" x14ac:dyDescent="0.3">
      <c r="A1327">
        <v>204206841</v>
      </c>
      <c r="B1327" s="1">
        <v>44979</v>
      </c>
      <c r="C1327" s="1">
        <v>44993</v>
      </c>
      <c r="D1327" t="s">
        <v>7</v>
      </c>
      <c r="E1327">
        <v>39</v>
      </c>
      <c r="F1327" t="s">
        <v>6</v>
      </c>
      <c r="G1327">
        <f t="shared" si="120"/>
        <v>14</v>
      </c>
      <c r="H1327" s="1" t="str">
        <f t="shared" si="121"/>
        <v>Wednesday</v>
      </c>
      <c r="I1327" t="str">
        <f t="shared" si="122"/>
        <v>No</v>
      </c>
      <c r="J1327">
        <f t="shared" si="123"/>
        <v>0</v>
      </c>
      <c r="K1327">
        <f t="shared" si="124"/>
        <v>0</v>
      </c>
      <c r="L1327">
        <f t="shared" si="125"/>
        <v>14</v>
      </c>
    </row>
    <row r="1328" spans="1:12" ht="14.4" customHeight="1" x14ac:dyDescent="0.3">
      <c r="A1328">
        <v>204955216</v>
      </c>
      <c r="B1328" s="1">
        <v>44979</v>
      </c>
      <c r="C1328" s="1">
        <v>45005</v>
      </c>
      <c r="D1328" t="s">
        <v>7</v>
      </c>
      <c r="E1328">
        <v>39</v>
      </c>
      <c r="F1328" t="s">
        <v>6</v>
      </c>
      <c r="G1328">
        <f t="shared" si="120"/>
        <v>26</v>
      </c>
      <c r="H1328" s="1" t="str">
        <f t="shared" si="121"/>
        <v>Wednesday</v>
      </c>
      <c r="I1328" t="str">
        <f t="shared" si="122"/>
        <v>No</v>
      </c>
      <c r="J1328">
        <f t="shared" si="123"/>
        <v>0</v>
      </c>
      <c r="K1328">
        <f t="shared" si="124"/>
        <v>0</v>
      </c>
      <c r="L1328">
        <f t="shared" si="125"/>
        <v>26</v>
      </c>
    </row>
    <row r="1329" spans="1:12" x14ac:dyDescent="0.3">
      <c r="A1329">
        <v>204992891</v>
      </c>
      <c r="B1329" s="1">
        <v>44979</v>
      </c>
      <c r="C1329" s="1">
        <v>45141</v>
      </c>
      <c r="D1329" t="s">
        <v>7</v>
      </c>
      <c r="E1329">
        <v>39</v>
      </c>
      <c r="F1329" t="s">
        <v>6</v>
      </c>
      <c r="G1329">
        <f t="shared" si="120"/>
        <v>162</v>
      </c>
      <c r="H1329" s="1" t="str">
        <f t="shared" si="121"/>
        <v>Wednesday</v>
      </c>
      <c r="I1329" t="str">
        <f t="shared" si="122"/>
        <v>No</v>
      </c>
      <c r="J1329">
        <f t="shared" si="123"/>
        <v>0</v>
      </c>
      <c r="K1329">
        <f t="shared" si="124"/>
        <v>1</v>
      </c>
      <c r="L1329">
        <f t="shared" si="125"/>
        <v>162</v>
      </c>
    </row>
    <row r="1330" spans="1:12" ht="14.4" customHeight="1" x14ac:dyDescent="0.3">
      <c r="A1330">
        <v>139152786</v>
      </c>
      <c r="B1330" s="1">
        <v>44980</v>
      </c>
      <c r="D1330" t="s">
        <v>7</v>
      </c>
      <c r="E1330">
        <v>39</v>
      </c>
      <c r="F1330" t="s">
        <v>6</v>
      </c>
      <c r="G1330" t="str">
        <f t="shared" si="120"/>
        <v/>
      </c>
      <c r="H1330" s="1" t="str">
        <f t="shared" si="121"/>
        <v>Thursday</v>
      </c>
      <c r="I1330" t="str">
        <f t="shared" si="122"/>
        <v>No</v>
      </c>
      <c r="J1330">
        <f t="shared" si="123"/>
        <v>0</v>
      </c>
      <c r="K1330">
        <f t="shared" si="124"/>
        <v>0</v>
      </c>
      <c r="L1330" t="str">
        <f t="shared" si="125"/>
        <v/>
      </c>
    </row>
    <row r="1331" spans="1:12" ht="14.4" customHeight="1" x14ac:dyDescent="0.3">
      <c r="A1331">
        <v>204753108</v>
      </c>
      <c r="B1331" s="1">
        <v>44980</v>
      </c>
      <c r="D1331" t="s">
        <v>7</v>
      </c>
      <c r="E1331">
        <v>39</v>
      </c>
      <c r="F1331" t="s">
        <v>6</v>
      </c>
      <c r="G1331" t="str">
        <f t="shared" si="120"/>
        <v/>
      </c>
      <c r="H1331" s="1" t="str">
        <f t="shared" si="121"/>
        <v>Thursday</v>
      </c>
      <c r="I1331" t="str">
        <f t="shared" si="122"/>
        <v>No</v>
      </c>
      <c r="J1331">
        <f t="shared" si="123"/>
        <v>0</v>
      </c>
      <c r="K1331">
        <f t="shared" si="124"/>
        <v>0</v>
      </c>
      <c r="L1331" t="str">
        <f t="shared" si="125"/>
        <v/>
      </c>
    </row>
    <row r="1332" spans="1:12" x14ac:dyDescent="0.3">
      <c r="A1332">
        <v>136703646</v>
      </c>
      <c r="B1332" s="1">
        <v>44980</v>
      </c>
      <c r="C1332" s="1">
        <v>45023</v>
      </c>
      <c r="D1332" t="s">
        <v>7</v>
      </c>
      <c r="E1332">
        <v>39</v>
      </c>
      <c r="F1332" t="s">
        <v>6</v>
      </c>
      <c r="G1332">
        <f t="shared" si="120"/>
        <v>43</v>
      </c>
      <c r="H1332" s="1" t="str">
        <f t="shared" si="121"/>
        <v>Thursday</v>
      </c>
      <c r="I1332" t="str">
        <f t="shared" si="122"/>
        <v>No</v>
      </c>
      <c r="J1332">
        <f t="shared" si="123"/>
        <v>0</v>
      </c>
      <c r="K1332">
        <f t="shared" si="124"/>
        <v>1</v>
      </c>
      <c r="L1332">
        <f t="shared" si="125"/>
        <v>43</v>
      </c>
    </row>
    <row r="1333" spans="1:12" x14ac:dyDescent="0.3">
      <c r="A1333">
        <v>204294672</v>
      </c>
      <c r="B1333" s="1">
        <v>44980</v>
      </c>
      <c r="C1333" s="1">
        <v>45077</v>
      </c>
      <c r="D1333" t="s">
        <v>7</v>
      </c>
      <c r="E1333">
        <v>39</v>
      </c>
      <c r="F1333" t="s">
        <v>6</v>
      </c>
      <c r="G1333">
        <f t="shared" si="120"/>
        <v>97</v>
      </c>
      <c r="H1333" s="1" t="str">
        <f t="shared" si="121"/>
        <v>Thursday</v>
      </c>
      <c r="I1333" t="str">
        <f t="shared" si="122"/>
        <v>No</v>
      </c>
      <c r="J1333">
        <f t="shared" si="123"/>
        <v>0</v>
      </c>
      <c r="K1333">
        <f t="shared" si="124"/>
        <v>1</v>
      </c>
      <c r="L1333">
        <f t="shared" si="125"/>
        <v>97</v>
      </c>
    </row>
    <row r="1334" spans="1:12" x14ac:dyDescent="0.3">
      <c r="A1334">
        <v>189505981</v>
      </c>
      <c r="B1334" s="1">
        <v>44980</v>
      </c>
      <c r="C1334" s="1">
        <v>45046</v>
      </c>
      <c r="D1334" t="s">
        <v>7</v>
      </c>
      <c r="E1334">
        <v>39</v>
      </c>
      <c r="F1334" t="s">
        <v>6</v>
      </c>
      <c r="G1334">
        <f t="shared" si="120"/>
        <v>66</v>
      </c>
      <c r="H1334" s="1" t="str">
        <f t="shared" si="121"/>
        <v>Thursday</v>
      </c>
      <c r="I1334" t="str">
        <f t="shared" si="122"/>
        <v>No</v>
      </c>
      <c r="J1334">
        <f t="shared" si="123"/>
        <v>0</v>
      </c>
      <c r="K1334">
        <f t="shared" si="124"/>
        <v>1</v>
      </c>
      <c r="L1334">
        <f t="shared" si="125"/>
        <v>66</v>
      </c>
    </row>
    <row r="1335" spans="1:12" x14ac:dyDescent="0.3">
      <c r="A1335">
        <v>115899168</v>
      </c>
      <c r="B1335" s="1">
        <v>44980</v>
      </c>
      <c r="C1335" s="1">
        <v>45019</v>
      </c>
      <c r="D1335" t="s">
        <v>7</v>
      </c>
      <c r="E1335">
        <v>39</v>
      </c>
      <c r="F1335" t="s">
        <v>6</v>
      </c>
      <c r="G1335">
        <f t="shared" si="120"/>
        <v>39</v>
      </c>
      <c r="H1335" s="1" t="str">
        <f t="shared" si="121"/>
        <v>Thursday</v>
      </c>
      <c r="I1335" t="str">
        <f t="shared" si="122"/>
        <v>No</v>
      </c>
      <c r="J1335">
        <f t="shared" si="123"/>
        <v>0</v>
      </c>
      <c r="K1335">
        <f t="shared" si="124"/>
        <v>1</v>
      </c>
      <c r="L1335">
        <f t="shared" si="125"/>
        <v>39</v>
      </c>
    </row>
    <row r="1336" spans="1:12" ht="14.4" customHeight="1" x14ac:dyDescent="0.3">
      <c r="A1336">
        <v>200117920</v>
      </c>
      <c r="B1336" s="1">
        <v>44980</v>
      </c>
      <c r="C1336" s="1">
        <v>45007</v>
      </c>
      <c r="D1336" t="s">
        <v>7</v>
      </c>
      <c r="E1336">
        <v>39</v>
      </c>
      <c r="F1336" t="s">
        <v>6</v>
      </c>
      <c r="G1336">
        <f t="shared" si="120"/>
        <v>27</v>
      </c>
      <c r="H1336" s="1" t="str">
        <f t="shared" si="121"/>
        <v>Thursday</v>
      </c>
      <c r="I1336" t="str">
        <f t="shared" si="122"/>
        <v>No</v>
      </c>
      <c r="J1336">
        <f t="shared" si="123"/>
        <v>0</v>
      </c>
      <c r="K1336">
        <f t="shared" si="124"/>
        <v>0</v>
      </c>
      <c r="L1336">
        <f t="shared" si="125"/>
        <v>27</v>
      </c>
    </row>
    <row r="1337" spans="1:12" x14ac:dyDescent="0.3">
      <c r="A1337">
        <v>205057455</v>
      </c>
      <c r="B1337" s="1">
        <v>44980</v>
      </c>
      <c r="C1337" s="1">
        <v>45011</v>
      </c>
      <c r="D1337" t="s">
        <v>7</v>
      </c>
      <c r="E1337">
        <v>39</v>
      </c>
      <c r="F1337" t="s">
        <v>6</v>
      </c>
      <c r="G1337">
        <f t="shared" si="120"/>
        <v>31</v>
      </c>
      <c r="H1337" s="1" t="str">
        <f t="shared" si="121"/>
        <v>Thursday</v>
      </c>
      <c r="I1337" t="str">
        <f t="shared" si="122"/>
        <v>No</v>
      </c>
      <c r="J1337">
        <f t="shared" si="123"/>
        <v>0</v>
      </c>
      <c r="K1337">
        <f t="shared" si="124"/>
        <v>1</v>
      </c>
      <c r="L1337">
        <f t="shared" si="125"/>
        <v>31</v>
      </c>
    </row>
    <row r="1338" spans="1:12" ht="14.4" customHeight="1" x14ac:dyDescent="0.3">
      <c r="A1338">
        <v>205028691</v>
      </c>
      <c r="B1338" s="1">
        <v>44980</v>
      </c>
      <c r="C1338" s="1">
        <v>44995</v>
      </c>
      <c r="D1338" t="s">
        <v>7</v>
      </c>
      <c r="E1338">
        <v>39</v>
      </c>
      <c r="F1338" t="s">
        <v>6</v>
      </c>
      <c r="G1338">
        <f t="shared" si="120"/>
        <v>15</v>
      </c>
      <c r="H1338" s="1" t="str">
        <f t="shared" si="121"/>
        <v>Thursday</v>
      </c>
      <c r="I1338" t="str">
        <f t="shared" si="122"/>
        <v>No</v>
      </c>
      <c r="J1338">
        <f t="shared" si="123"/>
        <v>0</v>
      </c>
      <c r="K1338">
        <f t="shared" si="124"/>
        <v>0</v>
      </c>
      <c r="L1338">
        <f t="shared" si="125"/>
        <v>15</v>
      </c>
    </row>
    <row r="1339" spans="1:12" ht="14.4" customHeight="1" x14ac:dyDescent="0.3">
      <c r="A1339">
        <v>204857146</v>
      </c>
      <c r="B1339" s="1">
        <v>44980</v>
      </c>
      <c r="C1339" s="1">
        <v>44995</v>
      </c>
      <c r="D1339" t="s">
        <v>7</v>
      </c>
      <c r="E1339">
        <v>39</v>
      </c>
      <c r="F1339" t="s">
        <v>6</v>
      </c>
      <c r="G1339">
        <f t="shared" si="120"/>
        <v>15</v>
      </c>
      <c r="H1339" s="1" t="str">
        <f t="shared" si="121"/>
        <v>Thursday</v>
      </c>
      <c r="I1339" t="str">
        <f t="shared" si="122"/>
        <v>No</v>
      </c>
      <c r="J1339">
        <f t="shared" si="123"/>
        <v>0</v>
      </c>
      <c r="K1339">
        <f t="shared" si="124"/>
        <v>0</v>
      </c>
      <c r="L1339">
        <f t="shared" si="125"/>
        <v>15</v>
      </c>
    </row>
    <row r="1340" spans="1:12" x14ac:dyDescent="0.3">
      <c r="A1340">
        <v>134131772</v>
      </c>
      <c r="B1340" s="1">
        <v>44981</v>
      </c>
      <c r="C1340" s="1">
        <v>45093</v>
      </c>
      <c r="D1340" t="s">
        <v>7</v>
      </c>
      <c r="E1340">
        <v>39</v>
      </c>
      <c r="F1340" t="s">
        <v>6</v>
      </c>
      <c r="G1340">
        <f t="shared" si="120"/>
        <v>112</v>
      </c>
      <c r="H1340" s="1" t="str">
        <f t="shared" si="121"/>
        <v>Friday</v>
      </c>
      <c r="I1340" t="str">
        <f t="shared" si="122"/>
        <v>No</v>
      </c>
      <c r="J1340">
        <f t="shared" si="123"/>
        <v>0</v>
      </c>
      <c r="K1340">
        <f t="shared" si="124"/>
        <v>1</v>
      </c>
      <c r="L1340">
        <f t="shared" si="125"/>
        <v>112</v>
      </c>
    </row>
    <row r="1341" spans="1:12" x14ac:dyDescent="0.3">
      <c r="A1341">
        <v>148942254</v>
      </c>
      <c r="B1341" s="1">
        <v>44981</v>
      </c>
      <c r="C1341" s="1">
        <v>45088</v>
      </c>
      <c r="D1341" t="s">
        <v>7</v>
      </c>
      <c r="E1341">
        <v>39</v>
      </c>
      <c r="F1341" t="s">
        <v>6</v>
      </c>
      <c r="G1341">
        <f t="shared" si="120"/>
        <v>107</v>
      </c>
      <c r="H1341" s="1" t="str">
        <f t="shared" si="121"/>
        <v>Friday</v>
      </c>
      <c r="I1341" t="str">
        <f t="shared" si="122"/>
        <v>No</v>
      </c>
      <c r="J1341">
        <f t="shared" si="123"/>
        <v>0</v>
      </c>
      <c r="K1341">
        <f t="shared" si="124"/>
        <v>1</v>
      </c>
      <c r="L1341">
        <f t="shared" si="125"/>
        <v>107</v>
      </c>
    </row>
    <row r="1342" spans="1:12" x14ac:dyDescent="0.3">
      <c r="A1342">
        <v>204512235</v>
      </c>
      <c r="B1342" s="1">
        <v>44981</v>
      </c>
      <c r="C1342" s="1">
        <v>45093</v>
      </c>
      <c r="D1342" t="s">
        <v>7</v>
      </c>
      <c r="E1342">
        <v>39</v>
      </c>
      <c r="F1342" t="s">
        <v>6</v>
      </c>
      <c r="G1342">
        <f t="shared" si="120"/>
        <v>112</v>
      </c>
      <c r="H1342" s="1" t="str">
        <f t="shared" si="121"/>
        <v>Friday</v>
      </c>
      <c r="I1342" t="str">
        <f t="shared" si="122"/>
        <v>No</v>
      </c>
      <c r="J1342">
        <f t="shared" si="123"/>
        <v>0</v>
      </c>
      <c r="K1342">
        <f t="shared" si="124"/>
        <v>1</v>
      </c>
      <c r="L1342">
        <f t="shared" si="125"/>
        <v>112</v>
      </c>
    </row>
    <row r="1343" spans="1:12" x14ac:dyDescent="0.3">
      <c r="A1343">
        <v>204977028</v>
      </c>
      <c r="B1343" s="1">
        <v>44981</v>
      </c>
      <c r="C1343" s="1">
        <v>45047</v>
      </c>
      <c r="D1343" t="s">
        <v>7</v>
      </c>
      <c r="E1343">
        <v>39</v>
      </c>
      <c r="F1343" t="s">
        <v>6</v>
      </c>
      <c r="G1343">
        <f t="shared" si="120"/>
        <v>66</v>
      </c>
      <c r="H1343" s="1" t="str">
        <f t="shared" si="121"/>
        <v>Friday</v>
      </c>
      <c r="I1343" t="str">
        <f t="shared" si="122"/>
        <v>No</v>
      </c>
      <c r="J1343">
        <f t="shared" si="123"/>
        <v>0</v>
      </c>
      <c r="K1343">
        <f t="shared" si="124"/>
        <v>1</v>
      </c>
      <c r="L1343">
        <f t="shared" si="125"/>
        <v>66</v>
      </c>
    </row>
    <row r="1344" spans="1:12" x14ac:dyDescent="0.3">
      <c r="A1344">
        <v>205122220</v>
      </c>
      <c r="B1344" s="1">
        <v>44981</v>
      </c>
      <c r="C1344" s="1">
        <v>45029</v>
      </c>
      <c r="D1344" t="s">
        <v>7</v>
      </c>
      <c r="E1344">
        <v>39</v>
      </c>
      <c r="F1344" t="s">
        <v>6</v>
      </c>
      <c r="G1344">
        <f t="shared" si="120"/>
        <v>48</v>
      </c>
      <c r="H1344" s="1" t="str">
        <f t="shared" si="121"/>
        <v>Friday</v>
      </c>
      <c r="I1344" t="str">
        <f t="shared" si="122"/>
        <v>No</v>
      </c>
      <c r="J1344">
        <f t="shared" si="123"/>
        <v>0</v>
      </c>
      <c r="K1344">
        <f t="shared" si="124"/>
        <v>1</v>
      </c>
      <c r="L1344">
        <f t="shared" si="125"/>
        <v>48</v>
      </c>
    </row>
    <row r="1345" spans="1:12" x14ac:dyDescent="0.3">
      <c r="A1345">
        <v>179578904</v>
      </c>
      <c r="B1345" s="1">
        <v>44981</v>
      </c>
      <c r="C1345" s="1">
        <v>45034</v>
      </c>
      <c r="D1345" t="s">
        <v>7</v>
      </c>
      <c r="E1345">
        <v>39</v>
      </c>
      <c r="F1345" t="s">
        <v>6</v>
      </c>
      <c r="G1345">
        <f t="shared" si="120"/>
        <v>53</v>
      </c>
      <c r="H1345" s="1" t="str">
        <f t="shared" si="121"/>
        <v>Friday</v>
      </c>
      <c r="I1345" t="str">
        <f t="shared" si="122"/>
        <v>No</v>
      </c>
      <c r="J1345">
        <f t="shared" si="123"/>
        <v>0</v>
      </c>
      <c r="K1345">
        <f t="shared" si="124"/>
        <v>1</v>
      </c>
      <c r="L1345">
        <f t="shared" si="125"/>
        <v>53</v>
      </c>
    </row>
    <row r="1346" spans="1:12" x14ac:dyDescent="0.3">
      <c r="A1346">
        <v>205120086</v>
      </c>
      <c r="B1346" s="1">
        <v>44981</v>
      </c>
      <c r="C1346" s="1">
        <v>45020</v>
      </c>
      <c r="D1346" t="s">
        <v>7</v>
      </c>
      <c r="E1346">
        <v>39</v>
      </c>
      <c r="F1346" t="s">
        <v>6</v>
      </c>
      <c r="G1346">
        <f t="shared" ref="G1346:G1409" si="126">IF(C1346="","",C1346-B1346)</f>
        <v>39</v>
      </c>
      <c r="H1346" s="1" t="str">
        <f t="shared" si="121"/>
        <v>Friday</v>
      </c>
      <c r="I1346" t="str">
        <f t="shared" si="122"/>
        <v>No</v>
      </c>
      <c r="J1346">
        <f t="shared" si="123"/>
        <v>0</v>
      </c>
      <c r="K1346">
        <f t="shared" si="124"/>
        <v>1</v>
      </c>
      <c r="L1346">
        <f t="shared" si="125"/>
        <v>39</v>
      </c>
    </row>
    <row r="1347" spans="1:12" x14ac:dyDescent="0.3">
      <c r="A1347">
        <v>158097854</v>
      </c>
      <c r="B1347" s="1">
        <v>44981</v>
      </c>
      <c r="C1347" s="1">
        <v>45015</v>
      </c>
      <c r="D1347" t="s">
        <v>7</v>
      </c>
      <c r="E1347">
        <v>39</v>
      </c>
      <c r="F1347" t="s">
        <v>6</v>
      </c>
      <c r="G1347">
        <f t="shared" si="126"/>
        <v>34</v>
      </c>
      <c r="H1347" s="1" t="str">
        <f t="shared" ref="H1347:H1410" si="127">TEXT(B1347,"dddd")</f>
        <v>Friday</v>
      </c>
      <c r="I1347" t="str">
        <f t="shared" ref="I1347:I1410" si="128">IF(B1347=C1347,"Yes","No")</f>
        <v>No</v>
      </c>
      <c r="J1347">
        <f t="shared" ref="J1347:J1410" si="129">IF(AND(C1347&lt;&gt;"",C1347-B1347&lt;=2),1,0)</f>
        <v>0</v>
      </c>
      <c r="K1347">
        <f t="shared" ref="K1347:K1410" si="130">IF(AND(C1347&lt;&gt;"",C1347-B1347&gt;30),1,0)</f>
        <v>1</v>
      </c>
      <c r="L1347">
        <f t="shared" ref="L1347:L1410" si="131">IF(C1347="","",C1347-B1347)</f>
        <v>34</v>
      </c>
    </row>
    <row r="1348" spans="1:12" ht="14.4" customHeight="1" x14ac:dyDescent="0.3">
      <c r="A1348">
        <v>204760569</v>
      </c>
      <c r="B1348" s="1">
        <v>44981</v>
      </c>
      <c r="C1348" s="1">
        <v>45000</v>
      </c>
      <c r="D1348" t="s">
        <v>7</v>
      </c>
      <c r="E1348">
        <v>39</v>
      </c>
      <c r="F1348" t="s">
        <v>6</v>
      </c>
      <c r="G1348">
        <f t="shared" si="126"/>
        <v>19</v>
      </c>
      <c r="H1348" s="1" t="str">
        <f t="shared" si="127"/>
        <v>Friday</v>
      </c>
      <c r="I1348" t="str">
        <f t="shared" si="128"/>
        <v>No</v>
      </c>
      <c r="J1348">
        <f t="shared" si="129"/>
        <v>0</v>
      </c>
      <c r="K1348">
        <f t="shared" si="130"/>
        <v>0</v>
      </c>
      <c r="L1348">
        <f t="shared" si="131"/>
        <v>19</v>
      </c>
    </row>
    <row r="1349" spans="1:12" x14ac:dyDescent="0.3">
      <c r="A1349">
        <v>204982432</v>
      </c>
      <c r="B1349" s="1">
        <v>44981</v>
      </c>
      <c r="C1349" s="1">
        <v>45016</v>
      </c>
      <c r="D1349" t="s">
        <v>7</v>
      </c>
      <c r="E1349">
        <v>39</v>
      </c>
      <c r="F1349" t="s">
        <v>6</v>
      </c>
      <c r="G1349">
        <f t="shared" si="126"/>
        <v>35</v>
      </c>
      <c r="H1349" s="1" t="str">
        <f t="shared" si="127"/>
        <v>Friday</v>
      </c>
      <c r="I1349" t="str">
        <f t="shared" si="128"/>
        <v>No</v>
      </c>
      <c r="J1349">
        <f t="shared" si="129"/>
        <v>0</v>
      </c>
      <c r="K1349">
        <f t="shared" si="130"/>
        <v>1</v>
      </c>
      <c r="L1349">
        <f t="shared" si="131"/>
        <v>35</v>
      </c>
    </row>
    <row r="1350" spans="1:12" x14ac:dyDescent="0.3">
      <c r="A1350">
        <v>158351648</v>
      </c>
      <c r="B1350" s="1">
        <v>44981</v>
      </c>
      <c r="C1350" s="1">
        <v>45170</v>
      </c>
      <c r="D1350" t="s">
        <v>7</v>
      </c>
      <c r="E1350">
        <v>39</v>
      </c>
      <c r="F1350" t="s">
        <v>6</v>
      </c>
      <c r="G1350">
        <f t="shared" si="126"/>
        <v>189</v>
      </c>
      <c r="H1350" s="1" t="str">
        <f t="shared" si="127"/>
        <v>Friday</v>
      </c>
      <c r="I1350" t="str">
        <f t="shared" si="128"/>
        <v>No</v>
      </c>
      <c r="J1350">
        <f t="shared" si="129"/>
        <v>0</v>
      </c>
      <c r="K1350">
        <f t="shared" si="130"/>
        <v>1</v>
      </c>
      <c r="L1350">
        <f t="shared" si="131"/>
        <v>189</v>
      </c>
    </row>
    <row r="1351" spans="1:12" ht="14.4" customHeight="1" x14ac:dyDescent="0.3">
      <c r="A1351">
        <v>195325206</v>
      </c>
      <c r="B1351" s="1">
        <v>44982</v>
      </c>
      <c r="D1351" t="s">
        <v>7</v>
      </c>
      <c r="E1351">
        <v>39</v>
      </c>
      <c r="F1351" t="s">
        <v>6</v>
      </c>
      <c r="G1351" t="str">
        <f t="shared" si="126"/>
        <v/>
      </c>
      <c r="H1351" s="1" t="str">
        <f t="shared" si="127"/>
        <v>Saturday</v>
      </c>
      <c r="I1351" t="str">
        <f t="shared" si="128"/>
        <v>No</v>
      </c>
      <c r="J1351">
        <f t="shared" si="129"/>
        <v>0</v>
      </c>
      <c r="K1351">
        <f t="shared" si="130"/>
        <v>0</v>
      </c>
      <c r="L1351" t="str">
        <f t="shared" si="131"/>
        <v/>
      </c>
    </row>
    <row r="1352" spans="1:12" ht="14.4" customHeight="1" x14ac:dyDescent="0.3">
      <c r="A1352">
        <v>205102955</v>
      </c>
      <c r="B1352" s="1">
        <v>44982</v>
      </c>
      <c r="D1352" t="s">
        <v>7</v>
      </c>
      <c r="E1352">
        <v>39</v>
      </c>
      <c r="F1352" t="s">
        <v>6</v>
      </c>
      <c r="G1352" t="str">
        <f t="shared" si="126"/>
        <v/>
      </c>
      <c r="H1352" s="1" t="str">
        <f t="shared" si="127"/>
        <v>Saturday</v>
      </c>
      <c r="I1352" t="str">
        <f t="shared" si="128"/>
        <v>No</v>
      </c>
      <c r="J1352">
        <f t="shared" si="129"/>
        <v>0</v>
      </c>
      <c r="K1352">
        <f t="shared" si="130"/>
        <v>0</v>
      </c>
      <c r="L1352" t="str">
        <f t="shared" si="131"/>
        <v/>
      </c>
    </row>
    <row r="1353" spans="1:12" x14ac:dyDescent="0.3">
      <c r="A1353">
        <v>188092110</v>
      </c>
      <c r="B1353" s="1">
        <v>44982</v>
      </c>
      <c r="C1353" s="1">
        <v>45025</v>
      </c>
      <c r="D1353" t="s">
        <v>7</v>
      </c>
      <c r="E1353">
        <v>39</v>
      </c>
      <c r="F1353" t="s">
        <v>6</v>
      </c>
      <c r="G1353">
        <f t="shared" si="126"/>
        <v>43</v>
      </c>
      <c r="H1353" s="1" t="str">
        <f t="shared" si="127"/>
        <v>Saturday</v>
      </c>
      <c r="I1353" t="str">
        <f t="shared" si="128"/>
        <v>No</v>
      </c>
      <c r="J1353">
        <f t="shared" si="129"/>
        <v>0</v>
      </c>
      <c r="K1353">
        <f t="shared" si="130"/>
        <v>1</v>
      </c>
      <c r="L1353">
        <f t="shared" si="131"/>
        <v>43</v>
      </c>
    </row>
    <row r="1354" spans="1:12" x14ac:dyDescent="0.3">
      <c r="A1354">
        <v>147615998</v>
      </c>
      <c r="B1354" s="1">
        <v>44982</v>
      </c>
      <c r="C1354" s="1">
        <v>45032</v>
      </c>
      <c r="D1354" t="s">
        <v>7</v>
      </c>
      <c r="E1354">
        <v>39</v>
      </c>
      <c r="F1354" t="s">
        <v>6</v>
      </c>
      <c r="G1354">
        <f t="shared" si="126"/>
        <v>50</v>
      </c>
      <c r="H1354" s="1" t="str">
        <f t="shared" si="127"/>
        <v>Saturday</v>
      </c>
      <c r="I1354" t="str">
        <f t="shared" si="128"/>
        <v>No</v>
      </c>
      <c r="J1354">
        <f t="shared" si="129"/>
        <v>0</v>
      </c>
      <c r="K1354">
        <f t="shared" si="130"/>
        <v>1</v>
      </c>
      <c r="L1354">
        <f t="shared" si="131"/>
        <v>50</v>
      </c>
    </row>
    <row r="1355" spans="1:12" x14ac:dyDescent="0.3">
      <c r="A1355">
        <v>164751472</v>
      </c>
      <c r="B1355" s="1">
        <v>44982</v>
      </c>
      <c r="C1355" s="1">
        <v>45032</v>
      </c>
      <c r="D1355" t="s">
        <v>7</v>
      </c>
      <c r="E1355">
        <v>39</v>
      </c>
      <c r="F1355" t="s">
        <v>6</v>
      </c>
      <c r="G1355">
        <f t="shared" si="126"/>
        <v>50</v>
      </c>
      <c r="H1355" s="1" t="str">
        <f t="shared" si="127"/>
        <v>Saturday</v>
      </c>
      <c r="I1355" t="str">
        <f t="shared" si="128"/>
        <v>No</v>
      </c>
      <c r="J1355">
        <f t="shared" si="129"/>
        <v>0</v>
      </c>
      <c r="K1355">
        <f t="shared" si="130"/>
        <v>1</v>
      </c>
      <c r="L1355">
        <f t="shared" si="131"/>
        <v>50</v>
      </c>
    </row>
    <row r="1356" spans="1:12" ht="14.4" customHeight="1" x14ac:dyDescent="0.3">
      <c r="A1356">
        <v>205215538</v>
      </c>
      <c r="B1356" s="1">
        <v>44982</v>
      </c>
      <c r="C1356" s="1">
        <v>44987</v>
      </c>
      <c r="D1356" t="s">
        <v>7</v>
      </c>
      <c r="E1356">
        <v>39</v>
      </c>
      <c r="F1356" t="s">
        <v>6</v>
      </c>
      <c r="G1356">
        <f t="shared" si="126"/>
        <v>5</v>
      </c>
      <c r="H1356" s="1" t="str">
        <f t="shared" si="127"/>
        <v>Saturday</v>
      </c>
      <c r="I1356" t="str">
        <f t="shared" si="128"/>
        <v>No</v>
      </c>
      <c r="J1356">
        <f t="shared" si="129"/>
        <v>0</v>
      </c>
      <c r="K1356">
        <f t="shared" si="130"/>
        <v>0</v>
      </c>
      <c r="L1356">
        <f t="shared" si="131"/>
        <v>5</v>
      </c>
    </row>
    <row r="1357" spans="1:12" x14ac:dyDescent="0.3">
      <c r="A1357">
        <v>162962849</v>
      </c>
      <c r="B1357" s="1">
        <v>44983</v>
      </c>
      <c r="C1357" s="1">
        <v>45051</v>
      </c>
      <c r="D1357" t="s">
        <v>7</v>
      </c>
      <c r="E1357">
        <v>39</v>
      </c>
      <c r="F1357" t="s">
        <v>6</v>
      </c>
      <c r="G1357">
        <f t="shared" si="126"/>
        <v>68</v>
      </c>
      <c r="H1357" s="1" t="str">
        <f t="shared" si="127"/>
        <v>Sunday</v>
      </c>
      <c r="I1357" t="str">
        <f t="shared" si="128"/>
        <v>No</v>
      </c>
      <c r="J1357">
        <f t="shared" si="129"/>
        <v>0</v>
      </c>
      <c r="K1357">
        <f t="shared" si="130"/>
        <v>1</v>
      </c>
      <c r="L1357">
        <f t="shared" si="131"/>
        <v>68</v>
      </c>
    </row>
    <row r="1358" spans="1:12" ht="14.4" customHeight="1" x14ac:dyDescent="0.3">
      <c r="A1358">
        <v>154229833</v>
      </c>
      <c r="B1358" s="1">
        <v>44983</v>
      </c>
      <c r="C1358" s="1">
        <v>44999</v>
      </c>
      <c r="D1358" t="s">
        <v>7</v>
      </c>
      <c r="E1358">
        <v>39</v>
      </c>
      <c r="F1358" t="s">
        <v>6</v>
      </c>
      <c r="G1358">
        <f t="shared" si="126"/>
        <v>16</v>
      </c>
      <c r="H1358" s="1" t="str">
        <f t="shared" si="127"/>
        <v>Sunday</v>
      </c>
      <c r="I1358" t="str">
        <f t="shared" si="128"/>
        <v>No</v>
      </c>
      <c r="J1358">
        <f t="shared" si="129"/>
        <v>0</v>
      </c>
      <c r="K1358">
        <f t="shared" si="130"/>
        <v>0</v>
      </c>
      <c r="L1358">
        <f t="shared" si="131"/>
        <v>16</v>
      </c>
    </row>
    <row r="1359" spans="1:12" ht="14.4" customHeight="1" x14ac:dyDescent="0.3">
      <c r="A1359">
        <v>205338718</v>
      </c>
      <c r="B1359" s="1">
        <v>44983</v>
      </c>
      <c r="C1359" s="1">
        <v>45012</v>
      </c>
      <c r="D1359" t="s">
        <v>7</v>
      </c>
      <c r="E1359">
        <v>39</v>
      </c>
      <c r="F1359" t="s">
        <v>6</v>
      </c>
      <c r="G1359">
        <f t="shared" si="126"/>
        <v>29</v>
      </c>
      <c r="H1359" s="1" t="str">
        <f t="shared" si="127"/>
        <v>Sunday</v>
      </c>
      <c r="I1359" t="str">
        <f t="shared" si="128"/>
        <v>No</v>
      </c>
      <c r="J1359">
        <f t="shared" si="129"/>
        <v>0</v>
      </c>
      <c r="K1359">
        <f t="shared" si="130"/>
        <v>0</v>
      </c>
      <c r="L1359">
        <f t="shared" si="131"/>
        <v>29</v>
      </c>
    </row>
    <row r="1360" spans="1:12" ht="14.4" customHeight="1" x14ac:dyDescent="0.3">
      <c r="A1360">
        <v>180798046</v>
      </c>
      <c r="B1360" s="1">
        <v>44984</v>
      </c>
      <c r="D1360" t="s">
        <v>7</v>
      </c>
      <c r="E1360">
        <v>39</v>
      </c>
      <c r="F1360" t="s">
        <v>6</v>
      </c>
      <c r="G1360" t="str">
        <f t="shared" si="126"/>
        <v/>
      </c>
      <c r="H1360" s="1" t="str">
        <f t="shared" si="127"/>
        <v>Monday</v>
      </c>
      <c r="I1360" t="str">
        <f t="shared" si="128"/>
        <v>No</v>
      </c>
      <c r="J1360">
        <f t="shared" si="129"/>
        <v>0</v>
      </c>
      <c r="K1360">
        <f t="shared" si="130"/>
        <v>0</v>
      </c>
      <c r="L1360" t="str">
        <f t="shared" si="131"/>
        <v/>
      </c>
    </row>
    <row r="1361" spans="1:12" ht="14.4" customHeight="1" x14ac:dyDescent="0.3">
      <c r="A1361">
        <v>135298992</v>
      </c>
      <c r="B1361" s="1">
        <v>44984</v>
      </c>
      <c r="C1361" s="1">
        <v>45004</v>
      </c>
      <c r="D1361" t="s">
        <v>7</v>
      </c>
      <c r="E1361">
        <v>39</v>
      </c>
      <c r="F1361" t="s">
        <v>6</v>
      </c>
      <c r="G1361">
        <f t="shared" si="126"/>
        <v>20</v>
      </c>
      <c r="H1361" s="1" t="str">
        <f t="shared" si="127"/>
        <v>Monday</v>
      </c>
      <c r="I1361" t="str">
        <f t="shared" si="128"/>
        <v>No</v>
      </c>
      <c r="J1361">
        <f t="shared" si="129"/>
        <v>0</v>
      </c>
      <c r="K1361">
        <f t="shared" si="130"/>
        <v>0</v>
      </c>
      <c r="L1361">
        <f t="shared" si="131"/>
        <v>20</v>
      </c>
    </row>
    <row r="1362" spans="1:12" x14ac:dyDescent="0.3">
      <c r="A1362">
        <v>153141802</v>
      </c>
      <c r="B1362" s="1">
        <v>44984</v>
      </c>
      <c r="C1362" s="1">
        <v>45080</v>
      </c>
      <c r="D1362" t="s">
        <v>7</v>
      </c>
      <c r="E1362">
        <v>39</v>
      </c>
      <c r="F1362" t="s">
        <v>6</v>
      </c>
      <c r="G1362">
        <f t="shared" si="126"/>
        <v>96</v>
      </c>
      <c r="H1362" s="1" t="str">
        <f t="shared" si="127"/>
        <v>Monday</v>
      </c>
      <c r="I1362" t="str">
        <f t="shared" si="128"/>
        <v>No</v>
      </c>
      <c r="J1362">
        <f t="shared" si="129"/>
        <v>0</v>
      </c>
      <c r="K1362">
        <f t="shared" si="130"/>
        <v>1</v>
      </c>
      <c r="L1362">
        <f t="shared" si="131"/>
        <v>96</v>
      </c>
    </row>
    <row r="1363" spans="1:12" x14ac:dyDescent="0.3">
      <c r="A1363">
        <v>189149014</v>
      </c>
      <c r="B1363" s="1">
        <v>44984</v>
      </c>
      <c r="C1363" s="1">
        <v>45097</v>
      </c>
      <c r="D1363" t="s">
        <v>7</v>
      </c>
      <c r="E1363">
        <v>39</v>
      </c>
      <c r="F1363" t="s">
        <v>6</v>
      </c>
      <c r="G1363">
        <f t="shared" si="126"/>
        <v>113</v>
      </c>
      <c r="H1363" s="1" t="str">
        <f t="shared" si="127"/>
        <v>Monday</v>
      </c>
      <c r="I1363" t="str">
        <f t="shared" si="128"/>
        <v>No</v>
      </c>
      <c r="J1363">
        <f t="shared" si="129"/>
        <v>0</v>
      </c>
      <c r="K1363">
        <f t="shared" si="130"/>
        <v>1</v>
      </c>
      <c r="L1363">
        <f t="shared" si="131"/>
        <v>113</v>
      </c>
    </row>
    <row r="1364" spans="1:12" x14ac:dyDescent="0.3">
      <c r="A1364">
        <v>180438277</v>
      </c>
      <c r="B1364" s="1">
        <v>44984</v>
      </c>
      <c r="C1364" s="1">
        <v>45065</v>
      </c>
      <c r="D1364" t="s">
        <v>7</v>
      </c>
      <c r="E1364">
        <v>39</v>
      </c>
      <c r="F1364" t="s">
        <v>6</v>
      </c>
      <c r="G1364">
        <f t="shared" si="126"/>
        <v>81</v>
      </c>
      <c r="H1364" s="1" t="str">
        <f t="shared" si="127"/>
        <v>Monday</v>
      </c>
      <c r="I1364" t="str">
        <f t="shared" si="128"/>
        <v>No</v>
      </c>
      <c r="J1364">
        <f t="shared" si="129"/>
        <v>0</v>
      </c>
      <c r="K1364">
        <f t="shared" si="130"/>
        <v>1</v>
      </c>
      <c r="L1364">
        <f t="shared" si="131"/>
        <v>81</v>
      </c>
    </row>
    <row r="1365" spans="1:12" x14ac:dyDescent="0.3">
      <c r="A1365">
        <v>205471532</v>
      </c>
      <c r="B1365" s="1">
        <v>44984</v>
      </c>
      <c r="C1365" s="1">
        <v>45043</v>
      </c>
      <c r="D1365" t="s">
        <v>7</v>
      </c>
      <c r="E1365">
        <v>39</v>
      </c>
      <c r="F1365" t="s">
        <v>6</v>
      </c>
      <c r="G1365">
        <f t="shared" si="126"/>
        <v>59</v>
      </c>
      <c r="H1365" s="1" t="str">
        <f t="shared" si="127"/>
        <v>Monday</v>
      </c>
      <c r="I1365" t="str">
        <f t="shared" si="128"/>
        <v>No</v>
      </c>
      <c r="J1365">
        <f t="shared" si="129"/>
        <v>0</v>
      </c>
      <c r="K1365">
        <f t="shared" si="130"/>
        <v>1</v>
      </c>
      <c r="L1365">
        <f t="shared" si="131"/>
        <v>59</v>
      </c>
    </row>
    <row r="1366" spans="1:12" x14ac:dyDescent="0.3">
      <c r="A1366">
        <v>188065488</v>
      </c>
      <c r="B1366" s="1">
        <v>44984</v>
      </c>
      <c r="C1366" s="1">
        <v>45041</v>
      </c>
      <c r="D1366" t="s">
        <v>7</v>
      </c>
      <c r="E1366">
        <v>39</v>
      </c>
      <c r="F1366" t="s">
        <v>6</v>
      </c>
      <c r="G1366">
        <f t="shared" si="126"/>
        <v>57</v>
      </c>
      <c r="H1366" s="1" t="str">
        <f t="shared" si="127"/>
        <v>Monday</v>
      </c>
      <c r="I1366" t="str">
        <f t="shared" si="128"/>
        <v>No</v>
      </c>
      <c r="J1366">
        <f t="shared" si="129"/>
        <v>0</v>
      </c>
      <c r="K1366">
        <f t="shared" si="130"/>
        <v>1</v>
      </c>
      <c r="L1366">
        <f t="shared" si="131"/>
        <v>57</v>
      </c>
    </row>
    <row r="1367" spans="1:12" x14ac:dyDescent="0.3">
      <c r="A1367">
        <v>205387672</v>
      </c>
      <c r="B1367" s="1">
        <v>44984</v>
      </c>
      <c r="C1367" s="1">
        <v>45025</v>
      </c>
      <c r="D1367" t="s">
        <v>7</v>
      </c>
      <c r="E1367">
        <v>39</v>
      </c>
      <c r="F1367" t="s">
        <v>6</v>
      </c>
      <c r="G1367">
        <f t="shared" si="126"/>
        <v>41</v>
      </c>
      <c r="H1367" s="1" t="str">
        <f t="shared" si="127"/>
        <v>Monday</v>
      </c>
      <c r="I1367" t="str">
        <f t="shared" si="128"/>
        <v>No</v>
      </c>
      <c r="J1367">
        <f t="shared" si="129"/>
        <v>0</v>
      </c>
      <c r="K1367">
        <f t="shared" si="130"/>
        <v>1</v>
      </c>
      <c r="L1367">
        <f t="shared" si="131"/>
        <v>41</v>
      </c>
    </row>
    <row r="1368" spans="1:12" ht="14.4" customHeight="1" x14ac:dyDescent="0.3">
      <c r="A1368">
        <v>196251908</v>
      </c>
      <c r="B1368" s="1">
        <v>44984</v>
      </c>
      <c r="C1368" s="1">
        <v>44984</v>
      </c>
      <c r="D1368" t="s">
        <v>7</v>
      </c>
      <c r="E1368">
        <v>39</v>
      </c>
      <c r="F1368" t="s">
        <v>6</v>
      </c>
      <c r="G1368">
        <f t="shared" si="126"/>
        <v>0</v>
      </c>
      <c r="H1368" s="1" t="str">
        <f t="shared" si="127"/>
        <v>Monday</v>
      </c>
      <c r="I1368" t="str">
        <f t="shared" si="128"/>
        <v>Yes</v>
      </c>
      <c r="J1368">
        <f t="shared" si="129"/>
        <v>1</v>
      </c>
      <c r="K1368">
        <f t="shared" si="130"/>
        <v>0</v>
      </c>
      <c r="L1368">
        <f t="shared" si="131"/>
        <v>0</v>
      </c>
    </row>
    <row r="1369" spans="1:12" x14ac:dyDescent="0.3">
      <c r="A1369">
        <v>157884031</v>
      </c>
      <c r="B1369" s="1">
        <v>44984</v>
      </c>
      <c r="C1369" s="1">
        <v>45015</v>
      </c>
      <c r="D1369" t="s">
        <v>7</v>
      </c>
      <c r="E1369">
        <v>39</v>
      </c>
      <c r="F1369" t="s">
        <v>6</v>
      </c>
      <c r="G1369">
        <f t="shared" si="126"/>
        <v>31</v>
      </c>
      <c r="H1369" s="1" t="str">
        <f t="shared" si="127"/>
        <v>Monday</v>
      </c>
      <c r="I1369" t="str">
        <f t="shared" si="128"/>
        <v>No</v>
      </c>
      <c r="J1369">
        <f t="shared" si="129"/>
        <v>0</v>
      </c>
      <c r="K1369">
        <f t="shared" si="130"/>
        <v>1</v>
      </c>
      <c r="L1369">
        <f t="shared" si="131"/>
        <v>31</v>
      </c>
    </row>
    <row r="1370" spans="1:12" ht="14.4" customHeight="1" x14ac:dyDescent="0.3">
      <c r="A1370">
        <v>204571386</v>
      </c>
      <c r="B1370" s="1">
        <v>44984</v>
      </c>
      <c r="C1370" s="1">
        <v>45008</v>
      </c>
      <c r="D1370" t="s">
        <v>7</v>
      </c>
      <c r="E1370">
        <v>39</v>
      </c>
      <c r="F1370" t="s">
        <v>6</v>
      </c>
      <c r="G1370">
        <f t="shared" si="126"/>
        <v>24</v>
      </c>
      <c r="H1370" s="1" t="str">
        <f t="shared" si="127"/>
        <v>Monday</v>
      </c>
      <c r="I1370" t="str">
        <f t="shared" si="128"/>
        <v>No</v>
      </c>
      <c r="J1370">
        <f t="shared" si="129"/>
        <v>0</v>
      </c>
      <c r="K1370">
        <f t="shared" si="130"/>
        <v>0</v>
      </c>
      <c r="L1370">
        <f t="shared" si="131"/>
        <v>24</v>
      </c>
    </row>
    <row r="1371" spans="1:12" x14ac:dyDescent="0.3">
      <c r="A1371">
        <v>162909529</v>
      </c>
      <c r="B1371" s="1">
        <v>44984</v>
      </c>
      <c r="C1371" s="1">
        <v>45139</v>
      </c>
      <c r="D1371" t="s">
        <v>7</v>
      </c>
      <c r="E1371">
        <v>39</v>
      </c>
      <c r="F1371" t="s">
        <v>6</v>
      </c>
      <c r="G1371">
        <f t="shared" si="126"/>
        <v>155</v>
      </c>
      <c r="H1371" s="1" t="str">
        <f t="shared" si="127"/>
        <v>Monday</v>
      </c>
      <c r="I1371" t="str">
        <f t="shared" si="128"/>
        <v>No</v>
      </c>
      <c r="J1371">
        <f t="shared" si="129"/>
        <v>0</v>
      </c>
      <c r="K1371">
        <f t="shared" si="130"/>
        <v>1</v>
      </c>
      <c r="L1371">
        <f t="shared" si="131"/>
        <v>155</v>
      </c>
    </row>
    <row r="1372" spans="1:12" ht="14.4" customHeight="1" x14ac:dyDescent="0.3">
      <c r="A1372">
        <v>152043244</v>
      </c>
      <c r="B1372" s="1">
        <v>44985</v>
      </c>
      <c r="D1372" t="s">
        <v>7</v>
      </c>
      <c r="E1372">
        <v>39</v>
      </c>
      <c r="F1372" t="s">
        <v>6</v>
      </c>
      <c r="G1372" t="str">
        <f t="shared" si="126"/>
        <v/>
      </c>
      <c r="H1372" s="1" t="str">
        <f t="shared" si="127"/>
        <v>Tuesday</v>
      </c>
      <c r="I1372" t="str">
        <f t="shared" si="128"/>
        <v>No</v>
      </c>
      <c r="J1372">
        <f t="shared" si="129"/>
        <v>0</v>
      </c>
      <c r="K1372">
        <f t="shared" si="130"/>
        <v>0</v>
      </c>
      <c r="L1372" t="str">
        <f t="shared" si="131"/>
        <v/>
      </c>
    </row>
    <row r="1373" spans="1:12" ht="14.4" customHeight="1" x14ac:dyDescent="0.3">
      <c r="A1373">
        <v>204567111</v>
      </c>
      <c r="B1373" s="1">
        <v>44985</v>
      </c>
      <c r="D1373" t="s">
        <v>7</v>
      </c>
      <c r="E1373">
        <v>39</v>
      </c>
      <c r="F1373" t="s">
        <v>6</v>
      </c>
      <c r="G1373" t="str">
        <f t="shared" si="126"/>
        <v/>
      </c>
      <c r="H1373" s="1" t="str">
        <f t="shared" si="127"/>
        <v>Tuesday</v>
      </c>
      <c r="I1373" t="str">
        <f t="shared" si="128"/>
        <v>No</v>
      </c>
      <c r="J1373">
        <f t="shared" si="129"/>
        <v>0</v>
      </c>
      <c r="K1373">
        <f t="shared" si="130"/>
        <v>0</v>
      </c>
      <c r="L1373" t="str">
        <f t="shared" si="131"/>
        <v/>
      </c>
    </row>
    <row r="1374" spans="1:12" ht="14.4" customHeight="1" x14ac:dyDescent="0.3">
      <c r="A1374">
        <v>205487880</v>
      </c>
      <c r="B1374" s="1">
        <v>44985</v>
      </c>
      <c r="D1374" t="s">
        <v>7</v>
      </c>
      <c r="E1374">
        <v>39</v>
      </c>
      <c r="F1374" t="s">
        <v>6</v>
      </c>
      <c r="G1374" t="str">
        <f t="shared" si="126"/>
        <v/>
      </c>
      <c r="H1374" s="1" t="str">
        <f t="shared" si="127"/>
        <v>Tuesday</v>
      </c>
      <c r="I1374" t="str">
        <f t="shared" si="128"/>
        <v>No</v>
      </c>
      <c r="J1374">
        <f t="shared" si="129"/>
        <v>0</v>
      </c>
      <c r="K1374">
        <f t="shared" si="130"/>
        <v>0</v>
      </c>
      <c r="L1374" t="str">
        <f t="shared" si="131"/>
        <v/>
      </c>
    </row>
    <row r="1375" spans="1:12" ht="14.4" customHeight="1" x14ac:dyDescent="0.3">
      <c r="A1375">
        <v>205489808</v>
      </c>
      <c r="B1375" s="1">
        <v>44985</v>
      </c>
      <c r="D1375" t="s">
        <v>7</v>
      </c>
      <c r="E1375">
        <v>39</v>
      </c>
      <c r="F1375" t="s">
        <v>6</v>
      </c>
      <c r="G1375" t="str">
        <f t="shared" si="126"/>
        <v/>
      </c>
      <c r="H1375" s="1" t="str">
        <f t="shared" si="127"/>
        <v>Tuesday</v>
      </c>
      <c r="I1375" t="str">
        <f t="shared" si="128"/>
        <v>No</v>
      </c>
      <c r="J1375">
        <f t="shared" si="129"/>
        <v>0</v>
      </c>
      <c r="K1375">
        <f t="shared" si="130"/>
        <v>0</v>
      </c>
      <c r="L1375" t="str">
        <f t="shared" si="131"/>
        <v/>
      </c>
    </row>
    <row r="1376" spans="1:12" ht="14.4" customHeight="1" x14ac:dyDescent="0.3">
      <c r="A1376">
        <v>125828506</v>
      </c>
      <c r="B1376" s="1">
        <v>44985</v>
      </c>
      <c r="C1376" s="1">
        <v>44986</v>
      </c>
      <c r="D1376" t="s">
        <v>7</v>
      </c>
      <c r="E1376">
        <v>39</v>
      </c>
      <c r="F1376" t="s">
        <v>6</v>
      </c>
      <c r="G1376">
        <f t="shared" si="126"/>
        <v>1</v>
      </c>
      <c r="H1376" s="1" t="str">
        <f t="shared" si="127"/>
        <v>Tuesday</v>
      </c>
      <c r="I1376" t="str">
        <f t="shared" si="128"/>
        <v>No</v>
      </c>
      <c r="J1376">
        <f t="shared" si="129"/>
        <v>1</v>
      </c>
      <c r="K1376">
        <f t="shared" si="130"/>
        <v>0</v>
      </c>
      <c r="L1376">
        <f t="shared" si="131"/>
        <v>1</v>
      </c>
    </row>
    <row r="1377" spans="1:12" ht="14.4" customHeight="1" x14ac:dyDescent="0.3">
      <c r="A1377">
        <v>154701159</v>
      </c>
      <c r="B1377" s="1">
        <v>44985</v>
      </c>
      <c r="C1377" s="1">
        <v>45012</v>
      </c>
      <c r="D1377" t="s">
        <v>7</v>
      </c>
      <c r="E1377">
        <v>39</v>
      </c>
      <c r="F1377" t="s">
        <v>6</v>
      </c>
      <c r="G1377">
        <f t="shared" si="126"/>
        <v>27</v>
      </c>
      <c r="H1377" s="1" t="str">
        <f t="shared" si="127"/>
        <v>Tuesday</v>
      </c>
      <c r="I1377" t="str">
        <f t="shared" si="128"/>
        <v>No</v>
      </c>
      <c r="J1377">
        <f t="shared" si="129"/>
        <v>0</v>
      </c>
      <c r="K1377">
        <f t="shared" si="130"/>
        <v>0</v>
      </c>
      <c r="L1377">
        <f t="shared" si="131"/>
        <v>27</v>
      </c>
    </row>
    <row r="1378" spans="1:12" x14ac:dyDescent="0.3">
      <c r="A1378">
        <v>204865394</v>
      </c>
      <c r="B1378" s="1">
        <v>44985</v>
      </c>
      <c r="C1378" s="1">
        <v>45020</v>
      </c>
      <c r="D1378" t="s">
        <v>7</v>
      </c>
      <c r="E1378">
        <v>39</v>
      </c>
      <c r="F1378" t="s">
        <v>6</v>
      </c>
      <c r="G1378">
        <f t="shared" si="126"/>
        <v>35</v>
      </c>
      <c r="H1378" s="1" t="str">
        <f t="shared" si="127"/>
        <v>Tuesday</v>
      </c>
      <c r="I1378" t="str">
        <f t="shared" si="128"/>
        <v>No</v>
      </c>
      <c r="J1378">
        <f t="shared" si="129"/>
        <v>0</v>
      </c>
      <c r="K1378">
        <f t="shared" si="130"/>
        <v>1</v>
      </c>
      <c r="L1378">
        <f t="shared" si="131"/>
        <v>35</v>
      </c>
    </row>
    <row r="1379" spans="1:12" x14ac:dyDescent="0.3">
      <c r="A1379">
        <v>205044276</v>
      </c>
      <c r="B1379" s="1">
        <v>44985</v>
      </c>
      <c r="C1379" s="1">
        <v>45043</v>
      </c>
      <c r="D1379" t="s">
        <v>7</v>
      </c>
      <c r="E1379">
        <v>39</v>
      </c>
      <c r="F1379" t="s">
        <v>6</v>
      </c>
      <c r="G1379">
        <f t="shared" si="126"/>
        <v>58</v>
      </c>
      <c r="H1379" s="1" t="str">
        <f t="shared" si="127"/>
        <v>Tuesday</v>
      </c>
      <c r="I1379" t="str">
        <f t="shared" si="128"/>
        <v>No</v>
      </c>
      <c r="J1379">
        <f t="shared" si="129"/>
        <v>0</v>
      </c>
      <c r="K1379">
        <f t="shared" si="130"/>
        <v>1</v>
      </c>
      <c r="L1379">
        <f t="shared" si="131"/>
        <v>58</v>
      </c>
    </row>
    <row r="1380" spans="1:12" x14ac:dyDescent="0.3">
      <c r="A1380">
        <v>194873337</v>
      </c>
      <c r="B1380" s="1">
        <v>44985</v>
      </c>
      <c r="C1380" s="1">
        <v>45034</v>
      </c>
      <c r="D1380" t="s">
        <v>7</v>
      </c>
      <c r="E1380">
        <v>39</v>
      </c>
      <c r="F1380" t="s">
        <v>6</v>
      </c>
      <c r="G1380">
        <f t="shared" si="126"/>
        <v>49</v>
      </c>
      <c r="H1380" s="1" t="str">
        <f t="shared" si="127"/>
        <v>Tuesday</v>
      </c>
      <c r="I1380" t="str">
        <f t="shared" si="128"/>
        <v>No</v>
      </c>
      <c r="J1380">
        <f t="shared" si="129"/>
        <v>0</v>
      </c>
      <c r="K1380">
        <f t="shared" si="130"/>
        <v>1</v>
      </c>
      <c r="L1380">
        <f t="shared" si="131"/>
        <v>49</v>
      </c>
    </row>
    <row r="1381" spans="1:12" ht="14.4" customHeight="1" x14ac:dyDescent="0.3">
      <c r="A1381">
        <v>205492734</v>
      </c>
      <c r="B1381" s="1">
        <v>44985</v>
      </c>
      <c r="C1381" s="1">
        <v>45007</v>
      </c>
      <c r="D1381" t="s">
        <v>7</v>
      </c>
      <c r="E1381">
        <v>39</v>
      </c>
      <c r="F1381" t="s">
        <v>6</v>
      </c>
      <c r="G1381">
        <f t="shared" si="126"/>
        <v>22</v>
      </c>
      <c r="H1381" s="1" t="str">
        <f t="shared" si="127"/>
        <v>Tuesday</v>
      </c>
      <c r="I1381" t="str">
        <f t="shared" si="128"/>
        <v>No</v>
      </c>
      <c r="J1381">
        <f t="shared" si="129"/>
        <v>0</v>
      </c>
      <c r="K1381">
        <f t="shared" si="130"/>
        <v>0</v>
      </c>
      <c r="L1381">
        <f t="shared" si="131"/>
        <v>22</v>
      </c>
    </row>
    <row r="1382" spans="1:12" ht="14.4" customHeight="1" x14ac:dyDescent="0.3">
      <c r="A1382">
        <v>205548739</v>
      </c>
      <c r="B1382" s="1">
        <v>44986</v>
      </c>
      <c r="D1382" t="s">
        <v>7</v>
      </c>
      <c r="E1382">
        <v>39</v>
      </c>
      <c r="F1382" t="s">
        <v>6</v>
      </c>
      <c r="G1382" t="str">
        <f t="shared" si="126"/>
        <v/>
      </c>
      <c r="H1382" s="1" t="str">
        <f t="shared" si="127"/>
        <v>Wednesday</v>
      </c>
      <c r="I1382" t="str">
        <f t="shared" si="128"/>
        <v>No</v>
      </c>
      <c r="J1382">
        <f t="shared" si="129"/>
        <v>0</v>
      </c>
      <c r="K1382">
        <f t="shared" si="130"/>
        <v>0</v>
      </c>
      <c r="L1382" t="str">
        <f t="shared" si="131"/>
        <v/>
      </c>
    </row>
    <row r="1383" spans="1:12" ht="14.4" customHeight="1" x14ac:dyDescent="0.3">
      <c r="A1383">
        <v>202228372</v>
      </c>
      <c r="B1383" s="1">
        <v>44986</v>
      </c>
      <c r="D1383" t="s">
        <v>7</v>
      </c>
      <c r="E1383">
        <v>39</v>
      </c>
      <c r="F1383" t="s">
        <v>6</v>
      </c>
      <c r="G1383" t="str">
        <f t="shared" si="126"/>
        <v/>
      </c>
      <c r="H1383" s="1" t="str">
        <f t="shared" si="127"/>
        <v>Wednesday</v>
      </c>
      <c r="I1383" t="str">
        <f t="shared" si="128"/>
        <v>No</v>
      </c>
      <c r="J1383">
        <f t="shared" si="129"/>
        <v>0</v>
      </c>
      <c r="K1383">
        <f t="shared" si="130"/>
        <v>0</v>
      </c>
      <c r="L1383" t="str">
        <f t="shared" si="131"/>
        <v/>
      </c>
    </row>
    <row r="1384" spans="1:12" ht="14.4" customHeight="1" x14ac:dyDescent="0.3">
      <c r="A1384">
        <v>205034931</v>
      </c>
      <c r="B1384" s="1">
        <v>44986</v>
      </c>
      <c r="C1384" s="1">
        <v>44987</v>
      </c>
      <c r="D1384" t="s">
        <v>8</v>
      </c>
      <c r="E1384">
        <v>39</v>
      </c>
      <c r="F1384" t="s">
        <v>6</v>
      </c>
      <c r="G1384">
        <f t="shared" si="126"/>
        <v>1</v>
      </c>
      <c r="H1384" s="1" t="str">
        <f t="shared" si="127"/>
        <v>Wednesday</v>
      </c>
      <c r="I1384" t="str">
        <f t="shared" si="128"/>
        <v>No</v>
      </c>
      <c r="J1384">
        <f t="shared" si="129"/>
        <v>1</v>
      </c>
      <c r="K1384">
        <f t="shared" si="130"/>
        <v>0</v>
      </c>
      <c r="L1384">
        <f t="shared" si="131"/>
        <v>1</v>
      </c>
    </row>
    <row r="1385" spans="1:12" x14ac:dyDescent="0.3">
      <c r="A1385">
        <v>205129178</v>
      </c>
      <c r="B1385" s="1">
        <v>44986</v>
      </c>
      <c r="C1385" s="1">
        <v>45098</v>
      </c>
      <c r="D1385" t="s">
        <v>7</v>
      </c>
      <c r="E1385">
        <v>39</v>
      </c>
      <c r="F1385" t="s">
        <v>6</v>
      </c>
      <c r="G1385">
        <f t="shared" si="126"/>
        <v>112</v>
      </c>
      <c r="H1385" s="1" t="str">
        <f t="shared" si="127"/>
        <v>Wednesday</v>
      </c>
      <c r="I1385" t="str">
        <f t="shared" si="128"/>
        <v>No</v>
      </c>
      <c r="J1385">
        <f t="shared" si="129"/>
        <v>0</v>
      </c>
      <c r="K1385">
        <f t="shared" si="130"/>
        <v>1</v>
      </c>
      <c r="L1385">
        <f t="shared" si="131"/>
        <v>112</v>
      </c>
    </row>
    <row r="1386" spans="1:12" x14ac:dyDescent="0.3">
      <c r="A1386">
        <v>160114911</v>
      </c>
      <c r="B1386" s="1">
        <v>44986</v>
      </c>
      <c r="C1386" s="1">
        <v>45024</v>
      </c>
      <c r="D1386" t="s">
        <v>7</v>
      </c>
      <c r="E1386">
        <v>39</v>
      </c>
      <c r="F1386" t="s">
        <v>6</v>
      </c>
      <c r="G1386">
        <f t="shared" si="126"/>
        <v>38</v>
      </c>
      <c r="H1386" s="1" t="str">
        <f t="shared" si="127"/>
        <v>Wednesday</v>
      </c>
      <c r="I1386" t="str">
        <f t="shared" si="128"/>
        <v>No</v>
      </c>
      <c r="J1386">
        <f t="shared" si="129"/>
        <v>0</v>
      </c>
      <c r="K1386">
        <f t="shared" si="130"/>
        <v>1</v>
      </c>
      <c r="L1386">
        <f t="shared" si="131"/>
        <v>38</v>
      </c>
    </row>
    <row r="1387" spans="1:12" x14ac:dyDescent="0.3">
      <c r="A1387">
        <v>168200039</v>
      </c>
      <c r="B1387" s="1">
        <v>44986</v>
      </c>
      <c r="C1387" s="1">
        <v>45024</v>
      </c>
      <c r="D1387" t="s">
        <v>7</v>
      </c>
      <c r="E1387">
        <v>39</v>
      </c>
      <c r="F1387" t="s">
        <v>6</v>
      </c>
      <c r="G1387">
        <f t="shared" si="126"/>
        <v>38</v>
      </c>
      <c r="H1387" s="1" t="str">
        <f t="shared" si="127"/>
        <v>Wednesday</v>
      </c>
      <c r="I1387" t="str">
        <f t="shared" si="128"/>
        <v>No</v>
      </c>
      <c r="J1387">
        <f t="shared" si="129"/>
        <v>0</v>
      </c>
      <c r="K1387">
        <f t="shared" si="130"/>
        <v>1</v>
      </c>
      <c r="L1387">
        <f t="shared" si="131"/>
        <v>38</v>
      </c>
    </row>
    <row r="1388" spans="1:12" x14ac:dyDescent="0.3">
      <c r="A1388">
        <v>190622411</v>
      </c>
      <c r="B1388" s="1">
        <v>44986</v>
      </c>
      <c r="C1388" s="1">
        <v>45020</v>
      </c>
      <c r="D1388" t="s">
        <v>7</v>
      </c>
      <c r="E1388">
        <v>39</v>
      </c>
      <c r="F1388" t="s">
        <v>6</v>
      </c>
      <c r="G1388">
        <f t="shared" si="126"/>
        <v>34</v>
      </c>
      <c r="H1388" s="1" t="str">
        <f t="shared" si="127"/>
        <v>Wednesday</v>
      </c>
      <c r="I1388" t="str">
        <f t="shared" si="128"/>
        <v>No</v>
      </c>
      <c r="J1388">
        <f t="shared" si="129"/>
        <v>0</v>
      </c>
      <c r="K1388">
        <f t="shared" si="130"/>
        <v>1</v>
      </c>
      <c r="L1388">
        <f t="shared" si="131"/>
        <v>34</v>
      </c>
    </row>
    <row r="1389" spans="1:12" x14ac:dyDescent="0.3">
      <c r="A1389">
        <v>204528713</v>
      </c>
      <c r="B1389" s="1">
        <v>44986</v>
      </c>
      <c r="C1389" s="1">
        <v>45034</v>
      </c>
      <c r="D1389" t="s">
        <v>7</v>
      </c>
      <c r="E1389">
        <v>39</v>
      </c>
      <c r="F1389" t="s">
        <v>6</v>
      </c>
      <c r="G1389">
        <f t="shared" si="126"/>
        <v>48</v>
      </c>
      <c r="H1389" s="1" t="str">
        <f t="shared" si="127"/>
        <v>Wednesday</v>
      </c>
      <c r="I1389" t="str">
        <f t="shared" si="128"/>
        <v>No</v>
      </c>
      <c r="J1389">
        <f t="shared" si="129"/>
        <v>0</v>
      </c>
      <c r="K1389">
        <f t="shared" si="130"/>
        <v>1</v>
      </c>
      <c r="L1389">
        <f t="shared" si="131"/>
        <v>48</v>
      </c>
    </row>
    <row r="1390" spans="1:12" x14ac:dyDescent="0.3">
      <c r="A1390">
        <v>205573796</v>
      </c>
      <c r="B1390" s="1">
        <v>44986</v>
      </c>
      <c r="C1390" s="1">
        <v>45029</v>
      </c>
      <c r="D1390" t="s">
        <v>7</v>
      </c>
      <c r="E1390">
        <v>39</v>
      </c>
      <c r="F1390" t="s">
        <v>6</v>
      </c>
      <c r="G1390">
        <f t="shared" si="126"/>
        <v>43</v>
      </c>
      <c r="H1390" s="1" t="str">
        <f t="shared" si="127"/>
        <v>Wednesday</v>
      </c>
      <c r="I1390" t="str">
        <f t="shared" si="128"/>
        <v>No</v>
      </c>
      <c r="J1390">
        <f t="shared" si="129"/>
        <v>0</v>
      </c>
      <c r="K1390">
        <f t="shared" si="130"/>
        <v>1</v>
      </c>
      <c r="L1390">
        <f t="shared" si="131"/>
        <v>43</v>
      </c>
    </row>
    <row r="1391" spans="1:12" ht="14.4" customHeight="1" x14ac:dyDescent="0.3">
      <c r="A1391">
        <v>182009986</v>
      </c>
      <c r="B1391" s="1">
        <v>44986</v>
      </c>
      <c r="C1391" s="1">
        <v>45014</v>
      </c>
      <c r="D1391" t="s">
        <v>7</v>
      </c>
      <c r="E1391">
        <v>39</v>
      </c>
      <c r="F1391" t="s">
        <v>6</v>
      </c>
      <c r="G1391">
        <f t="shared" si="126"/>
        <v>28</v>
      </c>
      <c r="H1391" s="1" t="str">
        <f t="shared" si="127"/>
        <v>Wednesday</v>
      </c>
      <c r="I1391" t="str">
        <f t="shared" si="128"/>
        <v>No</v>
      </c>
      <c r="J1391">
        <f t="shared" si="129"/>
        <v>0</v>
      </c>
      <c r="K1391">
        <f t="shared" si="130"/>
        <v>0</v>
      </c>
      <c r="L1391">
        <f t="shared" si="131"/>
        <v>28</v>
      </c>
    </row>
    <row r="1392" spans="1:12" ht="14.4" customHeight="1" x14ac:dyDescent="0.3">
      <c r="A1392">
        <v>205606022</v>
      </c>
      <c r="B1392" s="1">
        <v>44986</v>
      </c>
      <c r="C1392" s="1">
        <v>45006</v>
      </c>
      <c r="D1392" t="s">
        <v>7</v>
      </c>
      <c r="E1392">
        <v>39</v>
      </c>
      <c r="F1392" t="s">
        <v>6</v>
      </c>
      <c r="G1392">
        <f t="shared" si="126"/>
        <v>20</v>
      </c>
      <c r="H1392" s="1" t="str">
        <f t="shared" si="127"/>
        <v>Wednesday</v>
      </c>
      <c r="I1392" t="str">
        <f t="shared" si="128"/>
        <v>No</v>
      </c>
      <c r="J1392">
        <f t="shared" si="129"/>
        <v>0</v>
      </c>
      <c r="K1392">
        <f t="shared" si="130"/>
        <v>0</v>
      </c>
      <c r="L1392">
        <f t="shared" si="131"/>
        <v>20</v>
      </c>
    </row>
    <row r="1393" spans="1:12" ht="14.4" customHeight="1" x14ac:dyDescent="0.3">
      <c r="A1393">
        <v>205580089</v>
      </c>
      <c r="B1393" s="1">
        <v>44986</v>
      </c>
      <c r="C1393" s="1">
        <v>45015</v>
      </c>
      <c r="D1393" t="s">
        <v>7</v>
      </c>
      <c r="E1393">
        <v>39</v>
      </c>
      <c r="F1393" t="s">
        <v>6</v>
      </c>
      <c r="G1393">
        <f t="shared" si="126"/>
        <v>29</v>
      </c>
      <c r="H1393" s="1" t="str">
        <f t="shared" si="127"/>
        <v>Wednesday</v>
      </c>
      <c r="I1393" t="str">
        <f t="shared" si="128"/>
        <v>No</v>
      </c>
      <c r="J1393">
        <f t="shared" si="129"/>
        <v>0</v>
      </c>
      <c r="K1393">
        <f t="shared" si="130"/>
        <v>0</v>
      </c>
      <c r="L1393">
        <f t="shared" si="131"/>
        <v>29</v>
      </c>
    </row>
    <row r="1394" spans="1:12" ht="14.4" customHeight="1" x14ac:dyDescent="0.3">
      <c r="A1394">
        <v>192949504</v>
      </c>
      <c r="B1394" s="1">
        <v>44986</v>
      </c>
      <c r="C1394" s="1">
        <v>45013</v>
      </c>
      <c r="D1394" t="s">
        <v>7</v>
      </c>
      <c r="E1394">
        <v>39</v>
      </c>
      <c r="F1394" t="s">
        <v>6</v>
      </c>
      <c r="G1394">
        <f t="shared" si="126"/>
        <v>27</v>
      </c>
      <c r="H1394" s="1" t="str">
        <f t="shared" si="127"/>
        <v>Wednesday</v>
      </c>
      <c r="I1394" t="str">
        <f t="shared" si="128"/>
        <v>No</v>
      </c>
      <c r="J1394">
        <f t="shared" si="129"/>
        <v>0</v>
      </c>
      <c r="K1394">
        <f t="shared" si="130"/>
        <v>0</v>
      </c>
      <c r="L1394">
        <f t="shared" si="131"/>
        <v>27</v>
      </c>
    </row>
    <row r="1395" spans="1:12" ht="14.4" customHeight="1" x14ac:dyDescent="0.3">
      <c r="A1395">
        <v>205658636</v>
      </c>
      <c r="B1395" s="1">
        <v>44987</v>
      </c>
      <c r="D1395" t="s">
        <v>7</v>
      </c>
      <c r="E1395">
        <v>39</v>
      </c>
      <c r="F1395" t="s">
        <v>6</v>
      </c>
      <c r="G1395" t="str">
        <f t="shared" si="126"/>
        <v/>
      </c>
      <c r="H1395" s="1" t="str">
        <f t="shared" si="127"/>
        <v>Thursday</v>
      </c>
      <c r="I1395" t="str">
        <f t="shared" si="128"/>
        <v>No</v>
      </c>
      <c r="J1395">
        <f t="shared" si="129"/>
        <v>0</v>
      </c>
      <c r="K1395">
        <f t="shared" si="130"/>
        <v>0</v>
      </c>
      <c r="L1395" t="str">
        <f t="shared" si="131"/>
        <v/>
      </c>
    </row>
    <row r="1396" spans="1:12" x14ac:dyDescent="0.3">
      <c r="A1396">
        <v>205615727</v>
      </c>
      <c r="B1396" s="1">
        <v>44987</v>
      </c>
      <c r="C1396" s="1">
        <v>45103</v>
      </c>
      <c r="D1396" t="s">
        <v>7</v>
      </c>
      <c r="E1396">
        <v>39</v>
      </c>
      <c r="F1396" t="s">
        <v>6</v>
      </c>
      <c r="G1396">
        <f t="shared" si="126"/>
        <v>116</v>
      </c>
      <c r="H1396" s="1" t="str">
        <f t="shared" si="127"/>
        <v>Thursday</v>
      </c>
      <c r="I1396" t="str">
        <f t="shared" si="128"/>
        <v>No</v>
      </c>
      <c r="J1396">
        <f t="shared" si="129"/>
        <v>0</v>
      </c>
      <c r="K1396">
        <f t="shared" si="130"/>
        <v>1</v>
      </c>
      <c r="L1396">
        <f t="shared" si="131"/>
        <v>116</v>
      </c>
    </row>
    <row r="1397" spans="1:12" x14ac:dyDescent="0.3">
      <c r="A1397">
        <v>205448424</v>
      </c>
      <c r="B1397" s="1">
        <v>44987</v>
      </c>
      <c r="C1397" s="1">
        <v>45076</v>
      </c>
      <c r="D1397" t="s">
        <v>7</v>
      </c>
      <c r="E1397">
        <v>39</v>
      </c>
      <c r="F1397" t="s">
        <v>6</v>
      </c>
      <c r="G1397">
        <f t="shared" si="126"/>
        <v>89</v>
      </c>
      <c r="H1397" s="1" t="str">
        <f t="shared" si="127"/>
        <v>Thursday</v>
      </c>
      <c r="I1397" t="str">
        <f t="shared" si="128"/>
        <v>No</v>
      </c>
      <c r="J1397">
        <f t="shared" si="129"/>
        <v>0</v>
      </c>
      <c r="K1397">
        <f t="shared" si="130"/>
        <v>1</v>
      </c>
      <c r="L1397">
        <f t="shared" si="131"/>
        <v>89</v>
      </c>
    </row>
    <row r="1398" spans="1:12" x14ac:dyDescent="0.3">
      <c r="A1398">
        <v>196009696</v>
      </c>
      <c r="B1398" s="1">
        <v>44987</v>
      </c>
      <c r="C1398" s="1">
        <v>45048</v>
      </c>
      <c r="D1398" t="s">
        <v>7</v>
      </c>
      <c r="E1398">
        <v>39</v>
      </c>
      <c r="F1398" t="s">
        <v>6</v>
      </c>
      <c r="G1398">
        <f t="shared" si="126"/>
        <v>61</v>
      </c>
      <c r="H1398" s="1" t="str">
        <f t="shared" si="127"/>
        <v>Thursday</v>
      </c>
      <c r="I1398" t="str">
        <f t="shared" si="128"/>
        <v>No</v>
      </c>
      <c r="J1398">
        <f t="shared" si="129"/>
        <v>0</v>
      </c>
      <c r="K1398">
        <f t="shared" si="130"/>
        <v>1</v>
      </c>
      <c r="L1398">
        <f t="shared" si="131"/>
        <v>61</v>
      </c>
    </row>
    <row r="1399" spans="1:12" x14ac:dyDescent="0.3">
      <c r="A1399">
        <v>205026372</v>
      </c>
      <c r="B1399" s="1">
        <v>44987</v>
      </c>
      <c r="C1399" s="1">
        <v>45048</v>
      </c>
      <c r="D1399" t="s">
        <v>7</v>
      </c>
      <c r="E1399">
        <v>39</v>
      </c>
      <c r="F1399" t="s">
        <v>6</v>
      </c>
      <c r="G1399">
        <f t="shared" si="126"/>
        <v>61</v>
      </c>
      <c r="H1399" s="1" t="str">
        <f t="shared" si="127"/>
        <v>Thursday</v>
      </c>
      <c r="I1399" t="str">
        <f t="shared" si="128"/>
        <v>No</v>
      </c>
      <c r="J1399">
        <f t="shared" si="129"/>
        <v>0</v>
      </c>
      <c r="K1399">
        <f t="shared" si="130"/>
        <v>1</v>
      </c>
      <c r="L1399">
        <f t="shared" si="131"/>
        <v>61</v>
      </c>
    </row>
    <row r="1400" spans="1:12" x14ac:dyDescent="0.3">
      <c r="A1400">
        <v>167165752</v>
      </c>
      <c r="B1400" s="1">
        <v>44987</v>
      </c>
      <c r="C1400" s="1">
        <v>45076</v>
      </c>
      <c r="D1400" t="s">
        <v>7</v>
      </c>
      <c r="E1400">
        <v>39</v>
      </c>
      <c r="F1400" t="s">
        <v>6</v>
      </c>
      <c r="G1400">
        <f t="shared" si="126"/>
        <v>89</v>
      </c>
      <c r="H1400" s="1" t="str">
        <f t="shared" si="127"/>
        <v>Thursday</v>
      </c>
      <c r="I1400" t="str">
        <f t="shared" si="128"/>
        <v>No</v>
      </c>
      <c r="J1400">
        <f t="shared" si="129"/>
        <v>0</v>
      </c>
      <c r="K1400">
        <f t="shared" si="130"/>
        <v>1</v>
      </c>
      <c r="L1400">
        <f t="shared" si="131"/>
        <v>89</v>
      </c>
    </row>
    <row r="1401" spans="1:12" x14ac:dyDescent="0.3">
      <c r="A1401">
        <v>205664425</v>
      </c>
      <c r="B1401" s="1">
        <v>44987</v>
      </c>
      <c r="C1401" s="1">
        <v>45041</v>
      </c>
      <c r="D1401" t="s">
        <v>7</v>
      </c>
      <c r="E1401">
        <v>39</v>
      </c>
      <c r="F1401" t="s">
        <v>6</v>
      </c>
      <c r="G1401">
        <f t="shared" si="126"/>
        <v>54</v>
      </c>
      <c r="H1401" s="1" t="str">
        <f t="shared" si="127"/>
        <v>Thursday</v>
      </c>
      <c r="I1401" t="str">
        <f t="shared" si="128"/>
        <v>No</v>
      </c>
      <c r="J1401">
        <f t="shared" si="129"/>
        <v>0</v>
      </c>
      <c r="K1401">
        <f t="shared" si="130"/>
        <v>1</v>
      </c>
      <c r="L1401">
        <f t="shared" si="131"/>
        <v>54</v>
      </c>
    </row>
    <row r="1402" spans="1:12" x14ac:dyDescent="0.3">
      <c r="A1402">
        <v>199179611</v>
      </c>
      <c r="B1402" s="1">
        <v>44987</v>
      </c>
      <c r="C1402" s="1">
        <v>45039</v>
      </c>
      <c r="D1402" t="s">
        <v>7</v>
      </c>
      <c r="E1402">
        <v>39</v>
      </c>
      <c r="F1402" t="s">
        <v>6</v>
      </c>
      <c r="G1402">
        <f t="shared" si="126"/>
        <v>52</v>
      </c>
      <c r="H1402" s="1" t="str">
        <f t="shared" si="127"/>
        <v>Thursday</v>
      </c>
      <c r="I1402" t="str">
        <f t="shared" si="128"/>
        <v>No</v>
      </c>
      <c r="J1402">
        <f t="shared" si="129"/>
        <v>0</v>
      </c>
      <c r="K1402">
        <f t="shared" si="130"/>
        <v>1</v>
      </c>
      <c r="L1402">
        <f t="shared" si="131"/>
        <v>52</v>
      </c>
    </row>
    <row r="1403" spans="1:12" x14ac:dyDescent="0.3">
      <c r="A1403">
        <v>205660933</v>
      </c>
      <c r="B1403" s="1">
        <v>44987</v>
      </c>
      <c r="C1403" s="1">
        <v>45018</v>
      </c>
      <c r="D1403" t="s">
        <v>7</v>
      </c>
      <c r="E1403">
        <v>39</v>
      </c>
      <c r="F1403" t="s">
        <v>6</v>
      </c>
      <c r="G1403">
        <f t="shared" si="126"/>
        <v>31</v>
      </c>
      <c r="H1403" s="1" t="str">
        <f t="shared" si="127"/>
        <v>Thursday</v>
      </c>
      <c r="I1403" t="str">
        <f t="shared" si="128"/>
        <v>No</v>
      </c>
      <c r="J1403">
        <f t="shared" si="129"/>
        <v>0</v>
      </c>
      <c r="K1403">
        <f t="shared" si="130"/>
        <v>1</v>
      </c>
      <c r="L1403">
        <f t="shared" si="131"/>
        <v>31</v>
      </c>
    </row>
    <row r="1404" spans="1:12" x14ac:dyDescent="0.3">
      <c r="A1404">
        <v>205660195</v>
      </c>
      <c r="B1404" s="1">
        <v>44987</v>
      </c>
      <c r="C1404" s="1">
        <v>45019</v>
      </c>
      <c r="D1404" t="s">
        <v>7</v>
      </c>
      <c r="E1404">
        <v>39</v>
      </c>
      <c r="F1404" t="s">
        <v>6</v>
      </c>
      <c r="G1404">
        <f t="shared" si="126"/>
        <v>32</v>
      </c>
      <c r="H1404" s="1" t="str">
        <f t="shared" si="127"/>
        <v>Thursday</v>
      </c>
      <c r="I1404" t="str">
        <f t="shared" si="128"/>
        <v>No</v>
      </c>
      <c r="J1404">
        <f t="shared" si="129"/>
        <v>0</v>
      </c>
      <c r="K1404">
        <f t="shared" si="130"/>
        <v>1</v>
      </c>
      <c r="L1404">
        <f t="shared" si="131"/>
        <v>32</v>
      </c>
    </row>
    <row r="1405" spans="1:12" x14ac:dyDescent="0.3">
      <c r="A1405">
        <v>168598418</v>
      </c>
      <c r="B1405" s="1">
        <v>44987</v>
      </c>
      <c r="C1405" s="1">
        <v>45038</v>
      </c>
      <c r="D1405" t="s">
        <v>7</v>
      </c>
      <c r="E1405">
        <v>39</v>
      </c>
      <c r="F1405" t="s">
        <v>6</v>
      </c>
      <c r="G1405">
        <f t="shared" si="126"/>
        <v>51</v>
      </c>
      <c r="H1405" s="1" t="str">
        <f t="shared" si="127"/>
        <v>Thursday</v>
      </c>
      <c r="I1405" t="str">
        <f t="shared" si="128"/>
        <v>No</v>
      </c>
      <c r="J1405">
        <f t="shared" si="129"/>
        <v>0</v>
      </c>
      <c r="K1405">
        <f t="shared" si="130"/>
        <v>1</v>
      </c>
      <c r="L1405">
        <f t="shared" si="131"/>
        <v>51</v>
      </c>
    </row>
    <row r="1406" spans="1:12" x14ac:dyDescent="0.3">
      <c r="A1406">
        <v>161182367</v>
      </c>
      <c r="B1406" s="1">
        <v>44987</v>
      </c>
      <c r="C1406" s="1">
        <v>45025</v>
      </c>
      <c r="D1406" t="s">
        <v>7</v>
      </c>
      <c r="E1406">
        <v>39</v>
      </c>
      <c r="F1406" t="s">
        <v>6</v>
      </c>
      <c r="G1406">
        <f t="shared" si="126"/>
        <v>38</v>
      </c>
      <c r="H1406" s="1" t="str">
        <f t="shared" si="127"/>
        <v>Thursday</v>
      </c>
      <c r="I1406" t="str">
        <f t="shared" si="128"/>
        <v>No</v>
      </c>
      <c r="J1406">
        <f t="shared" si="129"/>
        <v>0</v>
      </c>
      <c r="K1406">
        <f t="shared" si="130"/>
        <v>1</v>
      </c>
      <c r="L1406">
        <f t="shared" si="131"/>
        <v>38</v>
      </c>
    </row>
    <row r="1407" spans="1:12" ht="14.4" customHeight="1" x14ac:dyDescent="0.3">
      <c r="A1407">
        <v>156943008</v>
      </c>
      <c r="B1407" s="1">
        <v>44987</v>
      </c>
      <c r="C1407" s="1">
        <v>44987</v>
      </c>
      <c r="D1407" t="s">
        <v>7</v>
      </c>
      <c r="E1407">
        <v>39</v>
      </c>
      <c r="F1407" t="s">
        <v>6</v>
      </c>
      <c r="G1407">
        <f t="shared" si="126"/>
        <v>0</v>
      </c>
      <c r="H1407" s="1" t="str">
        <f t="shared" si="127"/>
        <v>Thursday</v>
      </c>
      <c r="I1407" t="str">
        <f t="shared" si="128"/>
        <v>Yes</v>
      </c>
      <c r="J1407">
        <f t="shared" si="129"/>
        <v>1</v>
      </c>
      <c r="K1407">
        <f t="shared" si="130"/>
        <v>0</v>
      </c>
      <c r="L1407">
        <f t="shared" si="131"/>
        <v>0</v>
      </c>
    </row>
    <row r="1408" spans="1:12" ht="14.4" customHeight="1" x14ac:dyDescent="0.3">
      <c r="A1408">
        <v>190657026</v>
      </c>
      <c r="B1408" s="1">
        <v>44987</v>
      </c>
      <c r="C1408" s="1">
        <v>45014</v>
      </c>
      <c r="D1408" t="s">
        <v>7</v>
      </c>
      <c r="E1408">
        <v>39</v>
      </c>
      <c r="F1408" t="s">
        <v>6</v>
      </c>
      <c r="G1408">
        <f t="shared" si="126"/>
        <v>27</v>
      </c>
      <c r="H1408" s="1" t="str">
        <f t="shared" si="127"/>
        <v>Thursday</v>
      </c>
      <c r="I1408" t="str">
        <f t="shared" si="128"/>
        <v>No</v>
      </c>
      <c r="J1408">
        <f t="shared" si="129"/>
        <v>0</v>
      </c>
      <c r="K1408">
        <f t="shared" si="130"/>
        <v>0</v>
      </c>
      <c r="L1408">
        <f t="shared" si="131"/>
        <v>27</v>
      </c>
    </row>
    <row r="1409" spans="1:12" ht="14.4" customHeight="1" x14ac:dyDescent="0.3">
      <c r="A1409">
        <v>205700946</v>
      </c>
      <c r="B1409" s="1">
        <v>44988</v>
      </c>
      <c r="D1409" t="s">
        <v>7</v>
      </c>
      <c r="E1409">
        <v>39</v>
      </c>
      <c r="F1409" t="s">
        <v>6</v>
      </c>
      <c r="G1409" t="str">
        <f t="shared" si="126"/>
        <v/>
      </c>
      <c r="H1409" s="1" t="str">
        <f t="shared" si="127"/>
        <v>Friday</v>
      </c>
      <c r="I1409" t="str">
        <f t="shared" si="128"/>
        <v>No</v>
      </c>
      <c r="J1409">
        <f t="shared" si="129"/>
        <v>0</v>
      </c>
      <c r="K1409">
        <f t="shared" si="130"/>
        <v>0</v>
      </c>
      <c r="L1409" t="str">
        <f t="shared" si="131"/>
        <v/>
      </c>
    </row>
    <row r="1410" spans="1:12" ht="14.4" customHeight="1" x14ac:dyDescent="0.3">
      <c r="A1410">
        <v>165807144</v>
      </c>
      <c r="B1410" s="1">
        <v>44988</v>
      </c>
      <c r="D1410" t="s">
        <v>7</v>
      </c>
      <c r="E1410">
        <v>39</v>
      </c>
      <c r="F1410" t="s">
        <v>6</v>
      </c>
      <c r="G1410" t="str">
        <f t="shared" ref="G1410:G1473" si="132">IF(C1410="","",C1410-B1410)</f>
        <v/>
      </c>
      <c r="H1410" s="1" t="str">
        <f t="shared" si="127"/>
        <v>Friday</v>
      </c>
      <c r="I1410" t="str">
        <f t="shared" si="128"/>
        <v>No</v>
      </c>
      <c r="J1410">
        <f t="shared" si="129"/>
        <v>0</v>
      </c>
      <c r="K1410">
        <f t="shared" si="130"/>
        <v>0</v>
      </c>
      <c r="L1410" t="str">
        <f t="shared" si="131"/>
        <v/>
      </c>
    </row>
    <row r="1411" spans="1:12" ht="14.4" customHeight="1" x14ac:dyDescent="0.3">
      <c r="A1411">
        <v>125635419</v>
      </c>
      <c r="B1411" s="1">
        <v>44988</v>
      </c>
      <c r="C1411" s="1">
        <v>44989</v>
      </c>
      <c r="D1411" t="s">
        <v>7</v>
      </c>
      <c r="E1411">
        <v>39</v>
      </c>
      <c r="F1411" t="s">
        <v>6</v>
      </c>
      <c r="G1411">
        <f t="shared" si="132"/>
        <v>1</v>
      </c>
      <c r="H1411" s="1" t="str">
        <f t="shared" ref="H1411:H1474" si="133">TEXT(B1411,"dddd")</f>
        <v>Friday</v>
      </c>
      <c r="I1411" t="str">
        <f t="shared" ref="I1411:I1474" si="134">IF(B1411=C1411,"Yes","No")</f>
        <v>No</v>
      </c>
      <c r="J1411">
        <f t="shared" ref="J1411:J1474" si="135">IF(AND(C1411&lt;&gt;"",C1411-B1411&lt;=2),1,0)</f>
        <v>1</v>
      </c>
      <c r="K1411">
        <f t="shared" ref="K1411:K1474" si="136">IF(AND(C1411&lt;&gt;"",C1411-B1411&gt;30),1,0)</f>
        <v>0</v>
      </c>
      <c r="L1411">
        <f t="shared" ref="L1411:L1474" si="137">IF(C1411="","",C1411-B1411)</f>
        <v>1</v>
      </c>
    </row>
    <row r="1412" spans="1:12" ht="14.4" customHeight="1" x14ac:dyDescent="0.3">
      <c r="A1412">
        <v>205707486</v>
      </c>
      <c r="B1412" s="1">
        <v>44988</v>
      </c>
      <c r="C1412" s="1">
        <v>44989</v>
      </c>
      <c r="D1412" t="s">
        <v>8</v>
      </c>
      <c r="E1412">
        <v>39</v>
      </c>
      <c r="F1412" t="s">
        <v>6</v>
      </c>
      <c r="G1412">
        <f t="shared" si="132"/>
        <v>1</v>
      </c>
      <c r="H1412" s="1" t="str">
        <f t="shared" si="133"/>
        <v>Friday</v>
      </c>
      <c r="I1412" t="str">
        <f t="shared" si="134"/>
        <v>No</v>
      </c>
      <c r="J1412">
        <f t="shared" si="135"/>
        <v>1</v>
      </c>
      <c r="K1412">
        <f t="shared" si="136"/>
        <v>0</v>
      </c>
      <c r="L1412">
        <f t="shared" si="137"/>
        <v>1</v>
      </c>
    </row>
    <row r="1413" spans="1:12" ht="14.4" customHeight="1" x14ac:dyDescent="0.3">
      <c r="A1413">
        <v>150663700</v>
      </c>
      <c r="B1413" s="1">
        <v>44988</v>
      </c>
      <c r="C1413" s="1">
        <v>44989</v>
      </c>
      <c r="D1413" t="s">
        <v>8</v>
      </c>
      <c r="E1413">
        <v>39</v>
      </c>
      <c r="F1413" t="s">
        <v>6</v>
      </c>
      <c r="G1413">
        <f t="shared" si="132"/>
        <v>1</v>
      </c>
      <c r="H1413" s="1" t="str">
        <f t="shared" si="133"/>
        <v>Friday</v>
      </c>
      <c r="I1413" t="str">
        <f t="shared" si="134"/>
        <v>No</v>
      </c>
      <c r="J1413">
        <f t="shared" si="135"/>
        <v>1</v>
      </c>
      <c r="K1413">
        <f t="shared" si="136"/>
        <v>0</v>
      </c>
      <c r="L1413">
        <f t="shared" si="137"/>
        <v>1</v>
      </c>
    </row>
    <row r="1414" spans="1:12" x14ac:dyDescent="0.3">
      <c r="A1414">
        <v>149157588</v>
      </c>
      <c r="B1414" s="1">
        <v>44988</v>
      </c>
      <c r="C1414" s="1">
        <v>45056</v>
      </c>
      <c r="D1414" t="s">
        <v>7</v>
      </c>
      <c r="E1414">
        <v>39</v>
      </c>
      <c r="F1414" t="s">
        <v>6</v>
      </c>
      <c r="G1414">
        <f t="shared" si="132"/>
        <v>68</v>
      </c>
      <c r="H1414" s="1" t="str">
        <f t="shared" si="133"/>
        <v>Friday</v>
      </c>
      <c r="I1414" t="str">
        <f t="shared" si="134"/>
        <v>No</v>
      </c>
      <c r="J1414">
        <f t="shared" si="135"/>
        <v>0</v>
      </c>
      <c r="K1414">
        <f t="shared" si="136"/>
        <v>1</v>
      </c>
      <c r="L1414">
        <f t="shared" si="137"/>
        <v>68</v>
      </c>
    </row>
    <row r="1415" spans="1:12" x14ac:dyDescent="0.3">
      <c r="A1415">
        <v>205686881</v>
      </c>
      <c r="B1415" s="1">
        <v>44988</v>
      </c>
      <c r="C1415" s="1">
        <v>45087</v>
      </c>
      <c r="D1415" t="s">
        <v>7</v>
      </c>
      <c r="E1415">
        <v>39</v>
      </c>
      <c r="F1415" t="s">
        <v>6</v>
      </c>
      <c r="G1415">
        <f t="shared" si="132"/>
        <v>99</v>
      </c>
      <c r="H1415" s="1" t="str">
        <f t="shared" si="133"/>
        <v>Friday</v>
      </c>
      <c r="I1415" t="str">
        <f t="shared" si="134"/>
        <v>No</v>
      </c>
      <c r="J1415">
        <f t="shared" si="135"/>
        <v>0</v>
      </c>
      <c r="K1415">
        <f t="shared" si="136"/>
        <v>1</v>
      </c>
      <c r="L1415">
        <f t="shared" si="137"/>
        <v>99</v>
      </c>
    </row>
    <row r="1416" spans="1:12" x14ac:dyDescent="0.3">
      <c r="A1416">
        <v>138347540</v>
      </c>
      <c r="B1416" s="1">
        <v>44988</v>
      </c>
      <c r="C1416" s="1">
        <v>45054</v>
      </c>
      <c r="D1416" t="s">
        <v>7</v>
      </c>
      <c r="E1416">
        <v>39</v>
      </c>
      <c r="F1416" t="s">
        <v>6</v>
      </c>
      <c r="G1416">
        <f t="shared" si="132"/>
        <v>66</v>
      </c>
      <c r="H1416" s="1" t="str">
        <f t="shared" si="133"/>
        <v>Friday</v>
      </c>
      <c r="I1416" t="str">
        <f t="shared" si="134"/>
        <v>No</v>
      </c>
      <c r="J1416">
        <f t="shared" si="135"/>
        <v>0</v>
      </c>
      <c r="K1416">
        <f t="shared" si="136"/>
        <v>1</v>
      </c>
      <c r="L1416">
        <f t="shared" si="137"/>
        <v>66</v>
      </c>
    </row>
    <row r="1417" spans="1:12" x14ac:dyDescent="0.3">
      <c r="A1417">
        <v>154344817</v>
      </c>
      <c r="B1417" s="1">
        <v>44988</v>
      </c>
      <c r="C1417" s="1">
        <v>45036</v>
      </c>
      <c r="D1417" t="s">
        <v>7</v>
      </c>
      <c r="E1417">
        <v>39</v>
      </c>
      <c r="F1417" t="s">
        <v>6</v>
      </c>
      <c r="G1417">
        <f t="shared" si="132"/>
        <v>48</v>
      </c>
      <c r="H1417" s="1" t="str">
        <f t="shared" si="133"/>
        <v>Friday</v>
      </c>
      <c r="I1417" t="str">
        <f t="shared" si="134"/>
        <v>No</v>
      </c>
      <c r="J1417">
        <f t="shared" si="135"/>
        <v>0</v>
      </c>
      <c r="K1417">
        <f t="shared" si="136"/>
        <v>1</v>
      </c>
      <c r="L1417">
        <f t="shared" si="137"/>
        <v>48</v>
      </c>
    </row>
    <row r="1418" spans="1:12" x14ac:dyDescent="0.3">
      <c r="A1418">
        <v>205530810</v>
      </c>
      <c r="B1418" s="1">
        <v>44988</v>
      </c>
      <c r="C1418" s="1">
        <v>45026</v>
      </c>
      <c r="D1418" t="s">
        <v>7</v>
      </c>
      <c r="E1418">
        <v>39</v>
      </c>
      <c r="F1418" t="s">
        <v>6</v>
      </c>
      <c r="G1418">
        <f t="shared" si="132"/>
        <v>38</v>
      </c>
      <c r="H1418" s="1" t="str">
        <f t="shared" si="133"/>
        <v>Friday</v>
      </c>
      <c r="I1418" t="str">
        <f t="shared" si="134"/>
        <v>No</v>
      </c>
      <c r="J1418">
        <f t="shared" si="135"/>
        <v>0</v>
      </c>
      <c r="K1418">
        <f t="shared" si="136"/>
        <v>1</v>
      </c>
      <c r="L1418">
        <f t="shared" si="137"/>
        <v>38</v>
      </c>
    </row>
    <row r="1419" spans="1:12" ht="14.4" customHeight="1" x14ac:dyDescent="0.3">
      <c r="A1419">
        <v>205731473</v>
      </c>
      <c r="B1419" s="1">
        <v>44988</v>
      </c>
      <c r="C1419" s="1">
        <v>45004</v>
      </c>
      <c r="D1419" t="s">
        <v>7</v>
      </c>
      <c r="E1419">
        <v>39</v>
      </c>
      <c r="F1419" t="s">
        <v>6</v>
      </c>
      <c r="G1419">
        <f t="shared" si="132"/>
        <v>16</v>
      </c>
      <c r="H1419" s="1" t="str">
        <f t="shared" si="133"/>
        <v>Friday</v>
      </c>
      <c r="I1419" t="str">
        <f t="shared" si="134"/>
        <v>No</v>
      </c>
      <c r="J1419">
        <f t="shared" si="135"/>
        <v>0</v>
      </c>
      <c r="K1419">
        <f t="shared" si="136"/>
        <v>0</v>
      </c>
      <c r="L1419">
        <f t="shared" si="137"/>
        <v>16</v>
      </c>
    </row>
    <row r="1420" spans="1:12" ht="14.4" customHeight="1" x14ac:dyDescent="0.3">
      <c r="A1420">
        <v>205692510</v>
      </c>
      <c r="B1420" s="1">
        <v>44989</v>
      </c>
      <c r="D1420" t="s">
        <v>7</v>
      </c>
      <c r="E1420">
        <v>39</v>
      </c>
      <c r="F1420" t="s">
        <v>6</v>
      </c>
      <c r="G1420" t="str">
        <f t="shared" si="132"/>
        <v/>
      </c>
      <c r="H1420" s="1" t="str">
        <f t="shared" si="133"/>
        <v>Saturday</v>
      </c>
      <c r="I1420" t="str">
        <f t="shared" si="134"/>
        <v>No</v>
      </c>
      <c r="J1420">
        <f t="shared" si="135"/>
        <v>0</v>
      </c>
      <c r="K1420">
        <f t="shared" si="136"/>
        <v>0</v>
      </c>
      <c r="L1420" t="str">
        <f t="shared" si="137"/>
        <v/>
      </c>
    </row>
    <row r="1421" spans="1:12" x14ac:dyDescent="0.3">
      <c r="A1421">
        <v>191670525</v>
      </c>
      <c r="B1421" s="1">
        <v>44989</v>
      </c>
      <c r="C1421" s="1">
        <v>45058</v>
      </c>
      <c r="D1421" t="s">
        <v>7</v>
      </c>
      <c r="E1421">
        <v>39</v>
      </c>
      <c r="F1421" t="s">
        <v>6</v>
      </c>
      <c r="G1421">
        <f t="shared" si="132"/>
        <v>69</v>
      </c>
      <c r="H1421" s="1" t="str">
        <f t="shared" si="133"/>
        <v>Saturday</v>
      </c>
      <c r="I1421" t="str">
        <f t="shared" si="134"/>
        <v>No</v>
      </c>
      <c r="J1421">
        <f t="shared" si="135"/>
        <v>0</v>
      </c>
      <c r="K1421">
        <f t="shared" si="136"/>
        <v>1</v>
      </c>
      <c r="L1421">
        <f t="shared" si="137"/>
        <v>69</v>
      </c>
    </row>
    <row r="1422" spans="1:12" x14ac:dyDescent="0.3">
      <c r="A1422">
        <v>205492489</v>
      </c>
      <c r="B1422" s="1">
        <v>44989</v>
      </c>
      <c r="C1422" s="1">
        <v>45057</v>
      </c>
      <c r="D1422" t="s">
        <v>7</v>
      </c>
      <c r="E1422">
        <v>39</v>
      </c>
      <c r="F1422" t="s">
        <v>6</v>
      </c>
      <c r="G1422">
        <f t="shared" si="132"/>
        <v>68</v>
      </c>
      <c r="H1422" s="1" t="str">
        <f t="shared" si="133"/>
        <v>Saturday</v>
      </c>
      <c r="I1422" t="str">
        <f t="shared" si="134"/>
        <v>No</v>
      </c>
      <c r="J1422">
        <f t="shared" si="135"/>
        <v>0</v>
      </c>
      <c r="K1422">
        <f t="shared" si="136"/>
        <v>1</v>
      </c>
      <c r="L1422">
        <f t="shared" si="137"/>
        <v>68</v>
      </c>
    </row>
    <row r="1423" spans="1:12" x14ac:dyDescent="0.3">
      <c r="A1423">
        <v>205026942</v>
      </c>
      <c r="B1423" s="1">
        <v>44989</v>
      </c>
      <c r="C1423" s="1">
        <v>45050</v>
      </c>
      <c r="D1423" t="s">
        <v>7</v>
      </c>
      <c r="E1423">
        <v>39</v>
      </c>
      <c r="F1423" t="s">
        <v>6</v>
      </c>
      <c r="G1423">
        <f t="shared" si="132"/>
        <v>61</v>
      </c>
      <c r="H1423" s="1" t="str">
        <f t="shared" si="133"/>
        <v>Saturday</v>
      </c>
      <c r="I1423" t="str">
        <f t="shared" si="134"/>
        <v>No</v>
      </c>
      <c r="J1423">
        <f t="shared" si="135"/>
        <v>0</v>
      </c>
      <c r="K1423">
        <f t="shared" si="136"/>
        <v>1</v>
      </c>
      <c r="L1423">
        <f t="shared" si="137"/>
        <v>61</v>
      </c>
    </row>
    <row r="1424" spans="1:12" ht="14.4" customHeight="1" x14ac:dyDescent="0.3">
      <c r="A1424">
        <v>205768824</v>
      </c>
      <c r="B1424" s="1">
        <v>44989</v>
      </c>
      <c r="C1424" s="1">
        <v>45017</v>
      </c>
      <c r="D1424" t="s">
        <v>7</v>
      </c>
      <c r="E1424">
        <v>39</v>
      </c>
      <c r="F1424" t="s">
        <v>6</v>
      </c>
      <c r="G1424">
        <f t="shared" si="132"/>
        <v>28</v>
      </c>
      <c r="H1424" s="1" t="str">
        <f t="shared" si="133"/>
        <v>Saturday</v>
      </c>
      <c r="I1424" t="str">
        <f t="shared" si="134"/>
        <v>No</v>
      </c>
      <c r="J1424">
        <f t="shared" si="135"/>
        <v>0</v>
      </c>
      <c r="K1424">
        <f t="shared" si="136"/>
        <v>0</v>
      </c>
      <c r="L1424">
        <f t="shared" si="137"/>
        <v>28</v>
      </c>
    </row>
    <row r="1425" spans="1:12" ht="14.4" customHeight="1" x14ac:dyDescent="0.3">
      <c r="A1425">
        <v>160824884</v>
      </c>
      <c r="B1425" s="1">
        <v>44989</v>
      </c>
      <c r="C1425" s="1">
        <v>45018</v>
      </c>
      <c r="D1425" t="s">
        <v>7</v>
      </c>
      <c r="E1425">
        <v>39</v>
      </c>
      <c r="F1425" t="s">
        <v>6</v>
      </c>
      <c r="G1425">
        <f t="shared" si="132"/>
        <v>29</v>
      </c>
      <c r="H1425" s="1" t="str">
        <f t="shared" si="133"/>
        <v>Saturday</v>
      </c>
      <c r="I1425" t="str">
        <f t="shared" si="134"/>
        <v>No</v>
      </c>
      <c r="J1425">
        <f t="shared" si="135"/>
        <v>0</v>
      </c>
      <c r="K1425">
        <f t="shared" si="136"/>
        <v>0</v>
      </c>
      <c r="L1425">
        <f t="shared" si="137"/>
        <v>29</v>
      </c>
    </row>
    <row r="1426" spans="1:12" ht="14.4" customHeight="1" x14ac:dyDescent="0.3">
      <c r="A1426">
        <v>205742224</v>
      </c>
      <c r="B1426" s="1">
        <v>44989</v>
      </c>
      <c r="C1426" s="1">
        <v>44989</v>
      </c>
      <c r="D1426" t="s">
        <v>7</v>
      </c>
      <c r="E1426">
        <v>39</v>
      </c>
      <c r="F1426" t="s">
        <v>6</v>
      </c>
      <c r="G1426">
        <f t="shared" si="132"/>
        <v>0</v>
      </c>
      <c r="H1426" s="1" t="str">
        <f t="shared" si="133"/>
        <v>Saturday</v>
      </c>
      <c r="I1426" t="str">
        <f t="shared" si="134"/>
        <v>Yes</v>
      </c>
      <c r="J1426">
        <f t="shared" si="135"/>
        <v>1</v>
      </c>
      <c r="K1426">
        <f t="shared" si="136"/>
        <v>0</v>
      </c>
      <c r="L1426">
        <f t="shared" si="137"/>
        <v>0</v>
      </c>
    </row>
    <row r="1427" spans="1:12" x14ac:dyDescent="0.3">
      <c r="A1427">
        <v>205804144</v>
      </c>
      <c r="B1427" s="1">
        <v>44990</v>
      </c>
      <c r="C1427" s="1">
        <v>45103</v>
      </c>
      <c r="D1427" t="s">
        <v>7</v>
      </c>
      <c r="E1427">
        <v>39</v>
      </c>
      <c r="F1427" t="s">
        <v>6</v>
      </c>
      <c r="G1427">
        <f t="shared" si="132"/>
        <v>113</v>
      </c>
      <c r="H1427" s="1" t="str">
        <f t="shared" si="133"/>
        <v>Sunday</v>
      </c>
      <c r="I1427" t="str">
        <f t="shared" si="134"/>
        <v>No</v>
      </c>
      <c r="J1427">
        <f t="shared" si="135"/>
        <v>0</v>
      </c>
      <c r="K1427">
        <f t="shared" si="136"/>
        <v>1</v>
      </c>
      <c r="L1427">
        <f t="shared" si="137"/>
        <v>113</v>
      </c>
    </row>
    <row r="1428" spans="1:12" x14ac:dyDescent="0.3">
      <c r="A1428">
        <v>205703512</v>
      </c>
      <c r="B1428" s="1">
        <v>44990</v>
      </c>
      <c r="C1428" s="1">
        <v>45075</v>
      </c>
      <c r="D1428" t="s">
        <v>7</v>
      </c>
      <c r="E1428">
        <v>39</v>
      </c>
      <c r="F1428" t="s">
        <v>6</v>
      </c>
      <c r="G1428">
        <f t="shared" si="132"/>
        <v>85</v>
      </c>
      <c r="H1428" s="1" t="str">
        <f t="shared" si="133"/>
        <v>Sunday</v>
      </c>
      <c r="I1428" t="str">
        <f t="shared" si="134"/>
        <v>No</v>
      </c>
      <c r="J1428">
        <f t="shared" si="135"/>
        <v>0</v>
      </c>
      <c r="K1428">
        <f t="shared" si="136"/>
        <v>1</v>
      </c>
      <c r="L1428">
        <f t="shared" si="137"/>
        <v>85</v>
      </c>
    </row>
    <row r="1429" spans="1:12" ht="14.4" customHeight="1" x14ac:dyDescent="0.3">
      <c r="A1429">
        <v>131181843</v>
      </c>
      <c r="B1429" s="1">
        <v>44990</v>
      </c>
      <c r="C1429" s="1">
        <v>44990</v>
      </c>
      <c r="D1429" t="s">
        <v>7</v>
      </c>
      <c r="E1429">
        <v>39</v>
      </c>
      <c r="F1429" t="s">
        <v>6</v>
      </c>
      <c r="G1429">
        <f t="shared" si="132"/>
        <v>0</v>
      </c>
      <c r="H1429" s="1" t="str">
        <f t="shared" si="133"/>
        <v>Sunday</v>
      </c>
      <c r="I1429" t="str">
        <f t="shared" si="134"/>
        <v>Yes</v>
      </c>
      <c r="J1429">
        <f t="shared" si="135"/>
        <v>1</v>
      </c>
      <c r="K1429">
        <f t="shared" si="136"/>
        <v>0</v>
      </c>
      <c r="L1429">
        <f t="shared" si="137"/>
        <v>0</v>
      </c>
    </row>
    <row r="1430" spans="1:12" ht="14.4" customHeight="1" x14ac:dyDescent="0.3">
      <c r="A1430">
        <v>205713052</v>
      </c>
      <c r="B1430" s="1">
        <v>44991</v>
      </c>
      <c r="D1430" t="s">
        <v>7</v>
      </c>
      <c r="E1430">
        <v>39</v>
      </c>
      <c r="F1430" t="s">
        <v>6</v>
      </c>
      <c r="G1430" t="str">
        <f t="shared" si="132"/>
        <v/>
      </c>
      <c r="H1430" s="1" t="str">
        <f t="shared" si="133"/>
        <v>Monday</v>
      </c>
      <c r="I1430" t="str">
        <f t="shared" si="134"/>
        <v>No</v>
      </c>
      <c r="J1430">
        <f t="shared" si="135"/>
        <v>0</v>
      </c>
      <c r="K1430">
        <f t="shared" si="136"/>
        <v>0</v>
      </c>
      <c r="L1430" t="str">
        <f t="shared" si="137"/>
        <v/>
      </c>
    </row>
    <row r="1431" spans="1:12" ht="14.4" customHeight="1" x14ac:dyDescent="0.3">
      <c r="A1431">
        <v>138121122</v>
      </c>
      <c r="B1431" s="1">
        <v>44991</v>
      </c>
      <c r="D1431" t="s">
        <v>7</v>
      </c>
      <c r="E1431">
        <v>39</v>
      </c>
      <c r="F1431" t="s">
        <v>6</v>
      </c>
      <c r="G1431" t="str">
        <f t="shared" si="132"/>
        <v/>
      </c>
      <c r="H1431" s="1" t="str">
        <f t="shared" si="133"/>
        <v>Monday</v>
      </c>
      <c r="I1431" t="str">
        <f t="shared" si="134"/>
        <v>No</v>
      </c>
      <c r="J1431">
        <f t="shared" si="135"/>
        <v>0</v>
      </c>
      <c r="K1431">
        <f t="shared" si="136"/>
        <v>0</v>
      </c>
      <c r="L1431" t="str">
        <f t="shared" si="137"/>
        <v/>
      </c>
    </row>
    <row r="1432" spans="1:12" ht="14.4" customHeight="1" x14ac:dyDescent="0.3">
      <c r="A1432">
        <v>191326286</v>
      </c>
      <c r="B1432" s="1">
        <v>44991</v>
      </c>
      <c r="D1432" t="s">
        <v>7</v>
      </c>
      <c r="E1432">
        <v>39</v>
      </c>
      <c r="F1432" t="s">
        <v>6</v>
      </c>
      <c r="G1432" t="str">
        <f t="shared" si="132"/>
        <v/>
      </c>
      <c r="H1432" s="1" t="str">
        <f t="shared" si="133"/>
        <v>Monday</v>
      </c>
      <c r="I1432" t="str">
        <f t="shared" si="134"/>
        <v>No</v>
      </c>
      <c r="J1432">
        <f t="shared" si="135"/>
        <v>0</v>
      </c>
      <c r="K1432">
        <f t="shared" si="136"/>
        <v>0</v>
      </c>
      <c r="L1432" t="str">
        <f t="shared" si="137"/>
        <v/>
      </c>
    </row>
    <row r="1433" spans="1:12" ht="14.4" customHeight="1" x14ac:dyDescent="0.3">
      <c r="A1433">
        <v>178838732</v>
      </c>
      <c r="B1433" s="1">
        <v>44991</v>
      </c>
      <c r="D1433" t="s">
        <v>7</v>
      </c>
      <c r="E1433">
        <v>39</v>
      </c>
      <c r="F1433" t="s">
        <v>6</v>
      </c>
      <c r="G1433" t="str">
        <f t="shared" si="132"/>
        <v/>
      </c>
      <c r="H1433" s="1" t="str">
        <f t="shared" si="133"/>
        <v>Monday</v>
      </c>
      <c r="I1433" t="str">
        <f t="shared" si="134"/>
        <v>No</v>
      </c>
      <c r="J1433">
        <f t="shared" si="135"/>
        <v>0</v>
      </c>
      <c r="K1433">
        <f t="shared" si="136"/>
        <v>0</v>
      </c>
      <c r="L1433" t="str">
        <f t="shared" si="137"/>
        <v/>
      </c>
    </row>
    <row r="1434" spans="1:12" ht="14.4" customHeight="1" x14ac:dyDescent="0.3">
      <c r="A1434">
        <v>205871342</v>
      </c>
      <c r="B1434" s="1">
        <v>44991</v>
      </c>
      <c r="D1434" t="s">
        <v>7</v>
      </c>
      <c r="E1434">
        <v>39</v>
      </c>
      <c r="F1434" t="s">
        <v>6</v>
      </c>
      <c r="G1434" t="str">
        <f t="shared" si="132"/>
        <v/>
      </c>
      <c r="H1434" s="1" t="str">
        <f t="shared" si="133"/>
        <v>Monday</v>
      </c>
      <c r="I1434" t="str">
        <f t="shared" si="134"/>
        <v>No</v>
      </c>
      <c r="J1434">
        <f t="shared" si="135"/>
        <v>0</v>
      </c>
      <c r="K1434">
        <f t="shared" si="136"/>
        <v>0</v>
      </c>
      <c r="L1434" t="str">
        <f t="shared" si="137"/>
        <v/>
      </c>
    </row>
    <row r="1435" spans="1:12" x14ac:dyDescent="0.3">
      <c r="A1435">
        <v>202160641</v>
      </c>
      <c r="B1435" s="1">
        <v>44991</v>
      </c>
      <c r="C1435" s="1">
        <v>45082</v>
      </c>
      <c r="D1435" t="s">
        <v>7</v>
      </c>
      <c r="E1435">
        <v>39</v>
      </c>
      <c r="F1435" t="s">
        <v>6</v>
      </c>
      <c r="G1435">
        <f t="shared" si="132"/>
        <v>91</v>
      </c>
      <c r="H1435" s="1" t="str">
        <f t="shared" si="133"/>
        <v>Monday</v>
      </c>
      <c r="I1435" t="str">
        <f t="shared" si="134"/>
        <v>No</v>
      </c>
      <c r="J1435">
        <f t="shared" si="135"/>
        <v>0</v>
      </c>
      <c r="K1435">
        <f t="shared" si="136"/>
        <v>1</v>
      </c>
      <c r="L1435">
        <f t="shared" si="137"/>
        <v>91</v>
      </c>
    </row>
    <row r="1436" spans="1:12" x14ac:dyDescent="0.3">
      <c r="A1436">
        <v>205786362</v>
      </c>
      <c r="B1436" s="1">
        <v>44991</v>
      </c>
      <c r="C1436" s="1">
        <v>45072</v>
      </c>
      <c r="D1436" t="s">
        <v>7</v>
      </c>
      <c r="E1436">
        <v>39</v>
      </c>
      <c r="F1436" t="s">
        <v>6</v>
      </c>
      <c r="G1436">
        <f t="shared" si="132"/>
        <v>81</v>
      </c>
      <c r="H1436" s="1" t="str">
        <f t="shared" si="133"/>
        <v>Monday</v>
      </c>
      <c r="I1436" t="str">
        <f t="shared" si="134"/>
        <v>No</v>
      </c>
      <c r="J1436">
        <f t="shared" si="135"/>
        <v>0</v>
      </c>
      <c r="K1436">
        <f t="shared" si="136"/>
        <v>1</v>
      </c>
      <c r="L1436">
        <f t="shared" si="137"/>
        <v>81</v>
      </c>
    </row>
    <row r="1437" spans="1:12" x14ac:dyDescent="0.3">
      <c r="A1437">
        <v>159798906</v>
      </c>
      <c r="B1437" s="1">
        <v>44991</v>
      </c>
      <c r="C1437" s="1">
        <v>45023</v>
      </c>
      <c r="D1437" t="s">
        <v>7</v>
      </c>
      <c r="E1437">
        <v>39</v>
      </c>
      <c r="F1437" t="s">
        <v>6</v>
      </c>
      <c r="G1437">
        <f t="shared" si="132"/>
        <v>32</v>
      </c>
      <c r="H1437" s="1" t="str">
        <f t="shared" si="133"/>
        <v>Monday</v>
      </c>
      <c r="I1437" t="str">
        <f t="shared" si="134"/>
        <v>No</v>
      </c>
      <c r="J1437">
        <f t="shared" si="135"/>
        <v>0</v>
      </c>
      <c r="K1437">
        <f t="shared" si="136"/>
        <v>1</v>
      </c>
      <c r="L1437">
        <f t="shared" si="137"/>
        <v>32</v>
      </c>
    </row>
    <row r="1438" spans="1:12" ht="14.4" customHeight="1" x14ac:dyDescent="0.3">
      <c r="A1438">
        <v>166276152</v>
      </c>
      <c r="B1438" s="1">
        <v>44991</v>
      </c>
      <c r="C1438" s="1">
        <v>45019</v>
      </c>
      <c r="D1438" t="s">
        <v>7</v>
      </c>
      <c r="E1438">
        <v>39</v>
      </c>
      <c r="F1438" t="s">
        <v>6</v>
      </c>
      <c r="G1438">
        <f t="shared" si="132"/>
        <v>28</v>
      </c>
      <c r="H1438" s="1" t="str">
        <f t="shared" si="133"/>
        <v>Monday</v>
      </c>
      <c r="I1438" t="str">
        <f t="shared" si="134"/>
        <v>No</v>
      </c>
      <c r="J1438">
        <f t="shared" si="135"/>
        <v>0</v>
      </c>
      <c r="K1438">
        <f t="shared" si="136"/>
        <v>0</v>
      </c>
      <c r="L1438">
        <f t="shared" si="137"/>
        <v>28</v>
      </c>
    </row>
    <row r="1439" spans="1:12" ht="14.4" customHeight="1" x14ac:dyDescent="0.3">
      <c r="A1439">
        <v>156353738</v>
      </c>
      <c r="B1439" s="1">
        <v>44991</v>
      </c>
      <c r="C1439" s="1">
        <v>44998</v>
      </c>
      <c r="D1439" t="s">
        <v>7</v>
      </c>
      <c r="E1439">
        <v>39</v>
      </c>
      <c r="F1439" t="s">
        <v>6</v>
      </c>
      <c r="G1439">
        <f t="shared" si="132"/>
        <v>7</v>
      </c>
      <c r="H1439" s="1" t="str">
        <f t="shared" si="133"/>
        <v>Monday</v>
      </c>
      <c r="I1439" t="str">
        <f t="shared" si="134"/>
        <v>No</v>
      </c>
      <c r="J1439">
        <f t="shared" si="135"/>
        <v>0</v>
      </c>
      <c r="K1439">
        <f t="shared" si="136"/>
        <v>0</v>
      </c>
      <c r="L1439">
        <f t="shared" si="137"/>
        <v>7</v>
      </c>
    </row>
    <row r="1440" spans="1:12" ht="14.4" customHeight="1" x14ac:dyDescent="0.3">
      <c r="A1440">
        <v>205864612</v>
      </c>
      <c r="B1440" s="1">
        <v>44991</v>
      </c>
      <c r="C1440" s="1">
        <v>45003</v>
      </c>
      <c r="D1440" t="s">
        <v>7</v>
      </c>
      <c r="E1440">
        <v>39</v>
      </c>
      <c r="F1440" t="s">
        <v>6</v>
      </c>
      <c r="G1440">
        <f t="shared" si="132"/>
        <v>12</v>
      </c>
      <c r="H1440" s="1" t="str">
        <f t="shared" si="133"/>
        <v>Monday</v>
      </c>
      <c r="I1440" t="str">
        <f t="shared" si="134"/>
        <v>No</v>
      </c>
      <c r="J1440">
        <f t="shared" si="135"/>
        <v>0</v>
      </c>
      <c r="K1440">
        <f t="shared" si="136"/>
        <v>0</v>
      </c>
      <c r="L1440">
        <f t="shared" si="137"/>
        <v>12</v>
      </c>
    </row>
    <row r="1441" spans="1:12" x14ac:dyDescent="0.3">
      <c r="A1441">
        <v>142757196</v>
      </c>
      <c r="B1441" s="1">
        <v>44992</v>
      </c>
      <c r="C1441" s="1">
        <v>45116</v>
      </c>
      <c r="D1441" t="s">
        <v>7</v>
      </c>
      <c r="E1441">
        <v>39</v>
      </c>
      <c r="F1441" t="s">
        <v>6</v>
      </c>
      <c r="G1441">
        <f t="shared" si="132"/>
        <v>124</v>
      </c>
      <c r="H1441" s="1" t="str">
        <f t="shared" si="133"/>
        <v>Tuesday</v>
      </c>
      <c r="I1441" t="str">
        <f t="shared" si="134"/>
        <v>No</v>
      </c>
      <c r="J1441">
        <f t="shared" si="135"/>
        <v>0</v>
      </c>
      <c r="K1441">
        <f t="shared" si="136"/>
        <v>1</v>
      </c>
      <c r="L1441">
        <f t="shared" si="137"/>
        <v>124</v>
      </c>
    </row>
    <row r="1442" spans="1:12" x14ac:dyDescent="0.3">
      <c r="A1442">
        <v>205971108</v>
      </c>
      <c r="B1442" s="1">
        <v>44992</v>
      </c>
      <c r="C1442" s="1">
        <v>45099</v>
      </c>
      <c r="D1442" t="s">
        <v>7</v>
      </c>
      <c r="E1442">
        <v>39</v>
      </c>
      <c r="F1442" t="s">
        <v>6</v>
      </c>
      <c r="G1442">
        <f t="shared" si="132"/>
        <v>107</v>
      </c>
      <c r="H1442" s="1" t="str">
        <f t="shared" si="133"/>
        <v>Tuesday</v>
      </c>
      <c r="I1442" t="str">
        <f t="shared" si="134"/>
        <v>No</v>
      </c>
      <c r="J1442">
        <f t="shared" si="135"/>
        <v>0</v>
      </c>
      <c r="K1442">
        <f t="shared" si="136"/>
        <v>1</v>
      </c>
      <c r="L1442">
        <f t="shared" si="137"/>
        <v>107</v>
      </c>
    </row>
    <row r="1443" spans="1:12" x14ac:dyDescent="0.3">
      <c r="A1443">
        <v>206001231</v>
      </c>
      <c r="B1443" s="1">
        <v>44992</v>
      </c>
      <c r="C1443" s="1">
        <v>45077</v>
      </c>
      <c r="D1443" t="s">
        <v>7</v>
      </c>
      <c r="E1443">
        <v>39</v>
      </c>
      <c r="F1443" t="s">
        <v>6</v>
      </c>
      <c r="G1443">
        <f t="shared" si="132"/>
        <v>85</v>
      </c>
      <c r="H1443" s="1" t="str">
        <f t="shared" si="133"/>
        <v>Tuesday</v>
      </c>
      <c r="I1443" t="str">
        <f t="shared" si="134"/>
        <v>No</v>
      </c>
      <c r="J1443">
        <f t="shared" si="135"/>
        <v>0</v>
      </c>
      <c r="K1443">
        <f t="shared" si="136"/>
        <v>1</v>
      </c>
      <c r="L1443">
        <f t="shared" si="137"/>
        <v>85</v>
      </c>
    </row>
    <row r="1444" spans="1:12" ht="14.4" customHeight="1" x14ac:dyDescent="0.3">
      <c r="A1444">
        <v>205878686</v>
      </c>
      <c r="B1444" s="1">
        <v>44992</v>
      </c>
      <c r="C1444" s="1">
        <v>44992</v>
      </c>
      <c r="D1444" t="s">
        <v>7</v>
      </c>
      <c r="E1444">
        <v>39</v>
      </c>
      <c r="F1444" t="s">
        <v>6</v>
      </c>
      <c r="G1444">
        <f t="shared" si="132"/>
        <v>0</v>
      </c>
      <c r="H1444" s="1" t="str">
        <f t="shared" si="133"/>
        <v>Tuesday</v>
      </c>
      <c r="I1444" t="str">
        <f t="shared" si="134"/>
        <v>Yes</v>
      </c>
      <c r="J1444">
        <f t="shared" si="135"/>
        <v>1</v>
      </c>
      <c r="K1444">
        <f t="shared" si="136"/>
        <v>0</v>
      </c>
      <c r="L1444">
        <f t="shared" si="137"/>
        <v>0</v>
      </c>
    </row>
    <row r="1445" spans="1:12" ht="14.4" customHeight="1" x14ac:dyDescent="0.3">
      <c r="A1445">
        <v>206052140</v>
      </c>
      <c r="B1445" s="1">
        <v>44993</v>
      </c>
      <c r="D1445" t="s">
        <v>7</v>
      </c>
      <c r="E1445">
        <v>39</v>
      </c>
      <c r="F1445" t="s">
        <v>6</v>
      </c>
      <c r="G1445" t="str">
        <f t="shared" si="132"/>
        <v/>
      </c>
      <c r="H1445" s="1" t="str">
        <f t="shared" si="133"/>
        <v>Wednesday</v>
      </c>
      <c r="I1445" t="str">
        <f t="shared" si="134"/>
        <v>No</v>
      </c>
      <c r="J1445">
        <f t="shared" si="135"/>
        <v>0</v>
      </c>
      <c r="K1445">
        <f t="shared" si="136"/>
        <v>0</v>
      </c>
      <c r="L1445" t="str">
        <f t="shared" si="137"/>
        <v/>
      </c>
    </row>
    <row r="1446" spans="1:12" ht="14.4" customHeight="1" x14ac:dyDescent="0.3">
      <c r="A1446">
        <v>154082747</v>
      </c>
      <c r="B1446" s="1">
        <v>44993</v>
      </c>
      <c r="C1446" s="1">
        <v>44994</v>
      </c>
      <c r="D1446" t="s">
        <v>7</v>
      </c>
      <c r="E1446">
        <v>39</v>
      </c>
      <c r="F1446" t="s">
        <v>6</v>
      </c>
      <c r="G1446">
        <f t="shared" si="132"/>
        <v>1</v>
      </c>
      <c r="H1446" s="1" t="str">
        <f t="shared" si="133"/>
        <v>Wednesday</v>
      </c>
      <c r="I1446" t="str">
        <f t="shared" si="134"/>
        <v>No</v>
      </c>
      <c r="J1446">
        <f t="shared" si="135"/>
        <v>1</v>
      </c>
      <c r="K1446">
        <f t="shared" si="136"/>
        <v>0</v>
      </c>
      <c r="L1446">
        <f t="shared" si="137"/>
        <v>1</v>
      </c>
    </row>
    <row r="1447" spans="1:12" ht="14.4" customHeight="1" x14ac:dyDescent="0.3">
      <c r="A1447">
        <v>206017161</v>
      </c>
      <c r="B1447" s="1">
        <v>44993</v>
      </c>
      <c r="C1447" s="1">
        <v>44994</v>
      </c>
      <c r="D1447" t="s">
        <v>8</v>
      </c>
      <c r="E1447">
        <v>39</v>
      </c>
      <c r="F1447" t="s">
        <v>6</v>
      </c>
      <c r="G1447">
        <f t="shared" si="132"/>
        <v>1</v>
      </c>
      <c r="H1447" s="1" t="str">
        <f t="shared" si="133"/>
        <v>Wednesday</v>
      </c>
      <c r="I1447" t="str">
        <f t="shared" si="134"/>
        <v>No</v>
      </c>
      <c r="J1447">
        <f t="shared" si="135"/>
        <v>1</v>
      </c>
      <c r="K1447">
        <f t="shared" si="136"/>
        <v>0</v>
      </c>
      <c r="L1447">
        <f t="shared" si="137"/>
        <v>1</v>
      </c>
    </row>
    <row r="1448" spans="1:12" x14ac:dyDescent="0.3">
      <c r="A1448">
        <v>203152686</v>
      </c>
      <c r="B1448" s="1">
        <v>44993</v>
      </c>
      <c r="C1448" s="1">
        <v>45067</v>
      </c>
      <c r="D1448" t="s">
        <v>7</v>
      </c>
      <c r="E1448">
        <v>39</v>
      </c>
      <c r="F1448" t="s">
        <v>6</v>
      </c>
      <c r="G1448">
        <f t="shared" si="132"/>
        <v>74</v>
      </c>
      <c r="H1448" s="1" t="str">
        <f t="shared" si="133"/>
        <v>Wednesday</v>
      </c>
      <c r="I1448" t="str">
        <f t="shared" si="134"/>
        <v>No</v>
      </c>
      <c r="J1448">
        <f t="shared" si="135"/>
        <v>0</v>
      </c>
      <c r="K1448">
        <f t="shared" si="136"/>
        <v>1</v>
      </c>
      <c r="L1448">
        <f t="shared" si="137"/>
        <v>74</v>
      </c>
    </row>
    <row r="1449" spans="1:12" ht="14.4" customHeight="1" x14ac:dyDescent="0.3">
      <c r="A1449">
        <v>203320717</v>
      </c>
      <c r="B1449" s="1">
        <v>44993</v>
      </c>
      <c r="C1449" s="1">
        <v>45023</v>
      </c>
      <c r="D1449" t="s">
        <v>7</v>
      </c>
      <c r="E1449">
        <v>39</v>
      </c>
      <c r="F1449" t="s">
        <v>6</v>
      </c>
      <c r="G1449">
        <f t="shared" si="132"/>
        <v>30</v>
      </c>
      <c r="H1449" s="1" t="str">
        <f t="shared" si="133"/>
        <v>Wednesday</v>
      </c>
      <c r="I1449" t="str">
        <f t="shared" si="134"/>
        <v>No</v>
      </c>
      <c r="J1449">
        <f t="shared" si="135"/>
        <v>0</v>
      </c>
      <c r="K1449">
        <f t="shared" si="136"/>
        <v>0</v>
      </c>
      <c r="L1449">
        <f t="shared" si="137"/>
        <v>30</v>
      </c>
    </row>
    <row r="1450" spans="1:12" ht="14.4" customHeight="1" x14ac:dyDescent="0.3">
      <c r="A1450">
        <v>206076518</v>
      </c>
      <c r="B1450" s="1">
        <v>44994</v>
      </c>
      <c r="D1450" t="s">
        <v>7</v>
      </c>
      <c r="E1450">
        <v>39</v>
      </c>
      <c r="F1450" t="s">
        <v>6</v>
      </c>
      <c r="G1450" t="str">
        <f t="shared" si="132"/>
        <v/>
      </c>
      <c r="H1450" s="1" t="str">
        <f t="shared" si="133"/>
        <v>Thursday</v>
      </c>
      <c r="I1450" t="str">
        <f t="shared" si="134"/>
        <v>No</v>
      </c>
      <c r="J1450">
        <f t="shared" si="135"/>
        <v>0</v>
      </c>
      <c r="K1450">
        <f t="shared" si="136"/>
        <v>0</v>
      </c>
      <c r="L1450" t="str">
        <f t="shared" si="137"/>
        <v/>
      </c>
    </row>
    <row r="1451" spans="1:12" x14ac:dyDescent="0.3">
      <c r="A1451">
        <v>205881578</v>
      </c>
      <c r="B1451" s="1">
        <v>44994</v>
      </c>
      <c r="C1451" s="1">
        <v>45165</v>
      </c>
      <c r="D1451" t="s">
        <v>7</v>
      </c>
      <c r="E1451">
        <v>39</v>
      </c>
      <c r="F1451" t="s">
        <v>6</v>
      </c>
      <c r="G1451">
        <f t="shared" si="132"/>
        <v>171</v>
      </c>
      <c r="H1451" s="1" t="str">
        <f t="shared" si="133"/>
        <v>Thursday</v>
      </c>
      <c r="I1451" t="str">
        <f t="shared" si="134"/>
        <v>No</v>
      </c>
      <c r="J1451">
        <f t="shared" si="135"/>
        <v>0</v>
      </c>
      <c r="K1451">
        <f t="shared" si="136"/>
        <v>1</v>
      </c>
      <c r="L1451">
        <f t="shared" si="137"/>
        <v>171</v>
      </c>
    </row>
    <row r="1452" spans="1:12" ht="14.4" customHeight="1" x14ac:dyDescent="0.3">
      <c r="A1452">
        <v>152513944</v>
      </c>
      <c r="B1452" s="1">
        <v>44994</v>
      </c>
      <c r="C1452" s="1">
        <v>44995</v>
      </c>
      <c r="D1452" t="s">
        <v>7</v>
      </c>
      <c r="E1452">
        <v>39</v>
      </c>
      <c r="F1452" t="s">
        <v>6</v>
      </c>
      <c r="G1452">
        <f t="shared" si="132"/>
        <v>1</v>
      </c>
      <c r="H1452" s="1" t="str">
        <f t="shared" si="133"/>
        <v>Thursday</v>
      </c>
      <c r="I1452" t="str">
        <f t="shared" si="134"/>
        <v>No</v>
      </c>
      <c r="J1452">
        <f t="shared" si="135"/>
        <v>1</v>
      </c>
      <c r="K1452">
        <f t="shared" si="136"/>
        <v>0</v>
      </c>
      <c r="L1452">
        <f t="shared" si="137"/>
        <v>1</v>
      </c>
    </row>
    <row r="1453" spans="1:12" ht="14.4" customHeight="1" x14ac:dyDescent="0.3">
      <c r="A1453">
        <v>132371176</v>
      </c>
      <c r="B1453" s="1">
        <v>44994</v>
      </c>
      <c r="C1453" s="1">
        <v>44995</v>
      </c>
      <c r="D1453" t="s">
        <v>8</v>
      </c>
      <c r="E1453">
        <v>39</v>
      </c>
      <c r="F1453" t="s">
        <v>6</v>
      </c>
      <c r="G1453">
        <f t="shared" si="132"/>
        <v>1</v>
      </c>
      <c r="H1453" s="1" t="str">
        <f t="shared" si="133"/>
        <v>Thursday</v>
      </c>
      <c r="I1453" t="str">
        <f t="shared" si="134"/>
        <v>No</v>
      </c>
      <c r="J1453">
        <f t="shared" si="135"/>
        <v>1</v>
      </c>
      <c r="K1453">
        <f t="shared" si="136"/>
        <v>0</v>
      </c>
      <c r="L1453">
        <f t="shared" si="137"/>
        <v>1</v>
      </c>
    </row>
    <row r="1454" spans="1:12" x14ac:dyDescent="0.3">
      <c r="A1454">
        <v>135092264</v>
      </c>
      <c r="B1454" s="1">
        <v>44994</v>
      </c>
      <c r="C1454" s="1">
        <v>45118</v>
      </c>
      <c r="D1454" t="s">
        <v>7</v>
      </c>
      <c r="E1454">
        <v>39</v>
      </c>
      <c r="F1454" t="s">
        <v>6</v>
      </c>
      <c r="G1454">
        <f t="shared" si="132"/>
        <v>124</v>
      </c>
      <c r="H1454" s="1" t="str">
        <f t="shared" si="133"/>
        <v>Thursday</v>
      </c>
      <c r="I1454" t="str">
        <f t="shared" si="134"/>
        <v>No</v>
      </c>
      <c r="J1454">
        <f t="shared" si="135"/>
        <v>0</v>
      </c>
      <c r="K1454">
        <f t="shared" si="136"/>
        <v>1</v>
      </c>
      <c r="L1454">
        <f t="shared" si="137"/>
        <v>124</v>
      </c>
    </row>
    <row r="1455" spans="1:12" x14ac:dyDescent="0.3">
      <c r="A1455">
        <v>151297084</v>
      </c>
      <c r="B1455" s="1">
        <v>44994</v>
      </c>
      <c r="C1455" s="1">
        <v>45071</v>
      </c>
      <c r="D1455" t="s">
        <v>7</v>
      </c>
      <c r="E1455">
        <v>39</v>
      </c>
      <c r="F1455" t="s">
        <v>6</v>
      </c>
      <c r="G1455">
        <f t="shared" si="132"/>
        <v>77</v>
      </c>
      <c r="H1455" s="1" t="str">
        <f t="shared" si="133"/>
        <v>Thursday</v>
      </c>
      <c r="I1455" t="str">
        <f t="shared" si="134"/>
        <v>No</v>
      </c>
      <c r="J1455">
        <f t="shared" si="135"/>
        <v>0</v>
      </c>
      <c r="K1455">
        <f t="shared" si="136"/>
        <v>1</v>
      </c>
      <c r="L1455">
        <f t="shared" si="137"/>
        <v>77</v>
      </c>
    </row>
    <row r="1456" spans="1:12" x14ac:dyDescent="0.3">
      <c r="A1456">
        <v>167010855</v>
      </c>
      <c r="B1456" s="1">
        <v>44994</v>
      </c>
      <c r="C1456" s="1">
        <v>45085</v>
      </c>
      <c r="D1456" t="s">
        <v>7</v>
      </c>
      <c r="E1456">
        <v>39</v>
      </c>
      <c r="F1456" t="s">
        <v>6</v>
      </c>
      <c r="G1456">
        <f t="shared" si="132"/>
        <v>91</v>
      </c>
      <c r="H1456" s="1" t="str">
        <f t="shared" si="133"/>
        <v>Thursday</v>
      </c>
      <c r="I1456" t="str">
        <f t="shared" si="134"/>
        <v>No</v>
      </c>
      <c r="J1456">
        <f t="shared" si="135"/>
        <v>0</v>
      </c>
      <c r="K1456">
        <f t="shared" si="136"/>
        <v>1</v>
      </c>
      <c r="L1456">
        <f t="shared" si="137"/>
        <v>91</v>
      </c>
    </row>
    <row r="1457" spans="1:12" x14ac:dyDescent="0.3">
      <c r="A1457">
        <v>206122788</v>
      </c>
      <c r="B1457" s="1">
        <v>44994</v>
      </c>
      <c r="C1457" s="1">
        <v>45093</v>
      </c>
      <c r="D1457" t="s">
        <v>7</v>
      </c>
      <c r="E1457">
        <v>39</v>
      </c>
      <c r="F1457" t="s">
        <v>6</v>
      </c>
      <c r="G1457">
        <f t="shared" si="132"/>
        <v>99</v>
      </c>
      <c r="H1457" s="1" t="str">
        <f t="shared" si="133"/>
        <v>Thursday</v>
      </c>
      <c r="I1457" t="str">
        <f t="shared" si="134"/>
        <v>No</v>
      </c>
      <c r="J1457">
        <f t="shared" si="135"/>
        <v>0</v>
      </c>
      <c r="K1457">
        <f t="shared" si="136"/>
        <v>1</v>
      </c>
      <c r="L1457">
        <f t="shared" si="137"/>
        <v>99</v>
      </c>
    </row>
    <row r="1458" spans="1:12" x14ac:dyDescent="0.3">
      <c r="A1458">
        <v>158439764</v>
      </c>
      <c r="B1458" s="1">
        <v>44994</v>
      </c>
      <c r="C1458" s="1">
        <v>45047</v>
      </c>
      <c r="D1458" t="s">
        <v>7</v>
      </c>
      <c r="E1458">
        <v>39</v>
      </c>
      <c r="F1458" t="s">
        <v>6</v>
      </c>
      <c r="G1458">
        <f t="shared" si="132"/>
        <v>53</v>
      </c>
      <c r="H1458" s="1" t="str">
        <f t="shared" si="133"/>
        <v>Thursday</v>
      </c>
      <c r="I1458" t="str">
        <f t="shared" si="134"/>
        <v>No</v>
      </c>
      <c r="J1458">
        <f t="shared" si="135"/>
        <v>0</v>
      </c>
      <c r="K1458">
        <f t="shared" si="136"/>
        <v>1</v>
      </c>
      <c r="L1458">
        <f t="shared" si="137"/>
        <v>53</v>
      </c>
    </row>
    <row r="1459" spans="1:12" ht="14.4" customHeight="1" x14ac:dyDescent="0.3">
      <c r="A1459">
        <v>136723151</v>
      </c>
      <c r="B1459" s="1">
        <v>44994</v>
      </c>
      <c r="C1459" s="1">
        <v>45023</v>
      </c>
      <c r="D1459" t="s">
        <v>7</v>
      </c>
      <c r="E1459">
        <v>39</v>
      </c>
      <c r="F1459" t="s">
        <v>6</v>
      </c>
      <c r="G1459">
        <f t="shared" si="132"/>
        <v>29</v>
      </c>
      <c r="H1459" s="1" t="str">
        <f t="shared" si="133"/>
        <v>Thursday</v>
      </c>
      <c r="I1459" t="str">
        <f t="shared" si="134"/>
        <v>No</v>
      </c>
      <c r="J1459">
        <f t="shared" si="135"/>
        <v>0</v>
      </c>
      <c r="K1459">
        <f t="shared" si="136"/>
        <v>0</v>
      </c>
      <c r="L1459">
        <f t="shared" si="137"/>
        <v>29</v>
      </c>
    </row>
    <row r="1460" spans="1:12" x14ac:dyDescent="0.3">
      <c r="A1460">
        <v>205875358</v>
      </c>
      <c r="B1460" s="1">
        <v>44994</v>
      </c>
      <c r="C1460" s="1">
        <v>45038</v>
      </c>
      <c r="D1460" t="s">
        <v>7</v>
      </c>
      <c r="E1460">
        <v>39</v>
      </c>
      <c r="F1460" t="s">
        <v>6</v>
      </c>
      <c r="G1460">
        <f t="shared" si="132"/>
        <v>44</v>
      </c>
      <c r="H1460" s="1" t="str">
        <f t="shared" si="133"/>
        <v>Thursday</v>
      </c>
      <c r="I1460" t="str">
        <f t="shared" si="134"/>
        <v>No</v>
      </c>
      <c r="J1460">
        <f t="shared" si="135"/>
        <v>0</v>
      </c>
      <c r="K1460">
        <f t="shared" si="136"/>
        <v>1</v>
      </c>
      <c r="L1460">
        <f t="shared" si="137"/>
        <v>44</v>
      </c>
    </row>
    <row r="1461" spans="1:12" x14ac:dyDescent="0.3">
      <c r="A1461">
        <v>206082900</v>
      </c>
      <c r="B1461" s="1">
        <v>44994</v>
      </c>
      <c r="C1461" s="1">
        <v>45139</v>
      </c>
      <c r="D1461" t="s">
        <v>7</v>
      </c>
      <c r="E1461">
        <v>39</v>
      </c>
      <c r="F1461" t="s">
        <v>6</v>
      </c>
      <c r="G1461">
        <f t="shared" si="132"/>
        <v>145</v>
      </c>
      <c r="H1461" s="1" t="str">
        <f t="shared" si="133"/>
        <v>Thursday</v>
      </c>
      <c r="I1461" t="str">
        <f t="shared" si="134"/>
        <v>No</v>
      </c>
      <c r="J1461">
        <f t="shared" si="135"/>
        <v>0</v>
      </c>
      <c r="K1461">
        <f t="shared" si="136"/>
        <v>1</v>
      </c>
      <c r="L1461">
        <f t="shared" si="137"/>
        <v>145</v>
      </c>
    </row>
    <row r="1462" spans="1:12" ht="14.4" customHeight="1" x14ac:dyDescent="0.3">
      <c r="A1462">
        <v>206139451</v>
      </c>
      <c r="B1462" s="1">
        <v>44995</v>
      </c>
      <c r="D1462" t="s">
        <v>7</v>
      </c>
      <c r="E1462">
        <v>39</v>
      </c>
      <c r="F1462" t="s">
        <v>6</v>
      </c>
      <c r="G1462" t="str">
        <f t="shared" si="132"/>
        <v/>
      </c>
      <c r="H1462" s="1" t="str">
        <f t="shared" si="133"/>
        <v>Friday</v>
      </c>
      <c r="I1462" t="str">
        <f t="shared" si="134"/>
        <v>No</v>
      </c>
      <c r="J1462">
        <f t="shared" si="135"/>
        <v>0</v>
      </c>
      <c r="K1462">
        <f t="shared" si="136"/>
        <v>0</v>
      </c>
      <c r="L1462" t="str">
        <f t="shared" si="137"/>
        <v/>
      </c>
    </row>
    <row r="1463" spans="1:12" ht="14.4" customHeight="1" x14ac:dyDescent="0.3">
      <c r="A1463">
        <v>206196328</v>
      </c>
      <c r="B1463" s="1">
        <v>44995</v>
      </c>
      <c r="D1463" t="s">
        <v>7</v>
      </c>
      <c r="E1463">
        <v>39</v>
      </c>
      <c r="F1463" t="s">
        <v>6</v>
      </c>
      <c r="G1463" t="str">
        <f t="shared" si="132"/>
        <v/>
      </c>
      <c r="H1463" s="1" t="str">
        <f t="shared" si="133"/>
        <v>Friday</v>
      </c>
      <c r="I1463" t="str">
        <f t="shared" si="134"/>
        <v>No</v>
      </c>
      <c r="J1463">
        <f t="shared" si="135"/>
        <v>0</v>
      </c>
      <c r="K1463">
        <f t="shared" si="136"/>
        <v>0</v>
      </c>
      <c r="L1463" t="str">
        <f t="shared" si="137"/>
        <v/>
      </c>
    </row>
    <row r="1464" spans="1:12" x14ac:dyDescent="0.3">
      <c r="A1464">
        <v>201122030</v>
      </c>
      <c r="B1464" s="1">
        <v>44995</v>
      </c>
      <c r="C1464" s="1">
        <v>45082</v>
      </c>
      <c r="D1464" t="s">
        <v>7</v>
      </c>
      <c r="E1464">
        <v>39</v>
      </c>
      <c r="F1464" t="s">
        <v>6</v>
      </c>
      <c r="G1464">
        <f t="shared" si="132"/>
        <v>87</v>
      </c>
      <c r="H1464" s="1" t="str">
        <f t="shared" si="133"/>
        <v>Friday</v>
      </c>
      <c r="I1464" t="str">
        <f t="shared" si="134"/>
        <v>No</v>
      </c>
      <c r="J1464">
        <f t="shared" si="135"/>
        <v>0</v>
      </c>
      <c r="K1464">
        <f t="shared" si="136"/>
        <v>1</v>
      </c>
      <c r="L1464">
        <f t="shared" si="137"/>
        <v>87</v>
      </c>
    </row>
    <row r="1465" spans="1:12" x14ac:dyDescent="0.3">
      <c r="A1465">
        <v>156218152</v>
      </c>
      <c r="B1465" s="1">
        <v>44995</v>
      </c>
      <c r="C1465" s="1">
        <v>45086</v>
      </c>
      <c r="D1465" t="s">
        <v>7</v>
      </c>
      <c r="E1465">
        <v>39</v>
      </c>
      <c r="F1465" t="s">
        <v>6</v>
      </c>
      <c r="G1465">
        <f t="shared" si="132"/>
        <v>91</v>
      </c>
      <c r="H1465" s="1" t="str">
        <f t="shared" si="133"/>
        <v>Friday</v>
      </c>
      <c r="I1465" t="str">
        <f t="shared" si="134"/>
        <v>No</v>
      </c>
      <c r="J1465">
        <f t="shared" si="135"/>
        <v>0</v>
      </c>
      <c r="K1465">
        <f t="shared" si="136"/>
        <v>1</v>
      </c>
      <c r="L1465">
        <f t="shared" si="137"/>
        <v>91</v>
      </c>
    </row>
    <row r="1466" spans="1:12" x14ac:dyDescent="0.3">
      <c r="A1466">
        <v>162718092</v>
      </c>
      <c r="B1466" s="1">
        <v>44995</v>
      </c>
      <c r="C1466" s="1">
        <v>45056</v>
      </c>
      <c r="D1466" t="s">
        <v>7</v>
      </c>
      <c r="E1466">
        <v>39</v>
      </c>
      <c r="F1466" t="s">
        <v>6</v>
      </c>
      <c r="G1466">
        <f t="shared" si="132"/>
        <v>61</v>
      </c>
      <c r="H1466" s="1" t="str">
        <f t="shared" si="133"/>
        <v>Friday</v>
      </c>
      <c r="I1466" t="str">
        <f t="shared" si="134"/>
        <v>No</v>
      </c>
      <c r="J1466">
        <f t="shared" si="135"/>
        <v>0</v>
      </c>
      <c r="K1466">
        <f t="shared" si="136"/>
        <v>1</v>
      </c>
      <c r="L1466">
        <f t="shared" si="137"/>
        <v>61</v>
      </c>
    </row>
    <row r="1467" spans="1:12" x14ac:dyDescent="0.3">
      <c r="A1467">
        <v>174606946</v>
      </c>
      <c r="B1467" s="1">
        <v>44995</v>
      </c>
      <c r="C1467" s="1">
        <v>45055</v>
      </c>
      <c r="D1467" t="s">
        <v>7</v>
      </c>
      <c r="E1467">
        <v>39</v>
      </c>
      <c r="F1467" t="s">
        <v>6</v>
      </c>
      <c r="G1467">
        <f t="shared" si="132"/>
        <v>60</v>
      </c>
      <c r="H1467" s="1" t="str">
        <f t="shared" si="133"/>
        <v>Friday</v>
      </c>
      <c r="I1467" t="str">
        <f t="shared" si="134"/>
        <v>No</v>
      </c>
      <c r="J1467">
        <f t="shared" si="135"/>
        <v>0</v>
      </c>
      <c r="K1467">
        <f t="shared" si="136"/>
        <v>1</v>
      </c>
      <c r="L1467">
        <f t="shared" si="137"/>
        <v>60</v>
      </c>
    </row>
    <row r="1468" spans="1:12" ht="14.4" customHeight="1" x14ac:dyDescent="0.3">
      <c r="A1468">
        <v>206159331</v>
      </c>
      <c r="B1468" s="1">
        <v>44995</v>
      </c>
      <c r="C1468" s="1">
        <v>45010</v>
      </c>
      <c r="D1468" t="s">
        <v>7</v>
      </c>
      <c r="E1468">
        <v>39</v>
      </c>
      <c r="F1468" t="s">
        <v>6</v>
      </c>
      <c r="G1468">
        <f t="shared" si="132"/>
        <v>15</v>
      </c>
      <c r="H1468" s="1" t="str">
        <f t="shared" si="133"/>
        <v>Friday</v>
      </c>
      <c r="I1468" t="str">
        <f t="shared" si="134"/>
        <v>No</v>
      </c>
      <c r="J1468">
        <f t="shared" si="135"/>
        <v>0</v>
      </c>
      <c r="K1468">
        <f t="shared" si="136"/>
        <v>0</v>
      </c>
      <c r="L1468">
        <f t="shared" si="137"/>
        <v>15</v>
      </c>
    </row>
    <row r="1469" spans="1:12" ht="14.4" customHeight="1" x14ac:dyDescent="0.3">
      <c r="A1469">
        <v>206272716</v>
      </c>
      <c r="B1469" s="1">
        <v>44996</v>
      </c>
      <c r="D1469" t="s">
        <v>7</v>
      </c>
      <c r="E1469">
        <v>39</v>
      </c>
      <c r="F1469" t="s">
        <v>6</v>
      </c>
      <c r="G1469" t="str">
        <f t="shared" si="132"/>
        <v/>
      </c>
      <c r="H1469" s="1" t="str">
        <f t="shared" si="133"/>
        <v>Saturday</v>
      </c>
      <c r="I1469" t="str">
        <f t="shared" si="134"/>
        <v>No</v>
      </c>
      <c r="J1469">
        <f t="shared" si="135"/>
        <v>0</v>
      </c>
      <c r="K1469">
        <f t="shared" si="136"/>
        <v>0</v>
      </c>
      <c r="L1469" t="str">
        <f t="shared" si="137"/>
        <v/>
      </c>
    </row>
    <row r="1470" spans="1:12" x14ac:dyDescent="0.3">
      <c r="A1470">
        <v>138104184</v>
      </c>
      <c r="B1470" s="1">
        <v>44996</v>
      </c>
      <c r="C1470" s="1">
        <v>45176</v>
      </c>
      <c r="D1470" t="s">
        <v>7</v>
      </c>
      <c r="E1470">
        <v>39</v>
      </c>
      <c r="F1470" t="s">
        <v>6</v>
      </c>
      <c r="G1470">
        <f t="shared" si="132"/>
        <v>180</v>
      </c>
      <c r="H1470" s="1" t="str">
        <f t="shared" si="133"/>
        <v>Saturday</v>
      </c>
      <c r="I1470" t="str">
        <f t="shared" si="134"/>
        <v>No</v>
      </c>
      <c r="J1470">
        <f t="shared" si="135"/>
        <v>0</v>
      </c>
      <c r="K1470">
        <f t="shared" si="136"/>
        <v>1</v>
      </c>
      <c r="L1470">
        <f t="shared" si="137"/>
        <v>180</v>
      </c>
    </row>
    <row r="1471" spans="1:12" x14ac:dyDescent="0.3">
      <c r="A1471">
        <v>168264884</v>
      </c>
      <c r="B1471" s="1">
        <v>44996</v>
      </c>
      <c r="C1471" s="1">
        <v>45056</v>
      </c>
      <c r="D1471" t="s">
        <v>7</v>
      </c>
      <c r="E1471">
        <v>39</v>
      </c>
      <c r="F1471" t="s">
        <v>6</v>
      </c>
      <c r="G1471">
        <f t="shared" si="132"/>
        <v>60</v>
      </c>
      <c r="H1471" s="1" t="str">
        <f t="shared" si="133"/>
        <v>Saturday</v>
      </c>
      <c r="I1471" t="str">
        <f t="shared" si="134"/>
        <v>No</v>
      </c>
      <c r="J1471">
        <f t="shared" si="135"/>
        <v>0</v>
      </c>
      <c r="K1471">
        <f t="shared" si="136"/>
        <v>1</v>
      </c>
      <c r="L1471">
        <f t="shared" si="137"/>
        <v>60</v>
      </c>
    </row>
    <row r="1472" spans="1:12" x14ac:dyDescent="0.3">
      <c r="A1472">
        <v>153200640</v>
      </c>
      <c r="B1472" s="1">
        <v>44996</v>
      </c>
      <c r="C1472" s="1">
        <v>45028</v>
      </c>
      <c r="D1472" t="s">
        <v>7</v>
      </c>
      <c r="E1472">
        <v>39</v>
      </c>
      <c r="F1472" t="s">
        <v>6</v>
      </c>
      <c r="G1472">
        <f t="shared" si="132"/>
        <v>32</v>
      </c>
      <c r="H1472" s="1" t="str">
        <f t="shared" si="133"/>
        <v>Saturday</v>
      </c>
      <c r="I1472" t="str">
        <f t="shared" si="134"/>
        <v>No</v>
      </c>
      <c r="J1472">
        <f t="shared" si="135"/>
        <v>0</v>
      </c>
      <c r="K1472">
        <f t="shared" si="136"/>
        <v>1</v>
      </c>
      <c r="L1472">
        <f t="shared" si="137"/>
        <v>32</v>
      </c>
    </row>
    <row r="1473" spans="1:12" x14ac:dyDescent="0.3">
      <c r="A1473">
        <v>206251362</v>
      </c>
      <c r="B1473" s="1">
        <v>44996</v>
      </c>
      <c r="C1473" s="1">
        <v>45034</v>
      </c>
      <c r="D1473" t="s">
        <v>7</v>
      </c>
      <c r="E1473">
        <v>39</v>
      </c>
      <c r="F1473" t="s">
        <v>6</v>
      </c>
      <c r="G1473">
        <f t="shared" si="132"/>
        <v>38</v>
      </c>
      <c r="H1473" s="1" t="str">
        <f t="shared" si="133"/>
        <v>Saturday</v>
      </c>
      <c r="I1473" t="str">
        <f t="shared" si="134"/>
        <v>No</v>
      </c>
      <c r="J1473">
        <f t="shared" si="135"/>
        <v>0</v>
      </c>
      <c r="K1473">
        <f t="shared" si="136"/>
        <v>1</v>
      </c>
      <c r="L1473">
        <f t="shared" si="137"/>
        <v>38</v>
      </c>
    </row>
    <row r="1474" spans="1:12" x14ac:dyDescent="0.3">
      <c r="A1474">
        <v>192386902</v>
      </c>
      <c r="B1474" s="1">
        <v>44996</v>
      </c>
      <c r="C1474" s="1">
        <v>45034</v>
      </c>
      <c r="D1474" t="s">
        <v>7</v>
      </c>
      <c r="E1474">
        <v>39</v>
      </c>
      <c r="F1474" t="s">
        <v>6</v>
      </c>
      <c r="G1474">
        <f t="shared" ref="G1474:G1537" si="138">IF(C1474="","",C1474-B1474)</f>
        <v>38</v>
      </c>
      <c r="H1474" s="1" t="str">
        <f t="shared" si="133"/>
        <v>Saturday</v>
      </c>
      <c r="I1474" t="str">
        <f t="shared" si="134"/>
        <v>No</v>
      </c>
      <c r="J1474">
        <f t="shared" si="135"/>
        <v>0</v>
      </c>
      <c r="K1474">
        <f t="shared" si="136"/>
        <v>1</v>
      </c>
      <c r="L1474">
        <f t="shared" si="137"/>
        <v>38</v>
      </c>
    </row>
    <row r="1475" spans="1:12" ht="14.4" customHeight="1" x14ac:dyDescent="0.3">
      <c r="A1475">
        <v>205851263</v>
      </c>
      <c r="B1475" s="1">
        <v>44996</v>
      </c>
      <c r="C1475" s="1">
        <v>44999</v>
      </c>
      <c r="D1475" t="s">
        <v>7</v>
      </c>
      <c r="E1475">
        <v>39</v>
      </c>
      <c r="F1475" t="s">
        <v>6</v>
      </c>
      <c r="G1475">
        <f t="shared" si="138"/>
        <v>3</v>
      </c>
      <c r="H1475" s="1" t="str">
        <f t="shared" ref="H1475:H1538" si="139">TEXT(B1475,"dddd")</f>
        <v>Saturday</v>
      </c>
      <c r="I1475" t="str">
        <f t="shared" ref="I1475:I1538" si="140">IF(B1475=C1475,"Yes","No")</f>
        <v>No</v>
      </c>
      <c r="J1475">
        <f t="shared" ref="J1475:J1538" si="141">IF(AND(C1475&lt;&gt;"",C1475-B1475&lt;=2),1,0)</f>
        <v>0</v>
      </c>
      <c r="K1475">
        <f t="shared" ref="K1475:K1538" si="142">IF(AND(C1475&lt;&gt;"",C1475-B1475&gt;30),1,0)</f>
        <v>0</v>
      </c>
      <c r="L1475">
        <f t="shared" ref="L1475:L1538" si="143">IF(C1475="","",C1475-B1475)</f>
        <v>3</v>
      </c>
    </row>
    <row r="1476" spans="1:12" x14ac:dyDescent="0.3">
      <c r="A1476">
        <v>197873706</v>
      </c>
      <c r="B1476" s="1">
        <v>44997</v>
      </c>
      <c r="C1476" s="1">
        <v>45150</v>
      </c>
      <c r="D1476" t="s">
        <v>7</v>
      </c>
      <c r="E1476">
        <v>39</v>
      </c>
      <c r="F1476" t="s">
        <v>6</v>
      </c>
      <c r="G1476">
        <f t="shared" si="138"/>
        <v>153</v>
      </c>
      <c r="H1476" s="1" t="str">
        <f t="shared" si="139"/>
        <v>Sunday</v>
      </c>
      <c r="I1476" t="str">
        <f t="shared" si="140"/>
        <v>No</v>
      </c>
      <c r="J1476">
        <f t="shared" si="141"/>
        <v>0</v>
      </c>
      <c r="K1476">
        <f t="shared" si="142"/>
        <v>1</v>
      </c>
      <c r="L1476">
        <f t="shared" si="143"/>
        <v>153</v>
      </c>
    </row>
    <row r="1477" spans="1:12" ht="14.4" customHeight="1" x14ac:dyDescent="0.3">
      <c r="A1477">
        <v>206284048</v>
      </c>
      <c r="B1477" s="1">
        <v>44997</v>
      </c>
      <c r="C1477" s="1">
        <v>45003</v>
      </c>
      <c r="D1477" t="s">
        <v>7</v>
      </c>
      <c r="E1477">
        <v>39</v>
      </c>
      <c r="F1477" t="s">
        <v>6</v>
      </c>
      <c r="G1477">
        <f t="shared" si="138"/>
        <v>6</v>
      </c>
      <c r="H1477" s="1" t="str">
        <f t="shared" si="139"/>
        <v>Sunday</v>
      </c>
      <c r="I1477" t="str">
        <f t="shared" si="140"/>
        <v>No</v>
      </c>
      <c r="J1477">
        <f t="shared" si="141"/>
        <v>0</v>
      </c>
      <c r="K1477">
        <f t="shared" si="142"/>
        <v>0</v>
      </c>
      <c r="L1477">
        <f t="shared" si="143"/>
        <v>6</v>
      </c>
    </row>
    <row r="1478" spans="1:12" x14ac:dyDescent="0.3">
      <c r="A1478">
        <v>149761545</v>
      </c>
      <c r="B1478" s="1">
        <v>44997</v>
      </c>
      <c r="C1478" s="1">
        <v>45131</v>
      </c>
      <c r="D1478" t="s">
        <v>7</v>
      </c>
      <c r="E1478">
        <v>39</v>
      </c>
      <c r="F1478" t="s">
        <v>6</v>
      </c>
      <c r="G1478">
        <f t="shared" si="138"/>
        <v>134</v>
      </c>
      <c r="H1478" s="1" t="str">
        <f t="shared" si="139"/>
        <v>Sunday</v>
      </c>
      <c r="I1478" t="str">
        <f t="shared" si="140"/>
        <v>No</v>
      </c>
      <c r="J1478">
        <f t="shared" si="141"/>
        <v>0</v>
      </c>
      <c r="K1478">
        <f t="shared" si="142"/>
        <v>1</v>
      </c>
      <c r="L1478">
        <f t="shared" si="143"/>
        <v>134</v>
      </c>
    </row>
    <row r="1479" spans="1:12" x14ac:dyDescent="0.3">
      <c r="A1479">
        <v>155010717</v>
      </c>
      <c r="B1479" s="1">
        <v>44998</v>
      </c>
      <c r="C1479" s="1">
        <v>45077</v>
      </c>
      <c r="D1479" t="s">
        <v>7</v>
      </c>
      <c r="E1479">
        <v>39</v>
      </c>
      <c r="F1479" t="s">
        <v>6</v>
      </c>
      <c r="G1479">
        <f t="shared" si="138"/>
        <v>79</v>
      </c>
      <c r="H1479" s="1" t="str">
        <f t="shared" si="139"/>
        <v>Monday</v>
      </c>
      <c r="I1479" t="str">
        <f t="shared" si="140"/>
        <v>No</v>
      </c>
      <c r="J1479">
        <f t="shared" si="141"/>
        <v>0</v>
      </c>
      <c r="K1479">
        <f t="shared" si="142"/>
        <v>1</v>
      </c>
      <c r="L1479">
        <f t="shared" si="143"/>
        <v>79</v>
      </c>
    </row>
    <row r="1480" spans="1:12" ht="14.4" customHeight="1" x14ac:dyDescent="0.3">
      <c r="A1480">
        <v>151407531</v>
      </c>
      <c r="B1480" s="1">
        <v>44998</v>
      </c>
      <c r="C1480" s="1">
        <v>45028</v>
      </c>
      <c r="D1480" t="s">
        <v>7</v>
      </c>
      <c r="E1480">
        <v>39</v>
      </c>
      <c r="F1480" t="s">
        <v>6</v>
      </c>
      <c r="G1480">
        <f t="shared" si="138"/>
        <v>30</v>
      </c>
      <c r="H1480" s="1" t="str">
        <f t="shared" si="139"/>
        <v>Monday</v>
      </c>
      <c r="I1480" t="str">
        <f t="shared" si="140"/>
        <v>No</v>
      </c>
      <c r="J1480">
        <f t="shared" si="141"/>
        <v>0</v>
      </c>
      <c r="K1480">
        <f t="shared" si="142"/>
        <v>0</v>
      </c>
      <c r="L1480">
        <f t="shared" si="143"/>
        <v>30</v>
      </c>
    </row>
    <row r="1481" spans="1:12" x14ac:dyDescent="0.3">
      <c r="A1481">
        <v>206407796</v>
      </c>
      <c r="B1481" s="1">
        <v>44998</v>
      </c>
      <c r="C1481" s="1">
        <v>45058</v>
      </c>
      <c r="D1481" t="s">
        <v>7</v>
      </c>
      <c r="E1481">
        <v>39</v>
      </c>
      <c r="F1481" t="s">
        <v>6</v>
      </c>
      <c r="G1481">
        <f t="shared" si="138"/>
        <v>60</v>
      </c>
      <c r="H1481" s="1" t="str">
        <f t="shared" si="139"/>
        <v>Monday</v>
      </c>
      <c r="I1481" t="str">
        <f t="shared" si="140"/>
        <v>No</v>
      </c>
      <c r="J1481">
        <f t="shared" si="141"/>
        <v>0</v>
      </c>
      <c r="K1481">
        <f t="shared" si="142"/>
        <v>1</v>
      </c>
      <c r="L1481">
        <f t="shared" si="143"/>
        <v>60</v>
      </c>
    </row>
    <row r="1482" spans="1:12" x14ac:dyDescent="0.3">
      <c r="A1482">
        <v>206247835</v>
      </c>
      <c r="B1482" s="1">
        <v>44998</v>
      </c>
      <c r="C1482" s="1">
        <v>45071</v>
      </c>
      <c r="D1482" t="s">
        <v>7</v>
      </c>
      <c r="E1482">
        <v>39</v>
      </c>
      <c r="F1482" t="s">
        <v>6</v>
      </c>
      <c r="G1482">
        <f t="shared" si="138"/>
        <v>73</v>
      </c>
      <c r="H1482" s="1" t="str">
        <f t="shared" si="139"/>
        <v>Monday</v>
      </c>
      <c r="I1482" t="str">
        <f t="shared" si="140"/>
        <v>No</v>
      </c>
      <c r="J1482">
        <f t="shared" si="141"/>
        <v>0</v>
      </c>
      <c r="K1482">
        <f t="shared" si="142"/>
        <v>1</v>
      </c>
      <c r="L1482">
        <f t="shared" si="143"/>
        <v>73</v>
      </c>
    </row>
    <row r="1483" spans="1:12" x14ac:dyDescent="0.3">
      <c r="A1483">
        <v>206382927</v>
      </c>
      <c r="B1483" s="1">
        <v>44998</v>
      </c>
      <c r="C1483" s="1">
        <v>45070</v>
      </c>
      <c r="D1483" t="s">
        <v>7</v>
      </c>
      <c r="E1483">
        <v>39</v>
      </c>
      <c r="F1483" t="s">
        <v>6</v>
      </c>
      <c r="G1483">
        <f t="shared" si="138"/>
        <v>72</v>
      </c>
      <c r="H1483" s="1" t="str">
        <f t="shared" si="139"/>
        <v>Monday</v>
      </c>
      <c r="I1483" t="str">
        <f t="shared" si="140"/>
        <v>No</v>
      </c>
      <c r="J1483">
        <f t="shared" si="141"/>
        <v>0</v>
      </c>
      <c r="K1483">
        <f t="shared" si="142"/>
        <v>1</v>
      </c>
      <c r="L1483">
        <f t="shared" si="143"/>
        <v>72</v>
      </c>
    </row>
    <row r="1484" spans="1:12" x14ac:dyDescent="0.3">
      <c r="A1484">
        <v>206147500</v>
      </c>
      <c r="B1484" s="1">
        <v>44998</v>
      </c>
      <c r="C1484" s="1">
        <v>45064</v>
      </c>
      <c r="D1484" t="s">
        <v>7</v>
      </c>
      <c r="E1484">
        <v>39</v>
      </c>
      <c r="F1484" t="s">
        <v>6</v>
      </c>
      <c r="G1484">
        <f t="shared" si="138"/>
        <v>66</v>
      </c>
      <c r="H1484" s="1" t="str">
        <f t="shared" si="139"/>
        <v>Monday</v>
      </c>
      <c r="I1484" t="str">
        <f t="shared" si="140"/>
        <v>No</v>
      </c>
      <c r="J1484">
        <f t="shared" si="141"/>
        <v>0</v>
      </c>
      <c r="K1484">
        <f t="shared" si="142"/>
        <v>1</v>
      </c>
      <c r="L1484">
        <f t="shared" si="143"/>
        <v>66</v>
      </c>
    </row>
    <row r="1485" spans="1:12" ht="14.4" customHeight="1" x14ac:dyDescent="0.3">
      <c r="A1485">
        <v>206330714</v>
      </c>
      <c r="B1485" s="1">
        <v>44998</v>
      </c>
      <c r="C1485" s="1">
        <v>45023</v>
      </c>
      <c r="D1485" t="s">
        <v>7</v>
      </c>
      <c r="E1485">
        <v>39</v>
      </c>
      <c r="F1485" t="s">
        <v>6</v>
      </c>
      <c r="G1485">
        <f t="shared" si="138"/>
        <v>25</v>
      </c>
      <c r="H1485" s="1" t="str">
        <f t="shared" si="139"/>
        <v>Monday</v>
      </c>
      <c r="I1485" t="str">
        <f t="shared" si="140"/>
        <v>No</v>
      </c>
      <c r="J1485">
        <f t="shared" si="141"/>
        <v>0</v>
      </c>
      <c r="K1485">
        <f t="shared" si="142"/>
        <v>0</v>
      </c>
      <c r="L1485">
        <f t="shared" si="143"/>
        <v>25</v>
      </c>
    </row>
    <row r="1486" spans="1:12" ht="14.4" customHeight="1" x14ac:dyDescent="0.3">
      <c r="A1486">
        <v>206121650</v>
      </c>
      <c r="B1486" s="1">
        <v>44998</v>
      </c>
      <c r="C1486" s="1">
        <v>45025</v>
      </c>
      <c r="D1486" t="s">
        <v>7</v>
      </c>
      <c r="E1486">
        <v>39</v>
      </c>
      <c r="F1486" t="s">
        <v>6</v>
      </c>
      <c r="G1486">
        <f t="shared" si="138"/>
        <v>27</v>
      </c>
      <c r="H1486" s="1" t="str">
        <f t="shared" si="139"/>
        <v>Monday</v>
      </c>
      <c r="I1486" t="str">
        <f t="shared" si="140"/>
        <v>No</v>
      </c>
      <c r="J1486">
        <f t="shared" si="141"/>
        <v>0</v>
      </c>
      <c r="K1486">
        <f t="shared" si="142"/>
        <v>0</v>
      </c>
      <c r="L1486">
        <f t="shared" si="143"/>
        <v>27</v>
      </c>
    </row>
    <row r="1487" spans="1:12" x14ac:dyDescent="0.3">
      <c r="A1487">
        <v>182504578</v>
      </c>
      <c r="B1487" s="1">
        <v>44998</v>
      </c>
      <c r="C1487" s="1">
        <v>45036</v>
      </c>
      <c r="D1487" t="s">
        <v>7</v>
      </c>
      <c r="E1487">
        <v>39</v>
      </c>
      <c r="F1487" t="s">
        <v>6</v>
      </c>
      <c r="G1487">
        <f t="shared" si="138"/>
        <v>38</v>
      </c>
      <c r="H1487" s="1" t="str">
        <f t="shared" si="139"/>
        <v>Monday</v>
      </c>
      <c r="I1487" t="str">
        <f t="shared" si="140"/>
        <v>No</v>
      </c>
      <c r="J1487">
        <f t="shared" si="141"/>
        <v>0</v>
      </c>
      <c r="K1487">
        <f t="shared" si="142"/>
        <v>1</v>
      </c>
      <c r="L1487">
        <f t="shared" si="143"/>
        <v>38</v>
      </c>
    </row>
    <row r="1488" spans="1:12" x14ac:dyDescent="0.3">
      <c r="A1488">
        <v>204362311</v>
      </c>
      <c r="B1488" s="1">
        <v>44998</v>
      </c>
      <c r="C1488" s="1">
        <v>45091</v>
      </c>
      <c r="D1488" t="s">
        <v>7</v>
      </c>
      <c r="E1488">
        <v>39</v>
      </c>
      <c r="F1488" t="s">
        <v>6</v>
      </c>
      <c r="G1488">
        <f t="shared" si="138"/>
        <v>93</v>
      </c>
      <c r="H1488" s="1" t="str">
        <f t="shared" si="139"/>
        <v>Monday</v>
      </c>
      <c r="I1488" t="str">
        <f t="shared" si="140"/>
        <v>No</v>
      </c>
      <c r="J1488">
        <f t="shared" si="141"/>
        <v>0</v>
      </c>
      <c r="K1488">
        <f t="shared" si="142"/>
        <v>1</v>
      </c>
      <c r="L1488">
        <f t="shared" si="143"/>
        <v>93</v>
      </c>
    </row>
    <row r="1489" spans="1:12" ht="14.4" customHeight="1" x14ac:dyDescent="0.3">
      <c r="A1489">
        <v>206504573</v>
      </c>
      <c r="B1489" s="1">
        <v>44999</v>
      </c>
      <c r="D1489" t="s">
        <v>7</v>
      </c>
      <c r="E1489">
        <v>39</v>
      </c>
      <c r="F1489" t="s">
        <v>6</v>
      </c>
      <c r="G1489" t="str">
        <f t="shared" si="138"/>
        <v/>
      </c>
      <c r="H1489" s="1" t="str">
        <f t="shared" si="139"/>
        <v>Tuesday</v>
      </c>
      <c r="I1489" t="str">
        <f t="shared" si="140"/>
        <v>No</v>
      </c>
      <c r="J1489">
        <f t="shared" si="141"/>
        <v>0</v>
      </c>
      <c r="K1489">
        <f t="shared" si="142"/>
        <v>0</v>
      </c>
      <c r="L1489" t="str">
        <f t="shared" si="143"/>
        <v/>
      </c>
    </row>
    <row r="1490" spans="1:12" ht="14.4" customHeight="1" x14ac:dyDescent="0.3">
      <c r="A1490">
        <v>206490851</v>
      </c>
      <c r="B1490" s="1">
        <v>44999</v>
      </c>
      <c r="D1490" t="s">
        <v>7</v>
      </c>
      <c r="E1490">
        <v>39</v>
      </c>
      <c r="F1490" t="s">
        <v>6</v>
      </c>
      <c r="G1490" t="str">
        <f t="shared" si="138"/>
        <v/>
      </c>
      <c r="H1490" s="1" t="str">
        <f t="shared" si="139"/>
        <v>Tuesday</v>
      </c>
      <c r="I1490" t="str">
        <f t="shared" si="140"/>
        <v>No</v>
      </c>
      <c r="J1490">
        <f t="shared" si="141"/>
        <v>0</v>
      </c>
      <c r="K1490">
        <f t="shared" si="142"/>
        <v>0</v>
      </c>
      <c r="L1490" t="str">
        <f t="shared" si="143"/>
        <v/>
      </c>
    </row>
    <row r="1491" spans="1:12" ht="14.4" customHeight="1" x14ac:dyDescent="0.3">
      <c r="A1491">
        <v>206468868</v>
      </c>
      <c r="B1491" s="1">
        <v>44999</v>
      </c>
      <c r="D1491" t="s">
        <v>7</v>
      </c>
      <c r="E1491">
        <v>39</v>
      </c>
      <c r="F1491" t="s">
        <v>6</v>
      </c>
      <c r="G1491" t="str">
        <f t="shared" si="138"/>
        <v/>
      </c>
      <c r="H1491" s="1" t="str">
        <f t="shared" si="139"/>
        <v>Tuesday</v>
      </c>
      <c r="I1491" t="str">
        <f t="shared" si="140"/>
        <v>No</v>
      </c>
      <c r="J1491">
        <f t="shared" si="141"/>
        <v>0</v>
      </c>
      <c r="K1491">
        <f t="shared" si="142"/>
        <v>0</v>
      </c>
      <c r="L1491" t="str">
        <f t="shared" si="143"/>
        <v/>
      </c>
    </row>
    <row r="1492" spans="1:12" ht="14.4" customHeight="1" x14ac:dyDescent="0.3">
      <c r="A1492">
        <v>206316124</v>
      </c>
      <c r="B1492" s="1">
        <v>44999</v>
      </c>
      <c r="D1492" t="s">
        <v>7</v>
      </c>
      <c r="E1492">
        <v>39</v>
      </c>
      <c r="F1492" t="s">
        <v>6</v>
      </c>
      <c r="G1492" t="str">
        <f t="shared" si="138"/>
        <v/>
      </c>
      <c r="H1492" s="1" t="str">
        <f t="shared" si="139"/>
        <v>Tuesday</v>
      </c>
      <c r="I1492" t="str">
        <f t="shared" si="140"/>
        <v>No</v>
      </c>
      <c r="J1492">
        <f t="shared" si="141"/>
        <v>0</v>
      </c>
      <c r="K1492">
        <f t="shared" si="142"/>
        <v>0</v>
      </c>
      <c r="L1492" t="str">
        <f t="shared" si="143"/>
        <v/>
      </c>
    </row>
    <row r="1493" spans="1:12" x14ac:dyDescent="0.3">
      <c r="A1493">
        <v>203404034</v>
      </c>
      <c r="B1493" s="1">
        <v>44999</v>
      </c>
      <c r="C1493" s="1">
        <v>45099</v>
      </c>
      <c r="D1493" t="s">
        <v>7</v>
      </c>
      <c r="E1493">
        <v>39</v>
      </c>
      <c r="F1493" t="s">
        <v>6</v>
      </c>
      <c r="G1493">
        <f t="shared" si="138"/>
        <v>100</v>
      </c>
      <c r="H1493" s="1" t="str">
        <f t="shared" si="139"/>
        <v>Tuesday</v>
      </c>
      <c r="I1493" t="str">
        <f t="shared" si="140"/>
        <v>No</v>
      </c>
      <c r="J1493">
        <f t="shared" si="141"/>
        <v>0</v>
      </c>
      <c r="K1493">
        <f t="shared" si="142"/>
        <v>1</v>
      </c>
      <c r="L1493">
        <f t="shared" si="143"/>
        <v>100</v>
      </c>
    </row>
    <row r="1494" spans="1:12" x14ac:dyDescent="0.3">
      <c r="A1494">
        <v>206284545</v>
      </c>
      <c r="B1494" s="1">
        <v>44999</v>
      </c>
      <c r="C1494" s="1">
        <v>45080</v>
      </c>
      <c r="D1494" t="s">
        <v>7</v>
      </c>
      <c r="E1494">
        <v>39</v>
      </c>
      <c r="F1494" t="s">
        <v>6</v>
      </c>
      <c r="G1494">
        <f t="shared" si="138"/>
        <v>81</v>
      </c>
      <c r="H1494" s="1" t="str">
        <f t="shared" si="139"/>
        <v>Tuesday</v>
      </c>
      <c r="I1494" t="str">
        <f t="shared" si="140"/>
        <v>No</v>
      </c>
      <c r="J1494">
        <f t="shared" si="141"/>
        <v>0</v>
      </c>
      <c r="K1494">
        <f t="shared" si="142"/>
        <v>1</v>
      </c>
      <c r="L1494">
        <f t="shared" si="143"/>
        <v>81</v>
      </c>
    </row>
    <row r="1495" spans="1:12" x14ac:dyDescent="0.3">
      <c r="A1495">
        <v>206470657</v>
      </c>
      <c r="B1495" s="1">
        <v>44999</v>
      </c>
      <c r="C1495" s="1">
        <v>45049</v>
      </c>
      <c r="D1495" t="s">
        <v>7</v>
      </c>
      <c r="E1495">
        <v>39</v>
      </c>
      <c r="F1495" t="s">
        <v>6</v>
      </c>
      <c r="G1495">
        <f t="shared" si="138"/>
        <v>50</v>
      </c>
      <c r="H1495" s="1" t="str">
        <f t="shared" si="139"/>
        <v>Tuesday</v>
      </c>
      <c r="I1495" t="str">
        <f t="shared" si="140"/>
        <v>No</v>
      </c>
      <c r="J1495">
        <f t="shared" si="141"/>
        <v>0</v>
      </c>
      <c r="K1495">
        <f t="shared" si="142"/>
        <v>1</v>
      </c>
      <c r="L1495">
        <f t="shared" si="143"/>
        <v>50</v>
      </c>
    </row>
    <row r="1496" spans="1:12" x14ac:dyDescent="0.3">
      <c r="A1496">
        <v>206458744</v>
      </c>
      <c r="B1496" s="1">
        <v>44999</v>
      </c>
      <c r="C1496" s="1">
        <v>45040</v>
      </c>
      <c r="D1496" t="s">
        <v>7</v>
      </c>
      <c r="E1496">
        <v>39</v>
      </c>
      <c r="F1496" t="s">
        <v>6</v>
      </c>
      <c r="G1496">
        <f t="shared" si="138"/>
        <v>41</v>
      </c>
      <c r="H1496" s="1" t="str">
        <f t="shared" si="139"/>
        <v>Tuesday</v>
      </c>
      <c r="I1496" t="str">
        <f t="shared" si="140"/>
        <v>No</v>
      </c>
      <c r="J1496">
        <f t="shared" si="141"/>
        <v>0</v>
      </c>
      <c r="K1496">
        <f t="shared" si="142"/>
        <v>1</v>
      </c>
      <c r="L1496">
        <f t="shared" si="143"/>
        <v>41</v>
      </c>
    </row>
    <row r="1497" spans="1:12" ht="14.4" customHeight="1" x14ac:dyDescent="0.3">
      <c r="A1497">
        <v>206122814</v>
      </c>
      <c r="B1497" s="1">
        <v>44999</v>
      </c>
      <c r="C1497" s="1">
        <v>45029</v>
      </c>
      <c r="D1497" t="s">
        <v>7</v>
      </c>
      <c r="E1497">
        <v>39</v>
      </c>
      <c r="F1497" t="s">
        <v>6</v>
      </c>
      <c r="G1497">
        <f t="shared" si="138"/>
        <v>30</v>
      </c>
      <c r="H1497" s="1" t="str">
        <f t="shared" si="139"/>
        <v>Tuesday</v>
      </c>
      <c r="I1497" t="str">
        <f t="shared" si="140"/>
        <v>No</v>
      </c>
      <c r="J1497">
        <f t="shared" si="141"/>
        <v>0</v>
      </c>
      <c r="K1497">
        <f t="shared" si="142"/>
        <v>0</v>
      </c>
      <c r="L1497">
        <f t="shared" si="143"/>
        <v>30</v>
      </c>
    </row>
    <row r="1498" spans="1:12" ht="14.4" customHeight="1" x14ac:dyDescent="0.3">
      <c r="A1498">
        <v>206549666</v>
      </c>
      <c r="B1498" s="1">
        <v>45000</v>
      </c>
      <c r="D1498" t="s">
        <v>7</v>
      </c>
      <c r="E1498">
        <v>39</v>
      </c>
      <c r="F1498" t="s">
        <v>6</v>
      </c>
      <c r="G1498" t="str">
        <f t="shared" si="138"/>
        <v/>
      </c>
      <c r="H1498" s="1" t="str">
        <f t="shared" si="139"/>
        <v>Wednesday</v>
      </c>
      <c r="I1498" t="str">
        <f t="shared" si="140"/>
        <v>No</v>
      </c>
      <c r="J1498">
        <f t="shared" si="141"/>
        <v>0</v>
      </c>
      <c r="K1498">
        <f t="shared" si="142"/>
        <v>0</v>
      </c>
      <c r="L1498" t="str">
        <f t="shared" si="143"/>
        <v/>
      </c>
    </row>
    <row r="1499" spans="1:12" ht="14.4" customHeight="1" x14ac:dyDescent="0.3">
      <c r="A1499">
        <v>133623621</v>
      </c>
      <c r="B1499" s="1">
        <v>45000</v>
      </c>
      <c r="D1499" t="s">
        <v>7</v>
      </c>
      <c r="E1499">
        <v>39</v>
      </c>
      <c r="F1499" t="s">
        <v>6</v>
      </c>
      <c r="G1499" t="str">
        <f t="shared" si="138"/>
        <v/>
      </c>
      <c r="H1499" s="1" t="str">
        <f t="shared" si="139"/>
        <v>Wednesday</v>
      </c>
      <c r="I1499" t="str">
        <f t="shared" si="140"/>
        <v>No</v>
      </c>
      <c r="J1499">
        <f t="shared" si="141"/>
        <v>0</v>
      </c>
      <c r="K1499">
        <f t="shared" si="142"/>
        <v>0</v>
      </c>
      <c r="L1499" t="str">
        <f t="shared" si="143"/>
        <v/>
      </c>
    </row>
    <row r="1500" spans="1:12" ht="14.4" customHeight="1" x14ac:dyDescent="0.3">
      <c r="A1500">
        <v>130982816</v>
      </c>
      <c r="B1500" s="1">
        <v>45000</v>
      </c>
      <c r="D1500" t="s">
        <v>7</v>
      </c>
      <c r="E1500">
        <v>39</v>
      </c>
      <c r="F1500" t="s">
        <v>6</v>
      </c>
      <c r="G1500" t="str">
        <f t="shared" si="138"/>
        <v/>
      </c>
      <c r="H1500" s="1" t="str">
        <f t="shared" si="139"/>
        <v>Wednesday</v>
      </c>
      <c r="I1500" t="str">
        <f t="shared" si="140"/>
        <v>No</v>
      </c>
      <c r="J1500">
        <f t="shared" si="141"/>
        <v>0</v>
      </c>
      <c r="K1500">
        <f t="shared" si="142"/>
        <v>0</v>
      </c>
      <c r="L1500" t="str">
        <f t="shared" si="143"/>
        <v/>
      </c>
    </row>
    <row r="1501" spans="1:12" x14ac:dyDescent="0.3">
      <c r="A1501">
        <v>143776119</v>
      </c>
      <c r="B1501" s="1">
        <v>45000</v>
      </c>
      <c r="C1501" s="1">
        <v>45166</v>
      </c>
      <c r="D1501" t="s">
        <v>7</v>
      </c>
      <c r="E1501">
        <v>39</v>
      </c>
      <c r="F1501" t="s">
        <v>6</v>
      </c>
      <c r="G1501">
        <f t="shared" si="138"/>
        <v>166</v>
      </c>
      <c r="H1501" s="1" t="str">
        <f t="shared" si="139"/>
        <v>Wednesday</v>
      </c>
      <c r="I1501" t="str">
        <f t="shared" si="140"/>
        <v>No</v>
      </c>
      <c r="J1501">
        <f t="shared" si="141"/>
        <v>0</v>
      </c>
      <c r="K1501">
        <f t="shared" si="142"/>
        <v>1</v>
      </c>
      <c r="L1501">
        <f t="shared" si="143"/>
        <v>166</v>
      </c>
    </row>
    <row r="1502" spans="1:12" ht="14.4" customHeight="1" x14ac:dyDescent="0.3">
      <c r="A1502">
        <v>206542743</v>
      </c>
      <c r="B1502" s="1">
        <v>45000</v>
      </c>
      <c r="C1502" s="1">
        <v>45001</v>
      </c>
      <c r="D1502" t="s">
        <v>8</v>
      </c>
      <c r="E1502">
        <v>39</v>
      </c>
      <c r="F1502" t="s">
        <v>6</v>
      </c>
      <c r="G1502">
        <f t="shared" si="138"/>
        <v>1</v>
      </c>
      <c r="H1502" s="1" t="str">
        <f t="shared" si="139"/>
        <v>Wednesday</v>
      </c>
      <c r="I1502" t="str">
        <f t="shared" si="140"/>
        <v>No</v>
      </c>
      <c r="J1502">
        <f t="shared" si="141"/>
        <v>1</v>
      </c>
      <c r="K1502">
        <f t="shared" si="142"/>
        <v>0</v>
      </c>
      <c r="L1502">
        <f t="shared" si="143"/>
        <v>1</v>
      </c>
    </row>
    <row r="1503" spans="1:12" ht="14.4" customHeight="1" x14ac:dyDescent="0.3">
      <c r="A1503">
        <v>206158603</v>
      </c>
      <c r="B1503" s="1">
        <v>45000</v>
      </c>
      <c r="C1503" s="1">
        <v>45001</v>
      </c>
      <c r="D1503" t="s">
        <v>8</v>
      </c>
      <c r="E1503">
        <v>39</v>
      </c>
      <c r="F1503" t="s">
        <v>6</v>
      </c>
      <c r="G1503">
        <f t="shared" si="138"/>
        <v>1</v>
      </c>
      <c r="H1503" s="1" t="str">
        <f t="shared" si="139"/>
        <v>Wednesday</v>
      </c>
      <c r="I1503" t="str">
        <f t="shared" si="140"/>
        <v>No</v>
      </c>
      <c r="J1503">
        <f t="shared" si="141"/>
        <v>1</v>
      </c>
      <c r="K1503">
        <f t="shared" si="142"/>
        <v>0</v>
      </c>
      <c r="L1503">
        <f t="shared" si="143"/>
        <v>1</v>
      </c>
    </row>
    <row r="1504" spans="1:12" x14ac:dyDescent="0.3">
      <c r="A1504">
        <v>206548046</v>
      </c>
      <c r="B1504" s="1">
        <v>45000</v>
      </c>
      <c r="C1504" s="1">
        <v>45085</v>
      </c>
      <c r="D1504" t="s">
        <v>7</v>
      </c>
      <c r="E1504">
        <v>39</v>
      </c>
      <c r="F1504" t="s">
        <v>6</v>
      </c>
      <c r="G1504">
        <f t="shared" si="138"/>
        <v>85</v>
      </c>
      <c r="H1504" s="1" t="str">
        <f t="shared" si="139"/>
        <v>Wednesday</v>
      </c>
      <c r="I1504" t="str">
        <f t="shared" si="140"/>
        <v>No</v>
      </c>
      <c r="J1504">
        <f t="shared" si="141"/>
        <v>0</v>
      </c>
      <c r="K1504">
        <f t="shared" si="142"/>
        <v>1</v>
      </c>
      <c r="L1504">
        <f t="shared" si="143"/>
        <v>85</v>
      </c>
    </row>
    <row r="1505" spans="1:12" x14ac:dyDescent="0.3">
      <c r="A1505">
        <v>168464004</v>
      </c>
      <c r="B1505" s="1">
        <v>45000</v>
      </c>
      <c r="C1505" s="1">
        <v>45078</v>
      </c>
      <c r="D1505" t="s">
        <v>7</v>
      </c>
      <c r="E1505">
        <v>39</v>
      </c>
      <c r="F1505" t="s">
        <v>6</v>
      </c>
      <c r="G1505">
        <f t="shared" si="138"/>
        <v>78</v>
      </c>
      <c r="H1505" s="1" t="str">
        <f t="shared" si="139"/>
        <v>Wednesday</v>
      </c>
      <c r="I1505" t="str">
        <f t="shared" si="140"/>
        <v>No</v>
      </c>
      <c r="J1505">
        <f t="shared" si="141"/>
        <v>0</v>
      </c>
      <c r="K1505">
        <f t="shared" si="142"/>
        <v>1</v>
      </c>
      <c r="L1505">
        <f t="shared" si="143"/>
        <v>78</v>
      </c>
    </row>
    <row r="1506" spans="1:12" x14ac:dyDescent="0.3">
      <c r="A1506">
        <v>146330379</v>
      </c>
      <c r="B1506" s="1">
        <v>45000</v>
      </c>
      <c r="C1506" s="1">
        <v>45035</v>
      </c>
      <c r="D1506" t="s">
        <v>7</v>
      </c>
      <c r="E1506">
        <v>39</v>
      </c>
      <c r="F1506" t="s">
        <v>6</v>
      </c>
      <c r="G1506">
        <f t="shared" si="138"/>
        <v>35</v>
      </c>
      <c r="H1506" s="1" t="str">
        <f t="shared" si="139"/>
        <v>Wednesday</v>
      </c>
      <c r="I1506" t="str">
        <f t="shared" si="140"/>
        <v>No</v>
      </c>
      <c r="J1506">
        <f t="shared" si="141"/>
        <v>0</v>
      </c>
      <c r="K1506">
        <f t="shared" si="142"/>
        <v>1</v>
      </c>
      <c r="L1506">
        <f t="shared" si="143"/>
        <v>35</v>
      </c>
    </row>
    <row r="1507" spans="1:12" x14ac:dyDescent="0.3">
      <c r="A1507">
        <v>206006946</v>
      </c>
      <c r="B1507" s="1">
        <v>45000</v>
      </c>
      <c r="C1507" s="1">
        <v>45068</v>
      </c>
      <c r="D1507" t="s">
        <v>7</v>
      </c>
      <c r="E1507">
        <v>39</v>
      </c>
      <c r="F1507" t="s">
        <v>6</v>
      </c>
      <c r="G1507">
        <f t="shared" si="138"/>
        <v>68</v>
      </c>
      <c r="H1507" s="1" t="str">
        <f t="shared" si="139"/>
        <v>Wednesday</v>
      </c>
      <c r="I1507" t="str">
        <f t="shared" si="140"/>
        <v>No</v>
      </c>
      <c r="J1507">
        <f t="shared" si="141"/>
        <v>0</v>
      </c>
      <c r="K1507">
        <f t="shared" si="142"/>
        <v>1</v>
      </c>
      <c r="L1507">
        <f t="shared" si="143"/>
        <v>68</v>
      </c>
    </row>
    <row r="1508" spans="1:12" ht="14.4" customHeight="1" x14ac:dyDescent="0.3">
      <c r="A1508">
        <v>206531388</v>
      </c>
      <c r="B1508" s="1">
        <v>45000</v>
      </c>
      <c r="C1508" s="1">
        <v>45021</v>
      </c>
      <c r="D1508" t="s">
        <v>7</v>
      </c>
      <c r="E1508">
        <v>39</v>
      </c>
      <c r="F1508" t="s">
        <v>6</v>
      </c>
      <c r="G1508">
        <f t="shared" si="138"/>
        <v>21</v>
      </c>
      <c r="H1508" s="1" t="str">
        <f t="shared" si="139"/>
        <v>Wednesday</v>
      </c>
      <c r="I1508" t="str">
        <f t="shared" si="140"/>
        <v>No</v>
      </c>
      <c r="J1508">
        <f t="shared" si="141"/>
        <v>0</v>
      </c>
      <c r="K1508">
        <f t="shared" si="142"/>
        <v>0</v>
      </c>
      <c r="L1508">
        <f t="shared" si="143"/>
        <v>21</v>
      </c>
    </row>
    <row r="1509" spans="1:12" x14ac:dyDescent="0.3">
      <c r="A1509">
        <v>206512820</v>
      </c>
      <c r="B1509" s="1">
        <v>45000</v>
      </c>
      <c r="C1509" s="1">
        <v>45119</v>
      </c>
      <c r="D1509" t="s">
        <v>7</v>
      </c>
      <c r="E1509">
        <v>39</v>
      </c>
      <c r="F1509" t="s">
        <v>6</v>
      </c>
      <c r="G1509">
        <f t="shared" si="138"/>
        <v>119</v>
      </c>
      <c r="H1509" s="1" t="str">
        <f t="shared" si="139"/>
        <v>Wednesday</v>
      </c>
      <c r="I1509" t="str">
        <f t="shared" si="140"/>
        <v>No</v>
      </c>
      <c r="J1509">
        <f t="shared" si="141"/>
        <v>0</v>
      </c>
      <c r="K1509">
        <f t="shared" si="142"/>
        <v>1</v>
      </c>
      <c r="L1509">
        <f t="shared" si="143"/>
        <v>119</v>
      </c>
    </row>
    <row r="1510" spans="1:12" ht="14.4" customHeight="1" x14ac:dyDescent="0.3">
      <c r="A1510">
        <v>206501414</v>
      </c>
      <c r="B1510" s="1">
        <v>45001</v>
      </c>
      <c r="D1510" t="s">
        <v>7</v>
      </c>
      <c r="E1510">
        <v>39</v>
      </c>
      <c r="F1510" t="s">
        <v>6</v>
      </c>
      <c r="G1510" t="str">
        <f t="shared" si="138"/>
        <v/>
      </c>
      <c r="H1510" s="1" t="str">
        <f t="shared" si="139"/>
        <v>Thursday</v>
      </c>
      <c r="I1510" t="str">
        <f t="shared" si="140"/>
        <v>No</v>
      </c>
      <c r="J1510">
        <f t="shared" si="141"/>
        <v>0</v>
      </c>
      <c r="K1510">
        <f t="shared" si="142"/>
        <v>0</v>
      </c>
      <c r="L1510" t="str">
        <f t="shared" si="143"/>
        <v/>
      </c>
    </row>
    <row r="1511" spans="1:12" ht="14.4" customHeight="1" x14ac:dyDescent="0.3">
      <c r="A1511">
        <v>181175226</v>
      </c>
      <c r="B1511" s="1">
        <v>45001</v>
      </c>
      <c r="C1511" s="1">
        <v>45016</v>
      </c>
      <c r="D1511" t="s">
        <v>7</v>
      </c>
      <c r="E1511">
        <v>39</v>
      </c>
      <c r="F1511" t="s">
        <v>6</v>
      </c>
      <c r="G1511">
        <f t="shared" si="138"/>
        <v>15</v>
      </c>
      <c r="H1511" s="1" t="str">
        <f t="shared" si="139"/>
        <v>Thursday</v>
      </c>
      <c r="I1511" t="str">
        <f t="shared" si="140"/>
        <v>No</v>
      </c>
      <c r="J1511">
        <f t="shared" si="141"/>
        <v>0</v>
      </c>
      <c r="K1511">
        <f t="shared" si="142"/>
        <v>0</v>
      </c>
      <c r="L1511">
        <f t="shared" si="143"/>
        <v>15</v>
      </c>
    </row>
    <row r="1512" spans="1:12" ht="14.4" customHeight="1" x14ac:dyDescent="0.3">
      <c r="A1512">
        <v>148758550</v>
      </c>
      <c r="B1512" s="1">
        <v>45002</v>
      </c>
      <c r="D1512" t="s">
        <v>7</v>
      </c>
      <c r="E1512">
        <v>39</v>
      </c>
      <c r="F1512" t="s">
        <v>6</v>
      </c>
      <c r="G1512" t="str">
        <f t="shared" si="138"/>
        <v/>
      </c>
      <c r="H1512" s="1" t="str">
        <f t="shared" si="139"/>
        <v>Friday</v>
      </c>
      <c r="I1512" t="str">
        <f t="shared" si="140"/>
        <v>No</v>
      </c>
      <c r="J1512">
        <f t="shared" si="141"/>
        <v>0</v>
      </c>
      <c r="K1512">
        <f t="shared" si="142"/>
        <v>0</v>
      </c>
      <c r="L1512" t="str">
        <f t="shared" si="143"/>
        <v/>
      </c>
    </row>
    <row r="1513" spans="1:12" ht="14.4" customHeight="1" x14ac:dyDescent="0.3">
      <c r="A1513">
        <v>206682036</v>
      </c>
      <c r="B1513" s="1">
        <v>45002</v>
      </c>
      <c r="D1513" t="s">
        <v>7</v>
      </c>
      <c r="E1513">
        <v>39</v>
      </c>
      <c r="F1513" t="s">
        <v>6</v>
      </c>
      <c r="G1513" t="str">
        <f t="shared" si="138"/>
        <v/>
      </c>
      <c r="H1513" s="1" t="str">
        <f t="shared" si="139"/>
        <v>Friday</v>
      </c>
      <c r="I1513" t="str">
        <f t="shared" si="140"/>
        <v>No</v>
      </c>
      <c r="J1513">
        <f t="shared" si="141"/>
        <v>0</v>
      </c>
      <c r="K1513">
        <f t="shared" si="142"/>
        <v>0</v>
      </c>
      <c r="L1513" t="str">
        <f t="shared" si="143"/>
        <v/>
      </c>
    </row>
    <row r="1514" spans="1:12" ht="14.4" customHeight="1" x14ac:dyDescent="0.3">
      <c r="A1514">
        <v>206149654</v>
      </c>
      <c r="B1514" s="1">
        <v>45002</v>
      </c>
      <c r="D1514" t="s">
        <v>7</v>
      </c>
      <c r="E1514">
        <v>39</v>
      </c>
      <c r="F1514" t="s">
        <v>6</v>
      </c>
      <c r="G1514" t="str">
        <f t="shared" si="138"/>
        <v/>
      </c>
      <c r="H1514" s="1" t="str">
        <f t="shared" si="139"/>
        <v>Friday</v>
      </c>
      <c r="I1514" t="str">
        <f t="shared" si="140"/>
        <v>No</v>
      </c>
      <c r="J1514">
        <f t="shared" si="141"/>
        <v>0</v>
      </c>
      <c r="K1514">
        <f t="shared" si="142"/>
        <v>0</v>
      </c>
      <c r="L1514" t="str">
        <f t="shared" si="143"/>
        <v/>
      </c>
    </row>
    <row r="1515" spans="1:12" ht="14.4" customHeight="1" x14ac:dyDescent="0.3">
      <c r="A1515">
        <v>206653056</v>
      </c>
      <c r="B1515" s="1">
        <v>45002</v>
      </c>
      <c r="D1515" t="s">
        <v>7</v>
      </c>
      <c r="E1515">
        <v>39</v>
      </c>
      <c r="F1515" t="s">
        <v>6</v>
      </c>
      <c r="G1515" t="str">
        <f t="shared" si="138"/>
        <v/>
      </c>
      <c r="H1515" s="1" t="str">
        <f t="shared" si="139"/>
        <v>Friday</v>
      </c>
      <c r="I1515" t="str">
        <f t="shared" si="140"/>
        <v>No</v>
      </c>
      <c r="J1515">
        <f t="shared" si="141"/>
        <v>0</v>
      </c>
      <c r="K1515">
        <f t="shared" si="142"/>
        <v>0</v>
      </c>
      <c r="L1515" t="str">
        <f t="shared" si="143"/>
        <v/>
      </c>
    </row>
    <row r="1516" spans="1:12" ht="14.4" customHeight="1" x14ac:dyDescent="0.3">
      <c r="A1516">
        <v>198466025</v>
      </c>
      <c r="B1516" s="1">
        <v>45002</v>
      </c>
      <c r="D1516" t="s">
        <v>7</v>
      </c>
      <c r="E1516">
        <v>39</v>
      </c>
      <c r="F1516" t="s">
        <v>6</v>
      </c>
      <c r="G1516" t="str">
        <f t="shared" si="138"/>
        <v/>
      </c>
      <c r="H1516" s="1" t="str">
        <f t="shared" si="139"/>
        <v>Friday</v>
      </c>
      <c r="I1516" t="str">
        <f t="shared" si="140"/>
        <v>No</v>
      </c>
      <c r="J1516">
        <f t="shared" si="141"/>
        <v>0</v>
      </c>
      <c r="K1516">
        <f t="shared" si="142"/>
        <v>0</v>
      </c>
      <c r="L1516" t="str">
        <f t="shared" si="143"/>
        <v/>
      </c>
    </row>
    <row r="1517" spans="1:12" ht="14.4" customHeight="1" x14ac:dyDescent="0.3">
      <c r="A1517">
        <v>206685935</v>
      </c>
      <c r="B1517" s="1">
        <v>45002</v>
      </c>
      <c r="C1517" s="1">
        <v>45003</v>
      </c>
      <c r="D1517" t="s">
        <v>8</v>
      </c>
      <c r="E1517">
        <v>39</v>
      </c>
      <c r="F1517" t="s">
        <v>6</v>
      </c>
      <c r="G1517">
        <f t="shared" si="138"/>
        <v>1</v>
      </c>
      <c r="H1517" s="1" t="str">
        <f t="shared" si="139"/>
        <v>Friday</v>
      </c>
      <c r="I1517" t="str">
        <f t="shared" si="140"/>
        <v>No</v>
      </c>
      <c r="J1517">
        <f t="shared" si="141"/>
        <v>1</v>
      </c>
      <c r="K1517">
        <f t="shared" si="142"/>
        <v>0</v>
      </c>
      <c r="L1517">
        <f t="shared" si="143"/>
        <v>1</v>
      </c>
    </row>
    <row r="1518" spans="1:12" ht="14.4" customHeight="1" x14ac:dyDescent="0.3">
      <c r="A1518">
        <v>206659390</v>
      </c>
      <c r="B1518" s="1">
        <v>45002</v>
      </c>
      <c r="C1518" s="1">
        <v>45003</v>
      </c>
      <c r="D1518" t="s">
        <v>8</v>
      </c>
      <c r="E1518">
        <v>39</v>
      </c>
      <c r="F1518" t="s">
        <v>6</v>
      </c>
      <c r="G1518">
        <f t="shared" si="138"/>
        <v>1</v>
      </c>
      <c r="H1518" s="1" t="str">
        <f t="shared" si="139"/>
        <v>Friday</v>
      </c>
      <c r="I1518" t="str">
        <f t="shared" si="140"/>
        <v>No</v>
      </c>
      <c r="J1518">
        <f t="shared" si="141"/>
        <v>1</v>
      </c>
      <c r="K1518">
        <f t="shared" si="142"/>
        <v>0</v>
      </c>
      <c r="L1518">
        <f t="shared" si="143"/>
        <v>1</v>
      </c>
    </row>
    <row r="1519" spans="1:12" x14ac:dyDescent="0.3">
      <c r="A1519">
        <v>206550926</v>
      </c>
      <c r="B1519" s="1">
        <v>45002</v>
      </c>
      <c r="C1519" s="1">
        <v>45033</v>
      </c>
      <c r="D1519" t="s">
        <v>7</v>
      </c>
      <c r="E1519">
        <v>39</v>
      </c>
      <c r="F1519" t="s">
        <v>6</v>
      </c>
      <c r="G1519">
        <f t="shared" si="138"/>
        <v>31</v>
      </c>
      <c r="H1519" s="1" t="str">
        <f t="shared" si="139"/>
        <v>Friday</v>
      </c>
      <c r="I1519" t="str">
        <f t="shared" si="140"/>
        <v>No</v>
      </c>
      <c r="J1519">
        <f t="shared" si="141"/>
        <v>0</v>
      </c>
      <c r="K1519">
        <f t="shared" si="142"/>
        <v>1</v>
      </c>
      <c r="L1519">
        <f t="shared" si="143"/>
        <v>31</v>
      </c>
    </row>
    <row r="1520" spans="1:12" ht="14.4" customHeight="1" x14ac:dyDescent="0.3">
      <c r="A1520">
        <v>206673590</v>
      </c>
      <c r="B1520" s="1">
        <v>45002</v>
      </c>
      <c r="C1520" s="1">
        <v>45015</v>
      </c>
      <c r="D1520" t="s">
        <v>7</v>
      </c>
      <c r="E1520">
        <v>39</v>
      </c>
      <c r="F1520" t="s">
        <v>6</v>
      </c>
      <c r="G1520">
        <f t="shared" si="138"/>
        <v>13</v>
      </c>
      <c r="H1520" s="1" t="str">
        <f t="shared" si="139"/>
        <v>Friday</v>
      </c>
      <c r="I1520" t="str">
        <f t="shared" si="140"/>
        <v>No</v>
      </c>
      <c r="J1520">
        <f t="shared" si="141"/>
        <v>0</v>
      </c>
      <c r="K1520">
        <f t="shared" si="142"/>
        <v>0</v>
      </c>
      <c r="L1520">
        <f t="shared" si="143"/>
        <v>13</v>
      </c>
    </row>
    <row r="1521" spans="1:12" x14ac:dyDescent="0.3">
      <c r="A1521">
        <v>205593462</v>
      </c>
      <c r="B1521" s="1">
        <v>45002</v>
      </c>
      <c r="C1521" s="1">
        <v>45148</v>
      </c>
      <c r="D1521" t="s">
        <v>7</v>
      </c>
      <c r="E1521">
        <v>39</v>
      </c>
      <c r="F1521" t="s">
        <v>6</v>
      </c>
      <c r="G1521">
        <f t="shared" si="138"/>
        <v>146</v>
      </c>
      <c r="H1521" s="1" t="str">
        <f t="shared" si="139"/>
        <v>Friday</v>
      </c>
      <c r="I1521" t="str">
        <f t="shared" si="140"/>
        <v>No</v>
      </c>
      <c r="J1521">
        <f t="shared" si="141"/>
        <v>0</v>
      </c>
      <c r="K1521">
        <f t="shared" si="142"/>
        <v>1</v>
      </c>
      <c r="L1521">
        <f t="shared" si="143"/>
        <v>146</v>
      </c>
    </row>
    <row r="1522" spans="1:12" ht="14.4" customHeight="1" x14ac:dyDescent="0.3">
      <c r="A1522">
        <v>205889926</v>
      </c>
      <c r="B1522" s="1">
        <v>45003</v>
      </c>
      <c r="D1522" t="s">
        <v>7</v>
      </c>
      <c r="E1522">
        <v>39</v>
      </c>
      <c r="F1522" t="s">
        <v>6</v>
      </c>
      <c r="G1522" t="str">
        <f t="shared" si="138"/>
        <v/>
      </c>
      <c r="H1522" s="1" t="str">
        <f t="shared" si="139"/>
        <v>Saturday</v>
      </c>
      <c r="I1522" t="str">
        <f t="shared" si="140"/>
        <v>No</v>
      </c>
      <c r="J1522">
        <f t="shared" si="141"/>
        <v>0</v>
      </c>
      <c r="K1522">
        <f t="shared" si="142"/>
        <v>0</v>
      </c>
      <c r="L1522" t="str">
        <f t="shared" si="143"/>
        <v/>
      </c>
    </row>
    <row r="1523" spans="1:12" ht="14.4" customHeight="1" x14ac:dyDescent="0.3">
      <c r="A1523">
        <v>151713121</v>
      </c>
      <c r="B1523" s="1">
        <v>45003</v>
      </c>
      <c r="D1523" t="s">
        <v>7</v>
      </c>
      <c r="E1523">
        <v>39</v>
      </c>
      <c r="F1523" t="s">
        <v>6</v>
      </c>
      <c r="G1523" t="str">
        <f t="shared" si="138"/>
        <v/>
      </c>
      <c r="H1523" s="1" t="str">
        <f t="shared" si="139"/>
        <v>Saturday</v>
      </c>
      <c r="I1523" t="str">
        <f t="shared" si="140"/>
        <v>No</v>
      </c>
      <c r="J1523">
        <f t="shared" si="141"/>
        <v>0</v>
      </c>
      <c r="K1523">
        <f t="shared" si="142"/>
        <v>0</v>
      </c>
      <c r="L1523" t="str">
        <f t="shared" si="143"/>
        <v/>
      </c>
    </row>
    <row r="1524" spans="1:12" ht="14.4" customHeight="1" x14ac:dyDescent="0.3">
      <c r="A1524">
        <v>206759898</v>
      </c>
      <c r="B1524" s="1">
        <v>45003</v>
      </c>
      <c r="C1524" s="1">
        <v>45004</v>
      </c>
      <c r="D1524" t="s">
        <v>8</v>
      </c>
      <c r="E1524">
        <v>39</v>
      </c>
      <c r="F1524" t="s">
        <v>6</v>
      </c>
      <c r="G1524">
        <f t="shared" si="138"/>
        <v>1</v>
      </c>
      <c r="H1524" s="1" t="str">
        <f t="shared" si="139"/>
        <v>Saturday</v>
      </c>
      <c r="I1524" t="str">
        <f t="shared" si="140"/>
        <v>No</v>
      </c>
      <c r="J1524">
        <f t="shared" si="141"/>
        <v>1</v>
      </c>
      <c r="K1524">
        <f t="shared" si="142"/>
        <v>0</v>
      </c>
      <c r="L1524">
        <f t="shared" si="143"/>
        <v>1</v>
      </c>
    </row>
    <row r="1525" spans="1:12" ht="14.4" customHeight="1" x14ac:dyDescent="0.3">
      <c r="A1525">
        <v>206750792</v>
      </c>
      <c r="B1525" s="1">
        <v>45003</v>
      </c>
      <c r="C1525" s="1">
        <v>45004</v>
      </c>
      <c r="D1525" t="s">
        <v>8</v>
      </c>
      <c r="E1525">
        <v>39</v>
      </c>
      <c r="F1525" t="s">
        <v>6</v>
      </c>
      <c r="G1525">
        <f t="shared" si="138"/>
        <v>1</v>
      </c>
      <c r="H1525" s="1" t="str">
        <f t="shared" si="139"/>
        <v>Saturday</v>
      </c>
      <c r="I1525" t="str">
        <f t="shared" si="140"/>
        <v>No</v>
      </c>
      <c r="J1525">
        <f t="shared" si="141"/>
        <v>1</v>
      </c>
      <c r="K1525">
        <f t="shared" si="142"/>
        <v>0</v>
      </c>
      <c r="L1525">
        <f t="shared" si="143"/>
        <v>1</v>
      </c>
    </row>
    <row r="1526" spans="1:12" ht="14.4" customHeight="1" x14ac:dyDescent="0.3">
      <c r="A1526">
        <v>206742592</v>
      </c>
      <c r="B1526" s="1">
        <v>45003</v>
      </c>
      <c r="C1526" s="1">
        <v>45004</v>
      </c>
      <c r="D1526" t="s">
        <v>8</v>
      </c>
      <c r="E1526">
        <v>39</v>
      </c>
      <c r="F1526" t="s">
        <v>6</v>
      </c>
      <c r="G1526">
        <f t="shared" si="138"/>
        <v>1</v>
      </c>
      <c r="H1526" s="1" t="str">
        <f t="shared" si="139"/>
        <v>Saturday</v>
      </c>
      <c r="I1526" t="str">
        <f t="shared" si="140"/>
        <v>No</v>
      </c>
      <c r="J1526">
        <f t="shared" si="141"/>
        <v>1</v>
      </c>
      <c r="K1526">
        <f t="shared" si="142"/>
        <v>0</v>
      </c>
      <c r="L1526">
        <f t="shared" si="143"/>
        <v>1</v>
      </c>
    </row>
    <row r="1527" spans="1:12" ht="14.4" customHeight="1" x14ac:dyDescent="0.3">
      <c r="A1527">
        <v>206700008</v>
      </c>
      <c r="B1527" s="1">
        <v>45003</v>
      </c>
      <c r="C1527" s="1">
        <v>45004</v>
      </c>
      <c r="D1527" t="s">
        <v>8</v>
      </c>
      <c r="E1527">
        <v>39</v>
      </c>
      <c r="F1527" t="s">
        <v>6</v>
      </c>
      <c r="G1527">
        <f t="shared" si="138"/>
        <v>1</v>
      </c>
      <c r="H1527" s="1" t="str">
        <f t="shared" si="139"/>
        <v>Saturday</v>
      </c>
      <c r="I1527" t="str">
        <f t="shared" si="140"/>
        <v>No</v>
      </c>
      <c r="J1527">
        <f t="shared" si="141"/>
        <v>1</v>
      </c>
      <c r="K1527">
        <f t="shared" si="142"/>
        <v>0</v>
      </c>
      <c r="L1527">
        <f t="shared" si="143"/>
        <v>1</v>
      </c>
    </row>
    <row r="1528" spans="1:12" x14ac:dyDescent="0.3">
      <c r="A1528">
        <v>156170916</v>
      </c>
      <c r="B1528" s="1">
        <v>45003</v>
      </c>
      <c r="C1528" s="1">
        <v>45152</v>
      </c>
      <c r="D1528" t="s">
        <v>7</v>
      </c>
      <c r="E1528">
        <v>39</v>
      </c>
      <c r="F1528" t="s">
        <v>6</v>
      </c>
      <c r="G1528">
        <f t="shared" si="138"/>
        <v>149</v>
      </c>
      <c r="H1528" s="1" t="str">
        <f t="shared" si="139"/>
        <v>Saturday</v>
      </c>
      <c r="I1528" t="str">
        <f t="shared" si="140"/>
        <v>No</v>
      </c>
      <c r="J1528">
        <f t="shared" si="141"/>
        <v>0</v>
      </c>
      <c r="K1528">
        <f t="shared" si="142"/>
        <v>1</v>
      </c>
      <c r="L1528">
        <f t="shared" si="143"/>
        <v>149</v>
      </c>
    </row>
    <row r="1529" spans="1:12" x14ac:dyDescent="0.3">
      <c r="A1529">
        <v>206607664</v>
      </c>
      <c r="B1529" s="1">
        <v>45003</v>
      </c>
      <c r="C1529" s="1">
        <v>45041</v>
      </c>
      <c r="D1529" t="s">
        <v>7</v>
      </c>
      <c r="E1529">
        <v>39</v>
      </c>
      <c r="F1529" t="s">
        <v>6</v>
      </c>
      <c r="G1529">
        <f t="shared" si="138"/>
        <v>38</v>
      </c>
      <c r="H1529" s="1" t="str">
        <f t="shared" si="139"/>
        <v>Saturday</v>
      </c>
      <c r="I1529" t="str">
        <f t="shared" si="140"/>
        <v>No</v>
      </c>
      <c r="J1529">
        <f t="shared" si="141"/>
        <v>0</v>
      </c>
      <c r="K1529">
        <f t="shared" si="142"/>
        <v>1</v>
      </c>
      <c r="L1529">
        <f t="shared" si="143"/>
        <v>38</v>
      </c>
    </row>
    <row r="1530" spans="1:12" ht="14.4" customHeight="1" x14ac:dyDescent="0.3">
      <c r="A1530">
        <v>183332399</v>
      </c>
      <c r="B1530" s="1">
        <v>45004</v>
      </c>
      <c r="D1530" t="s">
        <v>7</v>
      </c>
      <c r="E1530">
        <v>39</v>
      </c>
      <c r="F1530" t="s">
        <v>6</v>
      </c>
      <c r="G1530" t="str">
        <f t="shared" si="138"/>
        <v/>
      </c>
      <c r="H1530" s="1" t="str">
        <f t="shared" si="139"/>
        <v>Sunday</v>
      </c>
      <c r="I1530" t="str">
        <f t="shared" si="140"/>
        <v>No</v>
      </c>
      <c r="J1530">
        <f t="shared" si="141"/>
        <v>0</v>
      </c>
      <c r="K1530">
        <f t="shared" si="142"/>
        <v>0</v>
      </c>
      <c r="L1530" t="str">
        <f t="shared" si="143"/>
        <v/>
      </c>
    </row>
    <row r="1531" spans="1:12" ht="14.4" customHeight="1" x14ac:dyDescent="0.3">
      <c r="A1531">
        <v>176705210</v>
      </c>
      <c r="B1531" s="1">
        <v>45004</v>
      </c>
      <c r="C1531" s="1">
        <v>45005</v>
      </c>
      <c r="D1531" t="s">
        <v>7</v>
      </c>
      <c r="E1531">
        <v>39</v>
      </c>
      <c r="F1531" t="s">
        <v>6</v>
      </c>
      <c r="G1531">
        <f t="shared" si="138"/>
        <v>1</v>
      </c>
      <c r="H1531" s="1" t="str">
        <f t="shared" si="139"/>
        <v>Sunday</v>
      </c>
      <c r="I1531" t="str">
        <f t="shared" si="140"/>
        <v>No</v>
      </c>
      <c r="J1531">
        <f t="shared" si="141"/>
        <v>1</v>
      </c>
      <c r="K1531">
        <f t="shared" si="142"/>
        <v>0</v>
      </c>
      <c r="L1531">
        <f t="shared" si="143"/>
        <v>1</v>
      </c>
    </row>
    <row r="1532" spans="1:12" ht="14.4" customHeight="1" x14ac:dyDescent="0.3">
      <c r="A1532">
        <v>154901722</v>
      </c>
      <c r="B1532" s="1">
        <v>45004</v>
      </c>
      <c r="C1532" s="1">
        <v>45004</v>
      </c>
      <c r="D1532" t="s">
        <v>7</v>
      </c>
      <c r="E1532">
        <v>39</v>
      </c>
      <c r="F1532" t="s">
        <v>6</v>
      </c>
      <c r="G1532">
        <f t="shared" si="138"/>
        <v>0</v>
      </c>
      <c r="H1532" s="1" t="str">
        <f t="shared" si="139"/>
        <v>Sunday</v>
      </c>
      <c r="I1532" t="str">
        <f t="shared" si="140"/>
        <v>Yes</v>
      </c>
      <c r="J1532">
        <f t="shared" si="141"/>
        <v>1</v>
      </c>
      <c r="K1532">
        <f t="shared" si="142"/>
        <v>0</v>
      </c>
      <c r="L1532">
        <f t="shared" si="143"/>
        <v>0</v>
      </c>
    </row>
    <row r="1533" spans="1:12" x14ac:dyDescent="0.3">
      <c r="A1533">
        <v>153438676</v>
      </c>
      <c r="B1533" s="1">
        <v>45004</v>
      </c>
      <c r="C1533" s="1">
        <v>45072</v>
      </c>
      <c r="D1533" t="s">
        <v>7</v>
      </c>
      <c r="E1533">
        <v>39</v>
      </c>
      <c r="F1533" t="s">
        <v>6</v>
      </c>
      <c r="G1533">
        <f t="shared" si="138"/>
        <v>68</v>
      </c>
      <c r="H1533" s="1" t="str">
        <f t="shared" si="139"/>
        <v>Sunday</v>
      </c>
      <c r="I1533" t="str">
        <f t="shared" si="140"/>
        <v>No</v>
      </c>
      <c r="J1533">
        <f t="shared" si="141"/>
        <v>0</v>
      </c>
      <c r="K1533">
        <f t="shared" si="142"/>
        <v>1</v>
      </c>
      <c r="L1533">
        <f t="shared" si="143"/>
        <v>68</v>
      </c>
    </row>
    <row r="1534" spans="1:12" x14ac:dyDescent="0.3">
      <c r="A1534">
        <v>154901722</v>
      </c>
      <c r="B1534" s="1">
        <v>45004</v>
      </c>
      <c r="C1534" s="1">
        <v>45050</v>
      </c>
      <c r="D1534" t="s">
        <v>7</v>
      </c>
      <c r="E1534">
        <v>39</v>
      </c>
      <c r="F1534" t="s">
        <v>6</v>
      </c>
      <c r="G1534">
        <f t="shared" si="138"/>
        <v>46</v>
      </c>
      <c r="H1534" s="1" t="str">
        <f t="shared" si="139"/>
        <v>Sunday</v>
      </c>
      <c r="I1534" t="str">
        <f t="shared" si="140"/>
        <v>No</v>
      </c>
      <c r="J1534">
        <f t="shared" si="141"/>
        <v>0</v>
      </c>
      <c r="K1534">
        <f t="shared" si="142"/>
        <v>1</v>
      </c>
      <c r="L1534">
        <f t="shared" si="143"/>
        <v>46</v>
      </c>
    </row>
    <row r="1535" spans="1:12" ht="14.4" customHeight="1" x14ac:dyDescent="0.3">
      <c r="A1535">
        <v>123768696</v>
      </c>
      <c r="B1535" s="1">
        <v>45004</v>
      </c>
      <c r="C1535" s="1">
        <v>45027</v>
      </c>
      <c r="D1535" t="s">
        <v>7</v>
      </c>
      <c r="E1535">
        <v>39</v>
      </c>
      <c r="F1535" t="s">
        <v>6</v>
      </c>
      <c r="G1535">
        <f t="shared" si="138"/>
        <v>23</v>
      </c>
      <c r="H1535" s="1" t="str">
        <f t="shared" si="139"/>
        <v>Sunday</v>
      </c>
      <c r="I1535" t="str">
        <f t="shared" si="140"/>
        <v>No</v>
      </c>
      <c r="J1535">
        <f t="shared" si="141"/>
        <v>0</v>
      </c>
      <c r="K1535">
        <f t="shared" si="142"/>
        <v>0</v>
      </c>
      <c r="L1535">
        <f t="shared" si="143"/>
        <v>23</v>
      </c>
    </row>
    <row r="1536" spans="1:12" x14ac:dyDescent="0.3">
      <c r="A1536">
        <v>142976081</v>
      </c>
      <c r="B1536" s="1">
        <v>45004</v>
      </c>
      <c r="C1536" s="1">
        <v>45035</v>
      </c>
      <c r="D1536" t="s">
        <v>7</v>
      </c>
      <c r="E1536">
        <v>39</v>
      </c>
      <c r="F1536" t="s">
        <v>6</v>
      </c>
      <c r="G1536">
        <f t="shared" si="138"/>
        <v>31</v>
      </c>
      <c r="H1536" s="1" t="str">
        <f t="shared" si="139"/>
        <v>Sunday</v>
      </c>
      <c r="I1536" t="str">
        <f t="shared" si="140"/>
        <v>No</v>
      </c>
      <c r="J1536">
        <f t="shared" si="141"/>
        <v>0</v>
      </c>
      <c r="K1536">
        <f t="shared" si="142"/>
        <v>1</v>
      </c>
      <c r="L1536">
        <f t="shared" si="143"/>
        <v>31</v>
      </c>
    </row>
    <row r="1537" spans="1:12" ht="14.4" customHeight="1" x14ac:dyDescent="0.3">
      <c r="A1537">
        <v>152223051</v>
      </c>
      <c r="B1537" s="1">
        <v>45005</v>
      </c>
      <c r="D1537" t="s">
        <v>7</v>
      </c>
      <c r="E1537">
        <v>39</v>
      </c>
      <c r="F1537" t="s">
        <v>6</v>
      </c>
      <c r="G1537" t="str">
        <f t="shared" si="138"/>
        <v/>
      </c>
      <c r="H1537" s="1" t="str">
        <f t="shared" si="139"/>
        <v>Monday</v>
      </c>
      <c r="I1537" t="str">
        <f t="shared" si="140"/>
        <v>No</v>
      </c>
      <c r="J1537">
        <f t="shared" si="141"/>
        <v>0</v>
      </c>
      <c r="K1537">
        <f t="shared" si="142"/>
        <v>0</v>
      </c>
      <c r="L1537" t="str">
        <f t="shared" si="143"/>
        <v/>
      </c>
    </row>
    <row r="1538" spans="1:12" ht="14.4" customHeight="1" x14ac:dyDescent="0.3">
      <c r="A1538">
        <v>206865174</v>
      </c>
      <c r="B1538" s="1">
        <v>45005</v>
      </c>
      <c r="D1538" t="s">
        <v>7</v>
      </c>
      <c r="E1538">
        <v>39</v>
      </c>
      <c r="F1538" t="s">
        <v>6</v>
      </c>
      <c r="G1538" t="str">
        <f t="shared" ref="G1538:G1601" si="144">IF(C1538="","",C1538-B1538)</f>
        <v/>
      </c>
      <c r="H1538" s="1" t="str">
        <f t="shared" si="139"/>
        <v>Monday</v>
      </c>
      <c r="I1538" t="str">
        <f t="shared" si="140"/>
        <v>No</v>
      </c>
      <c r="J1538">
        <f t="shared" si="141"/>
        <v>0</v>
      </c>
      <c r="K1538">
        <f t="shared" si="142"/>
        <v>0</v>
      </c>
      <c r="L1538" t="str">
        <f t="shared" si="143"/>
        <v/>
      </c>
    </row>
    <row r="1539" spans="1:12" ht="14.4" customHeight="1" x14ac:dyDescent="0.3">
      <c r="A1539">
        <v>143327052</v>
      </c>
      <c r="B1539" s="1">
        <v>45005</v>
      </c>
      <c r="D1539" t="s">
        <v>7</v>
      </c>
      <c r="E1539">
        <v>39</v>
      </c>
      <c r="F1539" t="s">
        <v>6</v>
      </c>
      <c r="G1539" t="str">
        <f t="shared" si="144"/>
        <v/>
      </c>
      <c r="H1539" s="1" t="str">
        <f t="shared" ref="H1539:H1602" si="145">TEXT(B1539,"dddd")</f>
        <v>Monday</v>
      </c>
      <c r="I1539" t="str">
        <f t="shared" ref="I1539:I1602" si="146">IF(B1539=C1539,"Yes","No")</f>
        <v>No</v>
      </c>
      <c r="J1539">
        <f t="shared" ref="J1539:J1602" si="147">IF(AND(C1539&lt;&gt;"",C1539-B1539&lt;=2),1,0)</f>
        <v>0</v>
      </c>
      <c r="K1539">
        <f t="shared" ref="K1539:K1602" si="148">IF(AND(C1539&lt;&gt;"",C1539-B1539&gt;30),1,0)</f>
        <v>0</v>
      </c>
      <c r="L1539" t="str">
        <f t="shared" ref="L1539:L1602" si="149">IF(C1539="","",C1539-B1539)</f>
        <v/>
      </c>
    </row>
    <row r="1540" spans="1:12" ht="14.4" customHeight="1" x14ac:dyDescent="0.3">
      <c r="A1540">
        <v>202270426</v>
      </c>
      <c r="B1540" s="1">
        <v>45005</v>
      </c>
      <c r="C1540" s="1">
        <v>45006</v>
      </c>
      <c r="D1540" t="s">
        <v>7</v>
      </c>
      <c r="E1540">
        <v>39</v>
      </c>
      <c r="F1540" t="s">
        <v>6</v>
      </c>
      <c r="G1540">
        <f t="shared" si="144"/>
        <v>1</v>
      </c>
      <c r="H1540" s="1" t="str">
        <f t="shared" si="145"/>
        <v>Monday</v>
      </c>
      <c r="I1540" t="str">
        <f t="shared" si="146"/>
        <v>No</v>
      </c>
      <c r="J1540">
        <f t="shared" si="147"/>
        <v>1</v>
      </c>
      <c r="K1540">
        <f t="shared" si="148"/>
        <v>0</v>
      </c>
      <c r="L1540">
        <f t="shared" si="149"/>
        <v>1</v>
      </c>
    </row>
    <row r="1541" spans="1:12" x14ac:dyDescent="0.3">
      <c r="A1541">
        <v>185602413</v>
      </c>
      <c r="B1541" s="1">
        <v>45005</v>
      </c>
      <c r="C1541" s="1">
        <v>45104</v>
      </c>
      <c r="D1541" t="s">
        <v>7</v>
      </c>
      <c r="E1541">
        <v>39</v>
      </c>
      <c r="F1541" t="s">
        <v>6</v>
      </c>
      <c r="G1541">
        <f t="shared" si="144"/>
        <v>99</v>
      </c>
      <c r="H1541" s="1" t="str">
        <f t="shared" si="145"/>
        <v>Monday</v>
      </c>
      <c r="I1541" t="str">
        <f t="shared" si="146"/>
        <v>No</v>
      </c>
      <c r="J1541">
        <f t="shared" si="147"/>
        <v>0</v>
      </c>
      <c r="K1541">
        <f t="shared" si="148"/>
        <v>1</v>
      </c>
      <c r="L1541">
        <f t="shared" si="149"/>
        <v>99</v>
      </c>
    </row>
    <row r="1542" spans="1:12" x14ac:dyDescent="0.3">
      <c r="A1542">
        <v>206679618</v>
      </c>
      <c r="B1542" s="1">
        <v>45005</v>
      </c>
      <c r="C1542" s="1">
        <v>45047</v>
      </c>
      <c r="D1542" t="s">
        <v>7</v>
      </c>
      <c r="E1542">
        <v>39</v>
      </c>
      <c r="F1542" t="s">
        <v>6</v>
      </c>
      <c r="G1542">
        <f t="shared" si="144"/>
        <v>42</v>
      </c>
      <c r="H1542" s="1" t="str">
        <f t="shared" si="145"/>
        <v>Monday</v>
      </c>
      <c r="I1542" t="str">
        <f t="shared" si="146"/>
        <v>No</v>
      </c>
      <c r="J1542">
        <f t="shared" si="147"/>
        <v>0</v>
      </c>
      <c r="K1542">
        <f t="shared" si="148"/>
        <v>1</v>
      </c>
      <c r="L1542">
        <f t="shared" si="149"/>
        <v>42</v>
      </c>
    </row>
    <row r="1543" spans="1:12" ht="14.4" customHeight="1" x14ac:dyDescent="0.3">
      <c r="A1543">
        <v>127561439</v>
      </c>
      <c r="B1543" s="1">
        <v>45005</v>
      </c>
      <c r="C1543" s="1">
        <v>45035</v>
      </c>
      <c r="D1543" t="s">
        <v>7</v>
      </c>
      <c r="E1543">
        <v>39</v>
      </c>
      <c r="F1543" t="s">
        <v>6</v>
      </c>
      <c r="G1543">
        <f t="shared" si="144"/>
        <v>30</v>
      </c>
      <c r="H1543" s="1" t="str">
        <f t="shared" si="145"/>
        <v>Monday</v>
      </c>
      <c r="I1543" t="str">
        <f t="shared" si="146"/>
        <v>No</v>
      </c>
      <c r="J1543">
        <f t="shared" si="147"/>
        <v>0</v>
      </c>
      <c r="K1543">
        <f t="shared" si="148"/>
        <v>0</v>
      </c>
      <c r="L1543">
        <f t="shared" si="149"/>
        <v>30</v>
      </c>
    </row>
    <row r="1544" spans="1:12" ht="14.4" customHeight="1" x14ac:dyDescent="0.3">
      <c r="A1544">
        <v>176705210</v>
      </c>
      <c r="B1544" s="1">
        <v>45005</v>
      </c>
      <c r="C1544" s="1">
        <v>45005</v>
      </c>
      <c r="D1544" t="s">
        <v>7</v>
      </c>
      <c r="E1544">
        <v>39</v>
      </c>
      <c r="F1544" t="s">
        <v>6</v>
      </c>
      <c r="G1544">
        <f t="shared" si="144"/>
        <v>0</v>
      </c>
      <c r="H1544" s="1" t="str">
        <f t="shared" si="145"/>
        <v>Monday</v>
      </c>
      <c r="I1544" t="str">
        <f t="shared" si="146"/>
        <v>Yes</v>
      </c>
      <c r="J1544">
        <f t="shared" si="147"/>
        <v>1</v>
      </c>
      <c r="K1544">
        <f t="shared" si="148"/>
        <v>0</v>
      </c>
      <c r="L1544">
        <f t="shared" si="149"/>
        <v>0</v>
      </c>
    </row>
    <row r="1545" spans="1:12" ht="14.4" customHeight="1" x14ac:dyDescent="0.3">
      <c r="A1545">
        <v>206693452</v>
      </c>
      <c r="B1545" s="1">
        <v>45006</v>
      </c>
      <c r="D1545" t="s">
        <v>7</v>
      </c>
      <c r="E1545">
        <v>39</v>
      </c>
      <c r="F1545" t="s">
        <v>6</v>
      </c>
      <c r="G1545" t="str">
        <f t="shared" si="144"/>
        <v/>
      </c>
      <c r="H1545" s="1" t="str">
        <f t="shared" si="145"/>
        <v>Tuesday</v>
      </c>
      <c r="I1545" t="str">
        <f t="shared" si="146"/>
        <v>No</v>
      </c>
      <c r="J1545">
        <f t="shared" si="147"/>
        <v>0</v>
      </c>
      <c r="K1545">
        <f t="shared" si="148"/>
        <v>0</v>
      </c>
      <c r="L1545" t="str">
        <f t="shared" si="149"/>
        <v/>
      </c>
    </row>
    <row r="1546" spans="1:12" ht="14.4" customHeight="1" x14ac:dyDescent="0.3">
      <c r="A1546">
        <v>193499084</v>
      </c>
      <c r="B1546" s="1">
        <v>45006</v>
      </c>
      <c r="D1546" t="s">
        <v>7</v>
      </c>
      <c r="E1546">
        <v>39</v>
      </c>
      <c r="F1546" t="s">
        <v>6</v>
      </c>
      <c r="G1546" t="str">
        <f t="shared" si="144"/>
        <v/>
      </c>
      <c r="H1546" s="1" t="str">
        <f t="shared" si="145"/>
        <v>Tuesday</v>
      </c>
      <c r="I1546" t="str">
        <f t="shared" si="146"/>
        <v>No</v>
      </c>
      <c r="J1546">
        <f t="shared" si="147"/>
        <v>0</v>
      </c>
      <c r="K1546">
        <f t="shared" si="148"/>
        <v>0</v>
      </c>
      <c r="L1546" t="str">
        <f t="shared" si="149"/>
        <v/>
      </c>
    </row>
    <row r="1547" spans="1:12" x14ac:dyDescent="0.3">
      <c r="A1547">
        <v>206995576</v>
      </c>
      <c r="B1547" s="1">
        <v>45006</v>
      </c>
      <c r="C1547" s="1">
        <v>45163</v>
      </c>
      <c r="D1547" t="s">
        <v>7</v>
      </c>
      <c r="E1547">
        <v>39</v>
      </c>
      <c r="F1547" t="s">
        <v>6</v>
      </c>
      <c r="G1547">
        <f t="shared" si="144"/>
        <v>157</v>
      </c>
      <c r="H1547" s="1" t="str">
        <f t="shared" si="145"/>
        <v>Tuesday</v>
      </c>
      <c r="I1547" t="str">
        <f t="shared" si="146"/>
        <v>No</v>
      </c>
      <c r="J1547">
        <f t="shared" si="147"/>
        <v>0</v>
      </c>
      <c r="K1547">
        <f t="shared" si="148"/>
        <v>1</v>
      </c>
      <c r="L1547">
        <f t="shared" si="149"/>
        <v>157</v>
      </c>
    </row>
    <row r="1548" spans="1:12" x14ac:dyDescent="0.3">
      <c r="A1548">
        <v>154783053</v>
      </c>
      <c r="B1548" s="1">
        <v>45006</v>
      </c>
      <c r="C1548" s="1">
        <v>45050</v>
      </c>
      <c r="D1548" t="s">
        <v>7</v>
      </c>
      <c r="E1548">
        <v>39</v>
      </c>
      <c r="F1548" t="s">
        <v>6</v>
      </c>
      <c r="G1548">
        <f t="shared" si="144"/>
        <v>44</v>
      </c>
      <c r="H1548" s="1" t="str">
        <f t="shared" si="145"/>
        <v>Tuesday</v>
      </c>
      <c r="I1548" t="str">
        <f t="shared" si="146"/>
        <v>No</v>
      </c>
      <c r="J1548">
        <f t="shared" si="147"/>
        <v>0</v>
      </c>
      <c r="K1548">
        <f t="shared" si="148"/>
        <v>1</v>
      </c>
      <c r="L1548">
        <f t="shared" si="149"/>
        <v>44</v>
      </c>
    </row>
    <row r="1549" spans="1:12" x14ac:dyDescent="0.3">
      <c r="A1549">
        <v>158349405</v>
      </c>
      <c r="B1549" s="1">
        <v>45006</v>
      </c>
      <c r="C1549" s="1">
        <v>45154</v>
      </c>
      <c r="D1549" t="s">
        <v>7</v>
      </c>
      <c r="E1549">
        <v>39</v>
      </c>
      <c r="F1549" t="s">
        <v>6</v>
      </c>
      <c r="G1549">
        <f t="shared" si="144"/>
        <v>148</v>
      </c>
      <c r="H1549" s="1" t="str">
        <f t="shared" si="145"/>
        <v>Tuesday</v>
      </c>
      <c r="I1549" t="str">
        <f t="shared" si="146"/>
        <v>No</v>
      </c>
      <c r="J1549">
        <f t="shared" si="147"/>
        <v>0</v>
      </c>
      <c r="K1549">
        <f t="shared" si="148"/>
        <v>1</v>
      </c>
      <c r="L1549">
        <f t="shared" si="149"/>
        <v>148</v>
      </c>
    </row>
    <row r="1550" spans="1:12" x14ac:dyDescent="0.3">
      <c r="A1550">
        <v>205554002</v>
      </c>
      <c r="B1550" s="1">
        <v>45006</v>
      </c>
      <c r="C1550" s="1">
        <v>45153</v>
      </c>
      <c r="D1550" t="s">
        <v>7</v>
      </c>
      <c r="E1550">
        <v>39</v>
      </c>
      <c r="F1550" t="s">
        <v>6</v>
      </c>
      <c r="G1550">
        <f t="shared" si="144"/>
        <v>147</v>
      </c>
      <c r="H1550" s="1" t="str">
        <f t="shared" si="145"/>
        <v>Tuesday</v>
      </c>
      <c r="I1550" t="str">
        <f t="shared" si="146"/>
        <v>No</v>
      </c>
      <c r="J1550">
        <f t="shared" si="147"/>
        <v>0</v>
      </c>
      <c r="K1550">
        <f t="shared" si="148"/>
        <v>1</v>
      </c>
      <c r="L1550">
        <f t="shared" si="149"/>
        <v>147</v>
      </c>
    </row>
    <row r="1551" spans="1:12" ht="14.4" customHeight="1" x14ac:dyDescent="0.3">
      <c r="A1551">
        <v>207045565</v>
      </c>
      <c r="B1551" s="1">
        <v>45007</v>
      </c>
      <c r="D1551" t="s">
        <v>7</v>
      </c>
      <c r="E1551">
        <v>39</v>
      </c>
      <c r="F1551" t="s">
        <v>6</v>
      </c>
      <c r="G1551" t="str">
        <f t="shared" si="144"/>
        <v/>
      </c>
      <c r="H1551" s="1" t="str">
        <f t="shared" si="145"/>
        <v>Wednesday</v>
      </c>
      <c r="I1551" t="str">
        <f t="shared" si="146"/>
        <v>No</v>
      </c>
      <c r="J1551">
        <f t="shared" si="147"/>
        <v>0</v>
      </c>
      <c r="K1551">
        <f t="shared" si="148"/>
        <v>0</v>
      </c>
      <c r="L1551" t="str">
        <f t="shared" si="149"/>
        <v/>
      </c>
    </row>
    <row r="1552" spans="1:12" ht="14.4" customHeight="1" x14ac:dyDescent="0.3">
      <c r="A1552">
        <v>205483607</v>
      </c>
      <c r="B1552" s="1">
        <v>45007</v>
      </c>
      <c r="D1552" t="s">
        <v>7</v>
      </c>
      <c r="E1552">
        <v>39</v>
      </c>
      <c r="F1552" t="s">
        <v>6</v>
      </c>
      <c r="G1552" t="str">
        <f t="shared" si="144"/>
        <v/>
      </c>
      <c r="H1552" s="1" t="str">
        <f t="shared" si="145"/>
        <v>Wednesday</v>
      </c>
      <c r="I1552" t="str">
        <f t="shared" si="146"/>
        <v>No</v>
      </c>
      <c r="J1552">
        <f t="shared" si="147"/>
        <v>0</v>
      </c>
      <c r="K1552">
        <f t="shared" si="148"/>
        <v>0</v>
      </c>
      <c r="L1552" t="str">
        <f t="shared" si="149"/>
        <v/>
      </c>
    </row>
    <row r="1553" spans="1:12" ht="14.4" customHeight="1" x14ac:dyDescent="0.3">
      <c r="A1553">
        <v>147662374</v>
      </c>
      <c r="B1553" s="1">
        <v>45007</v>
      </c>
      <c r="D1553" t="s">
        <v>7</v>
      </c>
      <c r="E1553">
        <v>39</v>
      </c>
      <c r="F1553" t="s">
        <v>6</v>
      </c>
      <c r="G1553" t="str">
        <f t="shared" si="144"/>
        <v/>
      </c>
      <c r="H1553" s="1" t="str">
        <f t="shared" si="145"/>
        <v>Wednesday</v>
      </c>
      <c r="I1553" t="str">
        <f t="shared" si="146"/>
        <v>No</v>
      </c>
      <c r="J1553">
        <f t="shared" si="147"/>
        <v>0</v>
      </c>
      <c r="K1553">
        <f t="shared" si="148"/>
        <v>0</v>
      </c>
      <c r="L1553" t="str">
        <f t="shared" si="149"/>
        <v/>
      </c>
    </row>
    <row r="1554" spans="1:12" ht="14.4" customHeight="1" x14ac:dyDescent="0.3">
      <c r="A1554">
        <v>150652956</v>
      </c>
      <c r="B1554" s="1">
        <v>45007</v>
      </c>
      <c r="C1554" s="1">
        <v>45027</v>
      </c>
      <c r="D1554" t="s">
        <v>7</v>
      </c>
      <c r="E1554">
        <v>39</v>
      </c>
      <c r="F1554" t="s">
        <v>6</v>
      </c>
      <c r="G1554">
        <f t="shared" si="144"/>
        <v>20</v>
      </c>
      <c r="H1554" s="1" t="str">
        <f t="shared" si="145"/>
        <v>Wednesday</v>
      </c>
      <c r="I1554" t="str">
        <f t="shared" si="146"/>
        <v>No</v>
      </c>
      <c r="J1554">
        <f t="shared" si="147"/>
        <v>0</v>
      </c>
      <c r="K1554">
        <f t="shared" si="148"/>
        <v>0</v>
      </c>
      <c r="L1554">
        <f t="shared" si="149"/>
        <v>20</v>
      </c>
    </row>
    <row r="1555" spans="1:12" x14ac:dyDescent="0.3">
      <c r="A1555">
        <v>206527656</v>
      </c>
      <c r="B1555" s="1">
        <v>45007</v>
      </c>
      <c r="C1555" s="1">
        <v>45085</v>
      </c>
      <c r="D1555" t="s">
        <v>7</v>
      </c>
      <c r="E1555">
        <v>39</v>
      </c>
      <c r="F1555" t="s">
        <v>6</v>
      </c>
      <c r="G1555">
        <f t="shared" si="144"/>
        <v>78</v>
      </c>
      <c r="H1555" s="1" t="str">
        <f t="shared" si="145"/>
        <v>Wednesday</v>
      </c>
      <c r="I1555" t="str">
        <f t="shared" si="146"/>
        <v>No</v>
      </c>
      <c r="J1555">
        <f t="shared" si="147"/>
        <v>0</v>
      </c>
      <c r="K1555">
        <f t="shared" si="148"/>
        <v>1</v>
      </c>
      <c r="L1555">
        <f t="shared" si="149"/>
        <v>78</v>
      </c>
    </row>
    <row r="1556" spans="1:12" x14ac:dyDescent="0.3">
      <c r="A1556">
        <v>207041353</v>
      </c>
      <c r="B1556" s="1">
        <v>45007</v>
      </c>
      <c r="C1556" s="1">
        <v>45065</v>
      </c>
      <c r="D1556" t="s">
        <v>7</v>
      </c>
      <c r="E1556">
        <v>39</v>
      </c>
      <c r="F1556" t="s">
        <v>6</v>
      </c>
      <c r="G1556">
        <f t="shared" si="144"/>
        <v>58</v>
      </c>
      <c r="H1556" s="1" t="str">
        <f t="shared" si="145"/>
        <v>Wednesday</v>
      </c>
      <c r="I1556" t="str">
        <f t="shared" si="146"/>
        <v>No</v>
      </c>
      <c r="J1556">
        <f t="shared" si="147"/>
        <v>0</v>
      </c>
      <c r="K1556">
        <f t="shared" si="148"/>
        <v>1</v>
      </c>
      <c r="L1556">
        <f t="shared" si="149"/>
        <v>58</v>
      </c>
    </row>
    <row r="1557" spans="1:12" ht="14.4" customHeight="1" x14ac:dyDescent="0.3">
      <c r="A1557">
        <v>204448911</v>
      </c>
      <c r="B1557" s="1">
        <v>45007</v>
      </c>
      <c r="C1557" s="1">
        <v>45037</v>
      </c>
      <c r="D1557" t="s">
        <v>7</v>
      </c>
      <c r="E1557">
        <v>39</v>
      </c>
      <c r="F1557" t="s">
        <v>6</v>
      </c>
      <c r="G1557">
        <f t="shared" si="144"/>
        <v>30</v>
      </c>
      <c r="H1557" s="1" t="str">
        <f t="shared" si="145"/>
        <v>Wednesday</v>
      </c>
      <c r="I1557" t="str">
        <f t="shared" si="146"/>
        <v>No</v>
      </c>
      <c r="J1557">
        <f t="shared" si="147"/>
        <v>0</v>
      </c>
      <c r="K1557">
        <f t="shared" si="148"/>
        <v>0</v>
      </c>
      <c r="L1557">
        <f t="shared" si="149"/>
        <v>30</v>
      </c>
    </row>
    <row r="1558" spans="1:12" ht="14.4" customHeight="1" x14ac:dyDescent="0.3">
      <c r="A1558">
        <v>206951785</v>
      </c>
      <c r="B1558" s="1">
        <v>45007</v>
      </c>
      <c r="C1558" s="1">
        <v>45036</v>
      </c>
      <c r="D1558" t="s">
        <v>7</v>
      </c>
      <c r="E1558">
        <v>39</v>
      </c>
      <c r="F1558" t="s">
        <v>6</v>
      </c>
      <c r="G1558">
        <f t="shared" si="144"/>
        <v>29</v>
      </c>
      <c r="H1558" s="1" t="str">
        <f t="shared" si="145"/>
        <v>Wednesday</v>
      </c>
      <c r="I1558" t="str">
        <f t="shared" si="146"/>
        <v>No</v>
      </c>
      <c r="J1558">
        <f t="shared" si="147"/>
        <v>0</v>
      </c>
      <c r="K1558">
        <f t="shared" si="148"/>
        <v>0</v>
      </c>
      <c r="L1558">
        <f t="shared" si="149"/>
        <v>29</v>
      </c>
    </row>
    <row r="1559" spans="1:12" ht="14.4" customHeight="1" x14ac:dyDescent="0.3">
      <c r="A1559">
        <v>206892555</v>
      </c>
      <c r="B1559" s="1">
        <v>45007</v>
      </c>
      <c r="C1559" s="1">
        <v>45009</v>
      </c>
      <c r="D1559" t="s">
        <v>7</v>
      </c>
      <c r="E1559">
        <v>39</v>
      </c>
      <c r="F1559" t="s">
        <v>6</v>
      </c>
      <c r="G1559">
        <f t="shared" si="144"/>
        <v>2</v>
      </c>
      <c r="H1559" s="1" t="str">
        <f t="shared" si="145"/>
        <v>Wednesday</v>
      </c>
      <c r="I1559" t="str">
        <f t="shared" si="146"/>
        <v>No</v>
      </c>
      <c r="J1559">
        <f t="shared" si="147"/>
        <v>1</v>
      </c>
      <c r="K1559">
        <f t="shared" si="148"/>
        <v>0</v>
      </c>
      <c r="L1559">
        <f t="shared" si="149"/>
        <v>2</v>
      </c>
    </row>
    <row r="1560" spans="1:12" ht="14.4" customHeight="1" x14ac:dyDescent="0.3">
      <c r="A1560">
        <v>207051401</v>
      </c>
      <c r="B1560" s="1">
        <v>45008</v>
      </c>
      <c r="D1560" t="s">
        <v>7</v>
      </c>
      <c r="E1560">
        <v>39</v>
      </c>
      <c r="F1560" t="s">
        <v>6</v>
      </c>
      <c r="G1560" t="str">
        <f t="shared" si="144"/>
        <v/>
      </c>
      <c r="H1560" s="1" t="str">
        <f t="shared" si="145"/>
        <v>Thursday</v>
      </c>
      <c r="I1560" t="str">
        <f t="shared" si="146"/>
        <v>No</v>
      </c>
      <c r="J1560">
        <f t="shared" si="147"/>
        <v>0</v>
      </c>
      <c r="K1560">
        <f t="shared" si="148"/>
        <v>0</v>
      </c>
      <c r="L1560" t="str">
        <f t="shared" si="149"/>
        <v/>
      </c>
    </row>
    <row r="1561" spans="1:12" ht="14.4" customHeight="1" x14ac:dyDescent="0.3">
      <c r="A1561">
        <v>206904848</v>
      </c>
      <c r="B1561" s="1">
        <v>45008</v>
      </c>
      <c r="D1561" t="s">
        <v>7</v>
      </c>
      <c r="E1561">
        <v>39</v>
      </c>
      <c r="F1561" t="s">
        <v>6</v>
      </c>
      <c r="G1561" t="str">
        <f t="shared" si="144"/>
        <v/>
      </c>
      <c r="H1561" s="1" t="str">
        <f t="shared" si="145"/>
        <v>Thursday</v>
      </c>
      <c r="I1561" t="str">
        <f t="shared" si="146"/>
        <v>No</v>
      </c>
      <c r="J1561">
        <f t="shared" si="147"/>
        <v>0</v>
      </c>
      <c r="K1561">
        <f t="shared" si="148"/>
        <v>0</v>
      </c>
      <c r="L1561" t="str">
        <f t="shared" si="149"/>
        <v/>
      </c>
    </row>
    <row r="1562" spans="1:12" x14ac:dyDescent="0.3">
      <c r="A1562">
        <v>204598188</v>
      </c>
      <c r="B1562" s="1">
        <v>45008</v>
      </c>
      <c r="C1562" s="1">
        <v>45169</v>
      </c>
      <c r="D1562" t="s">
        <v>7</v>
      </c>
      <c r="E1562">
        <v>39</v>
      </c>
      <c r="F1562" t="s">
        <v>6</v>
      </c>
      <c r="G1562">
        <f t="shared" si="144"/>
        <v>161</v>
      </c>
      <c r="H1562" s="1" t="str">
        <f t="shared" si="145"/>
        <v>Thursday</v>
      </c>
      <c r="I1562" t="str">
        <f t="shared" si="146"/>
        <v>No</v>
      </c>
      <c r="J1562">
        <f t="shared" si="147"/>
        <v>0</v>
      </c>
      <c r="K1562">
        <f t="shared" si="148"/>
        <v>1</v>
      </c>
      <c r="L1562">
        <f t="shared" si="149"/>
        <v>161</v>
      </c>
    </row>
    <row r="1563" spans="1:12" x14ac:dyDescent="0.3">
      <c r="A1563">
        <v>206447228</v>
      </c>
      <c r="B1563" s="1">
        <v>45008</v>
      </c>
      <c r="C1563" s="1">
        <v>45072</v>
      </c>
      <c r="D1563" t="s">
        <v>7</v>
      </c>
      <c r="E1563">
        <v>39</v>
      </c>
      <c r="F1563" t="s">
        <v>6</v>
      </c>
      <c r="G1563">
        <f t="shared" si="144"/>
        <v>64</v>
      </c>
      <c r="H1563" s="1" t="str">
        <f t="shared" si="145"/>
        <v>Thursday</v>
      </c>
      <c r="I1563" t="str">
        <f t="shared" si="146"/>
        <v>No</v>
      </c>
      <c r="J1563">
        <f t="shared" si="147"/>
        <v>0</v>
      </c>
      <c r="K1563">
        <f t="shared" si="148"/>
        <v>1</v>
      </c>
      <c r="L1563">
        <f t="shared" si="149"/>
        <v>64</v>
      </c>
    </row>
    <row r="1564" spans="1:12" x14ac:dyDescent="0.3">
      <c r="A1564">
        <v>206190599</v>
      </c>
      <c r="B1564" s="1">
        <v>45008</v>
      </c>
      <c r="C1564" s="1">
        <v>45057</v>
      </c>
      <c r="D1564" t="s">
        <v>7</v>
      </c>
      <c r="E1564">
        <v>39</v>
      </c>
      <c r="F1564" t="s">
        <v>6</v>
      </c>
      <c r="G1564">
        <f t="shared" si="144"/>
        <v>49</v>
      </c>
      <c r="H1564" s="1" t="str">
        <f t="shared" si="145"/>
        <v>Thursday</v>
      </c>
      <c r="I1564" t="str">
        <f t="shared" si="146"/>
        <v>No</v>
      </c>
      <c r="J1564">
        <f t="shared" si="147"/>
        <v>0</v>
      </c>
      <c r="K1564">
        <f t="shared" si="148"/>
        <v>1</v>
      </c>
      <c r="L1564">
        <f t="shared" si="149"/>
        <v>49</v>
      </c>
    </row>
    <row r="1565" spans="1:12" ht="14.4" customHeight="1" x14ac:dyDescent="0.3">
      <c r="A1565">
        <v>207014740</v>
      </c>
      <c r="B1565" s="1">
        <v>45008</v>
      </c>
      <c r="C1565" s="1">
        <v>45023</v>
      </c>
      <c r="D1565" t="s">
        <v>7</v>
      </c>
      <c r="E1565">
        <v>39</v>
      </c>
      <c r="F1565" t="s">
        <v>6</v>
      </c>
      <c r="G1565">
        <f t="shared" si="144"/>
        <v>15</v>
      </c>
      <c r="H1565" s="1" t="str">
        <f t="shared" si="145"/>
        <v>Thursday</v>
      </c>
      <c r="I1565" t="str">
        <f t="shared" si="146"/>
        <v>No</v>
      </c>
      <c r="J1565">
        <f t="shared" si="147"/>
        <v>0</v>
      </c>
      <c r="K1565">
        <f t="shared" si="148"/>
        <v>0</v>
      </c>
      <c r="L1565">
        <f t="shared" si="149"/>
        <v>15</v>
      </c>
    </row>
    <row r="1566" spans="1:12" ht="14.4" customHeight="1" x14ac:dyDescent="0.3">
      <c r="A1566">
        <v>156762690</v>
      </c>
      <c r="B1566" s="1">
        <v>45008</v>
      </c>
      <c r="C1566" s="1">
        <v>45037</v>
      </c>
      <c r="D1566" t="s">
        <v>7</v>
      </c>
      <c r="E1566">
        <v>39</v>
      </c>
      <c r="F1566" t="s">
        <v>6</v>
      </c>
      <c r="G1566">
        <f t="shared" si="144"/>
        <v>29</v>
      </c>
      <c r="H1566" s="1" t="str">
        <f t="shared" si="145"/>
        <v>Thursday</v>
      </c>
      <c r="I1566" t="str">
        <f t="shared" si="146"/>
        <v>No</v>
      </c>
      <c r="J1566">
        <f t="shared" si="147"/>
        <v>0</v>
      </c>
      <c r="K1566">
        <f t="shared" si="148"/>
        <v>0</v>
      </c>
      <c r="L1566">
        <f t="shared" si="149"/>
        <v>29</v>
      </c>
    </row>
    <row r="1567" spans="1:12" ht="14.4" customHeight="1" x14ac:dyDescent="0.3">
      <c r="A1567">
        <v>207116463</v>
      </c>
      <c r="B1567" s="1">
        <v>45008</v>
      </c>
      <c r="C1567" s="1">
        <v>45037</v>
      </c>
      <c r="D1567" t="s">
        <v>7</v>
      </c>
      <c r="E1567">
        <v>39</v>
      </c>
      <c r="F1567" t="s">
        <v>6</v>
      </c>
      <c r="G1567">
        <f t="shared" si="144"/>
        <v>29</v>
      </c>
      <c r="H1567" s="1" t="str">
        <f t="shared" si="145"/>
        <v>Thursday</v>
      </c>
      <c r="I1567" t="str">
        <f t="shared" si="146"/>
        <v>No</v>
      </c>
      <c r="J1567">
        <f t="shared" si="147"/>
        <v>0</v>
      </c>
      <c r="K1567">
        <f t="shared" si="148"/>
        <v>0</v>
      </c>
      <c r="L1567">
        <f t="shared" si="149"/>
        <v>29</v>
      </c>
    </row>
    <row r="1568" spans="1:12" ht="14.4" customHeight="1" x14ac:dyDescent="0.3">
      <c r="A1568">
        <v>206555111</v>
      </c>
      <c r="B1568" s="1">
        <v>45008</v>
      </c>
      <c r="C1568" s="1">
        <v>45033</v>
      </c>
      <c r="D1568" t="s">
        <v>7</v>
      </c>
      <c r="E1568">
        <v>39</v>
      </c>
      <c r="F1568" t="s">
        <v>6</v>
      </c>
      <c r="G1568">
        <f t="shared" si="144"/>
        <v>25</v>
      </c>
      <c r="H1568" s="1" t="str">
        <f t="shared" si="145"/>
        <v>Thursday</v>
      </c>
      <c r="I1568" t="str">
        <f t="shared" si="146"/>
        <v>No</v>
      </c>
      <c r="J1568">
        <f t="shared" si="147"/>
        <v>0</v>
      </c>
      <c r="K1568">
        <f t="shared" si="148"/>
        <v>0</v>
      </c>
      <c r="L1568">
        <f t="shared" si="149"/>
        <v>25</v>
      </c>
    </row>
    <row r="1569" spans="1:12" x14ac:dyDescent="0.3">
      <c r="A1569">
        <v>169543155</v>
      </c>
      <c r="B1569" s="1">
        <v>45008</v>
      </c>
      <c r="C1569" s="1">
        <v>45046</v>
      </c>
      <c r="D1569" t="s">
        <v>7</v>
      </c>
      <c r="E1569">
        <v>39</v>
      </c>
      <c r="F1569" t="s">
        <v>6</v>
      </c>
      <c r="G1569">
        <f t="shared" si="144"/>
        <v>38</v>
      </c>
      <c r="H1569" s="1" t="str">
        <f t="shared" si="145"/>
        <v>Thursday</v>
      </c>
      <c r="I1569" t="str">
        <f t="shared" si="146"/>
        <v>No</v>
      </c>
      <c r="J1569">
        <f t="shared" si="147"/>
        <v>0</v>
      </c>
      <c r="K1569">
        <f t="shared" si="148"/>
        <v>1</v>
      </c>
      <c r="L1569">
        <f t="shared" si="149"/>
        <v>38</v>
      </c>
    </row>
    <row r="1570" spans="1:12" x14ac:dyDescent="0.3">
      <c r="A1570">
        <v>202270426</v>
      </c>
      <c r="B1570" s="1">
        <v>45008</v>
      </c>
      <c r="C1570" s="1">
        <v>45046</v>
      </c>
      <c r="D1570" t="s">
        <v>7</v>
      </c>
      <c r="E1570">
        <v>39</v>
      </c>
      <c r="F1570" t="s">
        <v>6</v>
      </c>
      <c r="G1570">
        <f t="shared" si="144"/>
        <v>38</v>
      </c>
      <c r="H1570" s="1" t="str">
        <f t="shared" si="145"/>
        <v>Thursday</v>
      </c>
      <c r="I1570" t="str">
        <f t="shared" si="146"/>
        <v>No</v>
      </c>
      <c r="J1570">
        <f t="shared" si="147"/>
        <v>0</v>
      </c>
      <c r="K1570">
        <f t="shared" si="148"/>
        <v>1</v>
      </c>
      <c r="L1570">
        <f t="shared" si="149"/>
        <v>38</v>
      </c>
    </row>
    <row r="1571" spans="1:12" x14ac:dyDescent="0.3">
      <c r="A1571">
        <v>207005361</v>
      </c>
      <c r="B1571" s="1">
        <v>45008</v>
      </c>
      <c r="C1571" s="1">
        <v>45118</v>
      </c>
      <c r="D1571" t="s">
        <v>7</v>
      </c>
      <c r="E1571">
        <v>39</v>
      </c>
      <c r="F1571" t="s">
        <v>6</v>
      </c>
      <c r="G1571">
        <f t="shared" si="144"/>
        <v>110</v>
      </c>
      <c r="H1571" s="1" t="str">
        <f t="shared" si="145"/>
        <v>Thursday</v>
      </c>
      <c r="I1571" t="str">
        <f t="shared" si="146"/>
        <v>No</v>
      </c>
      <c r="J1571">
        <f t="shared" si="147"/>
        <v>0</v>
      </c>
      <c r="K1571">
        <f t="shared" si="148"/>
        <v>1</v>
      </c>
      <c r="L1571">
        <f t="shared" si="149"/>
        <v>110</v>
      </c>
    </row>
    <row r="1572" spans="1:12" ht="14.4" customHeight="1" x14ac:dyDescent="0.3">
      <c r="A1572">
        <v>206105763</v>
      </c>
      <c r="B1572" s="1">
        <v>45009</v>
      </c>
      <c r="D1572" t="s">
        <v>7</v>
      </c>
      <c r="E1572">
        <v>39</v>
      </c>
      <c r="F1572" t="s">
        <v>6</v>
      </c>
      <c r="G1572" t="str">
        <f t="shared" si="144"/>
        <v/>
      </c>
      <c r="H1572" s="1" t="str">
        <f t="shared" si="145"/>
        <v>Friday</v>
      </c>
      <c r="I1572" t="str">
        <f t="shared" si="146"/>
        <v>No</v>
      </c>
      <c r="J1572">
        <f t="shared" si="147"/>
        <v>0</v>
      </c>
      <c r="K1572">
        <f t="shared" si="148"/>
        <v>0</v>
      </c>
      <c r="L1572" t="str">
        <f t="shared" si="149"/>
        <v/>
      </c>
    </row>
    <row r="1573" spans="1:12" ht="14.4" customHeight="1" x14ac:dyDescent="0.3">
      <c r="A1573">
        <v>198968224</v>
      </c>
      <c r="B1573" s="1">
        <v>45009</v>
      </c>
      <c r="D1573" t="s">
        <v>7</v>
      </c>
      <c r="E1573">
        <v>39</v>
      </c>
      <c r="F1573" t="s">
        <v>6</v>
      </c>
      <c r="G1573" t="str">
        <f t="shared" si="144"/>
        <v/>
      </c>
      <c r="H1573" s="1" t="str">
        <f t="shared" si="145"/>
        <v>Friday</v>
      </c>
      <c r="I1573" t="str">
        <f t="shared" si="146"/>
        <v>No</v>
      </c>
      <c r="J1573">
        <f t="shared" si="147"/>
        <v>0</v>
      </c>
      <c r="K1573">
        <f t="shared" si="148"/>
        <v>0</v>
      </c>
      <c r="L1573" t="str">
        <f t="shared" si="149"/>
        <v/>
      </c>
    </row>
    <row r="1574" spans="1:12" ht="14.4" customHeight="1" x14ac:dyDescent="0.3">
      <c r="A1574">
        <v>205342230</v>
      </c>
      <c r="B1574" s="1">
        <v>45009</v>
      </c>
      <c r="D1574" t="s">
        <v>7</v>
      </c>
      <c r="E1574">
        <v>39</v>
      </c>
      <c r="F1574" t="s">
        <v>6</v>
      </c>
      <c r="G1574" t="str">
        <f t="shared" si="144"/>
        <v/>
      </c>
      <c r="H1574" s="1" t="str">
        <f t="shared" si="145"/>
        <v>Friday</v>
      </c>
      <c r="I1574" t="str">
        <f t="shared" si="146"/>
        <v>No</v>
      </c>
      <c r="J1574">
        <f t="shared" si="147"/>
        <v>0</v>
      </c>
      <c r="K1574">
        <f t="shared" si="148"/>
        <v>0</v>
      </c>
      <c r="L1574" t="str">
        <f t="shared" si="149"/>
        <v/>
      </c>
    </row>
    <row r="1575" spans="1:12" ht="14.4" customHeight="1" x14ac:dyDescent="0.3">
      <c r="A1575">
        <v>207224044</v>
      </c>
      <c r="B1575" s="1">
        <v>45009</v>
      </c>
      <c r="D1575" t="s">
        <v>7</v>
      </c>
      <c r="E1575">
        <v>39</v>
      </c>
      <c r="F1575" t="s">
        <v>6</v>
      </c>
      <c r="G1575" t="str">
        <f t="shared" si="144"/>
        <v/>
      </c>
      <c r="H1575" s="1" t="str">
        <f t="shared" si="145"/>
        <v>Friday</v>
      </c>
      <c r="I1575" t="str">
        <f t="shared" si="146"/>
        <v>No</v>
      </c>
      <c r="J1575">
        <f t="shared" si="147"/>
        <v>0</v>
      </c>
      <c r="K1575">
        <f t="shared" si="148"/>
        <v>0</v>
      </c>
      <c r="L1575" t="str">
        <f t="shared" si="149"/>
        <v/>
      </c>
    </row>
    <row r="1576" spans="1:12" ht="14.4" customHeight="1" x14ac:dyDescent="0.3">
      <c r="A1576">
        <v>174232231</v>
      </c>
      <c r="B1576" s="1">
        <v>45009</v>
      </c>
      <c r="D1576" t="s">
        <v>7</v>
      </c>
      <c r="E1576">
        <v>39</v>
      </c>
      <c r="F1576" t="s">
        <v>6</v>
      </c>
      <c r="G1576" t="str">
        <f t="shared" si="144"/>
        <v/>
      </c>
      <c r="H1576" s="1" t="str">
        <f t="shared" si="145"/>
        <v>Friday</v>
      </c>
      <c r="I1576" t="str">
        <f t="shared" si="146"/>
        <v>No</v>
      </c>
      <c r="J1576">
        <f t="shared" si="147"/>
        <v>0</v>
      </c>
      <c r="K1576">
        <f t="shared" si="148"/>
        <v>0</v>
      </c>
      <c r="L1576" t="str">
        <f t="shared" si="149"/>
        <v/>
      </c>
    </row>
    <row r="1577" spans="1:12" ht="14.4" customHeight="1" x14ac:dyDescent="0.3">
      <c r="A1577">
        <v>207017124</v>
      </c>
      <c r="B1577" s="1">
        <v>45009</v>
      </c>
      <c r="C1577" s="1">
        <v>45009</v>
      </c>
      <c r="D1577" t="s">
        <v>8</v>
      </c>
      <c r="E1577">
        <v>39</v>
      </c>
      <c r="F1577" t="s">
        <v>6</v>
      </c>
      <c r="G1577">
        <f t="shared" si="144"/>
        <v>0</v>
      </c>
      <c r="H1577" s="1" t="str">
        <f t="shared" si="145"/>
        <v>Friday</v>
      </c>
      <c r="I1577" t="str">
        <f t="shared" si="146"/>
        <v>Yes</v>
      </c>
      <c r="J1577">
        <f t="shared" si="147"/>
        <v>1</v>
      </c>
      <c r="K1577">
        <f t="shared" si="148"/>
        <v>0</v>
      </c>
      <c r="L1577">
        <f t="shared" si="149"/>
        <v>0</v>
      </c>
    </row>
    <row r="1578" spans="1:12" x14ac:dyDescent="0.3">
      <c r="A1578">
        <v>194006146</v>
      </c>
      <c r="B1578" s="1">
        <v>45009</v>
      </c>
      <c r="C1578" s="1">
        <v>45093</v>
      </c>
      <c r="D1578" t="s">
        <v>7</v>
      </c>
      <c r="E1578">
        <v>39</v>
      </c>
      <c r="F1578" t="s">
        <v>6</v>
      </c>
      <c r="G1578">
        <f t="shared" si="144"/>
        <v>84</v>
      </c>
      <c r="H1578" s="1" t="str">
        <f t="shared" si="145"/>
        <v>Friday</v>
      </c>
      <c r="I1578" t="str">
        <f t="shared" si="146"/>
        <v>No</v>
      </c>
      <c r="J1578">
        <f t="shared" si="147"/>
        <v>0</v>
      </c>
      <c r="K1578">
        <f t="shared" si="148"/>
        <v>1</v>
      </c>
      <c r="L1578">
        <f t="shared" si="149"/>
        <v>84</v>
      </c>
    </row>
    <row r="1579" spans="1:12" x14ac:dyDescent="0.3">
      <c r="A1579">
        <v>150509580</v>
      </c>
      <c r="B1579" s="1">
        <v>45009</v>
      </c>
      <c r="C1579" s="1">
        <v>45086</v>
      </c>
      <c r="D1579" t="s">
        <v>7</v>
      </c>
      <c r="E1579">
        <v>39</v>
      </c>
      <c r="F1579" t="s">
        <v>6</v>
      </c>
      <c r="G1579">
        <f t="shared" si="144"/>
        <v>77</v>
      </c>
      <c r="H1579" s="1" t="str">
        <f t="shared" si="145"/>
        <v>Friday</v>
      </c>
      <c r="I1579" t="str">
        <f t="shared" si="146"/>
        <v>No</v>
      </c>
      <c r="J1579">
        <f t="shared" si="147"/>
        <v>0</v>
      </c>
      <c r="K1579">
        <f t="shared" si="148"/>
        <v>1</v>
      </c>
      <c r="L1579">
        <f t="shared" si="149"/>
        <v>77</v>
      </c>
    </row>
    <row r="1580" spans="1:12" x14ac:dyDescent="0.3">
      <c r="A1580">
        <v>207120479</v>
      </c>
      <c r="B1580" s="1">
        <v>45009</v>
      </c>
      <c r="C1580" s="1">
        <v>45076</v>
      </c>
      <c r="D1580" t="s">
        <v>7</v>
      </c>
      <c r="E1580">
        <v>39</v>
      </c>
      <c r="F1580" t="s">
        <v>6</v>
      </c>
      <c r="G1580">
        <f t="shared" si="144"/>
        <v>67</v>
      </c>
      <c r="H1580" s="1" t="str">
        <f t="shared" si="145"/>
        <v>Friday</v>
      </c>
      <c r="I1580" t="str">
        <f t="shared" si="146"/>
        <v>No</v>
      </c>
      <c r="J1580">
        <f t="shared" si="147"/>
        <v>0</v>
      </c>
      <c r="K1580">
        <f t="shared" si="148"/>
        <v>1</v>
      </c>
      <c r="L1580">
        <f t="shared" si="149"/>
        <v>67</v>
      </c>
    </row>
    <row r="1581" spans="1:12" ht="14.4" customHeight="1" x14ac:dyDescent="0.3">
      <c r="A1581">
        <v>162069198</v>
      </c>
      <c r="B1581" s="1">
        <v>45009</v>
      </c>
      <c r="C1581" s="1">
        <v>45039</v>
      </c>
      <c r="D1581" t="s">
        <v>7</v>
      </c>
      <c r="E1581">
        <v>39</v>
      </c>
      <c r="F1581" t="s">
        <v>6</v>
      </c>
      <c r="G1581">
        <f t="shared" si="144"/>
        <v>30</v>
      </c>
      <c r="H1581" s="1" t="str">
        <f t="shared" si="145"/>
        <v>Friday</v>
      </c>
      <c r="I1581" t="str">
        <f t="shared" si="146"/>
        <v>No</v>
      </c>
      <c r="J1581">
        <f t="shared" si="147"/>
        <v>0</v>
      </c>
      <c r="K1581">
        <f t="shared" si="148"/>
        <v>0</v>
      </c>
      <c r="L1581">
        <f t="shared" si="149"/>
        <v>30</v>
      </c>
    </row>
    <row r="1582" spans="1:12" x14ac:dyDescent="0.3">
      <c r="A1582">
        <v>206742272</v>
      </c>
      <c r="B1582" s="1">
        <v>45009</v>
      </c>
      <c r="C1582" s="1">
        <v>45044</v>
      </c>
      <c r="D1582" t="s">
        <v>7</v>
      </c>
      <c r="E1582">
        <v>39</v>
      </c>
      <c r="F1582" t="s">
        <v>6</v>
      </c>
      <c r="G1582">
        <f t="shared" si="144"/>
        <v>35</v>
      </c>
      <c r="H1582" s="1" t="str">
        <f t="shared" si="145"/>
        <v>Friday</v>
      </c>
      <c r="I1582" t="str">
        <f t="shared" si="146"/>
        <v>No</v>
      </c>
      <c r="J1582">
        <f t="shared" si="147"/>
        <v>0</v>
      </c>
      <c r="K1582">
        <f t="shared" si="148"/>
        <v>1</v>
      </c>
      <c r="L1582">
        <f t="shared" si="149"/>
        <v>35</v>
      </c>
    </row>
    <row r="1583" spans="1:12" ht="14.4" customHeight="1" x14ac:dyDescent="0.3">
      <c r="A1583">
        <v>207433836</v>
      </c>
      <c r="B1583" s="1">
        <v>45010</v>
      </c>
      <c r="D1583" t="s">
        <v>7</v>
      </c>
      <c r="E1583">
        <v>39</v>
      </c>
      <c r="F1583" t="s">
        <v>6</v>
      </c>
      <c r="G1583" t="str">
        <f t="shared" si="144"/>
        <v/>
      </c>
      <c r="H1583" s="1" t="str">
        <f t="shared" si="145"/>
        <v>Saturday</v>
      </c>
      <c r="I1583" t="str">
        <f t="shared" si="146"/>
        <v>No</v>
      </c>
      <c r="J1583">
        <f t="shared" si="147"/>
        <v>0</v>
      </c>
      <c r="K1583">
        <f t="shared" si="148"/>
        <v>0</v>
      </c>
      <c r="L1583" t="str">
        <f t="shared" si="149"/>
        <v/>
      </c>
    </row>
    <row r="1584" spans="1:12" ht="14.4" customHeight="1" x14ac:dyDescent="0.3">
      <c r="A1584">
        <v>207382183</v>
      </c>
      <c r="B1584" s="1">
        <v>45010</v>
      </c>
      <c r="D1584" t="s">
        <v>7</v>
      </c>
      <c r="E1584">
        <v>39</v>
      </c>
      <c r="F1584" t="s">
        <v>6</v>
      </c>
      <c r="G1584" t="str">
        <f t="shared" si="144"/>
        <v/>
      </c>
      <c r="H1584" s="1" t="str">
        <f t="shared" si="145"/>
        <v>Saturday</v>
      </c>
      <c r="I1584" t="str">
        <f t="shared" si="146"/>
        <v>No</v>
      </c>
      <c r="J1584">
        <f t="shared" si="147"/>
        <v>0</v>
      </c>
      <c r="K1584">
        <f t="shared" si="148"/>
        <v>0</v>
      </c>
      <c r="L1584" t="str">
        <f t="shared" si="149"/>
        <v/>
      </c>
    </row>
    <row r="1585" spans="1:12" ht="14.4" customHeight="1" x14ac:dyDescent="0.3">
      <c r="A1585">
        <v>205051942</v>
      </c>
      <c r="B1585" s="1">
        <v>45010</v>
      </c>
      <c r="D1585" t="s">
        <v>7</v>
      </c>
      <c r="E1585">
        <v>39</v>
      </c>
      <c r="F1585" t="s">
        <v>6</v>
      </c>
      <c r="G1585" t="str">
        <f t="shared" si="144"/>
        <v/>
      </c>
      <c r="H1585" s="1" t="str">
        <f t="shared" si="145"/>
        <v>Saturday</v>
      </c>
      <c r="I1585" t="str">
        <f t="shared" si="146"/>
        <v>No</v>
      </c>
      <c r="J1585">
        <f t="shared" si="147"/>
        <v>0</v>
      </c>
      <c r="K1585">
        <f t="shared" si="148"/>
        <v>0</v>
      </c>
      <c r="L1585" t="str">
        <f t="shared" si="149"/>
        <v/>
      </c>
    </row>
    <row r="1586" spans="1:12" x14ac:dyDescent="0.3">
      <c r="A1586">
        <v>132631414</v>
      </c>
      <c r="B1586" s="1">
        <v>45010</v>
      </c>
      <c r="C1586" s="1">
        <v>45109</v>
      </c>
      <c r="D1586" t="s">
        <v>7</v>
      </c>
      <c r="E1586">
        <v>39</v>
      </c>
      <c r="F1586" t="s">
        <v>6</v>
      </c>
      <c r="G1586">
        <f t="shared" si="144"/>
        <v>99</v>
      </c>
      <c r="H1586" s="1" t="str">
        <f t="shared" si="145"/>
        <v>Saturday</v>
      </c>
      <c r="I1586" t="str">
        <f t="shared" si="146"/>
        <v>No</v>
      </c>
      <c r="J1586">
        <f t="shared" si="147"/>
        <v>0</v>
      </c>
      <c r="K1586">
        <f t="shared" si="148"/>
        <v>1</v>
      </c>
      <c r="L1586">
        <f t="shared" si="149"/>
        <v>99</v>
      </c>
    </row>
    <row r="1587" spans="1:12" ht="14.4" customHeight="1" x14ac:dyDescent="0.3">
      <c r="A1587">
        <v>207529664</v>
      </c>
      <c r="B1587" s="1">
        <v>45010</v>
      </c>
      <c r="C1587" s="1">
        <v>45016</v>
      </c>
      <c r="D1587" t="s">
        <v>7</v>
      </c>
      <c r="E1587">
        <v>39</v>
      </c>
      <c r="F1587" t="s">
        <v>6</v>
      </c>
      <c r="G1587">
        <f t="shared" si="144"/>
        <v>6</v>
      </c>
      <c r="H1587" s="1" t="str">
        <f t="shared" si="145"/>
        <v>Saturday</v>
      </c>
      <c r="I1587" t="str">
        <f t="shared" si="146"/>
        <v>No</v>
      </c>
      <c r="J1587">
        <f t="shared" si="147"/>
        <v>0</v>
      </c>
      <c r="K1587">
        <f t="shared" si="148"/>
        <v>0</v>
      </c>
      <c r="L1587">
        <f t="shared" si="149"/>
        <v>6</v>
      </c>
    </row>
    <row r="1588" spans="1:12" x14ac:dyDescent="0.3">
      <c r="A1588">
        <v>207022940</v>
      </c>
      <c r="B1588" s="1">
        <v>45010</v>
      </c>
      <c r="C1588" s="1">
        <v>45117</v>
      </c>
      <c r="D1588" t="s">
        <v>7</v>
      </c>
      <c r="E1588">
        <v>39</v>
      </c>
      <c r="F1588" t="s">
        <v>6</v>
      </c>
      <c r="G1588">
        <f t="shared" si="144"/>
        <v>107</v>
      </c>
      <c r="H1588" s="1" t="str">
        <f t="shared" si="145"/>
        <v>Saturday</v>
      </c>
      <c r="I1588" t="str">
        <f t="shared" si="146"/>
        <v>No</v>
      </c>
      <c r="J1588">
        <f t="shared" si="147"/>
        <v>0</v>
      </c>
      <c r="K1588">
        <f t="shared" si="148"/>
        <v>1</v>
      </c>
      <c r="L1588">
        <f t="shared" si="149"/>
        <v>107</v>
      </c>
    </row>
    <row r="1589" spans="1:12" x14ac:dyDescent="0.3">
      <c r="A1589">
        <v>207388337</v>
      </c>
      <c r="B1589" s="1">
        <v>45010</v>
      </c>
      <c r="C1589" s="1">
        <v>45141</v>
      </c>
      <c r="D1589" t="s">
        <v>7</v>
      </c>
      <c r="E1589">
        <v>39</v>
      </c>
      <c r="F1589" t="s">
        <v>6</v>
      </c>
      <c r="G1589">
        <f t="shared" si="144"/>
        <v>131</v>
      </c>
      <c r="H1589" s="1" t="str">
        <f t="shared" si="145"/>
        <v>Saturday</v>
      </c>
      <c r="I1589" t="str">
        <f t="shared" si="146"/>
        <v>No</v>
      </c>
      <c r="J1589">
        <f t="shared" si="147"/>
        <v>0</v>
      </c>
      <c r="K1589">
        <f t="shared" si="148"/>
        <v>1</v>
      </c>
      <c r="L1589">
        <f t="shared" si="149"/>
        <v>131</v>
      </c>
    </row>
    <row r="1590" spans="1:12" ht="14.4" customHeight="1" x14ac:dyDescent="0.3">
      <c r="A1590">
        <v>205883858</v>
      </c>
      <c r="B1590" s="1">
        <v>45011</v>
      </c>
      <c r="D1590" t="s">
        <v>7</v>
      </c>
      <c r="E1590">
        <v>39</v>
      </c>
      <c r="F1590" t="s">
        <v>6</v>
      </c>
      <c r="G1590" t="str">
        <f t="shared" si="144"/>
        <v/>
      </c>
      <c r="H1590" s="1" t="str">
        <f t="shared" si="145"/>
        <v>Sunday</v>
      </c>
      <c r="I1590" t="str">
        <f t="shared" si="146"/>
        <v>No</v>
      </c>
      <c r="J1590">
        <f t="shared" si="147"/>
        <v>0</v>
      </c>
      <c r="K1590">
        <f t="shared" si="148"/>
        <v>0</v>
      </c>
      <c r="L1590" t="str">
        <f t="shared" si="149"/>
        <v/>
      </c>
    </row>
    <row r="1591" spans="1:12" x14ac:dyDescent="0.3">
      <c r="A1591">
        <v>173711359</v>
      </c>
      <c r="B1591" s="1">
        <v>45011</v>
      </c>
      <c r="C1591" s="1">
        <v>45087</v>
      </c>
      <c r="D1591" t="s">
        <v>7</v>
      </c>
      <c r="E1591">
        <v>39</v>
      </c>
      <c r="F1591" t="s">
        <v>6</v>
      </c>
      <c r="G1591">
        <f t="shared" si="144"/>
        <v>76</v>
      </c>
      <c r="H1591" s="1" t="str">
        <f t="shared" si="145"/>
        <v>Sunday</v>
      </c>
      <c r="I1591" t="str">
        <f t="shared" si="146"/>
        <v>No</v>
      </c>
      <c r="J1591">
        <f t="shared" si="147"/>
        <v>0</v>
      </c>
      <c r="K1591">
        <f t="shared" si="148"/>
        <v>1</v>
      </c>
      <c r="L1591">
        <f t="shared" si="149"/>
        <v>76</v>
      </c>
    </row>
    <row r="1592" spans="1:12" x14ac:dyDescent="0.3">
      <c r="A1592">
        <v>207078726</v>
      </c>
      <c r="B1592" s="1">
        <v>45011</v>
      </c>
      <c r="C1592" s="1">
        <v>45090</v>
      </c>
      <c r="D1592" t="s">
        <v>7</v>
      </c>
      <c r="E1592">
        <v>39</v>
      </c>
      <c r="F1592" t="s">
        <v>6</v>
      </c>
      <c r="G1592">
        <f t="shared" si="144"/>
        <v>79</v>
      </c>
      <c r="H1592" s="1" t="str">
        <f t="shared" si="145"/>
        <v>Sunday</v>
      </c>
      <c r="I1592" t="str">
        <f t="shared" si="146"/>
        <v>No</v>
      </c>
      <c r="J1592">
        <f t="shared" si="147"/>
        <v>0</v>
      </c>
      <c r="K1592">
        <f t="shared" si="148"/>
        <v>1</v>
      </c>
      <c r="L1592">
        <f t="shared" si="149"/>
        <v>79</v>
      </c>
    </row>
    <row r="1593" spans="1:12" x14ac:dyDescent="0.3">
      <c r="A1593">
        <v>207415911</v>
      </c>
      <c r="B1593" s="1">
        <v>45011</v>
      </c>
      <c r="C1593" s="1">
        <v>45077</v>
      </c>
      <c r="D1593" t="s">
        <v>7</v>
      </c>
      <c r="E1593">
        <v>39</v>
      </c>
      <c r="F1593" t="s">
        <v>6</v>
      </c>
      <c r="G1593">
        <f t="shared" si="144"/>
        <v>66</v>
      </c>
      <c r="H1593" s="1" t="str">
        <f t="shared" si="145"/>
        <v>Sunday</v>
      </c>
      <c r="I1593" t="str">
        <f t="shared" si="146"/>
        <v>No</v>
      </c>
      <c r="J1593">
        <f t="shared" si="147"/>
        <v>0</v>
      </c>
      <c r="K1593">
        <f t="shared" si="148"/>
        <v>1</v>
      </c>
      <c r="L1593">
        <f t="shared" si="149"/>
        <v>66</v>
      </c>
    </row>
    <row r="1594" spans="1:12" ht="14.4" customHeight="1" x14ac:dyDescent="0.3">
      <c r="A1594">
        <v>207391012</v>
      </c>
      <c r="B1594" s="1">
        <v>45011</v>
      </c>
      <c r="C1594" s="1">
        <v>45022</v>
      </c>
      <c r="D1594" t="s">
        <v>7</v>
      </c>
      <c r="E1594">
        <v>39</v>
      </c>
      <c r="F1594" t="s">
        <v>6</v>
      </c>
      <c r="G1594">
        <f t="shared" si="144"/>
        <v>11</v>
      </c>
      <c r="H1594" s="1" t="str">
        <f t="shared" si="145"/>
        <v>Sunday</v>
      </c>
      <c r="I1594" t="str">
        <f t="shared" si="146"/>
        <v>No</v>
      </c>
      <c r="J1594">
        <f t="shared" si="147"/>
        <v>0</v>
      </c>
      <c r="K1594">
        <f t="shared" si="148"/>
        <v>0</v>
      </c>
      <c r="L1594">
        <f t="shared" si="149"/>
        <v>11</v>
      </c>
    </row>
    <row r="1595" spans="1:12" ht="14.4" customHeight="1" x14ac:dyDescent="0.3">
      <c r="A1595">
        <v>207699946</v>
      </c>
      <c r="B1595" s="1">
        <v>45011</v>
      </c>
      <c r="C1595" s="1">
        <v>45040</v>
      </c>
      <c r="D1595" t="s">
        <v>7</v>
      </c>
      <c r="E1595">
        <v>39</v>
      </c>
      <c r="F1595" t="s">
        <v>6</v>
      </c>
      <c r="G1595">
        <f t="shared" si="144"/>
        <v>29</v>
      </c>
      <c r="H1595" s="1" t="str">
        <f t="shared" si="145"/>
        <v>Sunday</v>
      </c>
      <c r="I1595" t="str">
        <f t="shared" si="146"/>
        <v>No</v>
      </c>
      <c r="J1595">
        <f t="shared" si="147"/>
        <v>0</v>
      </c>
      <c r="K1595">
        <f t="shared" si="148"/>
        <v>0</v>
      </c>
      <c r="L1595">
        <f t="shared" si="149"/>
        <v>29</v>
      </c>
    </row>
    <row r="1596" spans="1:12" ht="14.4" customHeight="1" x14ac:dyDescent="0.3">
      <c r="A1596">
        <v>207665488</v>
      </c>
      <c r="B1596" s="1">
        <v>45011</v>
      </c>
      <c r="C1596" s="1">
        <v>45011</v>
      </c>
      <c r="D1596" t="s">
        <v>7</v>
      </c>
      <c r="E1596">
        <v>39</v>
      </c>
      <c r="F1596" t="s">
        <v>6</v>
      </c>
      <c r="G1596">
        <f t="shared" si="144"/>
        <v>0</v>
      </c>
      <c r="H1596" s="1" t="str">
        <f t="shared" si="145"/>
        <v>Sunday</v>
      </c>
      <c r="I1596" t="str">
        <f t="shared" si="146"/>
        <v>Yes</v>
      </c>
      <c r="J1596">
        <f t="shared" si="147"/>
        <v>1</v>
      </c>
      <c r="K1596">
        <f t="shared" si="148"/>
        <v>0</v>
      </c>
      <c r="L1596">
        <f t="shared" si="149"/>
        <v>0</v>
      </c>
    </row>
    <row r="1597" spans="1:12" x14ac:dyDescent="0.3">
      <c r="A1597">
        <v>207742153</v>
      </c>
      <c r="B1597" s="1">
        <v>45011</v>
      </c>
      <c r="C1597" s="1">
        <v>45114</v>
      </c>
      <c r="D1597" t="s">
        <v>7</v>
      </c>
      <c r="E1597">
        <v>39</v>
      </c>
      <c r="F1597" t="s">
        <v>6</v>
      </c>
      <c r="G1597">
        <f t="shared" si="144"/>
        <v>103</v>
      </c>
      <c r="H1597" s="1" t="str">
        <f t="shared" si="145"/>
        <v>Sunday</v>
      </c>
      <c r="I1597" t="str">
        <f t="shared" si="146"/>
        <v>No</v>
      </c>
      <c r="J1597">
        <f t="shared" si="147"/>
        <v>0</v>
      </c>
      <c r="K1597">
        <f t="shared" si="148"/>
        <v>1</v>
      </c>
      <c r="L1597">
        <f t="shared" si="149"/>
        <v>103</v>
      </c>
    </row>
    <row r="1598" spans="1:12" ht="14.4" customHeight="1" x14ac:dyDescent="0.3">
      <c r="A1598">
        <v>207288677</v>
      </c>
      <c r="B1598" s="1">
        <v>45012</v>
      </c>
      <c r="D1598" t="s">
        <v>7</v>
      </c>
      <c r="E1598">
        <v>39</v>
      </c>
      <c r="F1598" t="s">
        <v>6</v>
      </c>
      <c r="G1598" t="str">
        <f t="shared" si="144"/>
        <v/>
      </c>
      <c r="H1598" s="1" t="str">
        <f t="shared" si="145"/>
        <v>Monday</v>
      </c>
      <c r="I1598" t="str">
        <f t="shared" si="146"/>
        <v>No</v>
      </c>
      <c r="J1598">
        <f t="shared" si="147"/>
        <v>0</v>
      </c>
      <c r="K1598">
        <f t="shared" si="148"/>
        <v>0</v>
      </c>
      <c r="L1598" t="str">
        <f t="shared" si="149"/>
        <v/>
      </c>
    </row>
    <row r="1599" spans="1:12" ht="14.4" customHeight="1" x14ac:dyDescent="0.3">
      <c r="A1599">
        <v>208151007</v>
      </c>
      <c r="B1599" s="1">
        <v>45012</v>
      </c>
      <c r="D1599" t="s">
        <v>7</v>
      </c>
      <c r="E1599">
        <v>39</v>
      </c>
      <c r="F1599" t="s">
        <v>6</v>
      </c>
      <c r="G1599" t="str">
        <f t="shared" si="144"/>
        <v/>
      </c>
      <c r="H1599" s="1" t="str">
        <f t="shared" si="145"/>
        <v>Monday</v>
      </c>
      <c r="I1599" t="str">
        <f t="shared" si="146"/>
        <v>No</v>
      </c>
      <c r="J1599">
        <f t="shared" si="147"/>
        <v>0</v>
      </c>
      <c r="K1599">
        <f t="shared" si="148"/>
        <v>0</v>
      </c>
      <c r="L1599" t="str">
        <f t="shared" si="149"/>
        <v/>
      </c>
    </row>
    <row r="1600" spans="1:12" ht="14.4" customHeight="1" x14ac:dyDescent="0.3">
      <c r="A1600">
        <v>207218336</v>
      </c>
      <c r="B1600" s="1">
        <v>45012</v>
      </c>
      <c r="D1600" t="s">
        <v>7</v>
      </c>
      <c r="E1600">
        <v>39</v>
      </c>
      <c r="F1600" t="s">
        <v>6</v>
      </c>
      <c r="G1600" t="str">
        <f t="shared" si="144"/>
        <v/>
      </c>
      <c r="H1600" s="1" t="str">
        <f t="shared" si="145"/>
        <v>Monday</v>
      </c>
      <c r="I1600" t="str">
        <f t="shared" si="146"/>
        <v>No</v>
      </c>
      <c r="J1600">
        <f t="shared" si="147"/>
        <v>0</v>
      </c>
      <c r="K1600">
        <f t="shared" si="148"/>
        <v>0</v>
      </c>
      <c r="L1600" t="str">
        <f t="shared" si="149"/>
        <v/>
      </c>
    </row>
    <row r="1601" spans="1:12" ht="14.4" customHeight="1" x14ac:dyDescent="0.3">
      <c r="A1601">
        <v>208105889</v>
      </c>
      <c r="B1601" s="1">
        <v>45012</v>
      </c>
      <c r="D1601" t="s">
        <v>7</v>
      </c>
      <c r="E1601">
        <v>39</v>
      </c>
      <c r="F1601" t="s">
        <v>6</v>
      </c>
      <c r="G1601" t="str">
        <f t="shared" si="144"/>
        <v/>
      </c>
      <c r="H1601" s="1" t="str">
        <f t="shared" si="145"/>
        <v>Monday</v>
      </c>
      <c r="I1601" t="str">
        <f t="shared" si="146"/>
        <v>No</v>
      </c>
      <c r="J1601">
        <f t="shared" si="147"/>
        <v>0</v>
      </c>
      <c r="K1601">
        <f t="shared" si="148"/>
        <v>0</v>
      </c>
      <c r="L1601" t="str">
        <f t="shared" si="149"/>
        <v/>
      </c>
    </row>
    <row r="1602" spans="1:12" x14ac:dyDescent="0.3">
      <c r="A1602">
        <v>152221925</v>
      </c>
      <c r="B1602" s="1">
        <v>45012</v>
      </c>
      <c r="C1602" s="1">
        <v>45096</v>
      </c>
      <c r="D1602" t="s">
        <v>7</v>
      </c>
      <c r="E1602">
        <v>39</v>
      </c>
      <c r="F1602" t="s">
        <v>6</v>
      </c>
      <c r="G1602">
        <f t="shared" ref="G1602:G1665" si="150">IF(C1602="","",C1602-B1602)</f>
        <v>84</v>
      </c>
      <c r="H1602" s="1" t="str">
        <f t="shared" si="145"/>
        <v>Monday</v>
      </c>
      <c r="I1602" t="str">
        <f t="shared" si="146"/>
        <v>No</v>
      </c>
      <c r="J1602">
        <f t="shared" si="147"/>
        <v>0</v>
      </c>
      <c r="K1602">
        <f t="shared" si="148"/>
        <v>1</v>
      </c>
      <c r="L1602">
        <f t="shared" si="149"/>
        <v>84</v>
      </c>
    </row>
    <row r="1603" spans="1:12" x14ac:dyDescent="0.3">
      <c r="A1603">
        <v>207090754</v>
      </c>
      <c r="B1603" s="1">
        <v>45012</v>
      </c>
      <c r="C1603" s="1">
        <v>45078</v>
      </c>
      <c r="D1603" t="s">
        <v>7</v>
      </c>
      <c r="E1603">
        <v>39</v>
      </c>
      <c r="F1603" t="s">
        <v>6</v>
      </c>
      <c r="G1603">
        <f t="shared" si="150"/>
        <v>66</v>
      </c>
      <c r="H1603" s="1" t="str">
        <f t="shared" ref="H1603:H1666" si="151">TEXT(B1603,"dddd")</f>
        <v>Monday</v>
      </c>
      <c r="I1603" t="str">
        <f t="shared" ref="I1603:I1666" si="152">IF(B1603=C1603,"Yes","No")</f>
        <v>No</v>
      </c>
      <c r="J1603">
        <f t="shared" ref="J1603:J1666" si="153">IF(AND(C1603&lt;&gt;"",C1603-B1603&lt;=2),1,0)</f>
        <v>0</v>
      </c>
      <c r="K1603">
        <f t="shared" ref="K1603:K1666" si="154">IF(AND(C1603&lt;&gt;"",C1603-B1603&gt;30),1,0)</f>
        <v>1</v>
      </c>
      <c r="L1603">
        <f t="shared" ref="L1603:L1666" si="155">IF(C1603="","",C1603-B1603)</f>
        <v>66</v>
      </c>
    </row>
    <row r="1604" spans="1:12" x14ac:dyDescent="0.3">
      <c r="A1604">
        <v>128283235</v>
      </c>
      <c r="B1604" s="1">
        <v>45012</v>
      </c>
      <c r="C1604" s="1">
        <v>45134</v>
      </c>
      <c r="D1604" t="s">
        <v>7</v>
      </c>
      <c r="E1604">
        <v>39</v>
      </c>
      <c r="F1604" t="s">
        <v>6</v>
      </c>
      <c r="G1604">
        <f t="shared" si="150"/>
        <v>122</v>
      </c>
      <c r="H1604" s="1" t="str">
        <f t="shared" si="151"/>
        <v>Monday</v>
      </c>
      <c r="I1604" t="str">
        <f t="shared" si="152"/>
        <v>No</v>
      </c>
      <c r="J1604">
        <f t="shared" si="153"/>
        <v>0</v>
      </c>
      <c r="K1604">
        <f t="shared" si="154"/>
        <v>1</v>
      </c>
      <c r="L1604">
        <f t="shared" si="155"/>
        <v>122</v>
      </c>
    </row>
    <row r="1605" spans="1:12" x14ac:dyDescent="0.3">
      <c r="A1605">
        <v>206686106</v>
      </c>
      <c r="B1605" s="1">
        <v>45012</v>
      </c>
      <c r="C1605" s="1">
        <v>45050</v>
      </c>
      <c r="D1605" t="s">
        <v>7</v>
      </c>
      <c r="E1605">
        <v>39</v>
      </c>
      <c r="F1605" t="s">
        <v>6</v>
      </c>
      <c r="G1605">
        <f t="shared" si="150"/>
        <v>38</v>
      </c>
      <c r="H1605" s="1" t="str">
        <f t="shared" si="151"/>
        <v>Monday</v>
      </c>
      <c r="I1605" t="str">
        <f t="shared" si="152"/>
        <v>No</v>
      </c>
      <c r="J1605">
        <f t="shared" si="153"/>
        <v>0</v>
      </c>
      <c r="K1605">
        <f t="shared" si="154"/>
        <v>1</v>
      </c>
      <c r="L1605">
        <f t="shared" si="155"/>
        <v>38</v>
      </c>
    </row>
    <row r="1606" spans="1:12" ht="14.4" customHeight="1" x14ac:dyDescent="0.3">
      <c r="A1606">
        <v>208090380</v>
      </c>
      <c r="B1606" s="1">
        <v>45012</v>
      </c>
      <c r="C1606" s="1">
        <v>45026</v>
      </c>
      <c r="D1606" t="s">
        <v>7</v>
      </c>
      <c r="E1606">
        <v>39</v>
      </c>
      <c r="F1606" t="s">
        <v>6</v>
      </c>
      <c r="G1606">
        <f t="shared" si="150"/>
        <v>14</v>
      </c>
      <c r="H1606" s="1" t="str">
        <f t="shared" si="151"/>
        <v>Monday</v>
      </c>
      <c r="I1606" t="str">
        <f t="shared" si="152"/>
        <v>No</v>
      </c>
      <c r="J1606">
        <f t="shared" si="153"/>
        <v>0</v>
      </c>
      <c r="K1606">
        <f t="shared" si="154"/>
        <v>0</v>
      </c>
      <c r="L1606">
        <f t="shared" si="155"/>
        <v>14</v>
      </c>
    </row>
    <row r="1607" spans="1:12" ht="14.4" customHeight="1" x14ac:dyDescent="0.3">
      <c r="A1607">
        <v>153281230</v>
      </c>
      <c r="B1607" s="1">
        <v>45012</v>
      </c>
      <c r="C1607" s="1">
        <v>45033</v>
      </c>
      <c r="D1607" t="s">
        <v>7</v>
      </c>
      <c r="E1607">
        <v>39</v>
      </c>
      <c r="F1607" t="s">
        <v>6</v>
      </c>
      <c r="G1607">
        <f t="shared" si="150"/>
        <v>21</v>
      </c>
      <c r="H1607" s="1" t="str">
        <f t="shared" si="151"/>
        <v>Monday</v>
      </c>
      <c r="I1607" t="str">
        <f t="shared" si="152"/>
        <v>No</v>
      </c>
      <c r="J1607">
        <f t="shared" si="153"/>
        <v>0</v>
      </c>
      <c r="K1607">
        <f t="shared" si="154"/>
        <v>0</v>
      </c>
      <c r="L1607">
        <f t="shared" si="155"/>
        <v>21</v>
      </c>
    </row>
    <row r="1608" spans="1:12" ht="14.4" customHeight="1" x14ac:dyDescent="0.3">
      <c r="A1608">
        <v>205049710</v>
      </c>
      <c r="B1608" s="1">
        <v>45012</v>
      </c>
      <c r="C1608" s="1">
        <v>45013</v>
      </c>
      <c r="D1608" t="s">
        <v>7</v>
      </c>
      <c r="E1608">
        <v>39</v>
      </c>
      <c r="F1608" t="s">
        <v>6</v>
      </c>
      <c r="G1608">
        <f t="shared" si="150"/>
        <v>1</v>
      </c>
      <c r="H1608" s="1" t="str">
        <f t="shared" si="151"/>
        <v>Monday</v>
      </c>
      <c r="I1608" t="str">
        <f t="shared" si="152"/>
        <v>No</v>
      </c>
      <c r="J1608">
        <f t="shared" si="153"/>
        <v>1</v>
      </c>
      <c r="K1608">
        <f t="shared" si="154"/>
        <v>0</v>
      </c>
      <c r="L1608">
        <f t="shared" si="155"/>
        <v>1</v>
      </c>
    </row>
    <row r="1609" spans="1:12" ht="14.4" customHeight="1" x14ac:dyDescent="0.3">
      <c r="A1609">
        <v>208618235</v>
      </c>
      <c r="B1609" s="1">
        <v>45013</v>
      </c>
      <c r="D1609" t="s">
        <v>7</v>
      </c>
      <c r="E1609">
        <v>39</v>
      </c>
      <c r="F1609" t="s">
        <v>6</v>
      </c>
      <c r="G1609" t="str">
        <f t="shared" si="150"/>
        <v/>
      </c>
      <c r="H1609" s="1" t="str">
        <f t="shared" si="151"/>
        <v>Tuesday</v>
      </c>
      <c r="I1609" t="str">
        <f t="shared" si="152"/>
        <v>No</v>
      </c>
      <c r="J1609">
        <f t="shared" si="153"/>
        <v>0</v>
      </c>
      <c r="K1609">
        <f t="shared" si="154"/>
        <v>0</v>
      </c>
      <c r="L1609" t="str">
        <f t="shared" si="155"/>
        <v/>
      </c>
    </row>
    <row r="1610" spans="1:12" ht="14.4" customHeight="1" x14ac:dyDescent="0.3">
      <c r="A1610">
        <v>167713351</v>
      </c>
      <c r="B1610" s="1">
        <v>45013</v>
      </c>
      <c r="D1610" t="s">
        <v>7</v>
      </c>
      <c r="E1610">
        <v>39</v>
      </c>
      <c r="F1610" t="s">
        <v>6</v>
      </c>
      <c r="G1610" t="str">
        <f t="shared" si="150"/>
        <v/>
      </c>
      <c r="H1610" s="1" t="str">
        <f t="shared" si="151"/>
        <v>Tuesday</v>
      </c>
      <c r="I1610" t="str">
        <f t="shared" si="152"/>
        <v>No</v>
      </c>
      <c r="J1610">
        <f t="shared" si="153"/>
        <v>0</v>
      </c>
      <c r="K1610">
        <f t="shared" si="154"/>
        <v>0</v>
      </c>
      <c r="L1610" t="str">
        <f t="shared" si="155"/>
        <v/>
      </c>
    </row>
    <row r="1611" spans="1:12" ht="14.4" customHeight="1" x14ac:dyDescent="0.3">
      <c r="A1611">
        <v>149975492</v>
      </c>
      <c r="B1611" s="1">
        <v>45013</v>
      </c>
      <c r="D1611" t="s">
        <v>7</v>
      </c>
      <c r="E1611">
        <v>39</v>
      </c>
      <c r="F1611" t="s">
        <v>6</v>
      </c>
      <c r="G1611" t="str">
        <f t="shared" si="150"/>
        <v/>
      </c>
      <c r="H1611" s="1" t="str">
        <f t="shared" si="151"/>
        <v>Tuesday</v>
      </c>
      <c r="I1611" t="str">
        <f t="shared" si="152"/>
        <v>No</v>
      </c>
      <c r="J1611">
        <f t="shared" si="153"/>
        <v>0</v>
      </c>
      <c r="K1611">
        <f t="shared" si="154"/>
        <v>0</v>
      </c>
      <c r="L1611" t="str">
        <f t="shared" si="155"/>
        <v/>
      </c>
    </row>
    <row r="1612" spans="1:12" ht="14.4" customHeight="1" x14ac:dyDescent="0.3">
      <c r="A1612">
        <v>208286745</v>
      </c>
      <c r="B1612" s="1">
        <v>45013</v>
      </c>
      <c r="D1612" t="s">
        <v>7</v>
      </c>
      <c r="E1612">
        <v>39</v>
      </c>
      <c r="F1612" t="s">
        <v>6</v>
      </c>
      <c r="G1612" t="str">
        <f t="shared" si="150"/>
        <v/>
      </c>
      <c r="H1612" s="1" t="str">
        <f t="shared" si="151"/>
        <v>Tuesday</v>
      </c>
      <c r="I1612" t="str">
        <f t="shared" si="152"/>
        <v>No</v>
      </c>
      <c r="J1612">
        <f t="shared" si="153"/>
        <v>0</v>
      </c>
      <c r="K1612">
        <f t="shared" si="154"/>
        <v>0</v>
      </c>
      <c r="L1612" t="str">
        <f t="shared" si="155"/>
        <v/>
      </c>
    </row>
    <row r="1613" spans="1:12" ht="14.4" customHeight="1" x14ac:dyDescent="0.3">
      <c r="A1613">
        <v>208473540</v>
      </c>
      <c r="B1613" s="1">
        <v>45013</v>
      </c>
      <c r="C1613" s="1">
        <v>45013</v>
      </c>
      <c r="D1613" t="s">
        <v>7</v>
      </c>
      <c r="E1613">
        <v>39</v>
      </c>
      <c r="F1613" t="s">
        <v>6</v>
      </c>
      <c r="G1613">
        <f t="shared" si="150"/>
        <v>0</v>
      </c>
      <c r="H1613" s="1" t="str">
        <f t="shared" si="151"/>
        <v>Tuesday</v>
      </c>
      <c r="I1613" t="str">
        <f t="shared" si="152"/>
        <v>Yes</v>
      </c>
      <c r="J1613">
        <f t="shared" si="153"/>
        <v>1</v>
      </c>
      <c r="K1613">
        <f t="shared" si="154"/>
        <v>0</v>
      </c>
      <c r="L1613">
        <f t="shared" si="155"/>
        <v>0</v>
      </c>
    </row>
    <row r="1614" spans="1:12" x14ac:dyDescent="0.3">
      <c r="A1614">
        <v>137721176</v>
      </c>
      <c r="B1614" s="1">
        <v>45013</v>
      </c>
      <c r="C1614" s="1">
        <v>45138</v>
      </c>
      <c r="D1614" t="s">
        <v>7</v>
      </c>
      <c r="E1614">
        <v>39</v>
      </c>
      <c r="F1614" t="s">
        <v>6</v>
      </c>
      <c r="G1614">
        <f t="shared" si="150"/>
        <v>125</v>
      </c>
      <c r="H1614" s="1" t="str">
        <f t="shared" si="151"/>
        <v>Tuesday</v>
      </c>
      <c r="I1614" t="str">
        <f t="shared" si="152"/>
        <v>No</v>
      </c>
      <c r="J1614">
        <f t="shared" si="153"/>
        <v>0</v>
      </c>
      <c r="K1614">
        <f t="shared" si="154"/>
        <v>1</v>
      </c>
      <c r="L1614">
        <f t="shared" si="155"/>
        <v>125</v>
      </c>
    </row>
    <row r="1615" spans="1:12" x14ac:dyDescent="0.3">
      <c r="A1615">
        <v>140062581</v>
      </c>
      <c r="B1615" s="1">
        <v>45013</v>
      </c>
      <c r="C1615" s="1">
        <v>45059</v>
      </c>
      <c r="D1615" t="s">
        <v>7</v>
      </c>
      <c r="E1615">
        <v>39</v>
      </c>
      <c r="F1615" t="s">
        <v>6</v>
      </c>
      <c r="G1615">
        <f t="shared" si="150"/>
        <v>46</v>
      </c>
      <c r="H1615" s="1" t="str">
        <f t="shared" si="151"/>
        <v>Tuesday</v>
      </c>
      <c r="I1615" t="str">
        <f t="shared" si="152"/>
        <v>No</v>
      </c>
      <c r="J1615">
        <f t="shared" si="153"/>
        <v>0</v>
      </c>
      <c r="K1615">
        <f t="shared" si="154"/>
        <v>1</v>
      </c>
      <c r="L1615">
        <f t="shared" si="155"/>
        <v>46</v>
      </c>
    </row>
    <row r="1616" spans="1:12" x14ac:dyDescent="0.3">
      <c r="A1616">
        <v>208488674</v>
      </c>
      <c r="B1616" s="1">
        <v>45013</v>
      </c>
      <c r="C1616" s="1">
        <v>45078</v>
      </c>
      <c r="D1616" t="s">
        <v>7</v>
      </c>
      <c r="E1616">
        <v>39</v>
      </c>
      <c r="F1616" t="s">
        <v>6</v>
      </c>
      <c r="G1616">
        <f t="shared" si="150"/>
        <v>65</v>
      </c>
      <c r="H1616" s="1" t="str">
        <f t="shared" si="151"/>
        <v>Tuesday</v>
      </c>
      <c r="I1616" t="str">
        <f t="shared" si="152"/>
        <v>No</v>
      </c>
      <c r="J1616">
        <f t="shared" si="153"/>
        <v>0</v>
      </c>
      <c r="K1616">
        <f t="shared" si="154"/>
        <v>1</v>
      </c>
      <c r="L1616">
        <f t="shared" si="155"/>
        <v>65</v>
      </c>
    </row>
    <row r="1617" spans="1:12" x14ac:dyDescent="0.3">
      <c r="A1617">
        <v>162752410</v>
      </c>
      <c r="B1617" s="1">
        <v>45013</v>
      </c>
      <c r="C1617" s="1">
        <v>45158</v>
      </c>
      <c r="D1617" t="s">
        <v>7</v>
      </c>
      <c r="E1617">
        <v>39</v>
      </c>
      <c r="F1617" t="s">
        <v>6</v>
      </c>
      <c r="G1617">
        <f t="shared" si="150"/>
        <v>145</v>
      </c>
      <c r="H1617" s="1" t="str">
        <f t="shared" si="151"/>
        <v>Tuesday</v>
      </c>
      <c r="I1617" t="str">
        <f t="shared" si="152"/>
        <v>No</v>
      </c>
      <c r="J1617">
        <f t="shared" si="153"/>
        <v>0</v>
      </c>
      <c r="K1617">
        <f t="shared" si="154"/>
        <v>1</v>
      </c>
      <c r="L1617">
        <f t="shared" si="155"/>
        <v>145</v>
      </c>
    </row>
    <row r="1618" spans="1:12" x14ac:dyDescent="0.3">
      <c r="A1618">
        <v>208598415</v>
      </c>
      <c r="B1618" s="1">
        <v>45013</v>
      </c>
      <c r="C1618" s="1">
        <v>45049</v>
      </c>
      <c r="D1618" t="s">
        <v>7</v>
      </c>
      <c r="E1618">
        <v>39</v>
      </c>
      <c r="F1618" t="s">
        <v>6</v>
      </c>
      <c r="G1618">
        <f t="shared" si="150"/>
        <v>36</v>
      </c>
      <c r="H1618" s="1" t="str">
        <f t="shared" si="151"/>
        <v>Tuesday</v>
      </c>
      <c r="I1618" t="str">
        <f t="shared" si="152"/>
        <v>No</v>
      </c>
      <c r="J1618">
        <f t="shared" si="153"/>
        <v>0</v>
      </c>
      <c r="K1618">
        <f t="shared" si="154"/>
        <v>1</v>
      </c>
      <c r="L1618">
        <f t="shared" si="155"/>
        <v>36</v>
      </c>
    </row>
    <row r="1619" spans="1:12" x14ac:dyDescent="0.3">
      <c r="A1619">
        <v>143427096</v>
      </c>
      <c r="B1619" s="1">
        <v>45013</v>
      </c>
      <c r="C1619" s="1">
        <v>45047</v>
      </c>
      <c r="D1619" t="s">
        <v>7</v>
      </c>
      <c r="E1619">
        <v>39</v>
      </c>
      <c r="F1619" t="s">
        <v>6</v>
      </c>
      <c r="G1619">
        <f t="shared" si="150"/>
        <v>34</v>
      </c>
      <c r="H1619" s="1" t="str">
        <f t="shared" si="151"/>
        <v>Tuesday</v>
      </c>
      <c r="I1619" t="str">
        <f t="shared" si="152"/>
        <v>No</v>
      </c>
      <c r="J1619">
        <f t="shared" si="153"/>
        <v>0</v>
      </c>
      <c r="K1619">
        <f t="shared" si="154"/>
        <v>1</v>
      </c>
      <c r="L1619">
        <f t="shared" si="155"/>
        <v>34</v>
      </c>
    </row>
    <row r="1620" spans="1:12" ht="14.4" customHeight="1" x14ac:dyDescent="0.3">
      <c r="A1620">
        <v>208480650</v>
      </c>
      <c r="B1620" s="1">
        <v>45013</v>
      </c>
      <c r="C1620" s="1">
        <v>45030</v>
      </c>
      <c r="D1620" t="s">
        <v>7</v>
      </c>
      <c r="E1620">
        <v>39</v>
      </c>
      <c r="F1620" t="s">
        <v>6</v>
      </c>
      <c r="G1620">
        <f t="shared" si="150"/>
        <v>17</v>
      </c>
      <c r="H1620" s="1" t="str">
        <f t="shared" si="151"/>
        <v>Tuesday</v>
      </c>
      <c r="I1620" t="str">
        <f t="shared" si="152"/>
        <v>No</v>
      </c>
      <c r="J1620">
        <f t="shared" si="153"/>
        <v>0</v>
      </c>
      <c r="K1620">
        <f t="shared" si="154"/>
        <v>0</v>
      </c>
      <c r="L1620">
        <f t="shared" si="155"/>
        <v>17</v>
      </c>
    </row>
    <row r="1621" spans="1:12" ht="14.4" customHeight="1" x14ac:dyDescent="0.3">
      <c r="A1621">
        <v>147000442</v>
      </c>
      <c r="B1621" s="1">
        <v>45014</v>
      </c>
      <c r="D1621" t="s">
        <v>7</v>
      </c>
      <c r="E1621">
        <v>39</v>
      </c>
      <c r="F1621" t="s">
        <v>6</v>
      </c>
      <c r="G1621" t="str">
        <f t="shared" si="150"/>
        <v/>
      </c>
      <c r="H1621" s="1" t="str">
        <f t="shared" si="151"/>
        <v>Wednesday</v>
      </c>
      <c r="I1621" t="str">
        <f t="shared" si="152"/>
        <v>No</v>
      </c>
      <c r="J1621">
        <f t="shared" si="153"/>
        <v>0</v>
      </c>
      <c r="K1621">
        <f t="shared" si="154"/>
        <v>0</v>
      </c>
      <c r="L1621" t="str">
        <f t="shared" si="155"/>
        <v/>
      </c>
    </row>
    <row r="1622" spans="1:12" ht="14.4" customHeight="1" x14ac:dyDescent="0.3">
      <c r="A1622">
        <v>207062508</v>
      </c>
      <c r="B1622" s="1">
        <v>45014</v>
      </c>
      <c r="D1622" t="s">
        <v>7</v>
      </c>
      <c r="E1622">
        <v>39</v>
      </c>
      <c r="F1622" t="s">
        <v>6</v>
      </c>
      <c r="G1622" t="str">
        <f t="shared" si="150"/>
        <v/>
      </c>
      <c r="H1622" s="1" t="str">
        <f t="shared" si="151"/>
        <v>Wednesday</v>
      </c>
      <c r="I1622" t="str">
        <f t="shared" si="152"/>
        <v>No</v>
      </c>
      <c r="J1622">
        <f t="shared" si="153"/>
        <v>0</v>
      </c>
      <c r="K1622">
        <f t="shared" si="154"/>
        <v>0</v>
      </c>
      <c r="L1622" t="str">
        <f t="shared" si="155"/>
        <v/>
      </c>
    </row>
    <row r="1623" spans="1:12" ht="14.4" customHeight="1" x14ac:dyDescent="0.3">
      <c r="A1623">
        <v>206862916</v>
      </c>
      <c r="B1623" s="1">
        <v>45014</v>
      </c>
      <c r="D1623" t="s">
        <v>7</v>
      </c>
      <c r="E1623">
        <v>39</v>
      </c>
      <c r="F1623" t="s">
        <v>6</v>
      </c>
      <c r="G1623" t="str">
        <f t="shared" si="150"/>
        <v/>
      </c>
      <c r="H1623" s="1" t="str">
        <f t="shared" si="151"/>
        <v>Wednesday</v>
      </c>
      <c r="I1623" t="str">
        <f t="shared" si="152"/>
        <v>No</v>
      </c>
      <c r="J1623">
        <f t="shared" si="153"/>
        <v>0</v>
      </c>
      <c r="K1623">
        <f t="shared" si="154"/>
        <v>0</v>
      </c>
      <c r="L1623" t="str">
        <f t="shared" si="155"/>
        <v/>
      </c>
    </row>
    <row r="1624" spans="1:12" ht="14.4" customHeight="1" x14ac:dyDescent="0.3">
      <c r="A1624">
        <v>208706866</v>
      </c>
      <c r="B1624" s="1">
        <v>45014</v>
      </c>
      <c r="D1624" t="s">
        <v>7</v>
      </c>
      <c r="E1624">
        <v>39</v>
      </c>
      <c r="F1624" t="s">
        <v>6</v>
      </c>
      <c r="G1624" t="str">
        <f t="shared" si="150"/>
        <v/>
      </c>
      <c r="H1624" s="1" t="str">
        <f t="shared" si="151"/>
        <v>Wednesday</v>
      </c>
      <c r="I1624" t="str">
        <f t="shared" si="152"/>
        <v>No</v>
      </c>
      <c r="J1624">
        <f t="shared" si="153"/>
        <v>0</v>
      </c>
      <c r="K1624">
        <f t="shared" si="154"/>
        <v>0</v>
      </c>
      <c r="L1624" t="str">
        <f t="shared" si="155"/>
        <v/>
      </c>
    </row>
    <row r="1625" spans="1:12" x14ac:dyDescent="0.3">
      <c r="A1625">
        <v>134719816</v>
      </c>
      <c r="B1625" s="1">
        <v>45014</v>
      </c>
      <c r="C1625" s="1">
        <v>45095</v>
      </c>
      <c r="D1625" t="s">
        <v>7</v>
      </c>
      <c r="E1625">
        <v>39</v>
      </c>
      <c r="F1625" t="s">
        <v>6</v>
      </c>
      <c r="G1625">
        <f t="shared" si="150"/>
        <v>81</v>
      </c>
      <c r="H1625" s="1" t="str">
        <f t="shared" si="151"/>
        <v>Wednesday</v>
      </c>
      <c r="I1625" t="str">
        <f t="shared" si="152"/>
        <v>No</v>
      </c>
      <c r="J1625">
        <f t="shared" si="153"/>
        <v>0</v>
      </c>
      <c r="K1625">
        <f t="shared" si="154"/>
        <v>1</v>
      </c>
      <c r="L1625">
        <f t="shared" si="155"/>
        <v>81</v>
      </c>
    </row>
    <row r="1626" spans="1:12" x14ac:dyDescent="0.3">
      <c r="A1626">
        <v>138548670</v>
      </c>
      <c r="B1626" s="1">
        <v>45014</v>
      </c>
      <c r="C1626" s="1">
        <v>45076</v>
      </c>
      <c r="D1626" t="s">
        <v>7</v>
      </c>
      <c r="E1626">
        <v>39</v>
      </c>
      <c r="F1626" t="s">
        <v>6</v>
      </c>
      <c r="G1626">
        <f t="shared" si="150"/>
        <v>62</v>
      </c>
      <c r="H1626" s="1" t="str">
        <f t="shared" si="151"/>
        <v>Wednesday</v>
      </c>
      <c r="I1626" t="str">
        <f t="shared" si="152"/>
        <v>No</v>
      </c>
      <c r="J1626">
        <f t="shared" si="153"/>
        <v>0</v>
      </c>
      <c r="K1626">
        <f t="shared" si="154"/>
        <v>1</v>
      </c>
      <c r="L1626">
        <f t="shared" si="155"/>
        <v>62</v>
      </c>
    </row>
    <row r="1627" spans="1:12" x14ac:dyDescent="0.3">
      <c r="A1627">
        <v>208745476</v>
      </c>
      <c r="B1627" s="1">
        <v>45014</v>
      </c>
      <c r="C1627" s="1">
        <v>45098</v>
      </c>
      <c r="D1627" t="s">
        <v>7</v>
      </c>
      <c r="E1627">
        <v>39</v>
      </c>
      <c r="F1627" t="s">
        <v>6</v>
      </c>
      <c r="G1627">
        <f t="shared" si="150"/>
        <v>84</v>
      </c>
      <c r="H1627" s="1" t="str">
        <f t="shared" si="151"/>
        <v>Wednesday</v>
      </c>
      <c r="I1627" t="str">
        <f t="shared" si="152"/>
        <v>No</v>
      </c>
      <c r="J1627">
        <f t="shared" si="153"/>
        <v>0</v>
      </c>
      <c r="K1627">
        <f t="shared" si="154"/>
        <v>1</v>
      </c>
      <c r="L1627">
        <f t="shared" si="155"/>
        <v>84</v>
      </c>
    </row>
    <row r="1628" spans="1:12" x14ac:dyDescent="0.3">
      <c r="A1628">
        <v>182584521</v>
      </c>
      <c r="B1628" s="1">
        <v>45014</v>
      </c>
      <c r="C1628" s="1">
        <v>45052</v>
      </c>
      <c r="D1628" t="s">
        <v>7</v>
      </c>
      <c r="E1628">
        <v>39</v>
      </c>
      <c r="F1628" t="s">
        <v>6</v>
      </c>
      <c r="G1628">
        <f t="shared" si="150"/>
        <v>38</v>
      </c>
      <c r="H1628" s="1" t="str">
        <f t="shared" si="151"/>
        <v>Wednesday</v>
      </c>
      <c r="I1628" t="str">
        <f t="shared" si="152"/>
        <v>No</v>
      </c>
      <c r="J1628">
        <f t="shared" si="153"/>
        <v>0</v>
      </c>
      <c r="K1628">
        <f t="shared" si="154"/>
        <v>1</v>
      </c>
      <c r="L1628">
        <f t="shared" si="155"/>
        <v>38</v>
      </c>
    </row>
    <row r="1629" spans="1:12" x14ac:dyDescent="0.3">
      <c r="A1629">
        <v>206463427</v>
      </c>
      <c r="B1629" s="1">
        <v>45014</v>
      </c>
      <c r="C1629" s="1">
        <v>45050</v>
      </c>
      <c r="D1629" t="s">
        <v>7</v>
      </c>
      <c r="E1629">
        <v>39</v>
      </c>
      <c r="F1629" t="s">
        <v>6</v>
      </c>
      <c r="G1629">
        <f t="shared" si="150"/>
        <v>36</v>
      </c>
      <c r="H1629" s="1" t="str">
        <f t="shared" si="151"/>
        <v>Wednesday</v>
      </c>
      <c r="I1629" t="str">
        <f t="shared" si="152"/>
        <v>No</v>
      </c>
      <c r="J1629">
        <f t="shared" si="153"/>
        <v>0</v>
      </c>
      <c r="K1629">
        <f t="shared" si="154"/>
        <v>1</v>
      </c>
      <c r="L1629">
        <f t="shared" si="155"/>
        <v>36</v>
      </c>
    </row>
    <row r="1630" spans="1:12" ht="14.4" customHeight="1" x14ac:dyDescent="0.3">
      <c r="A1630">
        <v>158947936</v>
      </c>
      <c r="B1630" s="1">
        <v>45014</v>
      </c>
      <c r="C1630" s="1">
        <v>45044</v>
      </c>
      <c r="D1630" t="s">
        <v>7</v>
      </c>
      <c r="E1630">
        <v>39</v>
      </c>
      <c r="F1630" t="s">
        <v>6</v>
      </c>
      <c r="G1630">
        <f t="shared" si="150"/>
        <v>30</v>
      </c>
      <c r="H1630" s="1" t="str">
        <f t="shared" si="151"/>
        <v>Wednesday</v>
      </c>
      <c r="I1630" t="str">
        <f t="shared" si="152"/>
        <v>No</v>
      </c>
      <c r="J1630">
        <f t="shared" si="153"/>
        <v>0</v>
      </c>
      <c r="K1630">
        <f t="shared" si="154"/>
        <v>0</v>
      </c>
      <c r="L1630">
        <f t="shared" si="155"/>
        <v>30</v>
      </c>
    </row>
    <row r="1631" spans="1:12" x14ac:dyDescent="0.3">
      <c r="A1631">
        <v>182737296</v>
      </c>
      <c r="B1631" s="1">
        <v>45014</v>
      </c>
      <c r="C1631" s="1">
        <v>45045</v>
      </c>
      <c r="D1631" t="s">
        <v>7</v>
      </c>
      <c r="E1631">
        <v>39</v>
      </c>
      <c r="F1631" t="s">
        <v>6</v>
      </c>
      <c r="G1631">
        <f t="shared" si="150"/>
        <v>31</v>
      </c>
      <c r="H1631" s="1" t="str">
        <f t="shared" si="151"/>
        <v>Wednesday</v>
      </c>
      <c r="I1631" t="str">
        <f t="shared" si="152"/>
        <v>No</v>
      </c>
      <c r="J1631">
        <f t="shared" si="153"/>
        <v>0</v>
      </c>
      <c r="K1631">
        <f t="shared" si="154"/>
        <v>1</v>
      </c>
      <c r="L1631">
        <f t="shared" si="155"/>
        <v>31</v>
      </c>
    </row>
    <row r="1632" spans="1:12" ht="14.4" customHeight="1" x14ac:dyDescent="0.3">
      <c r="A1632">
        <v>156550538</v>
      </c>
      <c r="B1632" s="1">
        <v>45015</v>
      </c>
      <c r="D1632" t="s">
        <v>7</v>
      </c>
      <c r="E1632">
        <v>39</v>
      </c>
      <c r="F1632" t="s">
        <v>6</v>
      </c>
      <c r="G1632" t="str">
        <f t="shared" si="150"/>
        <v/>
      </c>
      <c r="H1632" s="1" t="str">
        <f t="shared" si="151"/>
        <v>Thursday</v>
      </c>
      <c r="I1632" t="str">
        <f t="shared" si="152"/>
        <v>No</v>
      </c>
      <c r="J1632">
        <f t="shared" si="153"/>
        <v>0</v>
      </c>
      <c r="K1632">
        <f t="shared" si="154"/>
        <v>0</v>
      </c>
      <c r="L1632" t="str">
        <f t="shared" si="155"/>
        <v/>
      </c>
    </row>
    <row r="1633" spans="1:12" ht="14.4" customHeight="1" x14ac:dyDescent="0.3">
      <c r="A1633">
        <v>208897557</v>
      </c>
      <c r="B1633" s="1">
        <v>45015</v>
      </c>
      <c r="D1633" t="s">
        <v>7</v>
      </c>
      <c r="E1633">
        <v>39</v>
      </c>
      <c r="F1633" t="s">
        <v>6</v>
      </c>
      <c r="G1633" t="str">
        <f t="shared" si="150"/>
        <v/>
      </c>
      <c r="H1633" s="1" t="str">
        <f t="shared" si="151"/>
        <v>Thursday</v>
      </c>
      <c r="I1633" t="str">
        <f t="shared" si="152"/>
        <v>No</v>
      </c>
      <c r="J1633">
        <f t="shared" si="153"/>
        <v>0</v>
      </c>
      <c r="K1633">
        <f t="shared" si="154"/>
        <v>0</v>
      </c>
      <c r="L1633" t="str">
        <f t="shared" si="155"/>
        <v/>
      </c>
    </row>
    <row r="1634" spans="1:12" ht="14.4" customHeight="1" x14ac:dyDescent="0.3">
      <c r="A1634">
        <v>157484010</v>
      </c>
      <c r="B1634" s="1">
        <v>45015</v>
      </c>
      <c r="D1634" t="s">
        <v>7</v>
      </c>
      <c r="E1634">
        <v>39</v>
      </c>
      <c r="F1634" t="s">
        <v>6</v>
      </c>
      <c r="G1634" t="str">
        <f t="shared" si="150"/>
        <v/>
      </c>
      <c r="H1634" s="1" t="str">
        <f t="shared" si="151"/>
        <v>Thursday</v>
      </c>
      <c r="I1634" t="str">
        <f t="shared" si="152"/>
        <v>No</v>
      </c>
      <c r="J1634">
        <f t="shared" si="153"/>
        <v>0</v>
      </c>
      <c r="K1634">
        <f t="shared" si="154"/>
        <v>0</v>
      </c>
      <c r="L1634" t="str">
        <f t="shared" si="155"/>
        <v/>
      </c>
    </row>
    <row r="1635" spans="1:12" x14ac:dyDescent="0.3">
      <c r="A1635">
        <v>146450388</v>
      </c>
      <c r="B1635" s="1">
        <v>45015</v>
      </c>
      <c r="C1635" s="1">
        <v>45083</v>
      </c>
      <c r="D1635" t="s">
        <v>7</v>
      </c>
      <c r="E1635">
        <v>39</v>
      </c>
      <c r="F1635" t="s">
        <v>6</v>
      </c>
      <c r="G1635">
        <f t="shared" si="150"/>
        <v>68</v>
      </c>
      <c r="H1635" s="1" t="str">
        <f t="shared" si="151"/>
        <v>Thursday</v>
      </c>
      <c r="I1635" t="str">
        <f t="shared" si="152"/>
        <v>No</v>
      </c>
      <c r="J1635">
        <f t="shared" si="153"/>
        <v>0</v>
      </c>
      <c r="K1635">
        <f t="shared" si="154"/>
        <v>1</v>
      </c>
      <c r="L1635">
        <f t="shared" si="155"/>
        <v>68</v>
      </c>
    </row>
    <row r="1636" spans="1:12" x14ac:dyDescent="0.3">
      <c r="A1636">
        <v>208610366</v>
      </c>
      <c r="B1636" s="1">
        <v>45015</v>
      </c>
      <c r="C1636" s="1">
        <v>45114</v>
      </c>
      <c r="D1636" t="s">
        <v>7</v>
      </c>
      <c r="E1636">
        <v>39</v>
      </c>
      <c r="F1636" t="s">
        <v>6</v>
      </c>
      <c r="G1636">
        <f t="shared" si="150"/>
        <v>99</v>
      </c>
      <c r="H1636" s="1" t="str">
        <f t="shared" si="151"/>
        <v>Thursday</v>
      </c>
      <c r="I1636" t="str">
        <f t="shared" si="152"/>
        <v>No</v>
      </c>
      <c r="J1636">
        <f t="shared" si="153"/>
        <v>0</v>
      </c>
      <c r="K1636">
        <f t="shared" si="154"/>
        <v>1</v>
      </c>
      <c r="L1636">
        <f t="shared" si="155"/>
        <v>99</v>
      </c>
    </row>
    <row r="1637" spans="1:12" x14ac:dyDescent="0.3">
      <c r="A1637">
        <v>208913022</v>
      </c>
      <c r="B1637" s="1">
        <v>45015</v>
      </c>
      <c r="C1637" s="1">
        <v>45065</v>
      </c>
      <c r="D1637" t="s">
        <v>7</v>
      </c>
      <c r="E1637">
        <v>39</v>
      </c>
      <c r="F1637" t="s">
        <v>6</v>
      </c>
      <c r="G1637">
        <f t="shared" si="150"/>
        <v>50</v>
      </c>
      <c r="H1637" s="1" t="str">
        <f t="shared" si="151"/>
        <v>Thursday</v>
      </c>
      <c r="I1637" t="str">
        <f t="shared" si="152"/>
        <v>No</v>
      </c>
      <c r="J1637">
        <f t="shared" si="153"/>
        <v>0</v>
      </c>
      <c r="K1637">
        <f t="shared" si="154"/>
        <v>1</v>
      </c>
      <c r="L1637">
        <f t="shared" si="155"/>
        <v>50</v>
      </c>
    </row>
    <row r="1638" spans="1:12" x14ac:dyDescent="0.3">
      <c r="A1638">
        <v>205813846</v>
      </c>
      <c r="B1638" s="1">
        <v>45015</v>
      </c>
      <c r="C1638" s="1">
        <v>45065</v>
      </c>
      <c r="D1638" t="s">
        <v>7</v>
      </c>
      <c r="E1638">
        <v>39</v>
      </c>
      <c r="F1638" t="s">
        <v>6</v>
      </c>
      <c r="G1638">
        <f t="shared" si="150"/>
        <v>50</v>
      </c>
      <c r="H1638" s="1" t="str">
        <f t="shared" si="151"/>
        <v>Thursday</v>
      </c>
      <c r="I1638" t="str">
        <f t="shared" si="152"/>
        <v>No</v>
      </c>
      <c r="J1638">
        <f t="shared" si="153"/>
        <v>0</v>
      </c>
      <c r="K1638">
        <f t="shared" si="154"/>
        <v>1</v>
      </c>
      <c r="L1638">
        <f t="shared" si="155"/>
        <v>50</v>
      </c>
    </row>
    <row r="1639" spans="1:12" ht="14.4" customHeight="1" x14ac:dyDescent="0.3">
      <c r="A1639">
        <v>208762353</v>
      </c>
      <c r="B1639" s="1">
        <v>45015</v>
      </c>
      <c r="C1639" s="1">
        <v>45037</v>
      </c>
      <c r="D1639" t="s">
        <v>7</v>
      </c>
      <c r="E1639">
        <v>39</v>
      </c>
      <c r="F1639" t="s">
        <v>6</v>
      </c>
      <c r="G1639">
        <f t="shared" si="150"/>
        <v>22</v>
      </c>
      <c r="H1639" s="1" t="str">
        <f t="shared" si="151"/>
        <v>Thursday</v>
      </c>
      <c r="I1639" t="str">
        <f t="shared" si="152"/>
        <v>No</v>
      </c>
      <c r="J1639">
        <f t="shared" si="153"/>
        <v>0</v>
      </c>
      <c r="K1639">
        <f t="shared" si="154"/>
        <v>0</v>
      </c>
      <c r="L1639">
        <f t="shared" si="155"/>
        <v>22</v>
      </c>
    </row>
    <row r="1640" spans="1:12" ht="14.4" customHeight="1" x14ac:dyDescent="0.3">
      <c r="A1640">
        <v>153099249</v>
      </c>
      <c r="B1640" s="1">
        <v>45015</v>
      </c>
      <c r="C1640" s="1">
        <v>45029</v>
      </c>
      <c r="D1640" t="s">
        <v>7</v>
      </c>
      <c r="E1640">
        <v>39</v>
      </c>
      <c r="F1640" t="s">
        <v>6</v>
      </c>
      <c r="G1640">
        <f t="shared" si="150"/>
        <v>14</v>
      </c>
      <c r="H1640" s="1" t="str">
        <f t="shared" si="151"/>
        <v>Thursday</v>
      </c>
      <c r="I1640" t="str">
        <f t="shared" si="152"/>
        <v>No</v>
      </c>
      <c r="J1640">
        <f t="shared" si="153"/>
        <v>0</v>
      </c>
      <c r="K1640">
        <f t="shared" si="154"/>
        <v>0</v>
      </c>
      <c r="L1640">
        <f t="shared" si="155"/>
        <v>14</v>
      </c>
    </row>
    <row r="1641" spans="1:12" x14ac:dyDescent="0.3">
      <c r="A1641">
        <v>208734252</v>
      </c>
      <c r="B1641" s="1">
        <v>45015</v>
      </c>
      <c r="C1641" s="1">
        <v>45046</v>
      </c>
      <c r="D1641" t="s">
        <v>7</v>
      </c>
      <c r="E1641">
        <v>39</v>
      </c>
      <c r="F1641" t="s">
        <v>6</v>
      </c>
      <c r="G1641">
        <f t="shared" si="150"/>
        <v>31</v>
      </c>
      <c r="H1641" s="1" t="str">
        <f t="shared" si="151"/>
        <v>Thursday</v>
      </c>
      <c r="I1641" t="str">
        <f t="shared" si="152"/>
        <v>No</v>
      </c>
      <c r="J1641">
        <f t="shared" si="153"/>
        <v>0</v>
      </c>
      <c r="K1641">
        <f t="shared" si="154"/>
        <v>1</v>
      </c>
      <c r="L1641">
        <f t="shared" si="155"/>
        <v>31</v>
      </c>
    </row>
    <row r="1642" spans="1:12" ht="14.4" customHeight="1" x14ac:dyDescent="0.3">
      <c r="A1642">
        <v>208320510</v>
      </c>
      <c r="B1642" s="1">
        <v>45016</v>
      </c>
      <c r="D1642" t="s">
        <v>7</v>
      </c>
      <c r="E1642">
        <v>39</v>
      </c>
      <c r="F1642" t="s">
        <v>6</v>
      </c>
      <c r="G1642" t="str">
        <f t="shared" si="150"/>
        <v/>
      </c>
      <c r="H1642" s="1" t="str">
        <f t="shared" si="151"/>
        <v>Friday</v>
      </c>
      <c r="I1642" t="str">
        <f t="shared" si="152"/>
        <v>No</v>
      </c>
      <c r="J1642">
        <f t="shared" si="153"/>
        <v>0</v>
      </c>
      <c r="K1642">
        <f t="shared" si="154"/>
        <v>0</v>
      </c>
      <c r="L1642" t="str">
        <f t="shared" si="155"/>
        <v/>
      </c>
    </row>
    <row r="1643" spans="1:12" ht="14.4" customHeight="1" x14ac:dyDescent="0.3">
      <c r="A1643">
        <v>207229509</v>
      </c>
      <c r="B1643" s="1">
        <v>45016</v>
      </c>
      <c r="C1643" s="1">
        <v>45016</v>
      </c>
      <c r="D1643" t="s">
        <v>8</v>
      </c>
      <c r="E1643">
        <v>39</v>
      </c>
      <c r="F1643" t="s">
        <v>6</v>
      </c>
      <c r="G1643">
        <f t="shared" si="150"/>
        <v>0</v>
      </c>
      <c r="H1643" s="1" t="str">
        <f t="shared" si="151"/>
        <v>Friday</v>
      </c>
      <c r="I1643" t="str">
        <f t="shared" si="152"/>
        <v>Yes</v>
      </c>
      <c r="J1643">
        <f t="shared" si="153"/>
        <v>1</v>
      </c>
      <c r="K1643">
        <f t="shared" si="154"/>
        <v>0</v>
      </c>
      <c r="L1643">
        <f t="shared" si="155"/>
        <v>0</v>
      </c>
    </row>
    <row r="1644" spans="1:12" x14ac:dyDescent="0.3">
      <c r="A1644">
        <v>208492287</v>
      </c>
      <c r="B1644" s="1">
        <v>45016</v>
      </c>
      <c r="C1644" s="1">
        <v>45084</v>
      </c>
      <c r="D1644" t="s">
        <v>7</v>
      </c>
      <c r="E1644">
        <v>39</v>
      </c>
      <c r="F1644" t="s">
        <v>6</v>
      </c>
      <c r="G1644">
        <f t="shared" si="150"/>
        <v>68</v>
      </c>
      <c r="H1644" s="1" t="str">
        <f t="shared" si="151"/>
        <v>Friday</v>
      </c>
      <c r="I1644" t="str">
        <f t="shared" si="152"/>
        <v>No</v>
      </c>
      <c r="J1644">
        <f t="shared" si="153"/>
        <v>0</v>
      </c>
      <c r="K1644">
        <f t="shared" si="154"/>
        <v>1</v>
      </c>
      <c r="L1644">
        <f t="shared" si="155"/>
        <v>68</v>
      </c>
    </row>
    <row r="1645" spans="1:12" x14ac:dyDescent="0.3">
      <c r="A1645">
        <v>195047202</v>
      </c>
      <c r="B1645" s="1">
        <v>45016</v>
      </c>
      <c r="C1645" s="1">
        <v>45069</v>
      </c>
      <c r="D1645" t="s">
        <v>7</v>
      </c>
      <c r="E1645">
        <v>39</v>
      </c>
      <c r="F1645" t="s">
        <v>6</v>
      </c>
      <c r="G1645">
        <f t="shared" si="150"/>
        <v>53</v>
      </c>
      <c r="H1645" s="1" t="str">
        <f t="shared" si="151"/>
        <v>Friday</v>
      </c>
      <c r="I1645" t="str">
        <f t="shared" si="152"/>
        <v>No</v>
      </c>
      <c r="J1645">
        <f t="shared" si="153"/>
        <v>0</v>
      </c>
      <c r="K1645">
        <f t="shared" si="154"/>
        <v>1</v>
      </c>
      <c r="L1645">
        <f t="shared" si="155"/>
        <v>53</v>
      </c>
    </row>
    <row r="1646" spans="1:12" x14ac:dyDescent="0.3">
      <c r="A1646">
        <v>208890352</v>
      </c>
      <c r="B1646" s="1">
        <v>45016</v>
      </c>
      <c r="C1646" s="1">
        <v>45072</v>
      </c>
      <c r="D1646" t="s">
        <v>7</v>
      </c>
      <c r="E1646">
        <v>39</v>
      </c>
      <c r="F1646" t="s">
        <v>6</v>
      </c>
      <c r="G1646">
        <f t="shared" si="150"/>
        <v>56</v>
      </c>
      <c r="H1646" s="1" t="str">
        <f t="shared" si="151"/>
        <v>Friday</v>
      </c>
      <c r="I1646" t="str">
        <f t="shared" si="152"/>
        <v>No</v>
      </c>
      <c r="J1646">
        <f t="shared" si="153"/>
        <v>0</v>
      </c>
      <c r="K1646">
        <f t="shared" si="154"/>
        <v>1</v>
      </c>
      <c r="L1646">
        <f t="shared" si="155"/>
        <v>56</v>
      </c>
    </row>
    <row r="1647" spans="1:12" x14ac:dyDescent="0.3">
      <c r="A1647">
        <v>151282537</v>
      </c>
      <c r="B1647" s="1">
        <v>45016</v>
      </c>
      <c r="C1647" s="1">
        <v>45108</v>
      </c>
      <c r="D1647" t="s">
        <v>7</v>
      </c>
      <c r="E1647">
        <v>39</v>
      </c>
      <c r="F1647" t="s">
        <v>6</v>
      </c>
      <c r="G1647">
        <f t="shared" si="150"/>
        <v>92</v>
      </c>
      <c r="H1647" s="1" t="str">
        <f t="shared" si="151"/>
        <v>Friday</v>
      </c>
      <c r="I1647" t="str">
        <f t="shared" si="152"/>
        <v>No</v>
      </c>
      <c r="J1647">
        <f t="shared" si="153"/>
        <v>0</v>
      </c>
      <c r="K1647">
        <f t="shared" si="154"/>
        <v>1</v>
      </c>
      <c r="L1647">
        <f t="shared" si="155"/>
        <v>92</v>
      </c>
    </row>
    <row r="1648" spans="1:12" ht="14.4" customHeight="1" x14ac:dyDescent="0.3">
      <c r="A1648">
        <v>206625246</v>
      </c>
      <c r="B1648" s="1">
        <v>45017</v>
      </c>
      <c r="D1648" t="s">
        <v>7</v>
      </c>
      <c r="E1648">
        <v>39</v>
      </c>
      <c r="F1648" t="s">
        <v>6</v>
      </c>
      <c r="G1648" t="str">
        <f t="shared" si="150"/>
        <v/>
      </c>
      <c r="H1648" s="1" t="str">
        <f t="shared" si="151"/>
        <v>Saturday</v>
      </c>
      <c r="I1648" t="str">
        <f t="shared" si="152"/>
        <v>No</v>
      </c>
      <c r="J1648">
        <f t="shared" si="153"/>
        <v>0</v>
      </c>
      <c r="K1648">
        <f t="shared" si="154"/>
        <v>0</v>
      </c>
      <c r="L1648" t="str">
        <f t="shared" si="155"/>
        <v/>
      </c>
    </row>
    <row r="1649" spans="1:12" ht="14.4" customHeight="1" x14ac:dyDescent="0.3">
      <c r="A1649">
        <v>208748964</v>
      </c>
      <c r="B1649" s="1">
        <v>45017</v>
      </c>
      <c r="D1649" t="s">
        <v>7</v>
      </c>
      <c r="E1649">
        <v>39</v>
      </c>
      <c r="F1649" t="s">
        <v>6</v>
      </c>
      <c r="G1649" t="str">
        <f t="shared" si="150"/>
        <v/>
      </c>
      <c r="H1649" s="1" t="str">
        <f t="shared" si="151"/>
        <v>Saturday</v>
      </c>
      <c r="I1649" t="str">
        <f t="shared" si="152"/>
        <v>No</v>
      </c>
      <c r="J1649">
        <f t="shared" si="153"/>
        <v>0</v>
      </c>
      <c r="K1649">
        <f t="shared" si="154"/>
        <v>0</v>
      </c>
      <c r="L1649" t="str">
        <f t="shared" si="155"/>
        <v/>
      </c>
    </row>
    <row r="1650" spans="1:12" ht="14.4" customHeight="1" x14ac:dyDescent="0.3">
      <c r="A1650">
        <v>151904783</v>
      </c>
      <c r="B1650" s="1">
        <v>45017</v>
      </c>
      <c r="D1650" t="s">
        <v>7</v>
      </c>
      <c r="E1650">
        <v>39</v>
      </c>
      <c r="F1650" t="s">
        <v>6</v>
      </c>
      <c r="G1650" t="str">
        <f t="shared" si="150"/>
        <v/>
      </c>
      <c r="H1650" s="1" t="str">
        <f t="shared" si="151"/>
        <v>Saturday</v>
      </c>
      <c r="I1650" t="str">
        <f t="shared" si="152"/>
        <v>No</v>
      </c>
      <c r="J1650">
        <f t="shared" si="153"/>
        <v>0</v>
      </c>
      <c r="K1650">
        <f t="shared" si="154"/>
        <v>0</v>
      </c>
      <c r="L1650" t="str">
        <f t="shared" si="155"/>
        <v/>
      </c>
    </row>
    <row r="1651" spans="1:12" x14ac:dyDescent="0.3">
      <c r="A1651">
        <v>160351988</v>
      </c>
      <c r="B1651" s="1">
        <v>45017</v>
      </c>
      <c r="C1651" s="1">
        <v>45115</v>
      </c>
      <c r="D1651" t="s">
        <v>7</v>
      </c>
      <c r="E1651">
        <v>39</v>
      </c>
      <c r="F1651" t="s">
        <v>6</v>
      </c>
      <c r="G1651">
        <f t="shared" si="150"/>
        <v>98</v>
      </c>
      <c r="H1651" s="1" t="str">
        <f t="shared" si="151"/>
        <v>Saturday</v>
      </c>
      <c r="I1651" t="str">
        <f t="shared" si="152"/>
        <v>No</v>
      </c>
      <c r="J1651">
        <f t="shared" si="153"/>
        <v>0</v>
      </c>
      <c r="K1651">
        <f t="shared" si="154"/>
        <v>1</v>
      </c>
      <c r="L1651">
        <f t="shared" si="155"/>
        <v>98</v>
      </c>
    </row>
    <row r="1652" spans="1:12" ht="14.4" customHeight="1" x14ac:dyDescent="0.3">
      <c r="A1652">
        <v>145622106</v>
      </c>
      <c r="B1652" s="1">
        <v>45017</v>
      </c>
      <c r="C1652" s="1">
        <v>45017</v>
      </c>
      <c r="D1652" t="s">
        <v>7</v>
      </c>
      <c r="E1652">
        <v>39</v>
      </c>
      <c r="F1652" t="s">
        <v>6</v>
      </c>
      <c r="G1652">
        <f t="shared" si="150"/>
        <v>0</v>
      </c>
      <c r="H1652" s="1" t="str">
        <f t="shared" si="151"/>
        <v>Saturday</v>
      </c>
      <c r="I1652" t="str">
        <f t="shared" si="152"/>
        <v>Yes</v>
      </c>
      <c r="J1652">
        <f t="shared" si="153"/>
        <v>1</v>
      </c>
      <c r="K1652">
        <f t="shared" si="154"/>
        <v>0</v>
      </c>
      <c r="L1652">
        <f t="shared" si="155"/>
        <v>0</v>
      </c>
    </row>
    <row r="1653" spans="1:12" ht="14.4" customHeight="1" x14ac:dyDescent="0.3">
      <c r="A1653">
        <v>192475408</v>
      </c>
      <c r="B1653" s="1">
        <v>45017</v>
      </c>
      <c r="C1653" s="1">
        <v>45042</v>
      </c>
      <c r="D1653" t="s">
        <v>7</v>
      </c>
      <c r="E1653">
        <v>39</v>
      </c>
      <c r="F1653" t="s">
        <v>6</v>
      </c>
      <c r="G1653">
        <f t="shared" si="150"/>
        <v>25</v>
      </c>
      <c r="H1653" s="1" t="str">
        <f t="shared" si="151"/>
        <v>Saturday</v>
      </c>
      <c r="I1653" t="str">
        <f t="shared" si="152"/>
        <v>No</v>
      </c>
      <c r="J1653">
        <f t="shared" si="153"/>
        <v>0</v>
      </c>
      <c r="K1653">
        <f t="shared" si="154"/>
        <v>0</v>
      </c>
      <c r="L1653">
        <f t="shared" si="155"/>
        <v>25</v>
      </c>
    </row>
    <row r="1654" spans="1:12" ht="14.4" customHeight="1" x14ac:dyDescent="0.3">
      <c r="A1654">
        <v>208597905</v>
      </c>
      <c r="B1654" s="1">
        <v>45018</v>
      </c>
      <c r="D1654" t="s">
        <v>7</v>
      </c>
      <c r="E1654">
        <v>39</v>
      </c>
      <c r="F1654" t="s">
        <v>6</v>
      </c>
      <c r="G1654" t="str">
        <f t="shared" si="150"/>
        <v/>
      </c>
      <c r="H1654" s="1" t="str">
        <f t="shared" si="151"/>
        <v>Sunday</v>
      </c>
      <c r="I1654" t="str">
        <f t="shared" si="152"/>
        <v>No</v>
      </c>
      <c r="J1654">
        <f t="shared" si="153"/>
        <v>0</v>
      </c>
      <c r="K1654">
        <f t="shared" si="154"/>
        <v>0</v>
      </c>
      <c r="L1654" t="str">
        <f t="shared" si="155"/>
        <v/>
      </c>
    </row>
    <row r="1655" spans="1:12" ht="14.4" customHeight="1" x14ac:dyDescent="0.3">
      <c r="A1655">
        <v>209469556</v>
      </c>
      <c r="B1655" s="1">
        <v>45018</v>
      </c>
      <c r="C1655" s="1">
        <v>45019</v>
      </c>
      <c r="D1655" t="s">
        <v>8</v>
      </c>
      <c r="E1655">
        <v>39</v>
      </c>
      <c r="F1655" t="s">
        <v>6</v>
      </c>
      <c r="G1655">
        <f t="shared" si="150"/>
        <v>1</v>
      </c>
      <c r="H1655" s="1" t="str">
        <f t="shared" si="151"/>
        <v>Sunday</v>
      </c>
      <c r="I1655" t="str">
        <f t="shared" si="152"/>
        <v>No</v>
      </c>
      <c r="J1655">
        <f t="shared" si="153"/>
        <v>1</v>
      </c>
      <c r="K1655">
        <f t="shared" si="154"/>
        <v>0</v>
      </c>
      <c r="L1655">
        <f t="shared" si="155"/>
        <v>1</v>
      </c>
    </row>
    <row r="1656" spans="1:12" ht="14.4" customHeight="1" x14ac:dyDescent="0.3">
      <c r="A1656">
        <v>207183892</v>
      </c>
      <c r="B1656" s="1">
        <v>45018</v>
      </c>
      <c r="C1656" s="1">
        <v>45019</v>
      </c>
      <c r="D1656" t="s">
        <v>8</v>
      </c>
      <c r="E1656">
        <v>39</v>
      </c>
      <c r="F1656" t="s">
        <v>6</v>
      </c>
      <c r="G1656">
        <f t="shared" si="150"/>
        <v>1</v>
      </c>
      <c r="H1656" s="1" t="str">
        <f t="shared" si="151"/>
        <v>Sunday</v>
      </c>
      <c r="I1656" t="str">
        <f t="shared" si="152"/>
        <v>No</v>
      </c>
      <c r="J1656">
        <f t="shared" si="153"/>
        <v>1</v>
      </c>
      <c r="K1656">
        <f t="shared" si="154"/>
        <v>0</v>
      </c>
      <c r="L1656">
        <f t="shared" si="155"/>
        <v>1</v>
      </c>
    </row>
    <row r="1657" spans="1:12" x14ac:dyDescent="0.3">
      <c r="A1657">
        <v>125980506</v>
      </c>
      <c r="B1657" s="1">
        <v>45018</v>
      </c>
      <c r="C1657" s="1">
        <v>45109</v>
      </c>
      <c r="D1657" t="s">
        <v>7</v>
      </c>
      <c r="E1657">
        <v>39</v>
      </c>
      <c r="F1657" t="s">
        <v>6</v>
      </c>
      <c r="G1657">
        <f t="shared" si="150"/>
        <v>91</v>
      </c>
      <c r="H1657" s="1" t="str">
        <f t="shared" si="151"/>
        <v>Sunday</v>
      </c>
      <c r="I1657" t="str">
        <f t="shared" si="152"/>
        <v>No</v>
      </c>
      <c r="J1657">
        <f t="shared" si="153"/>
        <v>0</v>
      </c>
      <c r="K1657">
        <f t="shared" si="154"/>
        <v>1</v>
      </c>
      <c r="L1657">
        <f t="shared" si="155"/>
        <v>91</v>
      </c>
    </row>
    <row r="1658" spans="1:12" x14ac:dyDescent="0.3">
      <c r="A1658">
        <v>162635107</v>
      </c>
      <c r="B1658" s="1">
        <v>45018</v>
      </c>
      <c r="C1658" s="1">
        <v>45112</v>
      </c>
      <c r="D1658" t="s">
        <v>7</v>
      </c>
      <c r="E1658">
        <v>39</v>
      </c>
      <c r="F1658" t="s">
        <v>6</v>
      </c>
      <c r="G1658">
        <f t="shared" si="150"/>
        <v>94</v>
      </c>
      <c r="H1658" s="1" t="str">
        <f t="shared" si="151"/>
        <v>Sunday</v>
      </c>
      <c r="I1658" t="str">
        <f t="shared" si="152"/>
        <v>No</v>
      </c>
      <c r="J1658">
        <f t="shared" si="153"/>
        <v>0</v>
      </c>
      <c r="K1658">
        <f t="shared" si="154"/>
        <v>1</v>
      </c>
      <c r="L1658">
        <f t="shared" si="155"/>
        <v>94</v>
      </c>
    </row>
    <row r="1659" spans="1:12" x14ac:dyDescent="0.3">
      <c r="A1659">
        <v>154655775</v>
      </c>
      <c r="B1659" s="1">
        <v>45018</v>
      </c>
      <c r="C1659" s="1">
        <v>45131</v>
      </c>
      <c r="D1659" t="s">
        <v>7</v>
      </c>
      <c r="E1659">
        <v>39</v>
      </c>
      <c r="F1659" t="s">
        <v>6</v>
      </c>
      <c r="G1659">
        <f t="shared" si="150"/>
        <v>113</v>
      </c>
      <c r="H1659" s="1" t="str">
        <f t="shared" si="151"/>
        <v>Sunday</v>
      </c>
      <c r="I1659" t="str">
        <f t="shared" si="152"/>
        <v>No</v>
      </c>
      <c r="J1659">
        <f t="shared" si="153"/>
        <v>0</v>
      </c>
      <c r="K1659">
        <f t="shared" si="154"/>
        <v>1</v>
      </c>
      <c r="L1659">
        <f t="shared" si="155"/>
        <v>113</v>
      </c>
    </row>
    <row r="1660" spans="1:12" ht="14.4" customHeight="1" x14ac:dyDescent="0.3">
      <c r="A1660">
        <v>154911229</v>
      </c>
      <c r="B1660" s="1">
        <v>45019</v>
      </c>
      <c r="D1660" t="s">
        <v>7</v>
      </c>
      <c r="E1660">
        <v>39</v>
      </c>
      <c r="F1660" t="s">
        <v>6</v>
      </c>
      <c r="G1660" t="str">
        <f t="shared" si="150"/>
        <v/>
      </c>
      <c r="H1660" s="1" t="str">
        <f t="shared" si="151"/>
        <v>Monday</v>
      </c>
      <c r="I1660" t="str">
        <f t="shared" si="152"/>
        <v>No</v>
      </c>
      <c r="J1660">
        <f t="shared" si="153"/>
        <v>0</v>
      </c>
      <c r="K1660">
        <f t="shared" si="154"/>
        <v>0</v>
      </c>
      <c r="L1660" t="str">
        <f t="shared" si="155"/>
        <v/>
      </c>
    </row>
    <row r="1661" spans="1:12" ht="14.4" customHeight="1" x14ac:dyDescent="0.3">
      <c r="A1661">
        <v>206812076</v>
      </c>
      <c r="B1661" s="1">
        <v>45019</v>
      </c>
      <c r="D1661" t="s">
        <v>7</v>
      </c>
      <c r="E1661">
        <v>39</v>
      </c>
      <c r="F1661" t="s">
        <v>6</v>
      </c>
      <c r="G1661" t="str">
        <f t="shared" si="150"/>
        <v/>
      </c>
      <c r="H1661" s="1" t="str">
        <f t="shared" si="151"/>
        <v>Monday</v>
      </c>
      <c r="I1661" t="str">
        <f t="shared" si="152"/>
        <v>No</v>
      </c>
      <c r="J1661">
        <f t="shared" si="153"/>
        <v>0</v>
      </c>
      <c r="K1661">
        <f t="shared" si="154"/>
        <v>0</v>
      </c>
      <c r="L1661" t="str">
        <f t="shared" si="155"/>
        <v/>
      </c>
    </row>
    <row r="1662" spans="1:12" ht="14.4" customHeight="1" x14ac:dyDescent="0.3">
      <c r="A1662">
        <v>208490747</v>
      </c>
      <c r="B1662" s="1">
        <v>45019</v>
      </c>
      <c r="D1662" t="s">
        <v>7</v>
      </c>
      <c r="E1662">
        <v>39</v>
      </c>
      <c r="F1662" t="s">
        <v>6</v>
      </c>
      <c r="G1662" t="str">
        <f t="shared" si="150"/>
        <v/>
      </c>
      <c r="H1662" s="1" t="str">
        <f t="shared" si="151"/>
        <v>Monday</v>
      </c>
      <c r="I1662" t="str">
        <f t="shared" si="152"/>
        <v>No</v>
      </c>
      <c r="J1662">
        <f t="shared" si="153"/>
        <v>0</v>
      </c>
      <c r="K1662">
        <f t="shared" si="154"/>
        <v>0</v>
      </c>
      <c r="L1662" t="str">
        <f t="shared" si="155"/>
        <v/>
      </c>
    </row>
    <row r="1663" spans="1:12" ht="14.4" customHeight="1" x14ac:dyDescent="0.3">
      <c r="A1663">
        <v>131761056</v>
      </c>
      <c r="B1663" s="1">
        <v>45019</v>
      </c>
      <c r="D1663" t="s">
        <v>7</v>
      </c>
      <c r="E1663">
        <v>39</v>
      </c>
      <c r="F1663" t="s">
        <v>6</v>
      </c>
      <c r="G1663" t="str">
        <f t="shared" si="150"/>
        <v/>
      </c>
      <c r="H1663" s="1" t="str">
        <f t="shared" si="151"/>
        <v>Monday</v>
      </c>
      <c r="I1663" t="str">
        <f t="shared" si="152"/>
        <v>No</v>
      </c>
      <c r="J1663">
        <f t="shared" si="153"/>
        <v>0</v>
      </c>
      <c r="K1663">
        <f t="shared" si="154"/>
        <v>0</v>
      </c>
      <c r="L1663" t="str">
        <f t="shared" si="155"/>
        <v/>
      </c>
    </row>
    <row r="1664" spans="1:12" x14ac:dyDescent="0.3">
      <c r="A1664">
        <v>208115534</v>
      </c>
      <c r="B1664" s="1">
        <v>45019</v>
      </c>
      <c r="C1664" s="1">
        <v>45056</v>
      </c>
      <c r="D1664" t="s">
        <v>8</v>
      </c>
      <c r="E1664">
        <v>39</v>
      </c>
      <c r="F1664" t="s">
        <v>6</v>
      </c>
      <c r="G1664">
        <f t="shared" si="150"/>
        <v>37</v>
      </c>
      <c r="H1664" s="1" t="str">
        <f t="shared" si="151"/>
        <v>Monday</v>
      </c>
      <c r="I1664" t="str">
        <f t="shared" si="152"/>
        <v>No</v>
      </c>
      <c r="J1664">
        <f t="shared" si="153"/>
        <v>0</v>
      </c>
      <c r="K1664">
        <f t="shared" si="154"/>
        <v>1</v>
      </c>
      <c r="L1664">
        <f t="shared" si="155"/>
        <v>37</v>
      </c>
    </row>
    <row r="1665" spans="1:12" x14ac:dyDescent="0.3">
      <c r="A1665">
        <v>202126471</v>
      </c>
      <c r="B1665" s="1">
        <v>45019</v>
      </c>
      <c r="C1665" s="1">
        <v>45104</v>
      </c>
      <c r="D1665" t="s">
        <v>7</v>
      </c>
      <c r="E1665">
        <v>39</v>
      </c>
      <c r="F1665" t="s">
        <v>6</v>
      </c>
      <c r="G1665">
        <f t="shared" si="150"/>
        <v>85</v>
      </c>
      <c r="H1665" s="1" t="str">
        <f t="shared" si="151"/>
        <v>Monday</v>
      </c>
      <c r="I1665" t="str">
        <f t="shared" si="152"/>
        <v>No</v>
      </c>
      <c r="J1665">
        <f t="shared" si="153"/>
        <v>0</v>
      </c>
      <c r="K1665">
        <f t="shared" si="154"/>
        <v>1</v>
      </c>
      <c r="L1665">
        <f t="shared" si="155"/>
        <v>85</v>
      </c>
    </row>
    <row r="1666" spans="1:12" x14ac:dyDescent="0.3">
      <c r="A1666">
        <v>209738836</v>
      </c>
      <c r="B1666" s="1">
        <v>45019</v>
      </c>
      <c r="C1666" s="1">
        <v>45060</v>
      </c>
      <c r="D1666" t="s">
        <v>7</v>
      </c>
      <c r="E1666">
        <v>39</v>
      </c>
      <c r="F1666" t="s">
        <v>6</v>
      </c>
      <c r="G1666">
        <f t="shared" ref="G1666:G1729" si="156">IF(C1666="","",C1666-B1666)</f>
        <v>41</v>
      </c>
      <c r="H1666" s="1" t="str">
        <f t="shared" si="151"/>
        <v>Monday</v>
      </c>
      <c r="I1666" t="str">
        <f t="shared" si="152"/>
        <v>No</v>
      </c>
      <c r="J1666">
        <f t="shared" si="153"/>
        <v>0</v>
      </c>
      <c r="K1666">
        <f t="shared" si="154"/>
        <v>1</v>
      </c>
      <c r="L1666">
        <f t="shared" si="155"/>
        <v>41</v>
      </c>
    </row>
    <row r="1667" spans="1:12" x14ac:dyDescent="0.3">
      <c r="A1667">
        <v>209470128</v>
      </c>
      <c r="B1667" s="1">
        <v>45019</v>
      </c>
      <c r="C1667" s="1">
        <v>45076</v>
      </c>
      <c r="D1667" t="s">
        <v>7</v>
      </c>
      <c r="E1667">
        <v>39</v>
      </c>
      <c r="F1667" t="s">
        <v>6</v>
      </c>
      <c r="G1667">
        <f t="shared" si="156"/>
        <v>57</v>
      </c>
      <c r="H1667" s="1" t="str">
        <f t="shared" ref="H1667:H1730" si="157">TEXT(B1667,"dddd")</f>
        <v>Monday</v>
      </c>
      <c r="I1667" t="str">
        <f t="shared" ref="I1667:I1730" si="158">IF(B1667=C1667,"Yes","No")</f>
        <v>No</v>
      </c>
      <c r="J1667">
        <f t="shared" ref="J1667:J1730" si="159">IF(AND(C1667&lt;&gt;"",C1667-B1667&lt;=2),1,0)</f>
        <v>0</v>
      </c>
      <c r="K1667">
        <f t="shared" ref="K1667:K1730" si="160">IF(AND(C1667&lt;&gt;"",C1667-B1667&gt;30),1,0)</f>
        <v>1</v>
      </c>
      <c r="L1667">
        <f t="shared" ref="L1667:L1730" si="161">IF(C1667="","",C1667-B1667)</f>
        <v>57</v>
      </c>
    </row>
    <row r="1668" spans="1:12" x14ac:dyDescent="0.3">
      <c r="A1668">
        <v>209745334</v>
      </c>
      <c r="B1668" s="1">
        <v>45019</v>
      </c>
      <c r="C1668" s="1">
        <v>45170</v>
      </c>
      <c r="D1668" t="s">
        <v>7</v>
      </c>
      <c r="E1668">
        <v>39</v>
      </c>
      <c r="F1668" t="s">
        <v>6</v>
      </c>
      <c r="G1668">
        <f t="shared" si="156"/>
        <v>151</v>
      </c>
      <c r="H1668" s="1" t="str">
        <f t="shared" si="157"/>
        <v>Monday</v>
      </c>
      <c r="I1668" t="str">
        <f t="shared" si="158"/>
        <v>No</v>
      </c>
      <c r="J1668">
        <f t="shared" si="159"/>
        <v>0</v>
      </c>
      <c r="K1668">
        <f t="shared" si="160"/>
        <v>1</v>
      </c>
      <c r="L1668">
        <f t="shared" si="161"/>
        <v>151</v>
      </c>
    </row>
    <row r="1669" spans="1:12" ht="14.4" customHeight="1" x14ac:dyDescent="0.3">
      <c r="A1669">
        <v>209751690</v>
      </c>
      <c r="B1669" s="1">
        <v>45020</v>
      </c>
      <c r="D1669" t="s">
        <v>7</v>
      </c>
      <c r="E1669">
        <v>39</v>
      </c>
      <c r="F1669" t="s">
        <v>6</v>
      </c>
      <c r="G1669" t="str">
        <f t="shared" si="156"/>
        <v/>
      </c>
      <c r="H1669" s="1" t="str">
        <f t="shared" si="157"/>
        <v>Tuesday</v>
      </c>
      <c r="I1669" t="str">
        <f t="shared" si="158"/>
        <v>No</v>
      </c>
      <c r="J1669">
        <f t="shared" si="159"/>
        <v>0</v>
      </c>
      <c r="K1669">
        <f t="shared" si="160"/>
        <v>0</v>
      </c>
      <c r="L1669" t="str">
        <f t="shared" si="161"/>
        <v/>
      </c>
    </row>
    <row r="1670" spans="1:12" ht="14.4" customHeight="1" x14ac:dyDescent="0.3">
      <c r="A1670">
        <v>209730490</v>
      </c>
      <c r="B1670" s="1">
        <v>45020</v>
      </c>
      <c r="C1670" s="1">
        <v>45021</v>
      </c>
      <c r="D1670" t="s">
        <v>8</v>
      </c>
      <c r="E1670">
        <v>39</v>
      </c>
      <c r="F1670" t="s">
        <v>6</v>
      </c>
      <c r="G1670">
        <f t="shared" si="156"/>
        <v>1</v>
      </c>
      <c r="H1670" s="1" t="str">
        <f t="shared" si="157"/>
        <v>Tuesday</v>
      </c>
      <c r="I1670" t="str">
        <f t="shared" si="158"/>
        <v>No</v>
      </c>
      <c r="J1670">
        <f t="shared" si="159"/>
        <v>1</v>
      </c>
      <c r="K1670">
        <f t="shared" si="160"/>
        <v>0</v>
      </c>
      <c r="L1670">
        <f t="shared" si="161"/>
        <v>1</v>
      </c>
    </row>
    <row r="1671" spans="1:12" x14ac:dyDescent="0.3">
      <c r="A1671">
        <v>208115648</v>
      </c>
      <c r="B1671" s="1">
        <v>45020</v>
      </c>
      <c r="C1671" s="1">
        <v>45082</v>
      </c>
      <c r="D1671" t="s">
        <v>7</v>
      </c>
      <c r="E1671">
        <v>39</v>
      </c>
      <c r="F1671" t="s">
        <v>6</v>
      </c>
      <c r="G1671">
        <f t="shared" si="156"/>
        <v>62</v>
      </c>
      <c r="H1671" s="1" t="str">
        <f t="shared" si="157"/>
        <v>Tuesday</v>
      </c>
      <c r="I1671" t="str">
        <f t="shared" si="158"/>
        <v>No</v>
      </c>
      <c r="J1671">
        <f t="shared" si="159"/>
        <v>0</v>
      </c>
      <c r="K1671">
        <f t="shared" si="160"/>
        <v>1</v>
      </c>
      <c r="L1671">
        <f t="shared" si="161"/>
        <v>62</v>
      </c>
    </row>
    <row r="1672" spans="1:12" x14ac:dyDescent="0.3">
      <c r="A1672">
        <v>210087900</v>
      </c>
      <c r="B1672" s="1">
        <v>45020</v>
      </c>
      <c r="C1672" s="1">
        <v>45054</v>
      </c>
      <c r="D1672" t="s">
        <v>7</v>
      </c>
      <c r="E1672">
        <v>39</v>
      </c>
      <c r="F1672" t="s">
        <v>6</v>
      </c>
      <c r="G1672">
        <f t="shared" si="156"/>
        <v>34</v>
      </c>
      <c r="H1672" s="1" t="str">
        <f t="shared" si="157"/>
        <v>Tuesday</v>
      </c>
      <c r="I1672" t="str">
        <f t="shared" si="158"/>
        <v>No</v>
      </c>
      <c r="J1672">
        <f t="shared" si="159"/>
        <v>0</v>
      </c>
      <c r="K1672">
        <f t="shared" si="160"/>
        <v>1</v>
      </c>
      <c r="L1672">
        <f t="shared" si="161"/>
        <v>34</v>
      </c>
    </row>
    <row r="1673" spans="1:12" x14ac:dyDescent="0.3">
      <c r="A1673">
        <v>208890316</v>
      </c>
      <c r="B1673" s="1">
        <v>45020</v>
      </c>
      <c r="C1673" s="1">
        <v>45070</v>
      </c>
      <c r="D1673" t="s">
        <v>7</v>
      </c>
      <c r="E1673">
        <v>39</v>
      </c>
      <c r="F1673" t="s">
        <v>6</v>
      </c>
      <c r="G1673">
        <f t="shared" si="156"/>
        <v>50</v>
      </c>
      <c r="H1673" s="1" t="str">
        <f t="shared" si="157"/>
        <v>Tuesday</v>
      </c>
      <c r="I1673" t="str">
        <f t="shared" si="158"/>
        <v>No</v>
      </c>
      <c r="J1673">
        <f t="shared" si="159"/>
        <v>0</v>
      </c>
      <c r="K1673">
        <f t="shared" si="160"/>
        <v>1</v>
      </c>
      <c r="L1673">
        <f t="shared" si="161"/>
        <v>50</v>
      </c>
    </row>
    <row r="1674" spans="1:12" ht="14.4" customHeight="1" x14ac:dyDescent="0.3">
      <c r="A1674">
        <v>143706140</v>
      </c>
      <c r="B1674" s="1">
        <v>45020</v>
      </c>
      <c r="C1674" s="1">
        <v>45023</v>
      </c>
      <c r="D1674" t="s">
        <v>7</v>
      </c>
      <c r="E1674">
        <v>39</v>
      </c>
      <c r="F1674" t="s">
        <v>6</v>
      </c>
      <c r="G1674">
        <f t="shared" si="156"/>
        <v>3</v>
      </c>
      <c r="H1674" s="1" t="str">
        <f t="shared" si="157"/>
        <v>Tuesday</v>
      </c>
      <c r="I1674" t="str">
        <f t="shared" si="158"/>
        <v>No</v>
      </c>
      <c r="J1674">
        <f t="shared" si="159"/>
        <v>0</v>
      </c>
      <c r="K1674">
        <f t="shared" si="160"/>
        <v>0</v>
      </c>
      <c r="L1674">
        <f t="shared" si="161"/>
        <v>3</v>
      </c>
    </row>
    <row r="1675" spans="1:12" ht="14.4" customHeight="1" x14ac:dyDescent="0.3">
      <c r="A1675">
        <v>209950443</v>
      </c>
      <c r="B1675" s="1">
        <v>45020</v>
      </c>
      <c r="C1675" s="1">
        <v>45030</v>
      </c>
      <c r="D1675" t="s">
        <v>7</v>
      </c>
      <c r="E1675">
        <v>39</v>
      </c>
      <c r="F1675" t="s">
        <v>6</v>
      </c>
      <c r="G1675">
        <f t="shared" si="156"/>
        <v>10</v>
      </c>
      <c r="H1675" s="1" t="str">
        <f t="shared" si="157"/>
        <v>Tuesday</v>
      </c>
      <c r="I1675" t="str">
        <f t="shared" si="158"/>
        <v>No</v>
      </c>
      <c r="J1675">
        <f t="shared" si="159"/>
        <v>0</v>
      </c>
      <c r="K1675">
        <f t="shared" si="160"/>
        <v>0</v>
      </c>
      <c r="L1675">
        <f t="shared" si="161"/>
        <v>10</v>
      </c>
    </row>
    <row r="1676" spans="1:12" ht="14.4" customHeight="1" x14ac:dyDescent="0.3">
      <c r="A1676">
        <v>208892072</v>
      </c>
      <c r="B1676" s="1">
        <v>45020</v>
      </c>
      <c r="C1676" s="1">
        <v>45041</v>
      </c>
      <c r="D1676" t="s">
        <v>7</v>
      </c>
      <c r="E1676">
        <v>39</v>
      </c>
      <c r="F1676" t="s">
        <v>6</v>
      </c>
      <c r="G1676">
        <f t="shared" si="156"/>
        <v>21</v>
      </c>
      <c r="H1676" s="1" t="str">
        <f t="shared" si="157"/>
        <v>Tuesday</v>
      </c>
      <c r="I1676" t="str">
        <f t="shared" si="158"/>
        <v>No</v>
      </c>
      <c r="J1676">
        <f t="shared" si="159"/>
        <v>0</v>
      </c>
      <c r="K1676">
        <f t="shared" si="160"/>
        <v>0</v>
      </c>
      <c r="L1676">
        <f t="shared" si="161"/>
        <v>21</v>
      </c>
    </row>
    <row r="1677" spans="1:12" x14ac:dyDescent="0.3">
      <c r="A1677">
        <v>205767174</v>
      </c>
      <c r="B1677" s="1">
        <v>45020</v>
      </c>
      <c r="C1677" s="1">
        <v>45150</v>
      </c>
      <c r="D1677" t="s">
        <v>7</v>
      </c>
      <c r="E1677">
        <v>39</v>
      </c>
      <c r="F1677" t="s">
        <v>6</v>
      </c>
      <c r="G1677">
        <f t="shared" si="156"/>
        <v>130</v>
      </c>
      <c r="H1677" s="1" t="str">
        <f t="shared" si="157"/>
        <v>Tuesday</v>
      </c>
      <c r="I1677" t="str">
        <f t="shared" si="158"/>
        <v>No</v>
      </c>
      <c r="J1677">
        <f t="shared" si="159"/>
        <v>0</v>
      </c>
      <c r="K1677">
        <f t="shared" si="160"/>
        <v>1</v>
      </c>
      <c r="L1677">
        <f t="shared" si="161"/>
        <v>130</v>
      </c>
    </row>
    <row r="1678" spans="1:12" x14ac:dyDescent="0.3">
      <c r="A1678">
        <v>206676416</v>
      </c>
      <c r="B1678" s="1">
        <v>45020</v>
      </c>
      <c r="C1678" s="1">
        <v>45124</v>
      </c>
      <c r="D1678" t="s">
        <v>7</v>
      </c>
      <c r="E1678">
        <v>39</v>
      </c>
      <c r="F1678" t="s">
        <v>6</v>
      </c>
      <c r="G1678">
        <f t="shared" si="156"/>
        <v>104</v>
      </c>
      <c r="H1678" s="1" t="str">
        <f t="shared" si="157"/>
        <v>Tuesday</v>
      </c>
      <c r="I1678" t="str">
        <f t="shared" si="158"/>
        <v>No</v>
      </c>
      <c r="J1678">
        <f t="shared" si="159"/>
        <v>0</v>
      </c>
      <c r="K1678">
        <f t="shared" si="160"/>
        <v>1</v>
      </c>
      <c r="L1678">
        <f t="shared" si="161"/>
        <v>104</v>
      </c>
    </row>
    <row r="1679" spans="1:12" ht="14.4" customHeight="1" x14ac:dyDescent="0.3">
      <c r="A1679">
        <v>160676837</v>
      </c>
      <c r="B1679" s="1">
        <v>45021</v>
      </c>
      <c r="D1679" t="s">
        <v>7</v>
      </c>
      <c r="E1679">
        <v>39</v>
      </c>
      <c r="F1679" t="s">
        <v>6</v>
      </c>
      <c r="G1679" t="str">
        <f t="shared" si="156"/>
        <v/>
      </c>
      <c r="H1679" s="1" t="str">
        <f t="shared" si="157"/>
        <v>Wednesday</v>
      </c>
      <c r="I1679" t="str">
        <f t="shared" si="158"/>
        <v>No</v>
      </c>
      <c r="J1679">
        <f t="shared" si="159"/>
        <v>0</v>
      </c>
      <c r="K1679">
        <f t="shared" si="160"/>
        <v>0</v>
      </c>
      <c r="L1679" t="str">
        <f t="shared" si="161"/>
        <v/>
      </c>
    </row>
    <row r="1680" spans="1:12" ht="14.4" customHeight="1" x14ac:dyDescent="0.3">
      <c r="A1680">
        <v>204274153</v>
      </c>
      <c r="B1680" s="1">
        <v>45021</v>
      </c>
      <c r="D1680" t="s">
        <v>7</v>
      </c>
      <c r="E1680">
        <v>39</v>
      </c>
      <c r="F1680" t="s">
        <v>6</v>
      </c>
      <c r="G1680" t="str">
        <f t="shared" si="156"/>
        <v/>
      </c>
      <c r="H1680" s="1" t="str">
        <f t="shared" si="157"/>
        <v>Wednesday</v>
      </c>
      <c r="I1680" t="str">
        <f t="shared" si="158"/>
        <v>No</v>
      </c>
      <c r="J1680">
        <f t="shared" si="159"/>
        <v>0</v>
      </c>
      <c r="K1680">
        <f t="shared" si="160"/>
        <v>0</v>
      </c>
      <c r="L1680" t="str">
        <f t="shared" si="161"/>
        <v/>
      </c>
    </row>
    <row r="1681" spans="1:12" ht="14.4" customHeight="1" x14ac:dyDescent="0.3">
      <c r="A1681">
        <v>210327236</v>
      </c>
      <c r="B1681" s="1">
        <v>45021</v>
      </c>
      <c r="C1681" s="1">
        <v>45022</v>
      </c>
      <c r="D1681" t="s">
        <v>8</v>
      </c>
      <c r="E1681">
        <v>39</v>
      </c>
      <c r="F1681" t="s">
        <v>6</v>
      </c>
      <c r="G1681">
        <f t="shared" si="156"/>
        <v>1</v>
      </c>
      <c r="H1681" s="1" t="str">
        <f t="shared" si="157"/>
        <v>Wednesday</v>
      </c>
      <c r="I1681" t="str">
        <f t="shared" si="158"/>
        <v>No</v>
      </c>
      <c r="J1681">
        <f t="shared" si="159"/>
        <v>1</v>
      </c>
      <c r="K1681">
        <f t="shared" si="160"/>
        <v>0</v>
      </c>
      <c r="L1681">
        <f t="shared" si="161"/>
        <v>1</v>
      </c>
    </row>
    <row r="1682" spans="1:12" ht="14.4" customHeight="1" x14ac:dyDescent="0.3">
      <c r="A1682">
        <v>210326352</v>
      </c>
      <c r="B1682" s="1">
        <v>45021</v>
      </c>
      <c r="C1682" s="1">
        <v>45021</v>
      </c>
      <c r="D1682" t="s">
        <v>8</v>
      </c>
      <c r="E1682">
        <v>39</v>
      </c>
      <c r="F1682" t="s">
        <v>6</v>
      </c>
      <c r="G1682">
        <f t="shared" si="156"/>
        <v>0</v>
      </c>
      <c r="H1682" s="1" t="str">
        <f t="shared" si="157"/>
        <v>Wednesday</v>
      </c>
      <c r="I1682" t="str">
        <f t="shared" si="158"/>
        <v>Yes</v>
      </c>
      <c r="J1682">
        <f t="shared" si="159"/>
        <v>1</v>
      </c>
      <c r="K1682">
        <f t="shared" si="160"/>
        <v>0</v>
      </c>
      <c r="L1682">
        <f t="shared" si="161"/>
        <v>0</v>
      </c>
    </row>
    <row r="1683" spans="1:12" x14ac:dyDescent="0.3">
      <c r="A1683">
        <v>124155104</v>
      </c>
      <c r="B1683" s="1">
        <v>45021</v>
      </c>
      <c r="C1683" s="1">
        <v>45058</v>
      </c>
      <c r="D1683" t="s">
        <v>7</v>
      </c>
      <c r="E1683">
        <v>39</v>
      </c>
      <c r="F1683" t="s">
        <v>6</v>
      </c>
      <c r="G1683">
        <f t="shared" si="156"/>
        <v>37</v>
      </c>
      <c r="H1683" s="1" t="str">
        <f t="shared" si="157"/>
        <v>Wednesday</v>
      </c>
      <c r="I1683" t="str">
        <f t="shared" si="158"/>
        <v>No</v>
      </c>
      <c r="J1683">
        <f t="shared" si="159"/>
        <v>0</v>
      </c>
      <c r="K1683">
        <f t="shared" si="160"/>
        <v>1</v>
      </c>
      <c r="L1683">
        <f t="shared" si="161"/>
        <v>37</v>
      </c>
    </row>
    <row r="1684" spans="1:12" ht="14.4" customHeight="1" x14ac:dyDescent="0.3">
      <c r="A1684">
        <v>209517408</v>
      </c>
      <c r="B1684" s="1">
        <v>45021</v>
      </c>
      <c r="C1684" s="1">
        <v>45050</v>
      </c>
      <c r="D1684" t="s">
        <v>7</v>
      </c>
      <c r="E1684">
        <v>39</v>
      </c>
      <c r="F1684" t="s">
        <v>6</v>
      </c>
      <c r="G1684">
        <f t="shared" si="156"/>
        <v>29</v>
      </c>
      <c r="H1684" s="1" t="str">
        <f t="shared" si="157"/>
        <v>Wednesday</v>
      </c>
      <c r="I1684" t="str">
        <f t="shared" si="158"/>
        <v>No</v>
      </c>
      <c r="J1684">
        <f t="shared" si="159"/>
        <v>0</v>
      </c>
      <c r="K1684">
        <f t="shared" si="160"/>
        <v>0</v>
      </c>
      <c r="L1684">
        <f t="shared" si="161"/>
        <v>29</v>
      </c>
    </row>
    <row r="1685" spans="1:12" ht="14.4" customHeight="1" x14ac:dyDescent="0.3">
      <c r="A1685">
        <v>210432450</v>
      </c>
      <c r="B1685" s="1">
        <v>45021</v>
      </c>
      <c r="C1685" s="1">
        <v>45028</v>
      </c>
      <c r="D1685" t="s">
        <v>7</v>
      </c>
      <c r="E1685">
        <v>39</v>
      </c>
      <c r="F1685" t="s">
        <v>6</v>
      </c>
      <c r="G1685">
        <f t="shared" si="156"/>
        <v>7</v>
      </c>
      <c r="H1685" s="1" t="str">
        <f t="shared" si="157"/>
        <v>Wednesday</v>
      </c>
      <c r="I1685" t="str">
        <f t="shared" si="158"/>
        <v>No</v>
      </c>
      <c r="J1685">
        <f t="shared" si="159"/>
        <v>0</v>
      </c>
      <c r="K1685">
        <f t="shared" si="160"/>
        <v>0</v>
      </c>
      <c r="L1685">
        <f t="shared" si="161"/>
        <v>7</v>
      </c>
    </row>
    <row r="1686" spans="1:12" ht="14.4" customHeight="1" x14ac:dyDescent="0.3">
      <c r="A1686">
        <v>210138564</v>
      </c>
      <c r="B1686" s="1">
        <v>45022</v>
      </c>
      <c r="D1686" t="s">
        <v>7</v>
      </c>
      <c r="E1686">
        <v>39</v>
      </c>
      <c r="F1686" t="s">
        <v>6</v>
      </c>
      <c r="G1686" t="str">
        <f t="shared" si="156"/>
        <v/>
      </c>
      <c r="H1686" s="1" t="str">
        <f t="shared" si="157"/>
        <v>Thursday</v>
      </c>
      <c r="I1686" t="str">
        <f t="shared" si="158"/>
        <v>No</v>
      </c>
      <c r="J1686">
        <f t="shared" si="159"/>
        <v>0</v>
      </c>
      <c r="K1686">
        <f t="shared" si="160"/>
        <v>0</v>
      </c>
      <c r="L1686" t="str">
        <f t="shared" si="161"/>
        <v/>
      </c>
    </row>
    <row r="1687" spans="1:12" ht="14.4" customHeight="1" x14ac:dyDescent="0.3">
      <c r="A1687">
        <v>210617010</v>
      </c>
      <c r="B1687" s="1">
        <v>45022</v>
      </c>
      <c r="C1687" s="1">
        <v>45022</v>
      </c>
      <c r="D1687" t="s">
        <v>7</v>
      </c>
      <c r="E1687">
        <v>39</v>
      </c>
      <c r="F1687" t="s">
        <v>6</v>
      </c>
      <c r="G1687">
        <f t="shared" si="156"/>
        <v>0</v>
      </c>
      <c r="H1687" s="1" t="str">
        <f t="shared" si="157"/>
        <v>Thursday</v>
      </c>
      <c r="I1687" t="str">
        <f t="shared" si="158"/>
        <v>Yes</v>
      </c>
      <c r="J1687">
        <f t="shared" si="159"/>
        <v>1</v>
      </c>
      <c r="K1687">
        <f t="shared" si="160"/>
        <v>0</v>
      </c>
      <c r="L1687">
        <f t="shared" si="161"/>
        <v>0</v>
      </c>
    </row>
    <row r="1688" spans="1:12" x14ac:dyDescent="0.3">
      <c r="A1688">
        <v>134894187</v>
      </c>
      <c r="B1688" s="1">
        <v>45022</v>
      </c>
      <c r="C1688" s="1">
        <v>45064</v>
      </c>
      <c r="D1688" t="s">
        <v>7</v>
      </c>
      <c r="E1688">
        <v>39</v>
      </c>
      <c r="F1688" t="s">
        <v>6</v>
      </c>
      <c r="G1688">
        <f t="shared" si="156"/>
        <v>42</v>
      </c>
      <c r="H1688" s="1" t="str">
        <f t="shared" si="157"/>
        <v>Thursday</v>
      </c>
      <c r="I1688" t="str">
        <f t="shared" si="158"/>
        <v>No</v>
      </c>
      <c r="J1688">
        <f t="shared" si="159"/>
        <v>0</v>
      </c>
      <c r="K1688">
        <f t="shared" si="160"/>
        <v>1</v>
      </c>
      <c r="L1688">
        <f t="shared" si="161"/>
        <v>42</v>
      </c>
    </row>
    <row r="1689" spans="1:12" x14ac:dyDescent="0.3">
      <c r="A1689">
        <v>150643785</v>
      </c>
      <c r="B1689" s="1">
        <v>45022</v>
      </c>
      <c r="C1689" s="1">
        <v>45083</v>
      </c>
      <c r="D1689" t="s">
        <v>7</v>
      </c>
      <c r="E1689">
        <v>39</v>
      </c>
      <c r="F1689" t="s">
        <v>6</v>
      </c>
      <c r="G1689">
        <f t="shared" si="156"/>
        <v>61</v>
      </c>
      <c r="H1689" s="1" t="str">
        <f t="shared" si="157"/>
        <v>Thursday</v>
      </c>
      <c r="I1689" t="str">
        <f t="shared" si="158"/>
        <v>No</v>
      </c>
      <c r="J1689">
        <f t="shared" si="159"/>
        <v>0</v>
      </c>
      <c r="K1689">
        <f t="shared" si="160"/>
        <v>1</v>
      </c>
      <c r="L1689">
        <f t="shared" si="161"/>
        <v>61</v>
      </c>
    </row>
    <row r="1690" spans="1:12" x14ac:dyDescent="0.3">
      <c r="A1690">
        <v>149986782</v>
      </c>
      <c r="B1690" s="1">
        <v>45022</v>
      </c>
      <c r="C1690" s="1">
        <v>45081</v>
      </c>
      <c r="D1690" t="s">
        <v>7</v>
      </c>
      <c r="E1690">
        <v>39</v>
      </c>
      <c r="F1690" t="s">
        <v>6</v>
      </c>
      <c r="G1690">
        <f t="shared" si="156"/>
        <v>59</v>
      </c>
      <c r="H1690" s="1" t="str">
        <f t="shared" si="157"/>
        <v>Thursday</v>
      </c>
      <c r="I1690" t="str">
        <f t="shared" si="158"/>
        <v>No</v>
      </c>
      <c r="J1690">
        <f t="shared" si="159"/>
        <v>0</v>
      </c>
      <c r="K1690">
        <f t="shared" si="160"/>
        <v>1</v>
      </c>
      <c r="L1690">
        <f t="shared" si="161"/>
        <v>59</v>
      </c>
    </row>
    <row r="1691" spans="1:12" x14ac:dyDescent="0.3">
      <c r="A1691">
        <v>205463099</v>
      </c>
      <c r="B1691" s="1">
        <v>45022</v>
      </c>
      <c r="C1691" s="1">
        <v>45093</v>
      </c>
      <c r="D1691" t="s">
        <v>7</v>
      </c>
      <c r="E1691">
        <v>39</v>
      </c>
      <c r="F1691" t="s">
        <v>6</v>
      </c>
      <c r="G1691">
        <f t="shared" si="156"/>
        <v>71</v>
      </c>
      <c r="H1691" s="1" t="str">
        <f t="shared" si="157"/>
        <v>Thursday</v>
      </c>
      <c r="I1691" t="str">
        <f t="shared" si="158"/>
        <v>No</v>
      </c>
      <c r="J1691">
        <f t="shared" si="159"/>
        <v>0</v>
      </c>
      <c r="K1691">
        <f t="shared" si="160"/>
        <v>1</v>
      </c>
      <c r="L1691">
        <f t="shared" si="161"/>
        <v>71</v>
      </c>
    </row>
    <row r="1692" spans="1:12" x14ac:dyDescent="0.3">
      <c r="A1692">
        <v>210565466</v>
      </c>
      <c r="B1692" s="1">
        <v>45022</v>
      </c>
      <c r="C1692" s="1">
        <v>45059</v>
      </c>
      <c r="D1692" t="s">
        <v>7</v>
      </c>
      <c r="E1692">
        <v>39</v>
      </c>
      <c r="F1692" t="s">
        <v>6</v>
      </c>
      <c r="G1692">
        <f t="shared" si="156"/>
        <v>37</v>
      </c>
      <c r="H1692" s="1" t="str">
        <f t="shared" si="157"/>
        <v>Thursday</v>
      </c>
      <c r="I1692" t="str">
        <f t="shared" si="158"/>
        <v>No</v>
      </c>
      <c r="J1692">
        <f t="shared" si="159"/>
        <v>0</v>
      </c>
      <c r="K1692">
        <f t="shared" si="160"/>
        <v>1</v>
      </c>
      <c r="L1692">
        <f t="shared" si="161"/>
        <v>37</v>
      </c>
    </row>
    <row r="1693" spans="1:12" ht="14.4" customHeight="1" x14ac:dyDescent="0.3">
      <c r="A1693">
        <v>209072132</v>
      </c>
      <c r="B1693" s="1">
        <v>45023</v>
      </c>
      <c r="D1693" t="s">
        <v>7</v>
      </c>
      <c r="E1693">
        <v>39</v>
      </c>
      <c r="F1693" t="s">
        <v>6</v>
      </c>
      <c r="G1693" t="str">
        <f t="shared" si="156"/>
        <v/>
      </c>
      <c r="H1693" s="1" t="str">
        <f t="shared" si="157"/>
        <v>Friday</v>
      </c>
      <c r="I1693" t="str">
        <f t="shared" si="158"/>
        <v>No</v>
      </c>
      <c r="J1693">
        <f t="shared" si="159"/>
        <v>0</v>
      </c>
      <c r="K1693">
        <f t="shared" si="160"/>
        <v>0</v>
      </c>
      <c r="L1693" t="str">
        <f t="shared" si="161"/>
        <v/>
      </c>
    </row>
    <row r="1694" spans="1:12" ht="14.4" customHeight="1" x14ac:dyDescent="0.3">
      <c r="A1694">
        <v>210388772</v>
      </c>
      <c r="B1694" s="1">
        <v>45023</v>
      </c>
      <c r="D1694" t="s">
        <v>7</v>
      </c>
      <c r="E1694">
        <v>39</v>
      </c>
      <c r="F1694" t="s">
        <v>6</v>
      </c>
      <c r="G1694" t="str">
        <f t="shared" si="156"/>
        <v/>
      </c>
      <c r="H1694" s="1" t="str">
        <f t="shared" si="157"/>
        <v>Friday</v>
      </c>
      <c r="I1694" t="str">
        <f t="shared" si="158"/>
        <v>No</v>
      </c>
      <c r="J1694">
        <f t="shared" si="159"/>
        <v>0</v>
      </c>
      <c r="K1694">
        <f t="shared" si="160"/>
        <v>0</v>
      </c>
      <c r="L1694" t="str">
        <f t="shared" si="161"/>
        <v/>
      </c>
    </row>
    <row r="1695" spans="1:12" x14ac:dyDescent="0.3">
      <c r="A1695">
        <v>210617010</v>
      </c>
      <c r="B1695" s="1">
        <v>45023</v>
      </c>
      <c r="C1695" s="1">
        <v>45086</v>
      </c>
      <c r="D1695" t="s">
        <v>7</v>
      </c>
      <c r="E1695">
        <v>39</v>
      </c>
      <c r="F1695" t="s">
        <v>6</v>
      </c>
      <c r="G1695">
        <f t="shared" si="156"/>
        <v>63</v>
      </c>
      <c r="H1695" s="1" t="str">
        <f t="shared" si="157"/>
        <v>Friday</v>
      </c>
      <c r="I1695" t="str">
        <f t="shared" si="158"/>
        <v>No</v>
      </c>
      <c r="J1695">
        <f t="shared" si="159"/>
        <v>0</v>
      </c>
      <c r="K1695">
        <f t="shared" si="160"/>
        <v>1</v>
      </c>
      <c r="L1695">
        <f t="shared" si="161"/>
        <v>63</v>
      </c>
    </row>
    <row r="1696" spans="1:12" x14ac:dyDescent="0.3">
      <c r="A1696">
        <v>210694562</v>
      </c>
      <c r="B1696" s="1">
        <v>45023</v>
      </c>
      <c r="C1696" s="1">
        <v>45060</v>
      </c>
      <c r="D1696" t="s">
        <v>7</v>
      </c>
      <c r="E1696">
        <v>39</v>
      </c>
      <c r="F1696" t="s">
        <v>6</v>
      </c>
      <c r="G1696">
        <f t="shared" si="156"/>
        <v>37</v>
      </c>
      <c r="H1696" s="1" t="str">
        <f t="shared" si="157"/>
        <v>Friday</v>
      </c>
      <c r="I1696" t="str">
        <f t="shared" si="158"/>
        <v>No</v>
      </c>
      <c r="J1696">
        <f t="shared" si="159"/>
        <v>0</v>
      </c>
      <c r="K1696">
        <f t="shared" si="160"/>
        <v>1</v>
      </c>
      <c r="L1696">
        <f t="shared" si="161"/>
        <v>37</v>
      </c>
    </row>
    <row r="1697" spans="1:12" x14ac:dyDescent="0.3">
      <c r="A1697">
        <v>134833306</v>
      </c>
      <c r="B1697" s="1">
        <v>45023</v>
      </c>
      <c r="C1697" s="1">
        <v>45054</v>
      </c>
      <c r="D1697" t="s">
        <v>7</v>
      </c>
      <c r="E1697">
        <v>39</v>
      </c>
      <c r="F1697" t="s">
        <v>6</v>
      </c>
      <c r="G1697">
        <f t="shared" si="156"/>
        <v>31</v>
      </c>
      <c r="H1697" s="1" t="str">
        <f t="shared" si="157"/>
        <v>Friday</v>
      </c>
      <c r="I1697" t="str">
        <f t="shared" si="158"/>
        <v>No</v>
      </c>
      <c r="J1697">
        <f t="shared" si="159"/>
        <v>0</v>
      </c>
      <c r="K1697">
        <f t="shared" si="160"/>
        <v>1</v>
      </c>
      <c r="L1697">
        <f t="shared" si="161"/>
        <v>31</v>
      </c>
    </row>
    <row r="1698" spans="1:12" ht="14.4" customHeight="1" x14ac:dyDescent="0.3">
      <c r="A1698">
        <v>211220014</v>
      </c>
      <c r="B1698" s="1">
        <v>45024</v>
      </c>
      <c r="D1698" t="s">
        <v>7</v>
      </c>
      <c r="E1698">
        <v>39</v>
      </c>
      <c r="F1698" t="s">
        <v>6</v>
      </c>
      <c r="G1698" t="str">
        <f t="shared" si="156"/>
        <v/>
      </c>
      <c r="H1698" s="1" t="str">
        <f t="shared" si="157"/>
        <v>Saturday</v>
      </c>
      <c r="I1698" t="str">
        <f t="shared" si="158"/>
        <v>No</v>
      </c>
      <c r="J1698">
        <f t="shared" si="159"/>
        <v>0</v>
      </c>
      <c r="K1698">
        <f t="shared" si="160"/>
        <v>0</v>
      </c>
      <c r="L1698" t="str">
        <f t="shared" si="161"/>
        <v/>
      </c>
    </row>
    <row r="1699" spans="1:12" ht="14.4" customHeight="1" x14ac:dyDescent="0.3">
      <c r="A1699">
        <v>121571816</v>
      </c>
      <c r="B1699" s="1">
        <v>45024</v>
      </c>
      <c r="D1699" t="s">
        <v>7</v>
      </c>
      <c r="E1699">
        <v>39</v>
      </c>
      <c r="F1699" t="s">
        <v>6</v>
      </c>
      <c r="G1699" t="str">
        <f t="shared" si="156"/>
        <v/>
      </c>
      <c r="H1699" s="1" t="str">
        <f t="shared" si="157"/>
        <v>Saturday</v>
      </c>
      <c r="I1699" t="str">
        <f t="shared" si="158"/>
        <v>No</v>
      </c>
      <c r="J1699">
        <f t="shared" si="159"/>
        <v>0</v>
      </c>
      <c r="K1699">
        <f t="shared" si="160"/>
        <v>0</v>
      </c>
      <c r="L1699" t="str">
        <f t="shared" si="161"/>
        <v/>
      </c>
    </row>
    <row r="1700" spans="1:12" ht="14.4" customHeight="1" x14ac:dyDescent="0.3">
      <c r="A1700">
        <v>211216060</v>
      </c>
      <c r="B1700" s="1">
        <v>45024</v>
      </c>
      <c r="D1700" t="s">
        <v>7</v>
      </c>
      <c r="E1700">
        <v>39</v>
      </c>
      <c r="F1700" t="s">
        <v>6</v>
      </c>
      <c r="G1700" t="str">
        <f t="shared" si="156"/>
        <v/>
      </c>
      <c r="H1700" s="1" t="str">
        <f t="shared" si="157"/>
        <v>Saturday</v>
      </c>
      <c r="I1700" t="str">
        <f t="shared" si="158"/>
        <v>No</v>
      </c>
      <c r="J1700">
        <f t="shared" si="159"/>
        <v>0</v>
      </c>
      <c r="K1700">
        <f t="shared" si="160"/>
        <v>0</v>
      </c>
      <c r="L1700" t="str">
        <f t="shared" si="161"/>
        <v/>
      </c>
    </row>
    <row r="1701" spans="1:12" ht="14.4" customHeight="1" x14ac:dyDescent="0.3">
      <c r="A1701">
        <v>211114276</v>
      </c>
      <c r="B1701" s="1">
        <v>45024</v>
      </c>
      <c r="D1701" t="s">
        <v>7</v>
      </c>
      <c r="E1701">
        <v>39</v>
      </c>
      <c r="F1701" t="s">
        <v>6</v>
      </c>
      <c r="G1701" t="str">
        <f t="shared" si="156"/>
        <v/>
      </c>
      <c r="H1701" s="1" t="str">
        <f t="shared" si="157"/>
        <v>Saturday</v>
      </c>
      <c r="I1701" t="str">
        <f t="shared" si="158"/>
        <v>No</v>
      </c>
      <c r="J1701">
        <f t="shared" si="159"/>
        <v>0</v>
      </c>
      <c r="K1701">
        <f t="shared" si="160"/>
        <v>0</v>
      </c>
      <c r="L1701" t="str">
        <f t="shared" si="161"/>
        <v/>
      </c>
    </row>
    <row r="1702" spans="1:12" ht="14.4" customHeight="1" x14ac:dyDescent="0.3">
      <c r="A1702">
        <v>211224883</v>
      </c>
      <c r="B1702" s="1">
        <v>45024</v>
      </c>
      <c r="C1702" s="1">
        <v>45025</v>
      </c>
      <c r="D1702" t="s">
        <v>8</v>
      </c>
      <c r="E1702">
        <v>39</v>
      </c>
      <c r="F1702" t="s">
        <v>6</v>
      </c>
      <c r="G1702">
        <f t="shared" si="156"/>
        <v>1</v>
      </c>
      <c r="H1702" s="1" t="str">
        <f t="shared" si="157"/>
        <v>Saturday</v>
      </c>
      <c r="I1702" t="str">
        <f t="shared" si="158"/>
        <v>No</v>
      </c>
      <c r="J1702">
        <f t="shared" si="159"/>
        <v>1</v>
      </c>
      <c r="K1702">
        <f t="shared" si="160"/>
        <v>0</v>
      </c>
      <c r="L1702">
        <f t="shared" si="161"/>
        <v>1</v>
      </c>
    </row>
    <row r="1703" spans="1:12" x14ac:dyDescent="0.3">
      <c r="A1703">
        <v>211212313</v>
      </c>
      <c r="B1703" s="1">
        <v>45024</v>
      </c>
      <c r="C1703" s="1">
        <v>45083</v>
      </c>
      <c r="D1703" t="s">
        <v>7</v>
      </c>
      <c r="E1703">
        <v>39</v>
      </c>
      <c r="F1703" t="s">
        <v>6</v>
      </c>
      <c r="G1703">
        <f t="shared" si="156"/>
        <v>59</v>
      </c>
      <c r="H1703" s="1" t="str">
        <f t="shared" si="157"/>
        <v>Saturday</v>
      </c>
      <c r="I1703" t="str">
        <f t="shared" si="158"/>
        <v>No</v>
      </c>
      <c r="J1703">
        <f t="shared" si="159"/>
        <v>0</v>
      </c>
      <c r="K1703">
        <f t="shared" si="160"/>
        <v>1</v>
      </c>
      <c r="L1703">
        <f t="shared" si="161"/>
        <v>59</v>
      </c>
    </row>
    <row r="1704" spans="1:12" ht="14.4" customHeight="1" x14ac:dyDescent="0.3">
      <c r="A1704">
        <v>210135815</v>
      </c>
      <c r="B1704" s="1">
        <v>45024</v>
      </c>
      <c r="C1704" s="1">
        <v>45034</v>
      </c>
      <c r="D1704" t="s">
        <v>7</v>
      </c>
      <c r="E1704">
        <v>39</v>
      </c>
      <c r="F1704" t="s">
        <v>6</v>
      </c>
      <c r="G1704">
        <f t="shared" si="156"/>
        <v>10</v>
      </c>
      <c r="H1704" s="1" t="str">
        <f t="shared" si="157"/>
        <v>Saturday</v>
      </c>
      <c r="I1704" t="str">
        <f t="shared" si="158"/>
        <v>No</v>
      </c>
      <c r="J1704">
        <f t="shared" si="159"/>
        <v>0</v>
      </c>
      <c r="K1704">
        <f t="shared" si="160"/>
        <v>0</v>
      </c>
      <c r="L1704">
        <f t="shared" si="161"/>
        <v>10</v>
      </c>
    </row>
    <row r="1705" spans="1:12" ht="14.4" customHeight="1" x14ac:dyDescent="0.3">
      <c r="A1705">
        <v>211381659</v>
      </c>
      <c r="B1705" s="1">
        <v>45025</v>
      </c>
      <c r="D1705" t="s">
        <v>7</v>
      </c>
      <c r="E1705">
        <v>39</v>
      </c>
      <c r="F1705" t="s">
        <v>6</v>
      </c>
      <c r="G1705" t="str">
        <f t="shared" si="156"/>
        <v/>
      </c>
      <c r="H1705" s="1" t="str">
        <f t="shared" si="157"/>
        <v>Sunday</v>
      </c>
      <c r="I1705" t="str">
        <f t="shared" si="158"/>
        <v>No</v>
      </c>
      <c r="J1705">
        <f t="shared" si="159"/>
        <v>0</v>
      </c>
      <c r="K1705">
        <f t="shared" si="160"/>
        <v>0</v>
      </c>
      <c r="L1705" t="str">
        <f t="shared" si="161"/>
        <v/>
      </c>
    </row>
    <row r="1706" spans="1:12" ht="14.4" customHeight="1" x14ac:dyDescent="0.3">
      <c r="A1706">
        <v>183363812</v>
      </c>
      <c r="B1706" s="1">
        <v>45025</v>
      </c>
      <c r="D1706" t="s">
        <v>7</v>
      </c>
      <c r="E1706">
        <v>39</v>
      </c>
      <c r="F1706" t="s">
        <v>6</v>
      </c>
      <c r="G1706" t="str">
        <f t="shared" si="156"/>
        <v/>
      </c>
      <c r="H1706" s="1" t="str">
        <f t="shared" si="157"/>
        <v>Sunday</v>
      </c>
      <c r="I1706" t="str">
        <f t="shared" si="158"/>
        <v>No</v>
      </c>
      <c r="J1706">
        <f t="shared" si="159"/>
        <v>0</v>
      </c>
      <c r="K1706">
        <f t="shared" si="160"/>
        <v>0</v>
      </c>
      <c r="L1706" t="str">
        <f t="shared" si="161"/>
        <v/>
      </c>
    </row>
    <row r="1707" spans="1:12" ht="14.4" customHeight="1" x14ac:dyDescent="0.3">
      <c r="A1707">
        <v>211289909</v>
      </c>
      <c r="B1707" s="1">
        <v>45025</v>
      </c>
      <c r="D1707" t="s">
        <v>7</v>
      </c>
      <c r="E1707">
        <v>39</v>
      </c>
      <c r="F1707" t="s">
        <v>6</v>
      </c>
      <c r="G1707" t="str">
        <f t="shared" si="156"/>
        <v/>
      </c>
      <c r="H1707" s="1" t="str">
        <f t="shared" si="157"/>
        <v>Sunday</v>
      </c>
      <c r="I1707" t="str">
        <f t="shared" si="158"/>
        <v>No</v>
      </c>
      <c r="J1707">
        <f t="shared" si="159"/>
        <v>0</v>
      </c>
      <c r="K1707">
        <f t="shared" si="160"/>
        <v>0</v>
      </c>
      <c r="L1707" t="str">
        <f t="shared" si="161"/>
        <v/>
      </c>
    </row>
    <row r="1708" spans="1:12" ht="14.4" customHeight="1" x14ac:dyDescent="0.3">
      <c r="A1708">
        <v>211266858</v>
      </c>
      <c r="B1708" s="1">
        <v>45025</v>
      </c>
      <c r="C1708" s="1">
        <v>45048</v>
      </c>
      <c r="D1708" t="s">
        <v>7</v>
      </c>
      <c r="E1708">
        <v>39</v>
      </c>
      <c r="F1708" t="s">
        <v>6</v>
      </c>
      <c r="G1708">
        <f t="shared" si="156"/>
        <v>23</v>
      </c>
      <c r="H1708" s="1" t="str">
        <f t="shared" si="157"/>
        <v>Sunday</v>
      </c>
      <c r="I1708" t="str">
        <f t="shared" si="158"/>
        <v>No</v>
      </c>
      <c r="J1708">
        <f t="shared" si="159"/>
        <v>0</v>
      </c>
      <c r="K1708">
        <f t="shared" si="160"/>
        <v>0</v>
      </c>
      <c r="L1708">
        <f t="shared" si="161"/>
        <v>23</v>
      </c>
    </row>
    <row r="1709" spans="1:12" ht="14.4" customHeight="1" x14ac:dyDescent="0.3">
      <c r="A1709">
        <v>153163612</v>
      </c>
      <c r="B1709" s="1">
        <v>45025</v>
      </c>
      <c r="C1709" s="1">
        <v>45040</v>
      </c>
      <c r="D1709" t="s">
        <v>7</v>
      </c>
      <c r="E1709">
        <v>39</v>
      </c>
      <c r="F1709" t="s">
        <v>6</v>
      </c>
      <c r="G1709">
        <f t="shared" si="156"/>
        <v>15</v>
      </c>
      <c r="H1709" s="1" t="str">
        <f t="shared" si="157"/>
        <v>Sunday</v>
      </c>
      <c r="I1709" t="str">
        <f t="shared" si="158"/>
        <v>No</v>
      </c>
      <c r="J1709">
        <f t="shared" si="159"/>
        <v>0</v>
      </c>
      <c r="K1709">
        <f t="shared" si="160"/>
        <v>0</v>
      </c>
      <c r="L1709">
        <f t="shared" si="161"/>
        <v>15</v>
      </c>
    </row>
    <row r="1710" spans="1:12" ht="14.4" customHeight="1" x14ac:dyDescent="0.3">
      <c r="A1710">
        <v>209505551</v>
      </c>
      <c r="B1710" s="1">
        <v>45025</v>
      </c>
      <c r="C1710" s="1">
        <v>45041</v>
      </c>
      <c r="D1710" t="s">
        <v>7</v>
      </c>
      <c r="E1710">
        <v>39</v>
      </c>
      <c r="F1710" t="s">
        <v>6</v>
      </c>
      <c r="G1710">
        <f t="shared" si="156"/>
        <v>16</v>
      </c>
      <c r="H1710" s="1" t="str">
        <f t="shared" si="157"/>
        <v>Sunday</v>
      </c>
      <c r="I1710" t="str">
        <f t="shared" si="158"/>
        <v>No</v>
      </c>
      <c r="J1710">
        <f t="shared" si="159"/>
        <v>0</v>
      </c>
      <c r="K1710">
        <f t="shared" si="160"/>
        <v>0</v>
      </c>
      <c r="L1710">
        <f t="shared" si="161"/>
        <v>16</v>
      </c>
    </row>
    <row r="1711" spans="1:12" ht="14.4" customHeight="1" x14ac:dyDescent="0.3">
      <c r="A1711">
        <v>211389716</v>
      </c>
      <c r="B1711" s="1">
        <v>45026</v>
      </c>
      <c r="D1711" t="s">
        <v>7</v>
      </c>
      <c r="E1711">
        <v>39</v>
      </c>
      <c r="F1711" t="s">
        <v>6</v>
      </c>
      <c r="G1711" t="str">
        <f t="shared" si="156"/>
        <v/>
      </c>
      <c r="H1711" s="1" t="str">
        <f t="shared" si="157"/>
        <v>Monday</v>
      </c>
      <c r="I1711" t="str">
        <f t="shared" si="158"/>
        <v>No</v>
      </c>
      <c r="J1711">
        <f t="shared" si="159"/>
        <v>0</v>
      </c>
      <c r="K1711">
        <f t="shared" si="160"/>
        <v>0</v>
      </c>
      <c r="L1711" t="str">
        <f t="shared" si="161"/>
        <v/>
      </c>
    </row>
    <row r="1712" spans="1:12" ht="14.4" customHeight="1" x14ac:dyDescent="0.3">
      <c r="A1712">
        <v>211636708</v>
      </c>
      <c r="B1712" s="1">
        <v>45026</v>
      </c>
      <c r="D1712" t="s">
        <v>7</v>
      </c>
      <c r="E1712">
        <v>39</v>
      </c>
      <c r="F1712" t="s">
        <v>6</v>
      </c>
      <c r="G1712" t="str">
        <f t="shared" si="156"/>
        <v/>
      </c>
      <c r="H1712" s="1" t="str">
        <f t="shared" si="157"/>
        <v>Monday</v>
      </c>
      <c r="I1712" t="str">
        <f t="shared" si="158"/>
        <v>No</v>
      </c>
      <c r="J1712">
        <f t="shared" si="159"/>
        <v>0</v>
      </c>
      <c r="K1712">
        <f t="shared" si="160"/>
        <v>0</v>
      </c>
      <c r="L1712" t="str">
        <f t="shared" si="161"/>
        <v/>
      </c>
    </row>
    <row r="1713" spans="1:12" ht="14.4" customHeight="1" x14ac:dyDescent="0.3">
      <c r="A1713">
        <v>176884824</v>
      </c>
      <c r="B1713" s="1">
        <v>45026</v>
      </c>
      <c r="D1713" t="s">
        <v>7</v>
      </c>
      <c r="E1713">
        <v>39</v>
      </c>
      <c r="F1713" t="s">
        <v>6</v>
      </c>
      <c r="G1713" t="str">
        <f t="shared" si="156"/>
        <v/>
      </c>
      <c r="H1713" s="1" t="str">
        <f t="shared" si="157"/>
        <v>Monday</v>
      </c>
      <c r="I1713" t="str">
        <f t="shared" si="158"/>
        <v>No</v>
      </c>
      <c r="J1713">
        <f t="shared" si="159"/>
        <v>0</v>
      </c>
      <c r="K1713">
        <f t="shared" si="160"/>
        <v>0</v>
      </c>
      <c r="L1713" t="str">
        <f t="shared" si="161"/>
        <v/>
      </c>
    </row>
    <row r="1714" spans="1:12" ht="14.4" customHeight="1" x14ac:dyDescent="0.3">
      <c r="A1714">
        <v>211352758</v>
      </c>
      <c r="B1714" s="1">
        <v>45026</v>
      </c>
      <c r="D1714" t="s">
        <v>7</v>
      </c>
      <c r="E1714">
        <v>39</v>
      </c>
      <c r="F1714" t="s">
        <v>6</v>
      </c>
      <c r="G1714" t="str">
        <f t="shared" si="156"/>
        <v/>
      </c>
      <c r="H1714" s="1" t="str">
        <f t="shared" si="157"/>
        <v>Monday</v>
      </c>
      <c r="I1714" t="str">
        <f t="shared" si="158"/>
        <v>No</v>
      </c>
      <c r="J1714">
        <f t="shared" si="159"/>
        <v>0</v>
      </c>
      <c r="K1714">
        <f t="shared" si="160"/>
        <v>0</v>
      </c>
      <c r="L1714" t="str">
        <f t="shared" si="161"/>
        <v/>
      </c>
    </row>
    <row r="1715" spans="1:12" ht="14.4" customHeight="1" x14ac:dyDescent="0.3">
      <c r="A1715">
        <v>210814163</v>
      </c>
      <c r="B1715" s="1">
        <v>45026</v>
      </c>
      <c r="D1715" t="s">
        <v>7</v>
      </c>
      <c r="E1715">
        <v>39</v>
      </c>
      <c r="F1715" t="s">
        <v>6</v>
      </c>
      <c r="G1715" t="str">
        <f t="shared" si="156"/>
        <v/>
      </c>
      <c r="H1715" s="1" t="str">
        <f t="shared" si="157"/>
        <v>Monday</v>
      </c>
      <c r="I1715" t="str">
        <f t="shared" si="158"/>
        <v>No</v>
      </c>
      <c r="J1715">
        <f t="shared" si="159"/>
        <v>0</v>
      </c>
      <c r="K1715">
        <f t="shared" si="160"/>
        <v>0</v>
      </c>
      <c r="L1715" t="str">
        <f t="shared" si="161"/>
        <v/>
      </c>
    </row>
    <row r="1716" spans="1:12" ht="14.4" customHeight="1" x14ac:dyDescent="0.3">
      <c r="A1716">
        <v>210893245</v>
      </c>
      <c r="B1716" s="1">
        <v>45026</v>
      </c>
      <c r="D1716" t="s">
        <v>7</v>
      </c>
      <c r="E1716">
        <v>39</v>
      </c>
      <c r="F1716" t="s">
        <v>6</v>
      </c>
      <c r="G1716" t="str">
        <f t="shared" si="156"/>
        <v/>
      </c>
      <c r="H1716" s="1" t="str">
        <f t="shared" si="157"/>
        <v>Monday</v>
      </c>
      <c r="I1716" t="str">
        <f t="shared" si="158"/>
        <v>No</v>
      </c>
      <c r="J1716">
        <f t="shared" si="159"/>
        <v>0</v>
      </c>
      <c r="K1716">
        <f t="shared" si="160"/>
        <v>0</v>
      </c>
      <c r="L1716" t="str">
        <f t="shared" si="161"/>
        <v/>
      </c>
    </row>
    <row r="1717" spans="1:12" ht="14.4" customHeight="1" x14ac:dyDescent="0.3">
      <c r="A1717">
        <v>130967112</v>
      </c>
      <c r="B1717" s="1">
        <v>45026</v>
      </c>
      <c r="D1717" t="s">
        <v>7</v>
      </c>
      <c r="E1717">
        <v>39</v>
      </c>
      <c r="F1717" t="s">
        <v>6</v>
      </c>
      <c r="G1717" t="str">
        <f t="shared" si="156"/>
        <v/>
      </c>
      <c r="H1717" s="1" t="str">
        <f t="shared" si="157"/>
        <v>Monday</v>
      </c>
      <c r="I1717" t="str">
        <f t="shared" si="158"/>
        <v>No</v>
      </c>
      <c r="J1717">
        <f t="shared" si="159"/>
        <v>0</v>
      </c>
      <c r="K1717">
        <f t="shared" si="160"/>
        <v>0</v>
      </c>
      <c r="L1717" t="str">
        <f t="shared" si="161"/>
        <v/>
      </c>
    </row>
    <row r="1718" spans="1:12" ht="14.4" customHeight="1" x14ac:dyDescent="0.3">
      <c r="A1718">
        <v>199116000</v>
      </c>
      <c r="B1718" s="1">
        <v>45026</v>
      </c>
      <c r="D1718" t="s">
        <v>7</v>
      </c>
      <c r="E1718">
        <v>39</v>
      </c>
      <c r="F1718" t="s">
        <v>6</v>
      </c>
      <c r="G1718" t="str">
        <f t="shared" si="156"/>
        <v/>
      </c>
      <c r="H1718" s="1" t="str">
        <f t="shared" si="157"/>
        <v>Monday</v>
      </c>
      <c r="I1718" t="str">
        <f t="shared" si="158"/>
        <v>No</v>
      </c>
      <c r="J1718">
        <f t="shared" si="159"/>
        <v>0</v>
      </c>
      <c r="K1718">
        <f t="shared" si="160"/>
        <v>0</v>
      </c>
      <c r="L1718" t="str">
        <f t="shared" si="161"/>
        <v/>
      </c>
    </row>
    <row r="1719" spans="1:12" x14ac:dyDescent="0.3">
      <c r="A1719">
        <v>161182706</v>
      </c>
      <c r="B1719" s="1">
        <v>45026</v>
      </c>
      <c r="C1719" s="1">
        <v>45063</v>
      </c>
      <c r="D1719" t="s">
        <v>7</v>
      </c>
      <c r="E1719">
        <v>39</v>
      </c>
      <c r="F1719" t="s">
        <v>6</v>
      </c>
      <c r="G1719">
        <f t="shared" si="156"/>
        <v>37</v>
      </c>
      <c r="H1719" s="1" t="str">
        <f t="shared" si="157"/>
        <v>Monday</v>
      </c>
      <c r="I1719" t="str">
        <f t="shared" si="158"/>
        <v>No</v>
      </c>
      <c r="J1719">
        <f t="shared" si="159"/>
        <v>0</v>
      </c>
      <c r="K1719">
        <f t="shared" si="160"/>
        <v>1</v>
      </c>
      <c r="L1719">
        <f t="shared" si="161"/>
        <v>37</v>
      </c>
    </row>
    <row r="1720" spans="1:12" ht="14.4" customHeight="1" x14ac:dyDescent="0.3">
      <c r="A1720">
        <v>211576047</v>
      </c>
      <c r="B1720" s="1">
        <v>45027</v>
      </c>
      <c r="D1720" t="s">
        <v>7</v>
      </c>
      <c r="E1720">
        <v>39</v>
      </c>
      <c r="F1720" t="s">
        <v>6</v>
      </c>
      <c r="G1720" t="str">
        <f t="shared" si="156"/>
        <v/>
      </c>
      <c r="H1720" s="1" t="str">
        <f t="shared" si="157"/>
        <v>Tuesday</v>
      </c>
      <c r="I1720" t="str">
        <f t="shared" si="158"/>
        <v>No</v>
      </c>
      <c r="J1720">
        <f t="shared" si="159"/>
        <v>0</v>
      </c>
      <c r="K1720">
        <f t="shared" si="160"/>
        <v>0</v>
      </c>
      <c r="L1720" t="str">
        <f t="shared" si="161"/>
        <v/>
      </c>
    </row>
    <row r="1721" spans="1:12" ht="14.4" customHeight="1" x14ac:dyDescent="0.3">
      <c r="A1721">
        <v>211897884</v>
      </c>
      <c r="B1721" s="1">
        <v>45027</v>
      </c>
      <c r="D1721" t="s">
        <v>7</v>
      </c>
      <c r="E1721">
        <v>39</v>
      </c>
      <c r="F1721" t="s">
        <v>6</v>
      </c>
      <c r="G1721" t="str">
        <f t="shared" si="156"/>
        <v/>
      </c>
      <c r="H1721" s="1" t="str">
        <f t="shared" si="157"/>
        <v>Tuesday</v>
      </c>
      <c r="I1721" t="str">
        <f t="shared" si="158"/>
        <v>No</v>
      </c>
      <c r="J1721">
        <f t="shared" si="159"/>
        <v>0</v>
      </c>
      <c r="K1721">
        <f t="shared" si="160"/>
        <v>0</v>
      </c>
      <c r="L1721" t="str">
        <f t="shared" si="161"/>
        <v/>
      </c>
    </row>
    <row r="1722" spans="1:12" ht="14.4" customHeight="1" x14ac:dyDescent="0.3">
      <c r="A1722">
        <v>211661733</v>
      </c>
      <c r="B1722" s="1">
        <v>45027</v>
      </c>
      <c r="D1722" t="s">
        <v>7</v>
      </c>
      <c r="E1722">
        <v>39</v>
      </c>
      <c r="F1722" t="s">
        <v>6</v>
      </c>
      <c r="G1722" t="str">
        <f t="shared" si="156"/>
        <v/>
      </c>
      <c r="H1722" s="1" t="str">
        <f t="shared" si="157"/>
        <v>Tuesday</v>
      </c>
      <c r="I1722" t="str">
        <f t="shared" si="158"/>
        <v>No</v>
      </c>
      <c r="J1722">
        <f t="shared" si="159"/>
        <v>0</v>
      </c>
      <c r="K1722">
        <f t="shared" si="160"/>
        <v>0</v>
      </c>
      <c r="L1722" t="str">
        <f t="shared" si="161"/>
        <v/>
      </c>
    </row>
    <row r="1723" spans="1:12" ht="14.4" customHeight="1" x14ac:dyDescent="0.3">
      <c r="A1723">
        <v>211561665</v>
      </c>
      <c r="B1723" s="1">
        <v>45027</v>
      </c>
      <c r="D1723" t="s">
        <v>8</v>
      </c>
      <c r="E1723">
        <v>39</v>
      </c>
      <c r="F1723" t="s">
        <v>6</v>
      </c>
      <c r="G1723" t="str">
        <f t="shared" si="156"/>
        <v/>
      </c>
      <c r="H1723" s="1" t="str">
        <f t="shared" si="157"/>
        <v>Tuesday</v>
      </c>
      <c r="I1723" t="str">
        <f t="shared" si="158"/>
        <v>No</v>
      </c>
      <c r="J1723">
        <f t="shared" si="159"/>
        <v>0</v>
      </c>
      <c r="K1723">
        <f t="shared" si="160"/>
        <v>0</v>
      </c>
      <c r="L1723" t="str">
        <f t="shared" si="161"/>
        <v/>
      </c>
    </row>
    <row r="1724" spans="1:12" x14ac:dyDescent="0.3">
      <c r="A1724">
        <v>211911280</v>
      </c>
      <c r="B1724" s="1">
        <v>45027</v>
      </c>
      <c r="C1724" s="1">
        <v>45161</v>
      </c>
      <c r="D1724" t="s">
        <v>7</v>
      </c>
      <c r="E1724">
        <v>39</v>
      </c>
      <c r="F1724" t="s">
        <v>6</v>
      </c>
      <c r="G1724">
        <f t="shared" si="156"/>
        <v>134</v>
      </c>
      <c r="H1724" s="1" t="str">
        <f t="shared" si="157"/>
        <v>Tuesday</v>
      </c>
      <c r="I1724" t="str">
        <f t="shared" si="158"/>
        <v>No</v>
      </c>
      <c r="J1724">
        <f t="shared" si="159"/>
        <v>0</v>
      </c>
      <c r="K1724">
        <f t="shared" si="160"/>
        <v>1</v>
      </c>
      <c r="L1724">
        <f t="shared" si="161"/>
        <v>134</v>
      </c>
    </row>
    <row r="1725" spans="1:12" x14ac:dyDescent="0.3">
      <c r="A1725">
        <v>123946316</v>
      </c>
      <c r="B1725" s="1">
        <v>45027</v>
      </c>
      <c r="C1725" s="1">
        <v>45094</v>
      </c>
      <c r="D1725" t="s">
        <v>7</v>
      </c>
      <c r="E1725">
        <v>39</v>
      </c>
      <c r="F1725" t="s">
        <v>6</v>
      </c>
      <c r="G1725">
        <f t="shared" si="156"/>
        <v>67</v>
      </c>
      <c r="H1725" s="1" t="str">
        <f t="shared" si="157"/>
        <v>Tuesday</v>
      </c>
      <c r="I1725" t="str">
        <f t="shared" si="158"/>
        <v>No</v>
      </c>
      <c r="J1725">
        <f t="shared" si="159"/>
        <v>0</v>
      </c>
      <c r="K1725">
        <f t="shared" si="160"/>
        <v>1</v>
      </c>
      <c r="L1725">
        <f t="shared" si="161"/>
        <v>67</v>
      </c>
    </row>
    <row r="1726" spans="1:12" ht="14.4" customHeight="1" x14ac:dyDescent="0.3">
      <c r="A1726">
        <v>144469362</v>
      </c>
      <c r="B1726" s="1">
        <v>45027</v>
      </c>
      <c r="C1726" s="1">
        <v>45047</v>
      </c>
      <c r="D1726" t="s">
        <v>7</v>
      </c>
      <c r="E1726">
        <v>39</v>
      </c>
      <c r="F1726" t="s">
        <v>6</v>
      </c>
      <c r="G1726">
        <f t="shared" si="156"/>
        <v>20</v>
      </c>
      <c r="H1726" s="1" t="str">
        <f t="shared" si="157"/>
        <v>Tuesday</v>
      </c>
      <c r="I1726" t="str">
        <f t="shared" si="158"/>
        <v>No</v>
      </c>
      <c r="J1726">
        <f t="shared" si="159"/>
        <v>0</v>
      </c>
      <c r="K1726">
        <f t="shared" si="160"/>
        <v>0</v>
      </c>
      <c r="L1726">
        <f t="shared" si="161"/>
        <v>20</v>
      </c>
    </row>
    <row r="1727" spans="1:12" ht="14.4" customHeight="1" x14ac:dyDescent="0.3">
      <c r="A1727">
        <v>187268085</v>
      </c>
      <c r="B1727" s="1">
        <v>45027</v>
      </c>
      <c r="C1727" s="1">
        <v>45054</v>
      </c>
      <c r="D1727" t="s">
        <v>7</v>
      </c>
      <c r="E1727">
        <v>39</v>
      </c>
      <c r="F1727" t="s">
        <v>6</v>
      </c>
      <c r="G1727">
        <f t="shared" si="156"/>
        <v>27</v>
      </c>
      <c r="H1727" s="1" t="str">
        <f t="shared" si="157"/>
        <v>Tuesday</v>
      </c>
      <c r="I1727" t="str">
        <f t="shared" si="158"/>
        <v>No</v>
      </c>
      <c r="J1727">
        <f t="shared" si="159"/>
        <v>0</v>
      </c>
      <c r="K1727">
        <f t="shared" si="160"/>
        <v>0</v>
      </c>
      <c r="L1727">
        <f t="shared" si="161"/>
        <v>27</v>
      </c>
    </row>
    <row r="1728" spans="1:12" x14ac:dyDescent="0.3">
      <c r="A1728">
        <v>210088359</v>
      </c>
      <c r="B1728" s="1">
        <v>45027</v>
      </c>
      <c r="C1728" s="1">
        <v>45103</v>
      </c>
      <c r="D1728" t="s">
        <v>7</v>
      </c>
      <c r="E1728">
        <v>39</v>
      </c>
      <c r="F1728" t="s">
        <v>6</v>
      </c>
      <c r="G1728">
        <f t="shared" si="156"/>
        <v>76</v>
      </c>
      <c r="H1728" s="1" t="str">
        <f t="shared" si="157"/>
        <v>Tuesday</v>
      </c>
      <c r="I1728" t="str">
        <f t="shared" si="158"/>
        <v>No</v>
      </c>
      <c r="J1728">
        <f t="shared" si="159"/>
        <v>0</v>
      </c>
      <c r="K1728">
        <f t="shared" si="160"/>
        <v>1</v>
      </c>
      <c r="L1728">
        <f t="shared" si="161"/>
        <v>76</v>
      </c>
    </row>
    <row r="1729" spans="1:12" x14ac:dyDescent="0.3">
      <c r="A1729">
        <v>211906202</v>
      </c>
      <c r="B1729" s="1">
        <v>45027</v>
      </c>
      <c r="C1729" s="1">
        <v>45068</v>
      </c>
      <c r="D1729" t="s">
        <v>7</v>
      </c>
      <c r="E1729">
        <v>39</v>
      </c>
      <c r="F1729" t="s">
        <v>6</v>
      </c>
      <c r="G1729">
        <f t="shared" si="156"/>
        <v>41</v>
      </c>
      <c r="H1729" s="1" t="str">
        <f t="shared" si="157"/>
        <v>Tuesday</v>
      </c>
      <c r="I1729" t="str">
        <f t="shared" si="158"/>
        <v>No</v>
      </c>
      <c r="J1729">
        <f t="shared" si="159"/>
        <v>0</v>
      </c>
      <c r="K1729">
        <f t="shared" si="160"/>
        <v>1</v>
      </c>
      <c r="L1729">
        <f t="shared" si="161"/>
        <v>41</v>
      </c>
    </row>
    <row r="1730" spans="1:12" x14ac:dyDescent="0.3">
      <c r="A1730">
        <v>126391978</v>
      </c>
      <c r="B1730" s="1">
        <v>45027</v>
      </c>
      <c r="C1730" s="1">
        <v>45127</v>
      </c>
      <c r="D1730" t="s">
        <v>7</v>
      </c>
      <c r="E1730">
        <v>39</v>
      </c>
      <c r="F1730" t="s">
        <v>6</v>
      </c>
      <c r="G1730">
        <f t="shared" ref="G1730:G1793" si="162">IF(C1730="","",C1730-B1730)</f>
        <v>100</v>
      </c>
      <c r="H1730" s="1" t="str">
        <f t="shared" si="157"/>
        <v>Tuesday</v>
      </c>
      <c r="I1730" t="str">
        <f t="shared" si="158"/>
        <v>No</v>
      </c>
      <c r="J1730">
        <f t="shared" si="159"/>
        <v>0</v>
      </c>
      <c r="K1730">
        <f t="shared" si="160"/>
        <v>1</v>
      </c>
      <c r="L1730">
        <f t="shared" si="161"/>
        <v>100</v>
      </c>
    </row>
    <row r="1731" spans="1:12" ht="14.4" customHeight="1" x14ac:dyDescent="0.3">
      <c r="A1731">
        <v>154753462</v>
      </c>
      <c r="B1731" s="1">
        <v>45028</v>
      </c>
      <c r="D1731" t="s">
        <v>7</v>
      </c>
      <c r="E1731">
        <v>39</v>
      </c>
      <c r="F1731" t="s">
        <v>6</v>
      </c>
      <c r="G1731" t="str">
        <f t="shared" si="162"/>
        <v/>
      </c>
      <c r="H1731" s="1" t="str">
        <f t="shared" ref="H1731:H1794" si="163">TEXT(B1731,"dddd")</f>
        <v>Wednesday</v>
      </c>
      <c r="I1731" t="str">
        <f t="shared" ref="I1731:I1794" si="164">IF(B1731=C1731,"Yes","No")</f>
        <v>No</v>
      </c>
      <c r="J1731">
        <f t="shared" ref="J1731:J1794" si="165">IF(AND(C1731&lt;&gt;"",C1731-B1731&lt;=2),1,0)</f>
        <v>0</v>
      </c>
      <c r="K1731">
        <f t="shared" ref="K1731:K1794" si="166">IF(AND(C1731&lt;&gt;"",C1731-B1731&gt;30),1,0)</f>
        <v>0</v>
      </c>
      <c r="L1731" t="str">
        <f t="shared" ref="L1731:L1794" si="167">IF(C1731="","",C1731-B1731)</f>
        <v/>
      </c>
    </row>
    <row r="1732" spans="1:12" ht="14.4" customHeight="1" x14ac:dyDescent="0.3">
      <c r="A1732">
        <v>212049757</v>
      </c>
      <c r="B1732" s="1">
        <v>45028</v>
      </c>
      <c r="D1732" t="s">
        <v>7</v>
      </c>
      <c r="E1732">
        <v>39</v>
      </c>
      <c r="F1732" t="s">
        <v>6</v>
      </c>
      <c r="G1732" t="str">
        <f t="shared" si="162"/>
        <v/>
      </c>
      <c r="H1732" s="1" t="str">
        <f t="shared" si="163"/>
        <v>Wednesday</v>
      </c>
      <c r="I1732" t="str">
        <f t="shared" si="164"/>
        <v>No</v>
      </c>
      <c r="J1732">
        <f t="shared" si="165"/>
        <v>0</v>
      </c>
      <c r="K1732">
        <f t="shared" si="166"/>
        <v>0</v>
      </c>
      <c r="L1732" t="str">
        <f t="shared" si="167"/>
        <v/>
      </c>
    </row>
    <row r="1733" spans="1:12" ht="14.4" customHeight="1" x14ac:dyDescent="0.3">
      <c r="A1733">
        <v>147015210</v>
      </c>
      <c r="B1733" s="1">
        <v>45028</v>
      </c>
      <c r="D1733" t="s">
        <v>7</v>
      </c>
      <c r="E1733">
        <v>39</v>
      </c>
      <c r="F1733" t="s">
        <v>6</v>
      </c>
      <c r="G1733" t="str">
        <f t="shared" si="162"/>
        <v/>
      </c>
      <c r="H1733" s="1" t="str">
        <f t="shared" si="163"/>
        <v>Wednesday</v>
      </c>
      <c r="I1733" t="str">
        <f t="shared" si="164"/>
        <v>No</v>
      </c>
      <c r="J1733">
        <f t="shared" si="165"/>
        <v>0</v>
      </c>
      <c r="K1733">
        <f t="shared" si="166"/>
        <v>0</v>
      </c>
      <c r="L1733" t="str">
        <f t="shared" si="167"/>
        <v/>
      </c>
    </row>
    <row r="1734" spans="1:12" ht="14.4" customHeight="1" x14ac:dyDescent="0.3">
      <c r="A1734">
        <v>212057431</v>
      </c>
      <c r="B1734" s="1">
        <v>45028</v>
      </c>
      <c r="C1734" s="1">
        <v>45029</v>
      </c>
      <c r="D1734" t="s">
        <v>8</v>
      </c>
      <c r="E1734">
        <v>39</v>
      </c>
      <c r="F1734" t="s">
        <v>6</v>
      </c>
      <c r="G1734">
        <f t="shared" si="162"/>
        <v>1</v>
      </c>
      <c r="H1734" s="1" t="str">
        <f t="shared" si="163"/>
        <v>Wednesday</v>
      </c>
      <c r="I1734" t="str">
        <f t="shared" si="164"/>
        <v>No</v>
      </c>
      <c r="J1734">
        <f t="shared" si="165"/>
        <v>1</v>
      </c>
      <c r="K1734">
        <f t="shared" si="166"/>
        <v>0</v>
      </c>
      <c r="L1734">
        <f t="shared" si="167"/>
        <v>1</v>
      </c>
    </row>
    <row r="1735" spans="1:12" x14ac:dyDescent="0.3">
      <c r="A1735">
        <v>205734465</v>
      </c>
      <c r="B1735" s="1">
        <v>45028</v>
      </c>
      <c r="C1735" s="1">
        <v>45085</v>
      </c>
      <c r="D1735" t="s">
        <v>7</v>
      </c>
      <c r="E1735">
        <v>39</v>
      </c>
      <c r="F1735" t="s">
        <v>6</v>
      </c>
      <c r="G1735">
        <f t="shared" si="162"/>
        <v>57</v>
      </c>
      <c r="H1735" s="1" t="str">
        <f t="shared" si="163"/>
        <v>Wednesday</v>
      </c>
      <c r="I1735" t="str">
        <f t="shared" si="164"/>
        <v>No</v>
      </c>
      <c r="J1735">
        <f t="shared" si="165"/>
        <v>0</v>
      </c>
      <c r="K1735">
        <f t="shared" si="166"/>
        <v>1</v>
      </c>
      <c r="L1735">
        <f t="shared" si="167"/>
        <v>57</v>
      </c>
    </row>
    <row r="1736" spans="1:12" ht="14.4" customHeight="1" x14ac:dyDescent="0.3">
      <c r="A1736">
        <v>208772540</v>
      </c>
      <c r="B1736" s="1">
        <v>45028</v>
      </c>
      <c r="C1736" s="1">
        <v>45046</v>
      </c>
      <c r="D1736" t="s">
        <v>7</v>
      </c>
      <c r="E1736">
        <v>39</v>
      </c>
      <c r="F1736" t="s">
        <v>6</v>
      </c>
      <c r="G1736">
        <f t="shared" si="162"/>
        <v>18</v>
      </c>
      <c r="H1736" s="1" t="str">
        <f t="shared" si="163"/>
        <v>Wednesday</v>
      </c>
      <c r="I1736" t="str">
        <f t="shared" si="164"/>
        <v>No</v>
      </c>
      <c r="J1736">
        <f t="shared" si="165"/>
        <v>0</v>
      </c>
      <c r="K1736">
        <f t="shared" si="166"/>
        <v>0</v>
      </c>
      <c r="L1736">
        <f t="shared" si="167"/>
        <v>18</v>
      </c>
    </row>
    <row r="1737" spans="1:12" x14ac:dyDescent="0.3">
      <c r="A1737">
        <v>182357706</v>
      </c>
      <c r="B1737" s="1">
        <v>45028</v>
      </c>
      <c r="C1737" s="1">
        <v>45111</v>
      </c>
      <c r="D1737" t="s">
        <v>7</v>
      </c>
      <c r="E1737">
        <v>39</v>
      </c>
      <c r="F1737" t="s">
        <v>6</v>
      </c>
      <c r="G1737">
        <f t="shared" si="162"/>
        <v>83</v>
      </c>
      <c r="H1737" s="1" t="str">
        <f t="shared" si="163"/>
        <v>Wednesday</v>
      </c>
      <c r="I1737" t="str">
        <f t="shared" si="164"/>
        <v>No</v>
      </c>
      <c r="J1737">
        <f t="shared" si="165"/>
        <v>0</v>
      </c>
      <c r="K1737">
        <f t="shared" si="166"/>
        <v>1</v>
      </c>
      <c r="L1737">
        <f t="shared" si="167"/>
        <v>83</v>
      </c>
    </row>
    <row r="1738" spans="1:12" x14ac:dyDescent="0.3">
      <c r="A1738">
        <v>211333348</v>
      </c>
      <c r="B1738" s="1">
        <v>45028</v>
      </c>
      <c r="C1738" s="1">
        <v>45115</v>
      </c>
      <c r="D1738" t="s">
        <v>7</v>
      </c>
      <c r="E1738">
        <v>39</v>
      </c>
      <c r="F1738" t="s">
        <v>6</v>
      </c>
      <c r="G1738">
        <f t="shared" si="162"/>
        <v>87</v>
      </c>
      <c r="H1738" s="1" t="str">
        <f t="shared" si="163"/>
        <v>Wednesday</v>
      </c>
      <c r="I1738" t="str">
        <f t="shared" si="164"/>
        <v>No</v>
      </c>
      <c r="J1738">
        <f t="shared" si="165"/>
        <v>0</v>
      </c>
      <c r="K1738">
        <f t="shared" si="166"/>
        <v>1</v>
      </c>
      <c r="L1738">
        <f t="shared" si="167"/>
        <v>87</v>
      </c>
    </row>
    <row r="1739" spans="1:12" x14ac:dyDescent="0.3">
      <c r="A1739">
        <v>211334702</v>
      </c>
      <c r="B1739" s="1">
        <v>45028</v>
      </c>
      <c r="C1739" s="1">
        <v>45132</v>
      </c>
      <c r="D1739" t="s">
        <v>7</v>
      </c>
      <c r="E1739">
        <v>39</v>
      </c>
      <c r="F1739" t="s">
        <v>6</v>
      </c>
      <c r="G1739">
        <f t="shared" si="162"/>
        <v>104</v>
      </c>
      <c r="H1739" s="1" t="str">
        <f t="shared" si="163"/>
        <v>Wednesday</v>
      </c>
      <c r="I1739" t="str">
        <f t="shared" si="164"/>
        <v>No</v>
      </c>
      <c r="J1739">
        <f t="shared" si="165"/>
        <v>0</v>
      </c>
      <c r="K1739">
        <f t="shared" si="166"/>
        <v>1</v>
      </c>
      <c r="L1739">
        <f t="shared" si="167"/>
        <v>104</v>
      </c>
    </row>
    <row r="1740" spans="1:12" ht="14.4" customHeight="1" x14ac:dyDescent="0.3">
      <c r="A1740">
        <v>212129575</v>
      </c>
      <c r="B1740" s="1">
        <v>45029</v>
      </c>
      <c r="D1740" t="s">
        <v>7</v>
      </c>
      <c r="E1740">
        <v>39</v>
      </c>
      <c r="F1740" t="s">
        <v>6</v>
      </c>
      <c r="G1740" t="str">
        <f t="shared" si="162"/>
        <v/>
      </c>
      <c r="H1740" s="1" t="str">
        <f t="shared" si="163"/>
        <v>Thursday</v>
      </c>
      <c r="I1740" t="str">
        <f t="shared" si="164"/>
        <v>No</v>
      </c>
      <c r="J1740">
        <f t="shared" si="165"/>
        <v>0</v>
      </c>
      <c r="K1740">
        <f t="shared" si="166"/>
        <v>0</v>
      </c>
      <c r="L1740" t="str">
        <f t="shared" si="167"/>
        <v/>
      </c>
    </row>
    <row r="1741" spans="1:12" ht="14.4" customHeight="1" x14ac:dyDescent="0.3">
      <c r="A1741">
        <v>209733088</v>
      </c>
      <c r="B1741" s="1">
        <v>45029</v>
      </c>
      <c r="D1741" t="s">
        <v>7</v>
      </c>
      <c r="E1741">
        <v>39</v>
      </c>
      <c r="F1741" t="s">
        <v>6</v>
      </c>
      <c r="G1741" t="str">
        <f t="shared" si="162"/>
        <v/>
      </c>
      <c r="H1741" s="1" t="str">
        <f t="shared" si="163"/>
        <v>Thursday</v>
      </c>
      <c r="I1741" t="str">
        <f t="shared" si="164"/>
        <v>No</v>
      </c>
      <c r="J1741">
        <f t="shared" si="165"/>
        <v>0</v>
      </c>
      <c r="K1741">
        <f t="shared" si="166"/>
        <v>0</v>
      </c>
      <c r="L1741" t="str">
        <f t="shared" si="167"/>
        <v/>
      </c>
    </row>
    <row r="1742" spans="1:12" x14ac:dyDescent="0.3">
      <c r="A1742">
        <v>152792045</v>
      </c>
      <c r="B1742" s="1">
        <v>45029</v>
      </c>
      <c r="C1742" s="1">
        <v>45097</v>
      </c>
      <c r="D1742" t="s">
        <v>7</v>
      </c>
      <c r="E1742">
        <v>39</v>
      </c>
      <c r="F1742" t="s">
        <v>6</v>
      </c>
      <c r="G1742">
        <f t="shared" si="162"/>
        <v>68</v>
      </c>
      <c r="H1742" s="1" t="str">
        <f t="shared" si="163"/>
        <v>Thursday</v>
      </c>
      <c r="I1742" t="str">
        <f t="shared" si="164"/>
        <v>No</v>
      </c>
      <c r="J1742">
        <f t="shared" si="165"/>
        <v>0</v>
      </c>
      <c r="K1742">
        <f t="shared" si="166"/>
        <v>1</v>
      </c>
      <c r="L1742">
        <f t="shared" si="167"/>
        <v>68</v>
      </c>
    </row>
    <row r="1743" spans="1:12" x14ac:dyDescent="0.3">
      <c r="A1743">
        <v>212163568</v>
      </c>
      <c r="B1743" s="1">
        <v>45029</v>
      </c>
      <c r="C1743" s="1">
        <v>45075</v>
      </c>
      <c r="D1743" t="s">
        <v>7</v>
      </c>
      <c r="E1743">
        <v>39</v>
      </c>
      <c r="F1743" t="s">
        <v>6</v>
      </c>
      <c r="G1743">
        <f t="shared" si="162"/>
        <v>46</v>
      </c>
      <c r="H1743" s="1" t="str">
        <f t="shared" si="163"/>
        <v>Thursday</v>
      </c>
      <c r="I1743" t="str">
        <f t="shared" si="164"/>
        <v>No</v>
      </c>
      <c r="J1743">
        <f t="shared" si="165"/>
        <v>0</v>
      </c>
      <c r="K1743">
        <f t="shared" si="166"/>
        <v>1</v>
      </c>
      <c r="L1743">
        <f t="shared" si="167"/>
        <v>46</v>
      </c>
    </row>
    <row r="1744" spans="1:12" ht="14.4" customHeight="1" x14ac:dyDescent="0.3">
      <c r="A1744">
        <v>212260363</v>
      </c>
      <c r="B1744" s="1">
        <v>45029</v>
      </c>
      <c r="C1744" s="1">
        <v>45056</v>
      </c>
      <c r="D1744" t="s">
        <v>7</v>
      </c>
      <c r="E1744">
        <v>39</v>
      </c>
      <c r="F1744" t="s">
        <v>6</v>
      </c>
      <c r="G1744">
        <f t="shared" si="162"/>
        <v>27</v>
      </c>
      <c r="H1744" s="1" t="str">
        <f t="shared" si="163"/>
        <v>Thursday</v>
      </c>
      <c r="I1744" t="str">
        <f t="shared" si="164"/>
        <v>No</v>
      </c>
      <c r="J1744">
        <f t="shared" si="165"/>
        <v>0</v>
      </c>
      <c r="K1744">
        <f t="shared" si="166"/>
        <v>0</v>
      </c>
      <c r="L1744">
        <f t="shared" si="167"/>
        <v>27</v>
      </c>
    </row>
    <row r="1745" spans="1:12" x14ac:dyDescent="0.3">
      <c r="A1745">
        <v>212164158</v>
      </c>
      <c r="B1745" s="1">
        <v>45029</v>
      </c>
      <c r="C1745" s="1">
        <v>45104</v>
      </c>
      <c r="D1745" t="s">
        <v>7</v>
      </c>
      <c r="E1745">
        <v>39</v>
      </c>
      <c r="F1745" t="s">
        <v>6</v>
      </c>
      <c r="G1745">
        <f t="shared" si="162"/>
        <v>75</v>
      </c>
      <c r="H1745" s="1" t="str">
        <f t="shared" si="163"/>
        <v>Thursday</v>
      </c>
      <c r="I1745" t="str">
        <f t="shared" si="164"/>
        <v>No</v>
      </c>
      <c r="J1745">
        <f t="shared" si="165"/>
        <v>0</v>
      </c>
      <c r="K1745">
        <f t="shared" si="166"/>
        <v>1</v>
      </c>
      <c r="L1745">
        <f t="shared" si="167"/>
        <v>75</v>
      </c>
    </row>
    <row r="1746" spans="1:12" x14ac:dyDescent="0.3">
      <c r="A1746">
        <v>155604779</v>
      </c>
      <c r="B1746" s="1">
        <v>45029</v>
      </c>
      <c r="C1746" s="1">
        <v>45111</v>
      </c>
      <c r="D1746" t="s">
        <v>7</v>
      </c>
      <c r="E1746">
        <v>39</v>
      </c>
      <c r="F1746" t="s">
        <v>6</v>
      </c>
      <c r="G1746">
        <f t="shared" si="162"/>
        <v>82</v>
      </c>
      <c r="H1746" s="1" t="str">
        <f t="shared" si="163"/>
        <v>Thursday</v>
      </c>
      <c r="I1746" t="str">
        <f t="shared" si="164"/>
        <v>No</v>
      </c>
      <c r="J1746">
        <f t="shared" si="165"/>
        <v>0</v>
      </c>
      <c r="K1746">
        <f t="shared" si="166"/>
        <v>1</v>
      </c>
      <c r="L1746">
        <f t="shared" si="167"/>
        <v>82</v>
      </c>
    </row>
    <row r="1747" spans="1:12" x14ac:dyDescent="0.3">
      <c r="A1747">
        <v>150421022</v>
      </c>
      <c r="B1747" s="1">
        <v>45029</v>
      </c>
      <c r="C1747" s="1">
        <v>45092</v>
      </c>
      <c r="D1747" t="s">
        <v>7</v>
      </c>
      <c r="E1747">
        <v>39</v>
      </c>
      <c r="F1747" t="s">
        <v>6</v>
      </c>
      <c r="G1747">
        <f t="shared" si="162"/>
        <v>63</v>
      </c>
      <c r="H1747" s="1" t="str">
        <f t="shared" si="163"/>
        <v>Thursday</v>
      </c>
      <c r="I1747" t="str">
        <f t="shared" si="164"/>
        <v>No</v>
      </c>
      <c r="J1747">
        <f t="shared" si="165"/>
        <v>0</v>
      </c>
      <c r="K1747">
        <f t="shared" si="166"/>
        <v>1</v>
      </c>
      <c r="L1747">
        <f t="shared" si="167"/>
        <v>63</v>
      </c>
    </row>
    <row r="1748" spans="1:12" x14ac:dyDescent="0.3">
      <c r="A1748">
        <v>122616012</v>
      </c>
      <c r="B1748" s="1">
        <v>45029</v>
      </c>
      <c r="C1748" s="1">
        <v>45106</v>
      </c>
      <c r="D1748" t="s">
        <v>7</v>
      </c>
      <c r="E1748">
        <v>39</v>
      </c>
      <c r="F1748" t="s">
        <v>6</v>
      </c>
      <c r="G1748">
        <f t="shared" si="162"/>
        <v>77</v>
      </c>
      <c r="H1748" s="1" t="str">
        <f t="shared" si="163"/>
        <v>Thursday</v>
      </c>
      <c r="I1748" t="str">
        <f t="shared" si="164"/>
        <v>No</v>
      </c>
      <c r="J1748">
        <f t="shared" si="165"/>
        <v>0</v>
      </c>
      <c r="K1748">
        <f t="shared" si="166"/>
        <v>1</v>
      </c>
      <c r="L1748">
        <f t="shared" si="167"/>
        <v>77</v>
      </c>
    </row>
    <row r="1749" spans="1:12" ht="14.4" customHeight="1" x14ac:dyDescent="0.3">
      <c r="A1749">
        <v>209356278</v>
      </c>
      <c r="B1749" s="1">
        <v>45030</v>
      </c>
      <c r="D1749" t="s">
        <v>7</v>
      </c>
      <c r="E1749">
        <v>39</v>
      </c>
      <c r="F1749" t="s">
        <v>6</v>
      </c>
      <c r="G1749" t="str">
        <f t="shared" si="162"/>
        <v/>
      </c>
      <c r="H1749" s="1" t="str">
        <f t="shared" si="163"/>
        <v>Friday</v>
      </c>
      <c r="I1749" t="str">
        <f t="shared" si="164"/>
        <v>No</v>
      </c>
      <c r="J1749">
        <f t="shared" si="165"/>
        <v>0</v>
      </c>
      <c r="K1749">
        <f t="shared" si="166"/>
        <v>0</v>
      </c>
      <c r="L1749" t="str">
        <f t="shared" si="167"/>
        <v/>
      </c>
    </row>
    <row r="1750" spans="1:12" ht="14.4" customHeight="1" x14ac:dyDescent="0.3">
      <c r="A1750">
        <v>212604642</v>
      </c>
      <c r="B1750" s="1">
        <v>45030</v>
      </c>
      <c r="D1750" t="s">
        <v>7</v>
      </c>
      <c r="E1750">
        <v>39</v>
      </c>
      <c r="F1750" t="s">
        <v>6</v>
      </c>
      <c r="G1750" t="str">
        <f t="shared" si="162"/>
        <v/>
      </c>
      <c r="H1750" s="1" t="str">
        <f t="shared" si="163"/>
        <v>Friday</v>
      </c>
      <c r="I1750" t="str">
        <f t="shared" si="164"/>
        <v>No</v>
      </c>
      <c r="J1750">
        <f t="shared" si="165"/>
        <v>0</v>
      </c>
      <c r="K1750">
        <f t="shared" si="166"/>
        <v>0</v>
      </c>
      <c r="L1750" t="str">
        <f t="shared" si="167"/>
        <v/>
      </c>
    </row>
    <row r="1751" spans="1:12" ht="14.4" customHeight="1" x14ac:dyDescent="0.3">
      <c r="A1751">
        <v>210730447</v>
      </c>
      <c r="B1751" s="1">
        <v>45030</v>
      </c>
      <c r="D1751" t="s">
        <v>7</v>
      </c>
      <c r="E1751">
        <v>39</v>
      </c>
      <c r="F1751" t="s">
        <v>6</v>
      </c>
      <c r="G1751" t="str">
        <f t="shared" si="162"/>
        <v/>
      </c>
      <c r="H1751" s="1" t="str">
        <f t="shared" si="163"/>
        <v>Friday</v>
      </c>
      <c r="I1751" t="str">
        <f t="shared" si="164"/>
        <v>No</v>
      </c>
      <c r="J1751">
        <f t="shared" si="165"/>
        <v>0</v>
      </c>
      <c r="K1751">
        <f t="shared" si="166"/>
        <v>0</v>
      </c>
      <c r="L1751" t="str">
        <f t="shared" si="167"/>
        <v/>
      </c>
    </row>
    <row r="1752" spans="1:12" ht="14.4" customHeight="1" x14ac:dyDescent="0.3">
      <c r="A1752">
        <v>212388726</v>
      </c>
      <c r="B1752" s="1">
        <v>45030</v>
      </c>
      <c r="D1752" t="s">
        <v>8</v>
      </c>
      <c r="E1752">
        <v>39</v>
      </c>
      <c r="F1752" t="s">
        <v>6</v>
      </c>
      <c r="G1752" t="str">
        <f t="shared" si="162"/>
        <v/>
      </c>
      <c r="H1752" s="1" t="str">
        <f t="shared" si="163"/>
        <v>Friday</v>
      </c>
      <c r="I1752" t="str">
        <f t="shared" si="164"/>
        <v>No</v>
      </c>
      <c r="J1752">
        <f t="shared" si="165"/>
        <v>0</v>
      </c>
      <c r="K1752">
        <f t="shared" si="166"/>
        <v>0</v>
      </c>
      <c r="L1752" t="str">
        <f t="shared" si="167"/>
        <v/>
      </c>
    </row>
    <row r="1753" spans="1:12" x14ac:dyDescent="0.3">
      <c r="A1753">
        <v>127793951</v>
      </c>
      <c r="B1753" s="1">
        <v>45030</v>
      </c>
      <c r="C1753" s="1">
        <v>45169</v>
      </c>
      <c r="D1753" t="s">
        <v>7</v>
      </c>
      <c r="E1753">
        <v>39</v>
      </c>
      <c r="F1753" t="s">
        <v>6</v>
      </c>
      <c r="G1753">
        <f t="shared" si="162"/>
        <v>139</v>
      </c>
      <c r="H1753" s="1" t="str">
        <f t="shared" si="163"/>
        <v>Friday</v>
      </c>
      <c r="I1753" t="str">
        <f t="shared" si="164"/>
        <v>No</v>
      </c>
      <c r="J1753">
        <f t="shared" si="165"/>
        <v>0</v>
      </c>
      <c r="K1753">
        <f t="shared" si="166"/>
        <v>1</v>
      </c>
      <c r="L1753">
        <f t="shared" si="167"/>
        <v>139</v>
      </c>
    </row>
    <row r="1754" spans="1:12" x14ac:dyDescent="0.3">
      <c r="A1754">
        <v>189715793</v>
      </c>
      <c r="B1754" s="1">
        <v>45030</v>
      </c>
      <c r="C1754" s="1">
        <v>45067</v>
      </c>
      <c r="D1754" t="s">
        <v>7</v>
      </c>
      <c r="E1754">
        <v>39</v>
      </c>
      <c r="F1754" t="s">
        <v>6</v>
      </c>
      <c r="G1754">
        <f t="shared" si="162"/>
        <v>37</v>
      </c>
      <c r="H1754" s="1" t="str">
        <f t="shared" si="163"/>
        <v>Friday</v>
      </c>
      <c r="I1754" t="str">
        <f t="shared" si="164"/>
        <v>No</v>
      </c>
      <c r="J1754">
        <f t="shared" si="165"/>
        <v>0</v>
      </c>
      <c r="K1754">
        <f t="shared" si="166"/>
        <v>1</v>
      </c>
      <c r="L1754">
        <f t="shared" si="167"/>
        <v>37</v>
      </c>
    </row>
    <row r="1755" spans="1:12" ht="14.4" customHeight="1" x14ac:dyDescent="0.3">
      <c r="A1755">
        <v>148369126</v>
      </c>
      <c r="B1755" s="1">
        <v>45031</v>
      </c>
      <c r="D1755" t="s">
        <v>7</v>
      </c>
      <c r="E1755">
        <v>39</v>
      </c>
      <c r="F1755" t="s">
        <v>6</v>
      </c>
      <c r="G1755" t="str">
        <f t="shared" si="162"/>
        <v/>
      </c>
      <c r="H1755" s="1" t="str">
        <f t="shared" si="163"/>
        <v>Saturday</v>
      </c>
      <c r="I1755" t="str">
        <f t="shared" si="164"/>
        <v>No</v>
      </c>
      <c r="J1755">
        <f t="shared" si="165"/>
        <v>0</v>
      </c>
      <c r="K1755">
        <f t="shared" si="166"/>
        <v>0</v>
      </c>
      <c r="L1755" t="str">
        <f t="shared" si="167"/>
        <v/>
      </c>
    </row>
    <row r="1756" spans="1:12" x14ac:dyDescent="0.3">
      <c r="A1756">
        <v>157503290</v>
      </c>
      <c r="B1756" s="1">
        <v>45031</v>
      </c>
      <c r="C1756" s="1">
        <v>45068</v>
      </c>
      <c r="D1756" t="s">
        <v>7</v>
      </c>
      <c r="E1756">
        <v>39</v>
      </c>
      <c r="F1756" t="s">
        <v>6</v>
      </c>
      <c r="G1756">
        <f t="shared" si="162"/>
        <v>37</v>
      </c>
      <c r="H1756" s="1" t="str">
        <f t="shared" si="163"/>
        <v>Saturday</v>
      </c>
      <c r="I1756" t="str">
        <f t="shared" si="164"/>
        <v>No</v>
      </c>
      <c r="J1756">
        <f t="shared" si="165"/>
        <v>0</v>
      </c>
      <c r="K1756">
        <f t="shared" si="166"/>
        <v>1</v>
      </c>
      <c r="L1756">
        <f t="shared" si="167"/>
        <v>37</v>
      </c>
    </row>
    <row r="1757" spans="1:12" x14ac:dyDescent="0.3">
      <c r="A1757">
        <v>212712986</v>
      </c>
      <c r="B1757" s="1">
        <v>45031</v>
      </c>
      <c r="C1757" s="1">
        <v>45077</v>
      </c>
      <c r="D1757" t="s">
        <v>7</v>
      </c>
      <c r="E1757">
        <v>39</v>
      </c>
      <c r="F1757" t="s">
        <v>6</v>
      </c>
      <c r="G1757">
        <f t="shared" si="162"/>
        <v>46</v>
      </c>
      <c r="H1757" s="1" t="str">
        <f t="shared" si="163"/>
        <v>Saturday</v>
      </c>
      <c r="I1757" t="str">
        <f t="shared" si="164"/>
        <v>No</v>
      </c>
      <c r="J1757">
        <f t="shared" si="165"/>
        <v>0</v>
      </c>
      <c r="K1757">
        <f t="shared" si="166"/>
        <v>1</v>
      </c>
      <c r="L1757">
        <f t="shared" si="167"/>
        <v>46</v>
      </c>
    </row>
    <row r="1758" spans="1:12" ht="14.4" customHeight="1" x14ac:dyDescent="0.3">
      <c r="A1758">
        <v>204512028</v>
      </c>
      <c r="B1758" s="1">
        <v>45031</v>
      </c>
      <c r="C1758" s="1">
        <v>45061</v>
      </c>
      <c r="D1758" t="s">
        <v>7</v>
      </c>
      <c r="E1758">
        <v>39</v>
      </c>
      <c r="F1758" t="s">
        <v>6</v>
      </c>
      <c r="G1758">
        <f t="shared" si="162"/>
        <v>30</v>
      </c>
      <c r="H1758" s="1" t="str">
        <f t="shared" si="163"/>
        <v>Saturday</v>
      </c>
      <c r="I1758" t="str">
        <f t="shared" si="164"/>
        <v>No</v>
      </c>
      <c r="J1758">
        <f t="shared" si="165"/>
        <v>0</v>
      </c>
      <c r="K1758">
        <f t="shared" si="166"/>
        <v>0</v>
      </c>
      <c r="L1758">
        <f t="shared" si="167"/>
        <v>30</v>
      </c>
    </row>
    <row r="1759" spans="1:12" ht="14.4" customHeight="1" x14ac:dyDescent="0.3">
      <c r="A1759">
        <v>147066240</v>
      </c>
      <c r="B1759" s="1">
        <v>45031</v>
      </c>
      <c r="C1759" s="1">
        <v>45046</v>
      </c>
      <c r="D1759" t="s">
        <v>7</v>
      </c>
      <c r="E1759">
        <v>39</v>
      </c>
      <c r="F1759" t="s">
        <v>6</v>
      </c>
      <c r="G1759">
        <f t="shared" si="162"/>
        <v>15</v>
      </c>
      <c r="H1759" s="1" t="str">
        <f t="shared" si="163"/>
        <v>Saturday</v>
      </c>
      <c r="I1759" t="str">
        <f t="shared" si="164"/>
        <v>No</v>
      </c>
      <c r="J1759">
        <f t="shared" si="165"/>
        <v>0</v>
      </c>
      <c r="K1759">
        <f t="shared" si="166"/>
        <v>0</v>
      </c>
      <c r="L1759">
        <f t="shared" si="167"/>
        <v>15</v>
      </c>
    </row>
    <row r="1760" spans="1:12" ht="14.4" customHeight="1" x14ac:dyDescent="0.3">
      <c r="A1760">
        <v>212759443</v>
      </c>
      <c r="B1760" s="1">
        <v>45032</v>
      </c>
      <c r="C1760" s="1">
        <v>45032</v>
      </c>
      <c r="D1760" t="s">
        <v>7</v>
      </c>
      <c r="E1760">
        <v>39</v>
      </c>
      <c r="F1760" t="s">
        <v>6</v>
      </c>
      <c r="G1760">
        <f t="shared" si="162"/>
        <v>0</v>
      </c>
      <c r="H1760" s="1" t="str">
        <f t="shared" si="163"/>
        <v>Sunday</v>
      </c>
      <c r="I1760" t="str">
        <f t="shared" si="164"/>
        <v>Yes</v>
      </c>
      <c r="J1760">
        <f t="shared" si="165"/>
        <v>1</v>
      </c>
      <c r="K1760">
        <f t="shared" si="166"/>
        <v>0</v>
      </c>
      <c r="L1760">
        <f t="shared" si="167"/>
        <v>0</v>
      </c>
    </row>
    <row r="1761" spans="1:12" ht="14.4" customHeight="1" x14ac:dyDescent="0.3">
      <c r="A1761">
        <v>212042832</v>
      </c>
      <c r="B1761" s="1">
        <v>45033</v>
      </c>
      <c r="D1761" t="s">
        <v>7</v>
      </c>
      <c r="E1761">
        <v>39</v>
      </c>
      <c r="F1761" t="s">
        <v>6</v>
      </c>
      <c r="G1761" t="str">
        <f t="shared" si="162"/>
        <v/>
      </c>
      <c r="H1761" s="1" t="str">
        <f t="shared" si="163"/>
        <v>Monday</v>
      </c>
      <c r="I1761" t="str">
        <f t="shared" si="164"/>
        <v>No</v>
      </c>
      <c r="J1761">
        <f t="shared" si="165"/>
        <v>0</v>
      </c>
      <c r="K1761">
        <f t="shared" si="166"/>
        <v>0</v>
      </c>
      <c r="L1761" t="str">
        <f t="shared" si="167"/>
        <v/>
      </c>
    </row>
    <row r="1762" spans="1:12" ht="14.4" customHeight="1" x14ac:dyDescent="0.3">
      <c r="A1762">
        <v>212113682</v>
      </c>
      <c r="B1762" s="1">
        <v>45033</v>
      </c>
      <c r="D1762" t="s">
        <v>7</v>
      </c>
      <c r="E1762">
        <v>39</v>
      </c>
      <c r="F1762" t="s">
        <v>6</v>
      </c>
      <c r="G1762" t="str">
        <f t="shared" si="162"/>
        <v/>
      </c>
      <c r="H1762" s="1" t="str">
        <f t="shared" si="163"/>
        <v>Monday</v>
      </c>
      <c r="I1762" t="str">
        <f t="shared" si="164"/>
        <v>No</v>
      </c>
      <c r="J1762">
        <f t="shared" si="165"/>
        <v>0</v>
      </c>
      <c r="K1762">
        <f t="shared" si="166"/>
        <v>0</v>
      </c>
      <c r="L1762" t="str">
        <f t="shared" si="167"/>
        <v/>
      </c>
    </row>
    <row r="1763" spans="1:12" ht="14.4" customHeight="1" x14ac:dyDescent="0.3">
      <c r="A1763">
        <v>181175226</v>
      </c>
      <c r="B1763" s="1">
        <v>45033</v>
      </c>
      <c r="D1763" t="s">
        <v>7</v>
      </c>
      <c r="E1763">
        <v>39</v>
      </c>
      <c r="F1763" t="s">
        <v>6</v>
      </c>
      <c r="G1763" t="str">
        <f t="shared" si="162"/>
        <v/>
      </c>
      <c r="H1763" s="1" t="str">
        <f t="shared" si="163"/>
        <v>Monday</v>
      </c>
      <c r="I1763" t="str">
        <f t="shared" si="164"/>
        <v>No</v>
      </c>
      <c r="J1763">
        <f t="shared" si="165"/>
        <v>0</v>
      </c>
      <c r="K1763">
        <f t="shared" si="166"/>
        <v>0</v>
      </c>
      <c r="L1763" t="str">
        <f t="shared" si="167"/>
        <v/>
      </c>
    </row>
    <row r="1764" spans="1:12" ht="14.4" customHeight="1" x14ac:dyDescent="0.3">
      <c r="A1764">
        <v>201817514</v>
      </c>
      <c r="B1764" s="1">
        <v>45033</v>
      </c>
      <c r="C1764" s="1">
        <v>45034</v>
      </c>
      <c r="D1764" t="s">
        <v>7</v>
      </c>
      <c r="E1764">
        <v>39</v>
      </c>
      <c r="F1764" t="s">
        <v>6</v>
      </c>
      <c r="G1764">
        <f t="shared" si="162"/>
        <v>1</v>
      </c>
      <c r="H1764" s="1" t="str">
        <f t="shared" si="163"/>
        <v>Monday</v>
      </c>
      <c r="I1764" t="str">
        <f t="shared" si="164"/>
        <v>No</v>
      </c>
      <c r="J1764">
        <f t="shared" si="165"/>
        <v>1</v>
      </c>
      <c r="K1764">
        <f t="shared" si="166"/>
        <v>0</v>
      </c>
      <c r="L1764">
        <f t="shared" si="167"/>
        <v>1</v>
      </c>
    </row>
    <row r="1765" spans="1:12" ht="14.4" customHeight="1" x14ac:dyDescent="0.3">
      <c r="A1765">
        <v>168698174</v>
      </c>
      <c r="B1765" s="1">
        <v>45033</v>
      </c>
      <c r="C1765" s="1">
        <v>45033</v>
      </c>
      <c r="D1765" t="s">
        <v>7</v>
      </c>
      <c r="E1765">
        <v>39</v>
      </c>
      <c r="F1765" t="s">
        <v>6</v>
      </c>
      <c r="G1765">
        <f t="shared" si="162"/>
        <v>0</v>
      </c>
      <c r="H1765" s="1" t="str">
        <f t="shared" si="163"/>
        <v>Monday</v>
      </c>
      <c r="I1765" t="str">
        <f t="shared" si="164"/>
        <v>Yes</v>
      </c>
      <c r="J1765">
        <f t="shared" si="165"/>
        <v>1</v>
      </c>
      <c r="K1765">
        <f t="shared" si="166"/>
        <v>0</v>
      </c>
      <c r="L1765">
        <f t="shared" si="167"/>
        <v>0</v>
      </c>
    </row>
    <row r="1766" spans="1:12" ht="14.4" customHeight="1" x14ac:dyDescent="0.3">
      <c r="A1766">
        <v>170512298</v>
      </c>
      <c r="B1766" s="1">
        <v>45033</v>
      </c>
      <c r="C1766" s="1">
        <v>45061</v>
      </c>
      <c r="D1766" t="s">
        <v>7</v>
      </c>
      <c r="E1766">
        <v>39</v>
      </c>
      <c r="F1766" t="s">
        <v>6</v>
      </c>
      <c r="G1766">
        <f t="shared" si="162"/>
        <v>28</v>
      </c>
      <c r="H1766" s="1" t="str">
        <f t="shared" si="163"/>
        <v>Monday</v>
      </c>
      <c r="I1766" t="str">
        <f t="shared" si="164"/>
        <v>No</v>
      </c>
      <c r="J1766">
        <f t="shared" si="165"/>
        <v>0</v>
      </c>
      <c r="K1766">
        <f t="shared" si="166"/>
        <v>0</v>
      </c>
      <c r="L1766">
        <f t="shared" si="167"/>
        <v>28</v>
      </c>
    </row>
    <row r="1767" spans="1:12" x14ac:dyDescent="0.3">
      <c r="A1767">
        <v>213181546</v>
      </c>
      <c r="B1767" s="1">
        <v>45033</v>
      </c>
      <c r="C1767" s="1">
        <v>45078</v>
      </c>
      <c r="D1767" t="s">
        <v>7</v>
      </c>
      <c r="E1767">
        <v>39</v>
      </c>
      <c r="F1767" t="s">
        <v>6</v>
      </c>
      <c r="G1767">
        <f t="shared" si="162"/>
        <v>45</v>
      </c>
      <c r="H1767" s="1" t="str">
        <f t="shared" si="163"/>
        <v>Monday</v>
      </c>
      <c r="I1767" t="str">
        <f t="shared" si="164"/>
        <v>No</v>
      </c>
      <c r="J1767">
        <f t="shared" si="165"/>
        <v>0</v>
      </c>
      <c r="K1767">
        <f t="shared" si="166"/>
        <v>1</v>
      </c>
      <c r="L1767">
        <f t="shared" si="167"/>
        <v>45</v>
      </c>
    </row>
    <row r="1768" spans="1:12" x14ac:dyDescent="0.3">
      <c r="A1768">
        <v>154535908</v>
      </c>
      <c r="B1768" s="1">
        <v>45033</v>
      </c>
      <c r="C1768" s="1">
        <v>45101</v>
      </c>
      <c r="D1768" t="s">
        <v>7</v>
      </c>
      <c r="E1768">
        <v>39</v>
      </c>
      <c r="F1768" t="s">
        <v>6</v>
      </c>
      <c r="G1768">
        <f t="shared" si="162"/>
        <v>68</v>
      </c>
      <c r="H1768" s="1" t="str">
        <f t="shared" si="163"/>
        <v>Monday</v>
      </c>
      <c r="I1768" t="str">
        <f t="shared" si="164"/>
        <v>No</v>
      </c>
      <c r="J1768">
        <f t="shared" si="165"/>
        <v>0</v>
      </c>
      <c r="K1768">
        <f t="shared" si="166"/>
        <v>1</v>
      </c>
      <c r="L1768">
        <f t="shared" si="167"/>
        <v>68</v>
      </c>
    </row>
    <row r="1769" spans="1:12" x14ac:dyDescent="0.3">
      <c r="A1769">
        <v>151540809</v>
      </c>
      <c r="B1769" s="1">
        <v>45033</v>
      </c>
      <c r="C1769" s="1">
        <v>45069</v>
      </c>
      <c r="D1769" t="s">
        <v>7</v>
      </c>
      <c r="E1769">
        <v>39</v>
      </c>
      <c r="F1769" t="s">
        <v>6</v>
      </c>
      <c r="G1769">
        <f t="shared" si="162"/>
        <v>36</v>
      </c>
      <c r="H1769" s="1" t="str">
        <f t="shared" si="163"/>
        <v>Monday</v>
      </c>
      <c r="I1769" t="str">
        <f t="shared" si="164"/>
        <v>No</v>
      </c>
      <c r="J1769">
        <f t="shared" si="165"/>
        <v>0</v>
      </c>
      <c r="K1769">
        <f t="shared" si="166"/>
        <v>1</v>
      </c>
      <c r="L1769">
        <f t="shared" si="167"/>
        <v>36</v>
      </c>
    </row>
    <row r="1770" spans="1:12" x14ac:dyDescent="0.3">
      <c r="A1770">
        <v>212334937</v>
      </c>
      <c r="B1770" s="1">
        <v>45033</v>
      </c>
      <c r="C1770" s="1">
        <v>45064</v>
      </c>
      <c r="D1770" t="s">
        <v>7</v>
      </c>
      <c r="E1770">
        <v>39</v>
      </c>
      <c r="F1770" t="s">
        <v>6</v>
      </c>
      <c r="G1770">
        <f t="shared" si="162"/>
        <v>31</v>
      </c>
      <c r="H1770" s="1" t="str">
        <f t="shared" si="163"/>
        <v>Monday</v>
      </c>
      <c r="I1770" t="str">
        <f t="shared" si="164"/>
        <v>No</v>
      </c>
      <c r="J1770">
        <f t="shared" si="165"/>
        <v>0</v>
      </c>
      <c r="K1770">
        <f t="shared" si="166"/>
        <v>1</v>
      </c>
      <c r="L1770">
        <f t="shared" si="167"/>
        <v>31</v>
      </c>
    </row>
    <row r="1771" spans="1:12" x14ac:dyDescent="0.3">
      <c r="A1771">
        <v>204766175</v>
      </c>
      <c r="B1771" s="1">
        <v>45033</v>
      </c>
      <c r="C1771" s="1">
        <v>45121</v>
      </c>
      <c r="D1771" t="s">
        <v>7</v>
      </c>
      <c r="E1771">
        <v>39</v>
      </c>
      <c r="F1771" t="s">
        <v>6</v>
      </c>
      <c r="G1771">
        <f t="shared" si="162"/>
        <v>88</v>
      </c>
      <c r="H1771" s="1" t="str">
        <f t="shared" si="163"/>
        <v>Monday</v>
      </c>
      <c r="I1771" t="str">
        <f t="shared" si="164"/>
        <v>No</v>
      </c>
      <c r="J1771">
        <f t="shared" si="165"/>
        <v>0</v>
      </c>
      <c r="K1771">
        <f t="shared" si="166"/>
        <v>1</v>
      </c>
      <c r="L1771">
        <f t="shared" si="167"/>
        <v>88</v>
      </c>
    </row>
    <row r="1772" spans="1:12" x14ac:dyDescent="0.3">
      <c r="A1772">
        <v>212055738</v>
      </c>
      <c r="B1772" s="1">
        <v>45033</v>
      </c>
      <c r="C1772" s="1">
        <v>45162</v>
      </c>
      <c r="D1772" t="s">
        <v>7</v>
      </c>
      <c r="E1772">
        <v>39</v>
      </c>
      <c r="F1772" t="s">
        <v>6</v>
      </c>
      <c r="G1772">
        <f t="shared" si="162"/>
        <v>129</v>
      </c>
      <c r="H1772" s="1" t="str">
        <f t="shared" si="163"/>
        <v>Monday</v>
      </c>
      <c r="I1772" t="str">
        <f t="shared" si="164"/>
        <v>No</v>
      </c>
      <c r="J1772">
        <f t="shared" si="165"/>
        <v>0</v>
      </c>
      <c r="K1772">
        <f t="shared" si="166"/>
        <v>1</v>
      </c>
      <c r="L1772">
        <f t="shared" si="167"/>
        <v>129</v>
      </c>
    </row>
    <row r="1773" spans="1:12" ht="14.4" customHeight="1" x14ac:dyDescent="0.3">
      <c r="A1773">
        <v>211907956</v>
      </c>
      <c r="B1773" s="1">
        <v>45034</v>
      </c>
      <c r="D1773" t="s">
        <v>7</v>
      </c>
      <c r="E1773">
        <v>39</v>
      </c>
      <c r="F1773" t="s">
        <v>6</v>
      </c>
      <c r="G1773" t="str">
        <f t="shared" si="162"/>
        <v/>
      </c>
      <c r="H1773" s="1" t="str">
        <f t="shared" si="163"/>
        <v>Tuesday</v>
      </c>
      <c r="I1773" t="str">
        <f t="shared" si="164"/>
        <v>No</v>
      </c>
      <c r="J1773">
        <f t="shared" si="165"/>
        <v>0</v>
      </c>
      <c r="K1773">
        <f t="shared" si="166"/>
        <v>0</v>
      </c>
      <c r="L1773" t="str">
        <f t="shared" si="167"/>
        <v/>
      </c>
    </row>
    <row r="1774" spans="1:12" ht="14.4" customHeight="1" x14ac:dyDescent="0.3">
      <c r="A1774">
        <v>212759443</v>
      </c>
      <c r="B1774" s="1">
        <v>45034</v>
      </c>
      <c r="D1774" t="s">
        <v>7</v>
      </c>
      <c r="E1774">
        <v>39</v>
      </c>
      <c r="F1774" t="s">
        <v>6</v>
      </c>
      <c r="G1774" t="str">
        <f t="shared" si="162"/>
        <v/>
      </c>
      <c r="H1774" s="1" t="str">
        <f t="shared" si="163"/>
        <v>Tuesday</v>
      </c>
      <c r="I1774" t="str">
        <f t="shared" si="164"/>
        <v>No</v>
      </c>
      <c r="J1774">
        <f t="shared" si="165"/>
        <v>0</v>
      </c>
      <c r="K1774">
        <f t="shared" si="166"/>
        <v>0</v>
      </c>
      <c r="L1774" t="str">
        <f t="shared" si="167"/>
        <v/>
      </c>
    </row>
    <row r="1775" spans="1:12" ht="14.4" customHeight="1" x14ac:dyDescent="0.3">
      <c r="A1775">
        <v>213182327</v>
      </c>
      <c r="B1775" s="1">
        <v>45034</v>
      </c>
      <c r="D1775" t="s">
        <v>7</v>
      </c>
      <c r="E1775">
        <v>39</v>
      </c>
      <c r="F1775" t="s">
        <v>6</v>
      </c>
      <c r="G1775" t="str">
        <f t="shared" si="162"/>
        <v/>
      </c>
      <c r="H1775" s="1" t="str">
        <f t="shared" si="163"/>
        <v>Tuesday</v>
      </c>
      <c r="I1775" t="str">
        <f t="shared" si="164"/>
        <v>No</v>
      </c>
      <c r="J1775">
        <f t="shared" si="165"/>
        <v>0</v>
      </c>
      <c r="K1775">
        <f t="shared" si="166"/>
        <v>0</v>
      </c>
      <c r="L1775" t="str">
        <f t="shared" si="167"/>
        <v/>
      </c>
    </row>
    <row r="1776" spans="1:12" ht="14.4" customHeight="1" x14ac:dyDescent="0.3">
      <c r="A1776">
        <v>213442067</v>
      </c>
      <c r="B1776" s="1">
        <v>45034</v>
      </c>
      <c r="D1776" t="s">
        <v>7</v>
      </c>
      <c r="E1776">
        <v>39</v>
      </c>
      <c r="F1776" t="s">
        <v>6</v>
      </c>
      <c r="G1776" t="str">
        <f t="shared" si="162"/>
        <v/>
      </c>
      <c r="H1776" s="1" t="str">
        <f t="shared" si="163"/>
        <v>Tuesday</v>
      </c>
      <c r="I1776" t="str">
        <f t="shared" si="164"/>
        <v>No</v>
      </c>
      <c r="J1776">
        <f t="shared" si="165"/>
        <v>0</v>
      </c>
      <c r="K1776">
        <f t="shared" si="166"/>
        <v>0</v>
      </c>
      <c r="L1776" t="str">
        <f t="shared" si="167"/>
        <v/>
      </c>
    </row>
    <row r="1777" spans="1:12" ht="14.4" customHeight="1" x14ac:dyDescent="0.3">
      <c r="A1777">
        <v>213427247</v>
      </c>
      <c r="B1777" s="1">
        <v>45034</v>
      </c>
      <c r="D1777" t="s">
        <v>7</v>
      </c>
      <c r="E1777">
        <v>39</v>
      </c>
      <c r="F1777" t="s">
        <v>6</v>
      </c>
      <c r="G1777" t="str">
        <f t="shared" si="162"/>
        <v/>
      </c>
      <c r="H1777" s="1" t="str">
        <f t="shared" si="163"/>
        <v>Tuesday</v>
      </c>
      <c r="I1777" t="str">
        <f t="shared" si="164"/>
        <v>No</v>
      </c>
      <c r="J1777">
        <f t="shared" si="165"/>
        <v>0</v>
      </c>
      <c r="K1777">
        <f t="shared" si="166"/>
        <v>0</v>
      </c>
      <c r="L1777" t="str">
        <f t="shared" si="167"/>
        <v/>
      </c>
    </row>
    <row r="1778" spans="1:12" ht="14.4" customHeight="1" x14ac:dyDescent="0.3">
      <c r="A1778">
        <v>172476368</v>
      </c>
      <c r="B1778" s="1">
        <v>45034</v>
      </c>
      <c r="C1778" s="1">
        <v>45061</v>
      </c>
      <c r="D1778" t="s">
        <v>7</v>
      </c>
      <c r="E1778">
        <v>39</v>
      </c>
      <c r="F1778" t="s">
        <v>6</v>
      </c>
      <c r="G1778">
        <f t="shared" si="162"/>
        <v>27</v>
      </c>
      <c r="H1778" s="1" t="str">
        <f t="shared" si="163"/>
        <v>Tuesday</v>
      </c>
      <c r="I1778" t="str">
        <f t="shared" si="164"/>
        <v>No</v>
      </c>
      <c r="J1778">
        <f t="shared" si="165"/>
        <v>0</v>
      </c>
      <c r="K1778">
        <f t="shared" si="166"/>
        <v>0</v>
      </c>
      <c r="L1778">
        <f t="shared" si="167"/>
        <v>27</v>
      </c>
    </row>
    <row r="1779" spans="1:12" ht="14.4" customHeight="1" x14ac:dyDescent="0.3">
      <c r="A1779">
        <v>148900262</v>
      </c>
      <c r="B1779" s="1">
        <v>45034</v>
      </c>
      <c r="C1779" s="1">
        <v>45057</v>
      </c>
      <c r="D1779" t="s">
        <v>7</v>
      </c>
      <c r="E1779">
        <v>39</v>
      </c>
      <c r="F1779" t="s">
        <v>6</v>
      </c>
      <c r="G1779">
        <f t="shared" si="162"/>
        <v>23</v>
      </c>
      <c r="H1779" s="1" t="str">
        <f t="shared" si="163"/>
        <v>Tuesday</v>
      </c>
      <c r="I1779" t="str">
        <f t="shared" si="164"/>
        <v>No</v>
      </c>
      <c r="J1779">
        <f t="shared" si="165"/>
        <v>0</v>
      </c>
      <c r="K1779">
        <f t="shared" si="166"/>
        <v>0</v>
      </c>
      <c r="L1779">
        <f t="shared" si="167"/>
        <v>23</v>
      </c>
    </row>
    <row r="1780" spans="1:12" ht="14.4" customHeight="1" x14ac:dyDescent="0.3">
      <c r="A1780">
        <v>213450505</v>
      </c>
      <c r="B1780" s="1">
        <v>45034</v>
      </c>
      <c r="C1780" s="1">
        <v>45062</v>
      </c>
      <c r="D1780" t="s">
        <v>7</v>
      </c>
      <c r="E1780">
        <v>39</v>
      </c>
      <c r="F1780" t="s">
        <v>6</v>
      </c>
      <c r="G1780">
        <f t="shared" si="162"/>
        <v>28</v>
      </c>
      <c r="H1780" s="1" t="str">
        <f t="shared" si="163"/>
        <v>Tuesday</v>
      </c>
      <c r="I1780" t="str">
        <f t="shared" si="164"/>
        <v>No</v>
      </c>
      <c r="J1780">
        <f t="shared" si="165"/>
        <v>0</v>
      </c>
      <c r="K1780">
        <f t="shared" si="166"/>
        <v>0</v>
      </c>
      <c r="L1780">
        <f t="shared" si="167"/>
        <v>28</v>
      </c>
    </row>
    <row r="1781" spans="1:12" x14ac:dyDescent="0.3">
      <c r="A1781">
        <v>168261038</v>
      </c>
      <c r="B1781" s="1">
        <v>45034</v>
      </c>
      <c r="C1781" s="1">
        <v>45072</v>
      </c>
      <c r="D1781" t="s">
        <v>7</v>
      </c>
      <c r="E1781">
        <v>39</v>
      </c>
      <c r="F1781" t="s">
        <v>6</v>
      </c>
      <c r="G1781">
        <f t="shared" si="162"/>
        <v>38</v>
      </c>
      <c r="H1781" s="1" t="str">
        <f t="shared" si="163"/>
        <v>Tuesday</v>
      </c>
      <c r="I1781" t="str">
        <f t="shared" si="164"/>
        <v>No</v>
      </c>
      <c r="J1781">
        <f t="shared" si="165"/>
        <v>0</v>
      </c>
      <c r="K1781">
        <f t="shared" si="166"/>
        <v>1</v>
      </c>
      <c r="L1781">
        <f t="shared" si="167"/>
        <v>38</v>
      </c>
    </row>
    <row r="1782" spans="1:12" x14ac:dyDescent="0.3">
      <c r="A1782">
        <v>207018786</v>
      </c>
      <c r="B1782" s="1">
        <v>45034</v>
      </c>
      <c r="C1782" s="1">
        <v>45132</v>
      </c>
      <c r="D1782" t="s">
        <v>7</v>
      </c>
      <c r="E1782">
        <v>39</v>
      </c>
      <c r="F1782" t="s">
        <v>6</v>
      </c>
      <c r="G1782">
        <f t="shared" si="162"/>
        <v>98</v>
      </c>
      <c r="H1782" s="1" t="str">
        <f t="shared" si="163"/>
        <v>Tuesday</v>
      </c>
      <c r="I1782" t="str">
        <f t="shared" si="164"/>
        <v>No</v>
      </c>
      <c r="J1782">
        <f t="shared" si="165"/>
        <v>0</v>
      </c>
      <c r="K1782">
        <f t="shared" si="166"/>
        <v>1</v>
      </c>
      <c r="L1782">
        <f t="shared" si="167"/>
        <v>98</v>
      </c>
    </row>
    <row r="1783" spans="1:12" ht="14.4" customHeight="1" x14ac:dyDescent="0.3">
      <c r="A1783">
        <v>213781045</v>
      </c>
      <c r="B1783" s="1">
        <v>45035</v>
      </c>
      <c r="D1783" t="s">
        <v>7</v>
      </c>
      <c r="E1783">
        <v>39</v>
      </c>
      <c r="F1783" t="s">
        <v>6</v>
      </c>
      <c r="G1783" t="str">
        <f t="shared" si="162"/>
        <v/>
      </c>
      <c r="H1783" s="1" t="str">
        <f t="shared" si="163"/>
        <v>Wednesday</v>
      </c>
      <c r="I1783" t="str">
        <f t="shared" si="164"/>
        <v>No</v>
      </c>
      <c r="J1783">
        <f t="shared" si="165"/>
        <v>0</v>
      </c>
      <c r="K1783">
        <f t="shared" si="166"/>
        <v>0</v>
      </c>
      <c r="L1783" t="str">
        <f t="shared" si="167"/>
        <v/>
      </c>
    </row>
    <row r="1784" spans="1:12" x14ac:dyDescent="0.3">
      <c r="A1784">
        <v>213785402</v>
      </c>
      <c r="B1784" s="1">
        <v>45035</v>
      </c>
      <c r="C1784" s="1">
        <v>45161</v>
      </c>
      <c r="D1784" t="s">
        <v>7</v>
      </c>
      <c r="E1784">
        <v>39</v>
      </c>
      <c r="F1784" t="s">
        <v>6</v>
      </c>
      <c r="G1784">
        <f t="shared" si="162"/>
        <v>126</v>
      </c>
      <c r="H1784" s="1" t="str">
        <f t="shared" si="163"/>
        <v>Wednesday</v>
      </c>
      <c r="I1784" t="str">
        <f t="shared" si="164"/>
        <v>No</v>
      </c>
      <c r="J1784">
        <f t="shared" si="165"/>
        <v>0</v>
      </c>
      <c r="K1784">
        <f t="shared" si="166"/>
        <v>1</v>
      </c>
      <c r="L1784">
        <f t="shared" si="167"/>
        <v>126</v>
      </c>
    </row>
    <row r="1785" spans="1:12" ht="14.4" customHeight="1" x14ac:dyDescent="0.3">
      <c r="A1785">
        <v>213689187</v>
      </c>
      <c r="B1785" s="1">
        <v>45035</v>
      </c>
      <c r="C1785" s="1">
        <v>45036</v>
      </c>
      <c r="D1785" t="s">
        <v>8</v>
      </c>
      <c r="E1785">
        <v>39</v>
      </c>
      <c r="F1785" t="s">
        <v>6</v>
      </c>
      <c r="G1785">
        <f t="shared" si="162"/>
        <v>1</v>
      </c>
      <c r="H1785" s="1" t="str">
        <f t="shared" si="163"/>
        <v>Wednesday</v>
      </c>
      <c r="I1785" t="str">
        <f t="shared" si="164"/>
        <v>No</v>
      </c>
      <c r="J1785">
        <f t="shared" si="165"/>
        <v>1</v>
      </c>
      <c r="K1785">
        <f t="shared" si="166"/>
        <v>0</v>
      </c>
      <c r="L1785">
        <f t="shared" si="167"/>
        <v>1</v>
      </c>
    </row>
    <row r="1786" spans="1:12" ht="14.4" customHeight="1" x14ac:dyDescent="0.3">
      <c r="A1786">
        <v>213413298</v>
      </c>
      <c r="B1786" s="1">
        <v>45035</v>
      </c>
      <c r="C1786" s="1">
        <v>45035</v>
      </c>
      <c r="D1786" t="s">
        <v>8</v>
      </c>
      <c r="E1786">
        <v>39</v>
      </c>
      <c r="F1786" t="s">
        <v>6</v>
      </c>
      <c r="G1786">
        <f t="shared" si="162"/>
        <v>0</v>
      </c>
      <c r="H1786" s="1" t="str">
        <f t="shared" si="163"/>
        <v>Wednesday</v>
      </c>
      <c r="I1786" t="str">
        <f t="shared" si="164"/>
        <v>Yes</v>
      </c>
      <c r="J1786">
        <f t="shared" si="165"/>
        <v>1</v>
      </c>
      <c r="K1786">
        <f t="shared" si="166"/>
        <v>0</v>
      </c>
      <c r="L1786">
        <f t="shared" si="167"/>
        <v>0</v>
      </c>
    </row>
    <row r="1787" spans="1:12" x14ac:dyDescent="0.3">
      <c r="A1787">
        <v>184458429</v>
      </c>
      <c r="B1787" s="1">
        <v>45035</v>
      </c>
      <c r="C1787" s="1">
        <v>45085</v>
      </c>
      <c r="D1787" t="s">
        <v>7</v>
      </c>
      <c r="E1787">
        <v>39</v>
      </c>
      <c r="F1787" t="s">
        <v>6</v>
      </c>
      <c r="G1787">
        <f t="shared" si="162"/>
        <v>50</v>
      </c>
      <c r="H1787" s="1" t="str">
        <f t="shared" si="163"/>
        <v>Wednesday</v>
      </c>
      <c r="I1787" t="str">
        <f t="shared" si="164"/>
        <v>No</v>
      </c>
      <c r="J1787">
        <f t="shared" si="165"/>
        <v>0</v>
      </c>
      <c r="K1787">
        <f t="shared" si="166"/>
        <v>1</v>
      </c>
      <c r="L1787">
        <f t="shared" si="167"/>
        <v>50</v>
      </c>
    </row>
    <row r="1788" spans="1:12" x14ac:dyDescent="0.3">
      <c r="A1788">
        <v>212190070</v>
      </c>
      <c r="B1788" s="1">
        <v>45035</v>
      </c>
      <c r="C1788" s="1">
        <v>45096</v>
      </c>
      <c r="D1788" t="s">
        <v>7</v>
      </c>
      <c r="E1788">
        <v>39</v>
      </c>
      <c r="F1788" t="s">
        <v>6</v>
      </c>
      <c r="G1788">
        <f t="shared" si="162"/>
        <v>61</v>
      </c>
      <c r="H1788" s="1" t="str">
        <f t="shared" si="163"/>
        <v>Wednesday</v>
      </c>
      <c r="I1788" t="str">
        <f t="shared" si="164"/>
        <v>No</v>
      </c>
      <c r="J1788">
        <f t="shared" si="165"/>
        <v>0</v>
      </c>
      <c r="K1788">
        <f t="shared" si="166"/>
        <v>1</v>
      </c>
      <c r="L1788">
        <f t="shared" si="167"/>
        <v>61</v>
      </c>
    </row>
    <row r="1789" spans="1:12" x14ac:dyDescent="0.3">
      <c r="A1789">
        <v>212737739</v>
      </c>
      <c r="B1789" s="1">
        <v>45035</v>
      </c>
      <c r="C1789" s="1">
        <v>45077</v>
      </c>
      <c r="D1789" t="s">
        <v>7</v>
      </c>
      <c r="E1789">
        <v>39</v>
      </c>
      <c r="F1789" t="s">
        <v>6</v>
      </c>
      <c r="G1789">
        <f t="shared" si="162"/>
        <v>42</v>
      </c>
      <c r="H1789" s="1" t="str">
        <f t="shared" si="163"/>
        <v>Wednesday</v>
      </c>
      <c r="I1789" t="str">
        <f t="shared" si="164"/>
        <v>No</v>
      </c>
      <c r="J1789">
        <f t="shared" si="165"/>
        <v>0</v>
      </c>
      <c r="K1789">
        <f t="shared" si="166"/>
        <v>1</v>
      </c>
      <c r="L1789">
        <f t="shared" si="167"/>
        <v>42</v>
      </c>
    </row>
    <row r="1790" spans="1:12" ht="14.4" customHeight="1" x14ac:dyDescent="0.3">
      <c r="A1790">
        <v>211904660</v>
      </c>
      <c r="B1790" s="1">
        <v>45036</v>
      </c>
      <c r="D1790" t="s">
        <v>7</v>
      </c>
      <c r="E1790">
        <v>39</v>
      </c>
      <c r="F1790" t="s">
        <v>6</v>
      </c>
      <c r="G1790" t="str">
        <f t="shared" si="162"/>
        <v/>
      </c>
      <c r="H1790" s="1" t="str">
        <f t="shared" si="163"/>
        <v>Thursday</v>
      </c>
      <c r="I1790" t="str">
        <f t="shared" si="164"/>
        <v>No</v>
      </c>
      <c r="J1790">
        <f t="shared" si="165"/>
        <v>0</v>
      </c>
      <c r="K1790">
        <f t="shared" si="166"/>
        <v>0</v>
      </c>
      <c r="L1790" t="str">
        <f t="shared" si="167"/>
        <v/>
      </c>
    </row>
    <row r="1791" spans="1:12" ht="14.4" customHeight="1" x14ac:dyDescent="0.3">
      <c r="A1791">
        <v>112792926</v>
      </c>
      <c r="B1791" s="1">
        <v>45036</v>
      </c>
      <c r="D1791" t="s">
        <v>7</v>
      </c>
      <c r="E1791">
        <v>39</v>
      </c>
      <c r="F1791" t="s">
        <v>6</v>
      </c>
      <c r="G1791" t="str">
        <f t="shared" si="162"/>
        <v/>
      </c>
      <c r="H1791" s="1" t="str">
        <f t="shared" si="163"/>
        <v>Thursday</v>
      </c>
      <c r="I1791" t="str">
        <f t="shared" si="164"/>
        <v>No</v>
      </c>
      <c r="J1791">
        <f t="shared" si="165"/>
        <v>0</v>
      </c>
      <c r="K1791">
        <f t="shared" si="166"/>
        <v>0</v>
      </c>
      <c r="L1791" t="str">
        <f t="shared" si="167"/>
        <v/>
      </c>
    </row>
    <row r="1792" spans="1:12" ht="14.4" customHeight="1" x14ac:dyDescent="0.3">
      <c r="A1792">
        <v>213914942</v>
      </c>
      <c r="B1792" s="1">
        <v>45036</v>
      </c>
      <c r="D1792" t="s">
        <v>7</v>
      </c>
      <c r="E1792">
        <v>39</v>
      </c>
      <c r="F1792" t="s">
        <v>6</v>
      </c>
      <c r="G1792" t="str">
        <f t="shared" si="162"/>
        <v/>
      </c>
      <c r="H1792" s="1" t="str">
        <f t="shared" si="163"/>
        <v>Thursday</v>
      </c>
      <c r="I1792" t="str">
        <f t="shared" si="164"/>
        <v>No</v>
      </c>
      <c r="J1792">
        <f t="shared" si="165"/>
        <v>0</v>
      </c>
      <c r="K1792">
        <f t="shared" si="166"/>
        <v>0</v>
      </c>
      <c r="L1792" t="str">
        <f t="shared" si="167"/>
        <v/>
      </c>
    </row>
    <row r="1793" spans="1:12" ht="14.4" customHeight="1" x14ac:dyDescent="0.3">
      <c r="A1793">
        <v>189220435</v>
      </c>
      <c r="B1793" s="1">
        <v>45036</v>
      </c>
      <c r="C1793" s="1">
        <v>45046</v>
      </c>
      <c r="D1793" t="s">
        <v>7</v>
      </c>
      <c r="E1793">
        <v>39</v>
      </c>
      <c r="F1793" t="s">
        <v>6</v>
      </c>
      <c r="G1793">
        <f t="shared" si="162"/>
        <v>10</v>
      </c>
      <c r="H1793" s="1" t="str">
        <f t="shared" si="163"/>
        <v>Thursday</v>
      </c>
      <c r="I1793" t="str">
        <f t="shared" si="164"/>
        <v>No</v>
      </c>
      <c r="J1793">
        <f t="shared" si="165"/>
        <v>0</v>
      </c>
      <c r="K1793">
        <f t="shared" si="166"/>
        <v>0</v>
      </c>
      <c r="L1793">
        <f t="shared" si="167"/>
        <v>10</v>
      </c>
    </row>
    <row r="1794" spans="1:12" ht="14.4" customHeight="1" x14ac:dyDescent="0.3">
      <c r="A1794">
        <v>203237584</v>
      </c>
      <c r="B1794" s="1">
        <v>45036</v>
      </c>
      <c r="C1794" s="1">
        <v>45041</v>
      </c>
      <c r="D1794" t="s">
        <v>7</v>
      </c>
      <c r="E1794">
        <v>39</v>
      </c>
      <c r="F1794" t="s">
        <v>6</v>
      </c>
      <c r="G1794">
        <f t="shared" ref="G1794:G1857" si="168">IF(C1794="","",C1794-B1794)</f>
        <v>5</v>
      </c>
      <c r="H1794" s="1" t="str">
        <f t="shared" si="163"/>
        <v>Thursday</v>
      </c>
      <c r="I1794" t="str">
        <f t="shared" si="164"/>
        <v>No</v>
      </c>
      <c r="J1794">
        <f t="shared" si="165"/>
        <v>0</v>
      </c>
      <c r="K1794">
        <f t="shared" si="166"/>
        <v>0</v>
      </c>
      <c r="L1794">
        <f t="shared" si="167"/>
        <v>5</v>
      </c>
    </row>
    <row r="1795" spans="1:12" ht="14.4" customHeight="1" x14ac:dyDescent="0.3">
      <c r="A1795">
        <v>213179140</v>
      </c>
      <c r="B1795" s="1">
        <v>45036</v>
      </c>
      <c r="C1795" s="1">
        <v>45063</v>
      </c>
      <c r="D1795" t="s">
        <v>7</v>
      </c>
      <c r="E1795">
        <v>39</v>
      </c>
      <c r="F1795" t="s">
        <v>6</v>
      </c>
      <c r="G1795">
        <f t="shared" si="168"/>
        <v>27</v>
      </c>
      <c r="H1795" s="1" t="str">
        <f t="shared" ref="H1795:H1858" si="169">TEXT(B1795,"dddd")</f>
        <v>Thursday</v>
      </c>
      <c r="I1795" t="str">
        <f t="shared" ref="I1795:I1858" si="170">IF(B1795=C1795,"Yes","No")</f>
        <v>No</v>
      </c>
      <c r="J1795">
        <f t="shared" ref="J1795:J1858" si="171">IF(AND(C1795&lt;&gt;"",C1795-B1795&lt;=2),1,0)</f>
        <v>0</v>
      </c>
      <c r="K1795">
        <f t="shared" ref="K1795:K1858" si="172">IF(AND(C1795&lt;&gt;"",C1795-B1795&gt;30),1,0)</f>
        <v>0</v>
      </c>
      <c r="L1795">
        <f t="shared" ref="L1795:L1858" si="173">IF(C1795="","",C1795-B1795)</f>
        <v>27</v>
      </c>
    </row>
    <row r="1796" spans="1:12" x14ac:dyDescent="0.3">
      <c r="A1796">
        <v>211629536</v>
      </c>
      <c r="B1796" s="1">
        <v>45036</v>
      </c>
      <c r="C1796" s="1">
        <v>45073</v>
      </c>
      <c r="D1796" t="s">
        <v>7</v>
      </c>
      <c r="E1796">
        <v>39</v>
      </c>
      <c r="F1796" t="s">
        <v>6</v>
      </c>
      <c r="G1796">
        <f t="shared" si="168"/>
        <v>37</v>
      </c>
      <c r="H1796" s="1" t="str">
        <f t="shared" si="169"/>
        <v>Thursday</v>
      </c>
      <c r="I1796" t="str">
        <f t="shared" si="170"/>
        <v>No</v>
      </c>
      <c r="J1796">
        <f t="shared" si="171"/>
        <v>0</v>
      </c>
      <c r="K1796">
        <f t="shared" si="172"/>
        <v>1</v>
      </c>
      <c r="L1796">
        <f t="shared" si="173"/>
        <v>37</v>
      </c>
    </row>
    <row r="1797" spans="1:12" x14ac:dyDescent="0.3">
      <c r="A1797">
        <v>204953211</v>
      </c>
      <c r="B1797" s="1">
        <v>45036</v>
      </c>
      <c r="C1797" s="1">
        <v>45073</v>
      </c>
      <c r="D1797" t="s">
        <v>7</v>
      </c>
      <c r="E1797">
        <v>39</v>
      </c>
      <c r="F1797" t="s">
        <v>6</v>
      </c>
      <c r="G1797">
        <f t="shared" si="168"/>
        <v>37</v>
      </c>
      <c r="H1797" s="1" t="str">
        <f t="shared" si="169"/>
        <v>Thursday</v>
      </c>
      <c r="I1797" t="str">
        <f t="shared" si="170"/>
        <v>No</v>
      </c>
      <c r="J1797">
        <f t="shared" si="171"/>
        <v>0</v>
      </c>
      <c r="K1797">
        <f t="shared" si="172"/>
        <v>1</v>
      </c>
      <c r="L1797">
        <f t="shared" si="173"/>
        <v>37</v>
      </c>
    </row>
    <row r="1798" spans="1:12" x14ac:dyDescent="0.3">
      <c r="A1798">
        <v>111394466</v>
      </c>
      <c r="B1798" s="1">
        <v>45036</v>
      </c>
      <c r="C1798" s="1">
        <v>45099</v>
      </c>
      <c r="D1798" t="s">
        <v>7</v>
      </c>
      <c r="E1798">
        <v>39</v>
      </c>
      <c r="F1798" t="s">
        <v>6</v>
      </c>
      <c r="G1798">
        <f t="shared" si="168"/>
        <v>63</v>
      </c>
      <c r="H1798" s="1" t="str">
        <f t="shared" si="169"/>
        <v>Thursday</v>
      </c>
      <c r="I1798" t="str">
        <f t="shared" si="170"/>
        <v>No</v>
      </c>
      <c r="J1798">
        <f t="shared" si="171"/>
        <v>0</v>
      </c>
      <c r="K1798">
        <f t="shared" si="172"/>
        <v>1</v>
      </c>
      <c r="L1798">
        <f t="shared" si="173"/>
        <v>63</v>
      </c>
    </row>
    <row r="1799" spans="1:12" ht="14.4" customHeight="1" x14ac:dyDescent="0.3">
      <c r="A1799">
        <v>214107134</v>
      </c>
      <c r="B1799" s="1">
        <v>45037</v>
      </c>
      <c r="D1799" t="s">
        <v>7</v>
      </c>
      <c r="E1799">
        <v>39</v>
      </c>
      <c r="F1799" t="s">
        <v>6</v>
      </c>
      <c r="G1799" t="str">
        <f t="shared" si="168"/>
        <v/>
      </c>
      <c r="H1799" s="1" t="str">
        <f t="shared" si="169"/>
        <v>Friday</v>
      </c>
      <c r="I1799" t="str">
        <f t="shared" si="170"/>
        <v>No</v>
      </c>
      <c r="J1799">
        <f t="shared" si="171"/>
        <v>0</v>
      </c>
      <c r="K1799">
        <f t="shared" si="172"/>
        <v>0</v>
      </c>
      <c r="L1799" t="str">
        <f t="shared" si="173"/>
        <v/>
      </c>
    </row>
    <row r="1800" spans="1:12" ht="14.4" customHeight="1" x14ac:dyDescent="0.3">
      <c r="A1800">
        <v>214105034</v>
      </c>
      <c r="B1800" s="1">
        <v>45037</v>
      </c>
      <c r="D1800" t="s">
        <v>7</v>
      </c>
      <c r="E1800">
        <v>39</v>
      </c>
      <c r="F1800" t="s">
        <v>6</v>
      </c>
      <c r="G1800" t="str">
        <f t="shared" si="168"/>
        <v/>
      </c>
      <c r="H1800" s="1" t="str">
        <f t="shared" si="169"/>
        <v>Friday</v>
      </c>
      <c r="I1800" t="str">
        <f t="shared" si="170"/>
        <v>No</v>
      </c>
      <c r="J1800">
        <f t="shared" si="171"/>
        <v>0</v>
      </c>
      <c r="K1800">
        <f t="shared" si="172"/>
        <v>0</v>
      </c>
      <c r="L1800" t="str">
        <f t="shared" si="173"/>
        <v/>
      </c>
    </row>
    <row r="1801" spans="1:12" x14ac:dyDescent="0.3">
      <c r="A1801">
        <v>214124745</v>
      </c>
      <c r="B1801" s="1">
        <v>45037</v>
      </c>
      <c r="C1801" s="1">
        <v>45176</v>
      </c>
      <c r="D1801" t="s">
        <v>7</v>
      </c>
      <c r="E1801">
        <v>39</v>
      </c>
      <c r="F1801" t="s">
        <v>6</v>
      </c>
      <c r="G1801">
        <f t="shared" si="168"/>
        <v>139</v>
      </c>
      <c r="H1801" s="1" t="str">
        <f t="shared" si="169"/>
        <v>Friday</v>
      </c>
      <c r="I1801" t="str">
        <f t="shared" si="170"/>
        <v>No</v>
      </c>
      <c r="J1801">
        <f t="shared" si="171"/>
        <v>0</v>
      </c>
      <c r="K1801">
        <f t="shared" si="172"/>
        <v>1</v>
      </c>
      <c r="L1801">
        <f t="shared" si="173"/>
        <v>139</v>
      </c>
    </row>
    <row r="1802" spans="1:12" ht="14.4" customHeight="1" x14ac:dyDescent="0.3">
      <c r="A1802">
        <v>214107426</v>
      </c>
      <c r="B1802" s="1">
        <v>45037</v>
      </c>
      <c r="C1802" s="1">
        <v>45038</v>
      </c>
      <c r="D1802" t="s">
        <v>8</v>
      </c>
      <c r="E1802">
        <v>39</v>
      </c>
      <c r="F1802" t="s">
        <v>6</v>
      </c>
      <c r="G1802">
        <f t="shared" si="168"/>
        <v>1</v>
      </c>
      <c r="H1802" s="1" t="str">
        <f t="shared" si="169"/>
        <v>Friday</v>
      </c>
      <c r="I1802" t="str">
        <f t="shared" si="170"/>
        <v>No</v>
      </c>
      <c r="J1802">
        <f t="shared" si="171"/>
        <v>1</v>
      </c>
      <c r="K1802">
        <f t="shared" si="172"/>
        <v>0</v>
      </c>
      <c r="L1802">
        <f t="shared" si="173"/>
        <v>1</v>
      </c>
    </row>
    <row r="1803" spans="1:12" x14ac:dyDescent="0.3">
      <c r="A1803">
        <v>213980322</v>
      </c>
      <c r="B1803" s="1">
        <v>45037</v>
      </c>
      <c r="C1803" s="1">
        <v>45097</v>
      </c>
      <c r="D1803" t="s">
        <v>7</v>
      </c>
      <c r="E1803">
        <v>39</v>
      </c>
      <c r="F1803" t="s">
        <v>6</v>
      </c>
      <c r="G1803">
        <f t="shared" si="168"/>
        <v>60</v>
      </c>
      <c r="H1803" s="1" t="str">
        <f t="shared" si="169"/>
        <v>Friday</v>
      </c>
      <c r="I1803" t="str">
        <f t="shared" si="170"/>
        <v>No</v>
      </c>
      <c r="J1803">
        <f t="shared" si="171"/>
        <v>0</v>
      </c>
      <c r="K1803">
        <f t="shared" si="172"/>
        <v>1</v>
      </c>
      <c r="L1803">
        <f t="shared" si="173"/>
        <v>60</v>
      </c>
    </row>
    <row r="1804" spans="1:12" ht="14.4" customHeight="1" x14ac:dyDescent="0.3">
      <c r="A1804">
        <v>213434919</v>
      </c>
      <c r="B1804" s="1">
        <v>45037</v>
      </c>
      <c r="C1804" s="1">
        <v>45037</v>
      </c>
      <c r="D1804" t="s">
        <v>7</v>
      </c>
      <c r="E1804">
        <v>39</v>
      </c>
      <c r="F1804" t="s">
        <v>6</v>
      </c>
      <c r="G1804">
        <f t="shared" si="168"/>
        <v>0</v>
      </c>
      <c r="H1804" s="1" t="str">
        <f t="shared" si="169"/>
        <v>Friday</v>
      </c>
      <c r="I1804" t="str">
        <f t="shared" si="170"/>
        <v>Yes</v>
      </c>
      <c r="J1804">
        <f t="shared" si="171"/>
        <v>1</v>
      </c>
      <c r="K1804">
        <f t="shared" si="172"/>
        <v>0</v>
      </c>
      <c r="L1804">
        <f t="shared" si="173"/>
        <v>0</v>
      </c>
    </row>
    <row r="1805" spans="1:12" x14ac:dyDescent="0.3">
      <c r="A1805">
        <v>214129448</v>
      </c>
      <c r="B1805" s="1">
        <v>45037</v>
      </c>
      <c r="C1805" s="1">
        <v>45135</v>
      </c>
      <c r="D1805" t="s">
        <v>7</v>
      </c>
      <c r="E1805">
        <v>39</v>
      </c>
      <c r="F1805" t="s">
        <v>6</v>
      </c>
      <c r="G1805">
        <f t="shared" si="168"/>
        <v>98</v>
      </c>
      <c r="H1805" s="1" t="str">
        <f t="shared" si="169"/>
        <v>Friday</v>
      </c>
      <c r="I1805" t="str">
        <f t="shared" si="170"/>
        <v>No</v>
      </c>
      <c r="J1805">
        <f t="shared" si="171"/>
        <v>0</v>
      </c>
      <c r="K1805">
        <f t="shared" si="172"/>
        <v>1</v>
      </c>
      <c r="L1805">
        <f t="shared" si="173"/>
        <v>98</v>
      </c>
    </row>
    <row r="1806" spans="1:12" x14ac:dyDescent="0.3">
      <c r="A1806">
        <v>213944536</v>
      </c>
      <c r="B1806" s="1">
        <v>45037</v>
      </c>
      <c r="C1806" s="1">
        <v>45098</v>
      </c>
      <c r="D1806" t="s">
        <v>7</v>
      </c>
      <c r="E1806">
        <v>39</v>
      </c>
      <c r="F1806" t="s">
        <v>6</v>
      </c>
      <c r="G1806">
        <f t="shared" si="168"/>
        <v>61</v>
      </c>
      <c r="H1806" s="1" t="str">
        <f t="shared" si="169"/>
        <v>Friday</v>
      </c>
      <c r="I1806" t="str">
        <f t="shared" si="170"/>
        <v>No</v>
      </c>
      <c r="J1806">
        <f t="shared" si="171"/>
        <v>0</v>
      </c>
      <c r="K1806">
        <f t="shared" si="172"/>
        <v>1</v>
      </c>
      <c r="L1806">
        <f t="shared" si="173"/>
        <v>61</v>
      </c>
    </row>
    <row r="1807" spans="1:12" x14ac:dyDescent="0.3">
      <c r="A1807">
        <v>214052531</v>
      </c>
      <c r="B1807" s="1">
        <v>45037</v>
      </c>
      <c r="C1807" s="1">
        <v>45166</v>
      </c>
      <c r="D1807" t="s">
        <v>7</v>
      </c>
      <c r="E1807">
        <v>39</v>
      </c>
      <c r="F1807" t="s">
        <v>6</v>
      </c>
      <c r="G1807">
        <f t="shared" si="168"/>
        <v>129</v>
      </c>
      <c r="H1807" s="1" t="str">
        <f t="shared" si="169"/>
        <v>Friday</v>
      </c>
      <c r="I1807" t="str">
        <f t="shared" si="170"/>
        <v>No</v>
      </c>
      <c r="J1807">
        <f t="shared" si="171"/>
        <v>0</v>
      </c>
      <c r="K1807">
        <f t="shared" si="172"/>
        <v>1</v>
      </c>
      <c r="L1807">
        <f t="shared" si="173"/>
        <v>129</v>
      </c>
    </row>
    <row r="1808" spans="1:12" ht="14.4" customHeight="1" x14ac:dyDescent="0.3">
      <c r="A1808">
        <v>214196608</v>
      </c>
      <c r="B1808" s="1">
        <v>45038</v>
      </c>
      <c r="D1808" t="s">
        <v>7</v>
      </c>
      <c r="E1808">
        <v>39</v>
      </c>
      <c r="F1808" t="s">
        <v>6</v>
      </c>
      <c r="G1808" t="str">
        <f t="shared" si="168"/>
        <v/>
      </c>
      <c r="H1808" s="1" t="str">
        <f t="shared" si="169"/>
        <v>Saturday</v>
      </c>
      <c r="I1808" t="str">
        <f t="shared" si="170"/>
        <v>No</v>
      </c>
      <c r="J1808">
        <f t="shared" si="171"/>
        <v>0</v>
      </c>
      <c r="K1808">
        <f t="shared" si="172"/>
        <v>0</v>
      </c>
      <c r="L1808" t="str">
        <f t="shared" si="173"/>
        <v/>
      </c>
    </row>
    <row r="1809" spans="1:12" x14ac:dyDescent="0.3">
      <c r="A1809">
        <v>125299295</v>
      </c>
      <c r="B1809" s="1">
        <v>45038</v>
      </c>
      <c r="C1809" s="1">
        <v>45096</v>
      </c>
      <c r="D1809" t="s">
        <v>7</v>
      </c>
      <c r="E1809">
        <v>39</v>
      </c>
      <c r="F1809" t="s">
        <v>6</v>
      </c>
      <c r="G1809">
        <f t="shared" si="168"/>
        <v>58</v>
      </c>
      <c r="H1809" s="1" t="str">
        <f t="shared" si="169"/>
        <v>Saturday</v>
      </c>
      <c r="I1809" t="str">
        <f t="shared" si="170"/>
        <v>No</v>
      </c>
      <c r="J1809">
        <f t="shared" si="171"/>
        <v>0</v>
      </c>
      <c r="K1809">
        <f t="shared" si="172"/>
        <v>1</v>
      </c>
      <c r="L1809">
        <f t="shared" si="173"/>
        <v>58</v>
      </c>
    </row>
    <row r="1810" spans="1:12" ht="14.4" customHeight="1" x14ac:dyDescent="0.3">
      <c r="A1810">
        <v>214199386</v>
      </c>
      <c r="B1810" s="1">
        <v>45038</v>
      </c>
      <c r="C1810" s="1">
        <v>45053</v>
      </c>
      <c r="D1810" t="s">
        <v>7</v>
      </c>
      <c r="E1810">
        <v>39</v>
      </c>
      <c r="F1810" t="s">
        <v>6</v>
      </c>
      <c r="G1810">
        <f t="shared" si="168"/>
        <v>15</v>
      </c>
      <c r="H1810" s="1" t="str">
        <f t="shared" si="169"/>
        <v>Saturday</v>
      </c>
      <c r="I1810" t="str">
        <f t="shared" si="170"/>
        <v>No</v>
      </c>
      <c r="J1810">
        <f t="shared" si="171"/>
        <v>0</v>
      </c>
      <c r="K1810">
        <f t="shared" si="172"/>
        <v>0</v>
      </c>
      <c r="L1810">
        <f t="shared" si="173"/>
        <v>15</v>
      </c>
    </row>
    <row r="1811" spans="1:12" ht="14.4" customHeight="1" x14ac:dyDescent="0.3">
      <c r="A1811">
        <v>214191851</v>
      </c>
      <c r="B1811" s="1">
        <v>45038</v>
      </c>
      <c r="C1811" s="1">
        <v>45058</v>
      </c>
      <c r="D1811" t="s">
        <v>7</v>
      </c>
      <c r="E1811">
        <v>39</v>
      </c>
      <c r="F1811" t="s">
        <v>6</v>
      </c>
      <c r="G1811">
        <f t="shared" si="168"/>
        <v>20</v>
      </c>
      <c r="H1811" s="1" t="str">
        <f t="shared" si="169"/>
        <v>Saturday</v>
      </c>
      <c r="I1811" t="str">
        <f t="shared" si="170"/>
        <v>No</v>
      </c>
      <c r="J1811">
        <f t="shared" si="171"/>
        <v>0</v>
      </c>
      <c r="K1811">
        <f t="shared" si="172"/>
        <v>0</v>
      </c>
      <c r="L1811">
        <f t="shared" si="173"/>
        <v>20</v>
      </c>
    </row>
    <row r="1812" spans="1:12" ht="14.4" customHeight="1" x14ac:dyDescent="0.3">
      <c r="A1812">
        <v>214174478</v>
      </c>
      <c r="B1812" s="1">
        <v>45038</v>
      </c>
      <c r="C1812" s="1">
        <v>45068</v>
      </c>
      <c r="D1812" t="s">
        <v>7</v>
      </c>
      <c r="E1812">
        <v>39</v>
      </c>
      <c r="F1812" t="s">
        <v>6</v>
      </c>
      <c r="G1812">
        <f t="shared" si="168"/>
        <v>30</v>
      </c>
      <c r="H1812" s="1" t="str">
        <f t="shared" si="169"/>
        <v>Saturday</v>
      </c>
      <c r="I1812" t="str">
        <f t="shared" si="170"/>
        <v>No</v>
      </c>
      <c r="J1812">
        <f t="shared" si="171"/>
        <v>0</v>
      </c>
      <c r="K1812">
        <f t="shared" si="172"/>
        <v>0</v>
      </c>
      <c r="L1812">
        <f t="shared" si="173"/>
        <v>30</v>
      </c>
    </row>
    <row r="1813" spans="1:12" ht="14.4" customHeight="1" x14ac:dyDescent="0.3">
      <c r="A1813">
        <v>214264465</v>
      </c>
      <c r="B1813" s="1">
        <v>45039</v>
      </c>
      <c r="D1813" t="s">
        <v>7</v>
      </c>
      <c r="E1813">
        <v>39</v>
      </c>
      <c r="F1813" t="s">
        <v>6</v>
      </c>
      <c r="G1813" t="str">
        <f t="shared" si="168"/>
        <v/>
      </c>
      <c r="H1813" s="1" t="str">
        <f t="shared" si="169"/>
        <v>Sunday</v>
      </c>
      <c r="I1813" t="str">
        <f t="shared" si="170"/>
        <v>No</v>
      </c>
      <c r="J1813">
        <f t="shared" si="171"/>
        <v>0</v>
      </c>
      <c r="K1813">
        <f t="shared" si="172"/>
        <v>0</v>
      </c>
      <c r="L1813" t="str">
        <f t="shared" si="173"/>
        <v/>
      </c>
    </row>
    <row r="1814" spans="1:12" ht="14.4" customHeight="1" x14ac:dyDescent="0.3">
      <c r="A1814">
        <v>214261616</v>
      </c>
      <c r="B1814" s="1">
        <v>45039</v>
      </c>
      <c r="D1814" t="s">
        <v>7</v>
      </c>
      <c r="E1814">
        <v>39</v>
      </c>
      <c r="F1814" t="s">
        <v>6</v>
      </c>
      <c r="G1814" t="str">
        <f t="shared" si="168"/>
        <v/>
      </c>
      <c r="H1814" s="1" t="str">
        <f t="shared" si="169"/>
        <v>Sunday</v>
      </c>
      <c r="I1814" t="str">
        <f t="shared" si="170"/>
        <v>No</v>
      </c>
      <c r="J1814">
        <f t="shared" si="171"/>
        <v>0</v>
      </c>
      <c r="K1814">
        <f t="shared" si="172"/>
        <v>0</v>
      </c>
      <c r="L1814" t="str">
        <f t="shared" si="173"/>
        <v/>
      </c>
    </row>
    <row r="1815" spans="1:12" ht="14.4" customHeight="1" x14ac:dyDescent="0.3">
      <c r="A1815">
        <v>214178644</v>
      </c>
      <c r="B1815" s="1">
        <v>45039</v>
      </c>
      <c r="D1815" t="s">
        <v>7</v>
      </c>
      <c r="E1815">
        <v>39</v>
      </c>
      <c r="F1815" t="s">
        <v>6</v>
      </c>
      <c r="G1815" t="str">
        <f t="shared" si="168"/>
        <v/>
      </c>
      <c r="H1815" s="1" t="str">
        <f t="shared" si="169"/>
        <v>Sunday</v>
      </c>
      <c r="I1815" t="str">
        <f t="shared" si="170"/>
        <v>No</v>
      </c>
      <c r="J1815">
        <f t="shared" si="171"/>
        <v>0</v>
      </c>
      <c r="K1815">
        <f t="shared" si="172"/>
        <v>0</v>
      </c>
      <c r="L1815" t="str">
        <f t="shared" si="173"/>
        <v/>
      </c>
    </row>
    <row r="1816" spans="1:12" ht="14.4" customHeight="1" x14ac:dyDescent="0.3">
      <c r="A1816">
        <v>214202809</v>
      </c>
      <c r="B1816" s="1">
        <v>45039</v>
      </c>
      <c r="C1816" s="1">
        <v>45068</v>
      </c>
      <c r="D1816" t="s">
        <v>7</v>
      </c>
      <c r="E1816">
        <v>39</v>
      </c>
      <c r="F1816" t="s">
        <v>6</v>
      </c>
      <c r="G1816">
        <f t="shared" si="168"/>
        <v>29</v>
      </c>
      <c r="H1816" s="1" t="str">
        <f t="shared" si="169"/>
        <v>Sunday</v>
      </c>
      <c r="I1816" t="str">
        <f t="shared" si="170"/>
        <v>No</v>
      </c>
      <c r="J1816">
        <f t="shared" si="171"/>
        <v>0</v>
      </c>
      <c r="K1816">
        <f t="shared" si="172"/>
        <v>0</v>
      </c>
      <c r="L1816">
        <f t="shared" si="173"/>
        <v>29</v>
      </c>
    </row>
    <row r="1817" spans="1:12" ht="14.4" customHeight="1" x14ac:dyDescent="0.3">
      <c r="A1817">
        <v>214220188</v>
      </c>
      <c r="B1817" s="1">
        <v>45040</v>
      </c>
      <c r="D1817" t="s">
        <v>7</v>
      </c>
      <c r="E1817">
        <v>39</v>
      </c>
      <c r="F1817" t="s">
        <v>6</v>
      </c>
      <c r="G1817" t="str">
        <f t="shared" si="168"/>
        <v/>
      </c>
      <c r="H1817" s="1" t="str">
        <f t="shared" si="169"/>
        <v>Monday</v>
      </c>
      <c r="I1817" t="str">
        <f t="shared" si="170"/>
        <v>No</v>
      </c>
      <c r="J1817">
        <f t="shared" si="171"/>
        <v>0</v>
      </c>
      <c r="K1817">
        <f t="shared" si="172"/>
        <v>0</v>
      </c>
      <c r="L1817" t="str">
        <f t="shared" si="173"/>
        <v/>
      </c>
    </row>
    <row r="1818" spans="1:12" ht="14.4" customHeight="1" x14ac:dyDescent="0.3">
      <c r="A1818">
        <v>212113435</v>
      </c>
      <c r="B1818" s="1">
        <v>45040</v>
      </c>
      <c r="D1818" t="s">
        <v>7</v>
      </c>
      <c r="E1818">
        <v>39</v>
      </c>
      <c r="F1818" t="s">
        <v>6</v>
      </c>
      <c r="G1818" t="str">
        <f t="shared" si="168"/>
        <v/>
      </c>
      <c r="H1818" s="1" t="str">
        <f t="shared" si="169"/>
        <v>Monday</v>
      </c>
      <c r="I1818" t="str">
        <f t="shared" si="170"/>
        <v>No</v>
      </c>
      <c r="J1818">
        <f t="shared" si="171"/>
        <v>0</v>
      </c>
      <c r="K1818">
        <f t="shared" si="172"/>
        <v>0</v>
      </c>
      <c r="L1818" t="str">
        <f t="shared" si="173"/>
        <v/>
      </c>
    </row>
    <row r="1819" spans="1:12" ht="14.4" customHeight="1" x14ac:dyDescent="0.3">
      <c r="A1819">
        <v>213431638</v>
      </c>
      <c r="B1819" s="1">
        <v>45040</v>
      </c>
      <c r="D1819" t="s">
        <v>7</v>
      </c>
      <c r="E1819">
        <v>39</v>
      </c>
      <c r="F1819" t="s">
        <v>6</v>
      </c>
      <c r="G1819" t="str">
        <f t="shared" si="168"/>
        <v/>
      </c>
      <c r="H1819" s="1" t="str">
        <f t="shared" si="169"/>
        <v>Monday</v>
      </c>
      <c r="I1819" t="str">
        <f t="shared" si="170"/>
        <v>No</v>
      </c>
      <c r="J1819">
        <f t="shared" si="171"/>
        <v>0</v>
      </c>
      <c r="K1819">
        <f t="shared" si="172"/>
        <v>0</v>
      </c>
      <c r="L1819" t="str">
        <f t="shared" si="173"/>
        <v/>
      </c>
    </row>
    <row r="1820" spans="1:12" ht="14.4" customHeight="1" x14ac:dyDescent="0.3">
      <c r="A1820">
        <v>214102994</v>
      </c>
      <c r="B1820" s="1">
        <v>45040</v>
      </c>
      <c r="D1820" t="s">
        <v>7</v>
      </c>
      <c r="E1820">
        <v>39</v>
      </c>
      <c r="F1820" t="s">
        <v>6</v>
      </c>
      <c r="G1820" t="str">
        <f t="shared" si="168"/>
        <v/>
      </c>
      <c r="H1820" s="1" t="str">
        <f t="shared" si="169"/>
        <v>Monday</v>
      </c>
      <c r="I1820" t="str">
        <f t="shared" si="170"/>
        <v>No</v>
      </c>
      <c r="J1820">
        <f t="shared" si="171"/>
        <v>0</v>
      </c>
      <c r="K1820">
        <f t="shared" si="172"/>
        <v>0</v>
      </c>
      <c r="L1820" t="str">
        <f t="shared" si="173"/>
        <v/>
      </c>
    </row>
    <row r="1821" spans="1:12" ht="14.4" customHeight="1" x14ac:dyDescent="0.3">
      <c r="A1821">
        <v>177266058</v>
      </c>
      <c r="B1821" s="1">
        <v>45040</v>
      </c>
      <c r="D1821" t="s">
        <v>7</v>
      </c>
      <c r="E1821">
        <v>39</v>
      </c>
      <c r="F1821" t="s">
        <v>6</v>
      </c>
      <c r="G1821" t="str">
        <f t="shared" si="168"/>
        <v/>
      </c>
      <c r="H1821" s="1" t="str">
        <f t="shared" si="169"/>
        <v>Monday</v>
      </c>
      <c r="I1821" t="str">
        <f t="shared" si="170"/>
        <v>No</v>
      </c>
      <c r="J1821">
        <f t="shared" si="171"/>
        <v>0</v>
      </c>
      <c r="K1821">
        <f t="shared" si="172"/>
        <v>0</v>
      </c>
      <c r="L1821" t="str">
        <f t="shared" si="173"/>
        <v/>
      </c>
    </row>
    <row r="1822" spans="1:12" ht="14.4" customHeight="1" x14ac:dyDescent="0.3">
      <c r="A1822">
        <v>116060198</v>
      </c>
      <c r="B1822" s="1">
        <v>45040</v>
      </c>
      <c r="D1822" t="s">
        <v>7</v>
      </c>
      <c r="E1822">
        <v>39</v>
      </c>
      <c r="F1822" t="s">
        <v>6</v>
      </c>
      <c r="G1822" t="str">
        <f t="shared" si="168"/>
        <v/>
      </c>
      <c r="H1822" s="1" t="str">
        <f t="shared" si="169"/>
        <v>Monday</v>
      </c>
      <c r="I1822" t="str">
        <f t="shared" si="170"/>
        <v>No</v>
      </c>
      <c r="J1822">
        <f t="shared" si="171"/>
        <v>0</v>
      </c>
      <c r="K1822">
        <f t="shared" si="172"/>
        <v>0</v>
      </c>
      <c r="L1822" t="str">
        <f t="shared" si="173"/>
        <v/>
      </c>
    </row>
    <row r="1823" spans="1:12" ht="14.4" customHeight="1" x14ac:dyDescent="0.3">
      <c r="A1823">
        <v>214312843</v>
      </c>
      <c r="B1823" s="1">
        <v>45040</v>
      </c>
      <c r="D1823" t="s">
        <v>7</v>
      </c>
      <c r="E1823">
        <v>39</v>
      </c>
      <c r="F1823" t="s">
        <v>6</v>
      </c>
      <c r="G1823" t="str">
        <f t="shared" si="168"/>
        <v/>
      </c>
      <c r="H1823" s="1" t="str">
        <f t="shared" si="169"/>
        <v>Monday</v>
      </c>
      <c r="I1823" t="str">
        <f t="shared" si="170"/>
        <v>No</v>
      </c>
      <c r="J1823">
        <f t="shared" si="171"/>
        <v>0</v>
      </c>
      <c r="K1823">
        <f t="shared" si="172"/>
        <v>0</v>
      </c>
      <c r="L1823" t="str">
        <f t="shared" si="173"/>
        <v/>
      </c>
    </row>
    <row r="1824" spans="1:12" ht="14.4" customHeight="1" x14ac:dyDescent="0.3">
      <c r="A1824">
        <v>156245288</v>
      </c>
      <c r="B1824" s="1">
        <v>45040</v>
      </c>
      <c r="C1824" s="1">
        <v>45057</v>
      </c>
      <c r="D1824" t="s">
        <v>7</v>
      </c>
      <c r="E1824">
        <v>39</v>
      </c>
      <c r="F1824" t="s">
        <v>6</v>
      </c>
      <c r="G1824">
        <f t="shared" si="168"/>
        <v>17</v>
      </c>
      <c r="H1824" s="1" t="str">
        <f t="shared" si="169"/>
        <v>Monday</v>
      </c>
      <c r="I1824" t="str">
        <f t="shared" si="170"/>
        <v>No</v>
      </c>
      <c r="J1824">
        <f t="shared" si="171"/>
        <v>0</v>
      </c>
      <c r="K1824">
        <f t="shared" si="172"/>
        <v>0</v>
      </c>
      <c r="L1824">
        <f t="shared" si="173"/>
        <v>17</v>
      </c>
    </row>
    <row r="1825" spans="1:12" ht="14.4" customHeight="1" x14ac:dyDescent="0.3">
      <c r="A1825">
        <v>148869972</v>
      </c>
      <c r="B1825" s="1">
        <v>45040</v>
      </c>
      <c r="C1825" s="1">
        <v>45056</v>
      </c>
      <c r="D1825" t="s">
        <v>7</v>
      </c>
      <c r="E1825">
        <v>39</v>
      </c>
      <c r="F1825" t="s">
        <v>6</v>
      </c>
      <c r="G1825">
        <f t="shared" si="168"/>
        <v>16</v>
      </c>
      <c r="H1825" s="1" t="str">
        <f t="shared" si="169"/>
        <v>Monday</v>
      </c>
      <c r="I1825" t="str">
        <f t="shared" si="170"/>
        <v>No</v>
      </c>
      <c r="J1825">
        <f t="shared" si="171"/>
        <v>0</v>
      </c>
      <c r="K1825">
        <f t="shared" si="172"/>
        <v>0</v>
      </c>
      <c r="L1825">
        <f t="shared" si="173"/>
        <v>16</v>
      </c>
    </row>
    <row r="1826" spans="1:12" ht="14.4" customHeight="1" x14ac:dyDescent="0.3">
      <c r="A1826">
        <v>156186115</v>
      </c>
      <c r="B1826" s="1">
        <v>45040</v>
      </c>
      <c r="C1826" s="1">
        <v>45063</v>
      </c>
      <c r="D1826" t="s">
        <v>7</v>
      </c>
      <c r="E1826">
        <v>39</v>
      </c>
      <c r="F1826" t="s">
        <v>6</v>
      </c>
      <c r="G1826">
        <f t="shared" si="168"/>
        <v>23</v>
      </c>
      <c r="H1826" s="1" t="str">
        <f t="shared" si="169"/>
        <v>Monday</v>
      </c>
      <c r="I1826" t="str">
        <f t="shared" si="170"/>
        <v>No</v>
      </c>
      <c r="J1826">
        <f t="shared" si="171"/>
        <v>0</v>
      </c>
      <c r="K1826">
        <f t="shared" si="172"/>
        <v>0</v>
      </c>
      <c r="L1826">
        <f t="shared" si="173"/>
        <v>23</v>
      </c>
    </row>
    <row r="1827" spans="1:12" ht="14.4" customHeight="1" x14ac:dyDescent="0.3">
      <c r="A1827">
        <v>207235755</v>
      </c>
      <c r="B1827" s="1">
        <v>45040</v>
      </c>
      <c r="C1827" s="1">
        <v>45068</v>
      </c>
      <c r="D1827" t="s">
        <v>7</v>
      </c>
      <c r="E1827">
        <v>39</v>
      </c>
      <c r="F1827" t="s">
        <v>6</v>
      </c>
      <c r="G1827">
        <f t="shared" si="168"/>
        <v>28</v>
      </c>
      <c r="H1827" s="1" t="str">
        <f t="shared" si="169"/>
        <v>Monday</v>
      </c>
      <c r="I1827" t="str">
        <f t="shared" si="170"/>
        <v>No</v>
      </c>
      <c r="J1827">
        <f t="shared" si="171"/>
        <v>0</v>
      </c>
      <c r="K1827">
        <f t="shared" si="172"/>
        <v>0</v>
      </c>
      <c r="L1827">
        <f t="shared" si="173"/>
        <v>28</v>
      </c>
    </row>
    <row r="1828" spans="1:12" x14ac:dyDescent="0.3">
      <c r="A1828">
        <v>169235213</v>
      </c>
      <c r="B1828" s="1">
        <v>45040</v>
      </c>
      <c r="C1828" s="1">
        <v>45077</v>
      </c>
      <c r="D1828" t="s">
        <v>7</v>
      </c>
      <c r="E1828">
        <v>39</v>
      </c>
      <c r="F1828" t="s">
        <v>6</v>
      </c>
      <c r="G1828">
        <f t="shared" si="168"/>
        <v>37</v>
      </c>
      <c r="H1828" s="1" t="str">
        <f t="shared" si="169"/>
        <v>Monday</v>
      </c>
      <c r="I1828" t="str">
        <f t="shared" si="170"/>
        <v>No</v>
      </c>
      <c r="J1828">
        <f t="shared" si="171"/>
        <v>0</v>
      </c>
      <c r="K1828">
        <f t="shared" si="172"/>
        <v>1</v>
      </c>
      <c r="L1828">
        <f t="shared" si="173"/>
        <v>37</v>
      </c>
    </row>
    <row r="1829" spans="1:12" x14ac:dyDescent="0.3">
      <c r="A1829">
        <v>213692152</v>
      </c>
      <c r="B1829" s="1">
        <v>45040</v>
      </c>
      <c r="C1829" s="1">
        <v>45071</v>
      </c>
      <c r="D1829" t="s">
        <v>7</v>
      </c>
      <c r="E1829">
        <v>39</v>
      </c>
      <c r="F1829" t="s">
        <v>6</v>
      </c>
      <c r="G1829">
        <f t="shared" si="168"/>
        <v>31</v>
      </c>
      <c r="H1829" s="1" t="str">
        <f t="shared" si="169"/>
        <v>Monday</v>
      </c>
      <c r="I1829" t="str">
        <f t="shared" si="170"/>
        <v>No</v>
      </c>
      <c r="J1829">
        <f t="shared" si="171"/>
        <v>0</v>
      </c>
      <c r="K1829">
        <f t="shared" si="172"/>
        <v>1</v>
      </c>
      <c r="L1829">
        <f t="shared" si="173"/>
        <v>31</v>
      </c>
    </row>
    <row r="1830" spans="1:12" x14ac:dyDescent="0.3">
      <c r="A1830">
        <v>214352003</v>
      </c>
      <c r="B1830" s="1">
        <v>45040</v>
      </c>
      <c r="C1830" s="1">
        <v>45161</v>
      </c>
      <c r="D1830" t="s">
        <v>7</v>
      </c>
      <c r="E1830">
        <v>39</v>
      </c>
      <c r="F1830" t="s">
        <v>6</v>
      </c>
      <c r="G1830">
        <f t="shared" si="168"/>
        <v>121</v>
      </c>
      <c r="H1830" s="1" t="str">
        <f t="shared" si="169"/>
        <v>Monday</v>
      </c>
      <c r="I1830" t="str">
        <f t="shared" si="170"/>
        <v>No</v>
      </c>
      <c r="J1830">
        <f t="shared" si="171"/>
        <v>0</v>
      </c>
      <c r="K1830">
        <f t="shared" si="172"/>
        <v>1</v>
      </c>
      <c r="L1830">
        <f t="shared" si="173"/>
        <v>121</v>
      </c>
    </row>
    <row r="1831" spans="1:12" x14ac:dyDescent="0.3">
      <c r="A1831">
        <v>139691790</v>
      </c>
      <c r="B1831" s="1">
        <v>45041</v>
      </c>
      <c r="C1831" s="1">
        <v>45102</v>
      </c>
      <c r="D1831" t="s">
        <v>7</v>
      </c>
      <c r="E1831">
        <v>39</v>
      </c>
      <c r="F1831" t="s">
        <v>6</v>
      </c>
      <c r="G1831">
        <f t="shared" si="168"/>
        <v>61</v>
      </c>
      <c r="H1831" s="1" t="str">
        <f t="shared" si="169"/>
        <v>Tuesday</v>
      </c>
      <c r="I1831" t="str">
        <f t="shared" si="170"/>
        <v>No</v>
      </c>
      <c r="J1831">
        <f t="shared" si="171"/>
        <v>0</v>
      </c>
      <c r="K1831">
        <f t="shared" si="172"/>
        <v>1</v>
      </c>
      <c r="L1831">
        <f t="shared" si="173"/>
        <v>61</v>
      </c>
    </row>
    <row r="1832" spans="1:12" x14ac:dyDescent="0.3">
      <c r="A1832">
        <v>210646453</v>
      </c>
      <c r="B1832" s="1">
        <v>45041</v>
      </c>
      <c r="C1832" s="1">
        <v>45101</v>
      </c>
      <c r="D1832" t="s">
        <v>7</v>
      </c>
      <c r="E1832">
        <v>39</v>
      </c>
      <c r="F1832" t="s">
        <v>6</v>
      </c>
      <c r="G1832">
        <f t="shared" si="168"/>
        <v>60</v>
      </c>
      <c r="H1832" s="1" t="str">
        <f t="shared" si="169"/>
        <v>Tuesday</v>
      </c>
      <c r="I1832" t="str">
        <f t="shared" si="170"/>
        <v>No</v>
      </c>
      <c r="J1832">
        <f t="shared" si="171"/>
        <v>0</v>
      </c>
      <c r="K1832">
        <f t="shared" si="172"/>
        <v>1</v>
      </c>
      <c r="L1832">
        <f t="shared" si="173"/>
        <v>60</v>
      </c>
    </row>
    <row r="1833" spans="1:12" ht="14.4" customHeight="1" x14ac:dyDescent="0.3">
      <c r="A1833">
        <v>206891005</v>
      </c>
      <c r="B1833" s="1">
        <v>45041</v>
      </c>
      <c r="C1833" s="1">
        <v>45063</v>
      </c>
      <c r="D1833" t="s">
        <v>7</v>
      </c>
      <c r="E1833">
        <v>39</v>
      </c>
      <c r="F1833" t="s">
        <v>6</v>
      </c>
      <c r="G1833">
        <f t="shared" si="168"/>
        <v>22</v>
      </c>
      <c r="H1833" s="1" t="str">
        <f t="shared" si="169"/>
        <v>Tuesday</v>
      </c>
      <c r="I1833" t="str">
        <f t="shared" si="170"/>
        <v>No</v>
      </c>
      <c r="J1833">
        <f t="shared" si="171"/>
        <v>0</v>
      </c>
      <c r="K1833">
        <f t="shared" si="172"/>
        <v>0</v>
      </c>
      <c r="L1833">
        <f t="shared" si="173"/>
        <v>22</v>
      </c>
    </row>
    <row r="1834" spans="1:12" ht="14.4" customHeight="1" x14ac:dyDescent="0.3">
      <c r="A1834">
        <v>212293354</v>
      </c>
      <c r="B1834" s="1">
        <v>45041</v>
      </c>
      <c r="C1834" s="1">
        <v>45041</v>
      </c>
      <c r="D1834" t="s">
        <v>7</v>
      </c>
      <c r="E1834">
        <v>39</v>
      </c>
      <c r="F1834" t="s">
        <v>6</v>
      </c>
      <c r="G1834">
        <f t="shared" si="168"/>
        <v>0</v>
      </c>
      <c r="H1834" s="1" t="str">
        <f t="shared" si="169"/>
        <v>Tuesday</v>
      </c>
      <c r="I1834" t="str">
        <f t="shared" si="170"/>
        <v>Yes</v>
      </c>
      <c r="J1834">
        <f t="shared" si="171"/>
        <v>1</v>
      </c>
      <c r="K1834">
        <f t="shared" si="172"/>
        <v>0</v>
      </c>
      <c r="L1834">
        <f t="shared" si="173"/>
        <v>0</v>
      </c>
    </row>
    <row r="1835" spans="1:12" ht="14.4" customHeight="1" x14ac:dyDescent="0.3">
      <c r="A1835">
        <v>214464069</v>
      </c>
      <c r="B1835" s="1">
        <v>45042</v>
      </c>
      <c r="D1835" t="s">
        <v>7</v>
      </c>
      <c r="E1835">
        <v>39</v>
      </c>
      <c r="F1835" t="s">
        <v>6</v>
      </c>
      <c r="G1835" t="str">
        <f t="shared" si="168"/>
        <v/>
      </c>
      <c r="H1835" s="1" t="str">
        <f t="shared" si="169"/>
        <v>Wednesday</v>
      </c>
      <c r="I1835" t="str">
        <f t="shared" si="170"/>
        <v>No</v>
      </c>
      <c r="J1835">
        <f t="shared" si="171"/>
        <v>0</v>
      </c>
      <c r="K1835">
        <f t="shared" si="172"/>
        <v>0</v>
      </c>
      <c r="L1835" t="str">
        <f t="shared" si="173"/>
        <v/>
      </c>
    </row>
    <row r="1836" spans="1:12" ht="14.4" customHeight="1" x14ac:dyDescent="0.3">
      <c r="A1836">
        <v>214446543</v>
      </c>
      <c r="B1836" s="1">
        <v>45042</v>
      </c>
      <c r="D1836" t="s">
        <v>7</v>
      </c>
      <c r="E1836">
        <v>39</v>
      </c>
      <c r="F1836" t="s">
        <v>6</v>
      </c>
      <c r="G1836" t="str">
        <f t="shared" si="168"/>
        <v/>
      </c>
      <c r="H1836" s="1" t="str">
        <f t="shared" si="169"/>
        <v>Wednesday</v>
      </c>
      <c r="I1836" t="str">
        <f t="shared" si="170"/>
        <v>No</v>
      </c>
      <c r="J1836">
        <f t="shared" si="171"/>
        <v>0</v>
      </c>
      <c r="K1836">
        <f t="shared" si="172"/>
        <v>0</v>
      </c>
      <c r="L1836" t="str">
        <f t="shared" si="173"/>
        <v/>
      </c>
    </row>
    <row r="1837" spans="1:12" x14ac:dyDescent="0.3">
      <c r="A1837">
        <v>212376935</v>
      </c>
      <c r="B1837" s="1">
        <v>45042</v>
      </c>
      <c r="C1837" s="1">
        <v>45089</v>
      </c>
      <c r="D1837" t="s">
        <v>7</v>
      </c>
      <c r="E1837">
        <v>39</v>
      </c>
      <c r="F1837" t="s">
        <v>6</v>
      </c>
      <c r="G1837">
        <f t="shared" si="168"/>
        <v>47</v>
      </c>
      <c r="H1837" s="1" t="str">
        <f t="shared" si="169"/>
        <v>Wednesday</v>
      </c>
      <c r="I1837" t="str">
        <f t="shared" si="170"/>
        <v>No</v>
      </c>
      <c r="J1837">
        <f t="shared" si="171"/>
        <v>0</v>
      </c>
      <c r="K1837">
        <f t="shared" si="172"/>
        <v>1</v>
      </c>
      <c r="L1837">
        <f t="shared" si="173"/>
        <v>47</v>
      </c>
    </row>
    <row r="1838" spans="1:12" x14ac:dyDescent="0.3">
      <c r="A1838">
        <v>173118928</v>
      </c>
      <c r="B1838" s="1">
        <v>45042</v>
      </c>
      <c r="C1838" s="1">
        <v>45079</v>
      </c>
      <c r="D1838" t="s">
        <v>7</v>
      </c>
      <c r="E1838">
        <v>39</v>
      </c>
      <c r="F1838" t="s">
        <v>6</v>
      </c>
      <c r="G1838">
        <f t="shared" si="168"/>
        <v>37</v>
      </c>
      <c r="H1838" s="1" t="str">
        <f t="shared" si="169"/>
        <v>Wednesday</v>
      </c>
      <c r="I1838" t="str">
        <f t="shared" si="170"/>
        <v>No</v>
      </c>
      <c r="J1838">
        <f t="shared" si="171"/>
        <v>0</v>
      </c>
      <c r="K1838">
        <f t="shared" si="172"/>
        <v>1</v>
      </c>
      <c r="L1838">
        <f t="shared" si="173"/>
        <v>37</v>
      </c>
    </row>
    <row r="1839" spans="1:12" ht="14.4" customHeight="1" x14ac:dyDescent="0.3">
      <c r="A1839">
        <v>214410106</v>
      </c>
      <c r="B1839" s="1">
        <v>45042</v>
      </c>
      <c r="C1839" s="1">
        <v>45063</v>
      </c>
      <c r="D1839" t="s">
        <v>7</v>
      </c>
      <c r="E1839">
        <v>39</v>
      </c>
      <c r="F1839" t="s">
        <v>6</v>
      </c>
      <c r="G1839">
        <f t="shared" si="168"/>
        <v>21</v>
      </c>
      <c r="H1839" s="1" t="str">
        <f t="shared" si="169"/>
        <v>Wednesday</v>
      </c>
      <c r="I1839" t="str">
        <f t="shared" si="170"/>
        <v>No</v>
      </c>
      <c r="J1839">
        <f t="shared" si="171"/>
        <v>0</v>
      </c>
      <c r="K1839">
        <f t="shared" si="172"/>
        <v>0</v>
      </c>
      <c r="L1839">
        <f t="shared" si="173"/>
        <v>21</v>
      </c>
    </row>
    <row r="1840" spans="1:12" ht="14.4" customHeight="1" x14ac:dyDescent="0.3">
      <c r="A1840">
        <v>214093520</v>
      </c>
      <c r="B1840" s="1">
        <v>45042</v>
      </c>
      <c r="C1840" s="1">
        <v>45070</v>
      </c>
      <c r="D1840" t="s">
        <v>7</v>
      </c>
      <c r="E1840">
        <v>39</v>
      </c>
      <c r="F1840" t="s">
        <v>6</v>
      </c>
      <c r="G1840">
        <f t="shared" si="168"/>
        <v>28</v>
      </c>
      <c r="H1840" s="1" t="str">
        <f t="shared" si="169"/>
        <v>Wednesday</v>
      </c>
      <c r="I1840" t="str">
        <f t="shared" si="170"/>
        <v>No</v>
      </c>
      <c r="J1840">
        <f t="shared" si="171"/>
        <v>0</v>
      </c>
      <c r="K1840">
        <f t="shared" si="172"/>
        <v>0</v>
      </c>
      <c r="L1840">
        <f t="shared" si="173"/>
        <v>28</v>
      </c>
    </row>
    <row r="1841" spans="1:12" ht="14.4" customHeight="1" x14ac:dyDescent="0.3">
      <c r="A1841">
        <v>214441521</v>
      </c>
      <c r="B1841" s="1">
        <v>45042</v>
      </c>
      <c r="C1841" s="1">
        <v>45070</v>
      </c>
      <c r="D1841" t="s">
        <v>7</v>
      </c>
      <c r="E1841">
        <v>39</v>
      </c>
      <c r="F1841" t="s">
        <v>6</v>
      </c>
      <c r="G1841">
        <f t="shared" si="168"/>
        <v>28</v>
      </c>
      <c r="H1841" s="1" t="str">
        <f t="shared" si="169"/>
        <v>Wednesday</v>
      </c>
      <c r="I1841" t="str">
        <f t="shared" si="170"/>
        <v>No</v>
      </c>
      <c r="J1841">
        <f t="shared" si="171"/>
        <v>0</v>
      </c>
      <c r="K1841">
        <f t="shared" si="172"/>
        <v>0</v>
      </c>
      <c r="L1841">
        <f t="shared" si="173"/>
        <v>28</v>
      </c>
    </row>
    <row r="1842" spans="1:12" ht="14.4" customHeight="1" x14ac:dyDescent="0.3">
      <c r="A1842">
        <v>214519787</v>
      </c>
      <c r="B1842" s="1">
        <v>45043</v>
      </c>
      <c r="D1842" t="s">
        <v>7</v>
      </c>
      <c r="E1842">
        <v>39</v>
      </c>
      <c r="F1842" t="s">
        <v>6</v>
      </c>
      <c r="G1842" t="str">
        <f t="shared" si="168"/>
        <v/>
      </c>
      <c r="H1842" s="1" t="str">
        <f t="shared" si="169"/>
        <v>Thursday</v>
      </c>
      <c r="I1842" t="str">
        <f t="shared" si="170"/>
        <v>No</v>
      </c>
      <c r="J1842">
        <f t="shared" si="171"/>
        <v>0</v>
      </c>
      <c r="K1842">
        <f t="shared" si="172"/>
        <v>0</v>
      </c>
      <c r="L1842" t="str">
        <f t="shared" si="173"/>
        <v/>
      </c>
    </row>
    <row r="1843" spans="1:12" ht="14.4" customHeight="1" x14ac:dyDescent="0.3">
      <c r="A1843">
        <v>213177724</v>
      </c>
      <c r="B1843" s="1">
        <v>45043</v>
      </c>
      <c r="D1843" t="s">
        <v>7</v>
      </c>
      <c r="E1843">
        <v>39</v>
      </c>
      <c r="F1843" t="s">
        <v>6</v>
      </c>
      <c r="G1843" t="str">
        <f t="shared" si="168"/>
        <v/>
      </c>
      <c r="H1843" s="1" t="str">
        <f t="shared" si="169"/>
        <v>Thursday</v>
      </c>
      <c r="I1843" t="str">
        <f t="shared" si="170"/>
        <v>No</v>
      </c>
      <c r="J1843">
        <f t="shared" si="171"/>
        <v>0</v>
      </c>
      <c r="K1843">
        <f t="shared" si="172"/>
        <v>0</v>
      </c>
      <c r="L1843" t="str">
        <f t="shared" si="173"/>
        <v/>
      </c>
    </row>
    <row r="1844" spans="1:12" ht="14.4" customHeight="1" x14ac:dyDescent="0.3">
      <c r="A1844">
        <v>213421956</v>
      </c>
      <c r="B1844" s="1">
        <v>45043</v>
      </c>
      <c r="C1844" s="1">
        <v>45044</v>
      </c>
      <c r="D1844" t="s">
        <v>8</v>
      </c>
      <c r="E1844">
        <v>39</v>
      </c>
      <c r="F1844" t="s">
        <v>6</v>
      </c>
      <c r="G1844">
        <f t="shared" si="168"/>
        <v>1</v>
      </c>
      <c r="H1844" s="1" t="str">
        <f t="shared" si="169"/>
        <v>Thursday</v>
      </c>
      <c r="I1844" t="str">
        <f t="shared" si="170"/>
        <v>No</v>
      </c>
      <c r="J1844">
        <f t="shared" si="171"/>
        <v>1</v>
      </c>
      <c r="K1844">
        <f t="shared" si="172"/>
        <v>0</v>
      </c>
      <c r="L1844">
        <f t="shared" si="173"/>
        <v>1</v>
      </c>
    </row>
    <row r="1845" spans="1:12" ht="14.4" customHeight="1" x14ac:dyDescent="0.3">
      <c r="A1845">
        <v>151094649</v>
      </c>
      <c r="B1845" s="1">
        <v>45043</v>
      </c>
      <c r="C1845" s="1">
        <v>45073</v>
      </c>
      <c r="D1845" t="s">
        <v>7</v>
      </c>
      <c r="E1845">
        <v>39</v>
      </c>
      <c r="F1845" t="s">
        <v>6</v>
      </c>
      <c r="G1845">
        <f t="shared" si="168"/>
        <v>30</v>
      </c>
      <c r="H1845" s="1" t="str">
        <f t="shared" si="169"/>
        <v>Thursday</v>
      </c>
      <c r="I1845" t="str">
        <f t="shared" si="170"/>
        <v>No</v>
      </c>
      <c r="J1845">
        <f t="shared" si="171"/>
        <v>0</v>
      </c>
      <c r="K1845">
        <f t="shared" si="172"/>
        <v>0</v>
      </c>
      <c r="L1845">
        <f t="shared" si="173"/>
        <v>30</v>
      </c>
    </row>
    <row r="1846" spans="1:12" x14ac:dyDescent="0.3">
      <c r="A1846">
        <v>160056180</v>
      </c>
      <c r="B1846" s="1">
        <v>45043</v>
      </c>
      <c r="C1846" s="1">
        <v>45074</v>
      </c>
      <c r="D1846" t="s">
        <v>7</v>
      </c>
      <c r="E1846">
        <v>39</v>
      </c>
      <c r="F1846" t="s">
        <v>6</v>
      </c>
      <c r="G1846">
        <f t="shared" si="168"/>
        <v>31</v>
      </c>
      <c r="H1846" s="1" t="str">
        <f t="shared" si="169"/>
        <v>Thursday</v>
      </c>
      <c r="I1846" t="str">
        <f t="shared" si="170"/>
        <v>No</v>
      </c>
      <c r="J1846">
        <f t="shared" si="171"/>
        <v>0</v>
      </c>
      <c r="K1846">
        <f t="shared" si="172"/>
        <v>1</v>
      </c>
      <c r="L1846">
        <f t="shared" si="173"/>
        <v>31</v>
      </c>
    </row>
    <row r="1847" spans="1:12" ht="14.4" customHeight="1" x14ac:dyDescent="0.3">
      <c r="A1847">
        <v>166480898</v>
      </c>
      <c r="B1847" s="1">
        <v>45043</v>
      </c>
      <c r="C1847" s="1">
        <v>45071</v>
      </c>
      <c r="D1847" t="s">
        <v>7</v>
      </c>
      <c r="E1847">
        <v>39</v>
      </c>
      <c r="F1847" t="s">
        <v>6</v>
      </c>
      <c r="G1847">
        <f t="shared" si="168"/>
        <v>28</v>
      </c>
      <c r="H1847" s="1" t="str">
        <f t="shared" si="169"/>
        <v>Thursday</v>
      </c>
      <c r="I1847" t="str">
        <f t="shared" si="170"/>
        <v>No</v>
      </c>
      <c r="J1847">
        <f t="shared" si="171"/>
        <v>0</v>
      </c>
      <c r="K1847">
        <f t="shared" si="172"/>
        <v>0</v>
      </c>
      <c r="L1847">
        <f t="shared" si="173"/>
        <v>28</v>
      </c>
    </row>
    <row r="1848" spans="1:12" x14ac:dyDescent="0.3">
      <c r="A1848">
        <v>182085396</v>
      </c>
      <c r="B1848" s="1">
        <v>45043</v>
      </c>
      <c r="C1848" s="1">
        <v>45080</v>
      </c>
      <c r="D1848" t="s">
        <v>7</v>
      </c>
      <c r="E1848">
        <v>39</v>
      </c>
      <c r="F1848" t="s">
        <v>6</v>
      </c>
      <c r="G1848">
        <f t="shared" si="168"/>
        <v>37</v>
      </c>
      <c r="H1848" s="1" t="str">
        <f t="shared" si="169"/>
        <v>Thursday</v>
      </c>
      <c r="I1848" t="str">
        <f t="shared" si="170"/>
        <v>No</v>
      </c>
      <c r="J1848">
        <f t="shared" si="171"/>
        <v>0</v>
      </c>
      <c r="K1848">
        <f t="shared" si="172"/>
        <v>1</v>
      </c>
      <c r="L1848">
        <f t="shared" si="173"/>
        <v>37</v>
      </c>
    </row>
    <row r="1849" spans="1:12" x14ac:dyDescent="0.3">
      <c r="A1849">
        <v>214519010</v>
      </c>
      <c r="B1849" s="1">
        <v>45043</v>
      </c>
      <c r="C1849" s="1">
        <v>45074</v>
      </c>
      <c r="D1849" t="s">
        <v>7</v>
      </c>
      <c r="E1849">
        <v>39</v>
      </c>
      <c r="F1849" t="s">
        <v>6</v>
      </c>
      <c r="G1849">
        <f t="shared" si="168"/>
        <v>31</v>
      </c>
      <c r="H1849" s="1" t="str">
        <f t="shared" si="169"/>
        <v>Thursday</v>
      </c>
      <c r="I1849" t="str">
        <f t="shared" si="170"/>
        <v>No</v>
      </c>
      <c r="J1849">
        <f t="shared" si="171"/>
        <v>0</v>
      </c>
      <c r="K1849">
        <f t="shared" si="172"/>
        <v>1</v>
      </c>
      <c r="L1849">
        <f t="shared" si="173"/>
        <v>31</v>
      </c>
    </row>
    <row r="1850" spans="1:12" ht="14.4" customHeight="1" x14ac:dyDescent="0.3">
      <c r="A1850">
        <v>148657735</v>
      </c>
      <c r="B1850" s="1">
        <v>45043</v>
      </c>
      <c r="C1850" s="1">
        <v>45072</v>
      </c>
      <c r="D1850" t="s">
        <v>7</v>
      </c>
      <c r="E1850">
        <v>39</v>
      </c>
      <c r="F1850" t="s">
        <v>6</v>
      </c>
      <c r="G1850">
        <f t="shared" si="168"/>
        <v>29</v>
      </c>
      <c r="H1850" s="1" t="str">
        <f t="shared" si="169"/>
        <v>Thursday</v>
      </c>
      <c r="I1850" t="str">
        <f t="shared" si="170"/>
        <v>No</v>
      </c>
      <c r="J1850">
        <f t="shared" si="171"/>
        <v>0</v>
      </c>
      <c r="K1850">
        <f t="shared" si="172"/>
        <v>0</v>
      </c>
      <c r="L1850">
        <f t="shared" si="173"/>
        <v>29</v>
      </c>
    </row>
    <row r="1851" spans="1:12" ht="14.4" customHeight="1" x14ac:dyDescent="0.3">
      <c r="A1851">
        <v>214555461</v>
      </c>
      <c r="B1851" s="1">
        <v>45044</v>
      </c>
      <c r="D1851" t="s">
        <v>7</v>
      </c>
      <c r="E1851">
        <v>39</v>
      </c>
      <c r="F1851" t="s">
        <v>6</v>
      </c>
      <c r="G1851" t="str">
        <f t="shared" si="168"/>
        <v/>
      </c>
      <c r="H1851" s="1" t="str">
        <f t="shared" si="169"/>
        <v>Friday</v>
      </c>
      <c r="I1851" t="str">
        <f t="shared" si="170"/>
        <v>No</v>
      </c>
      <c r="J1851">
        <f t="shared" si="171"/>
        <v>0</v>
      </c>
      <c r="K1851">
        <f t="shared" si="172"/>
        <v>0</v>
      </c>
      <c r="L1851" t="str">
        <f t="shared" si="173"/>
        <v/>
      </c>
    </row>
    <row r="1852" spans="1:12" ht="14.4" customHeight="1" x14ac:dyDescent="0.3">
      <c r="A1852">
        <v>148042512</v>
      </c>
      <c r="B1852" s="1">
        <v>45044</v>
      </c>
      <c r="D1852" t="s">
        <v>7</v>
      </c>
      <c r="E1852">
        <v>39</v>
      </c>
      <c r="F1852" t="s">
        <v>6</v>
      </c>
      <c r="G1852" t="str">
        <f t="shared" si="168"/>
        <v/>
      </c>
      <c r="H1852" s="1" t="str">
        <f t="shared" si="169"/>
        <v>Friday</v>
      </c>
      <c r="I1852" t="str">
        <f t="shared" si="170"/>
        <v>No</v>
      </c>
      <c r="J1852">
        <f t="shared" si="171"/>
        <v>0</v>
      </c>
      <c r="K1852">
        <f t="shared" si="172"/>
        <v>0</v>
      </c>
      <c r="L1852" t="str">
        <f t="shared" si="173"/>
        <v/>
      </c>
    </row>
    <row r="1853" spans="1:12" ht="14.4" customHeight="1" x14ac:dyDescent="0.3">
      <c r="A1853">
        <v>214534717</v>
      </c>
      <c r="B1853" s="1">
        <v>45044</v>
      </c>
      <c r="D1853" t="s">
        <v>7</v>
      </c>
      <c r="E1853">
        <v>39</v>
      </c>
      <c r="F1853" t="s">
        <v>6</v>
      </c>
      <c r="G1853" t="str">
        <f t="shared" si="168"/>
        <v/>
      </c>
      <c r="H1853" s="1" t="str">
        <f t="shared" si="169"/>
        <v>Friday</v>
      </c>
      <c r="I1853" t="str">
        <f t="shared" si="170"/>
        <v>No</v>
      </c>
      <c r="J1853">
        <f t="shared" si="171"/>
        <v>0</v>
      </c>
      <c r="K1853">
        <f t="shared" si="172"/>
        <v>0</v>
      </c>
      <c r="L1853" t="str">
        <f t="shared" si="173"/>
        <v/>
      </c>
    </row>
    <row r="1854" spans="1:12" x14ac:dyDescent="0.3">
      <c r="A1854">
        <v>211223610</v>
      </c>
      <c r="B1854" s="1">
        <v>45044</v>
      </c>
      <c r="C1854" s="1">
        <v>45112</v>
      </c>
      <c r="D1854" t="s">
        <v>7</v>
      </c>
      <c r="E1854">
        <v>39</v>
      </c>
      <c r="F1854" t="s">
        <v>6</v>
      </c>
      <c r="G1854">
        <f t="shared" si="168"/>
        <v>68</v>
      </c>
      <c r="H1854" s="1" t="str">
        <f t="shared" si="169"/>
        <v>Friday</v>
      </c>
      <c r="I1854" t="str">
        <f t="shared" si="170"/>
        <v>No</v>
      </c>
      <c r="J1854">
        <f t="shared" si="171"/>
        <v>0</v>
      </c>
      <c r="K1854">
        <f t="shared" si="172"/>
        <v>1</v>
      </c>
      <c r="L1854">
        <f t="shared" si="173"/>
        <v>68</v>
      </c>
    </row>
    <row r="1855" spans="1:12" x14ac:dyDescent="0.3">
      <c r="A1855">
        <v>214444866</v>
      </c>
      <c r="B1855" s="1">
        <v>45044</v>
      </c>
      <c r="C1855" s="1">
        <v>45105</v>
      </c>
      <c r="D1855" t="s">
        <v>7</v>
      </c>
      <c r="E1855">
        <v>39</v>
      </c>
      <c r="F1855" t="s">
        <v>6</v>
      </c>
      <c r="G1855">
        <f t="shared" si="168"/>
        <v>61</v>
      </c>
      <c r="H1855" s="1" t="str">
        <f t="shared" si="169"/>
        <v>Friday</v>
      </c>
      <c r="I1855" t="str">
        <f t="shared" si="170"/>
        <v>No</v>
      </c>
      <c r="J1855">
        <f t="shared" si="171"/>
        <v>0</v>
      </c>
      <c r="K1855">
        <f t="shared" si="172"/>
        <v>1</v>
      </c>
      <c r="L1855">
        <f t="shared" si="173"/>
        <v>61</v>
      </c>
    </row>
    <row r="1856" spans="1:12" x14ac:dyDescent="0.3">
      <c r="A1856">
        <v>206477826</v>
      </c>
      <c r="B1856" s="1">
        <v>45044</v>
      </c>
      <c r="C1856" s="1">
        <v>45081</v>
      </c>
      <c r="D1856" t="s">
        <v>7</v>
      </c>
      <c r="E1856">
        <v>39</v>
      </c>
      <c r="F1856" t="s">
        <v>6</v>
      </c>
      <c r="G1856">
        <f t="shared" si="168"/>
        <v>37</v>
      </c>
      <c r="H1856" s="1" t="str">
        <f t="shared" si="169"/>
        <v>Friday</v>
      </c>
      <c r="I1856" t="str">
        <f t="shared" si="170"/>
        <v>No</v>
      </c>
      <c r="J1856">
        <f t="shared" si="171"/>
        <v>0</v>
      </c>
      <c r="K1856">
        <f t="shared" si="172"/>
        <v>1</v>
      </c>
      <c r="L1856">
        <f t="shared" si="173"/>
        <v>37</v>
      </c>
    </row>
    <row r="1857" spans="1:12" ht="14.4" customHeight="1" x14ac:dyDescent="0.3">
      <c r="A1857">
        <v>214589440</v>
      </c>
      <c r="B1857" s="1">
        <v>45044</v>
      </c>
      <c r="C1857" s="1">
        <v>45074</v>
      </c>
      <c r="D1857" t="s">
        <v>7</v>
      </c>
      <c r="E1857">
        <v>39</v>
      </c>
      <c r="F1857" t="s">
        <v>6</v>
      </c>
      <c r="G1857">
        <f t="shared" si="168"/>
        <v>30</v>
      </c>
      <c r="H1857" s="1" t="str">
        <f t="shared" si="169"/>
        <v>Friday</v>
      </c>
      <c r="I1857" t="str">
        <f t="shared" si="170"/>
        <v>No</v>
      </c>
      <c r="J1857">
        <f t="shared" si="171"/>
        <v>0</v>
      </c>
      <c r="K1857">
        <f t="shared" si="172"/>
        <v>0</v>
      </c>
      <c r="L1857">
        <f t="shared" si="173"/>
        <v>30</v>
      </c>
    </row>
    <row r="1858" spans="1:12" x14ac:dyDescent="0.3">
      <c r="A1858">
        <v>214516527</v>
      </c>
      <c r="B1858" s="1">
        <v>45044</v>
      </c>
      <c r="C1858" s="1">
        <v>45075</v>
      </c>
      <c r="D1858" t="s">
        <v>7</v>
      </c>
      <c r="E1858">
        <v>39</v>
      </c>
      <c r="F1858" t="s">
        <v>6</v>
      </c>
      <c r="G1858">
        <f t="shared" ref="G1858:G1921" si="174">IF(C1858="","",C1858-B1858)</f>
        <v>31</v>
      </c>
      <c r="H1858" s="1" t="str">
        <f t="shared" si="169"/>
        <v>Friday</v>
      </c>
      <c r="I1858" t="str">
        <f t="shared" si="170"/>
        <v>No</v>
      </c>
      <c r="J1858">
        <f t="shared" si="171"/>
        <v>0</v>
      </c>
      <c r="K1858">
        <f t="shared" si="172"/>
        <v>1</v>
      </c>
      <c r="L1858">
        <f t="shared" si="173"/>
        <v>31</v>
      </c>
    </row>
    <row r="1859" spans="1:12" ht="14.4" customHeight="1" x14ac:dyDescent="0.3">
      <c r="A1859">
        <v>158980862</v>
      </c>
      <c r="B1859" s="1">
        <v>45044</v>
      </c>
      <c r="C1859" s="1">
        <v>45063</v>
      </c>
      <c r="D1859" t="s">
        <v>7</v>
      </c>
      <c r="E1859">
        <v>39</v>
      </c>
      <c r="F1859" t="s">
        <v>6</v>
      </c>
      <c r="G1859">
        <f t="shared" si="174"/>
        <v>19</v>
      </c>
      <c r="H1859" s="1" t="str">
        <f t="shared" ref="H1859:H1922" si="175">TEXT(B1859,"dddd")</f>
        <v>Friday</v>
      </c>
      <c r="I1859" t="str">
        <f t="shared" ref="I1859:I1922" si="176">IF(B1859=C1859,"Yes","No")</f>
        <v>No</v>
      </c>
      <c r="J1859">
        <f t="shared" ref="J1859:J1922" si="177">IF(AND(C1859&lt;&gt;"",C1859-B1859&lt;=2),1,0)</f>
        <v>0</v>
      </c>
      <c r="K1859">
        <f t="shared" ref="K1859:K1922" si="178">IF(AND(C1859&lt;&gt;"",C1859-B1859&gt;30),1,0)</f>
        <v>0</v>
      </c>
      <c r="L1859">
        <f t="shared" ref="L1859:L1922" si="179">IF(C1859="","",C1859-B1859)</f>
        <v>19</v>
      </c>
    </row>
    <row r="1860" spans="1:12" ht="14.4" customHeight="1" x14ac:dyDescent="0.3">
      <c r="A1860">
        <v>144769275</v>
      </c>
      <c r="B1860" s="1">
        <v>45044</v>
      </c>
      <c r="C1860" s="1">
        <v>45044</v>
      </c>
      <c r="D1860" t="s">
        <v>7</v>
      </c>
      <c r="E1860">
        <v>39</v>
      </c>
      <c r="F1860" t="s">
        <v>6</v>
      </c>
      <c r="G1860">
        <f t="shared" si="174"/>
        <v>0</v>
      </c>
      <c r="H1860" s="1" t="str">
        <f t="shared" si="175"/>
        <v>Friday</v>
      </c>
      <c r="I1860" t="str">
        <f t="shared" si="176"/>
        <v>Yes</v>
      </c>
      <c r="J1860">
        <f t="shared" si="177"/>
        <v>1</v>
      </c>
      <c r="K1860">
        <f t="shared" si="178"/>
        <v>0</v>
      </c>
      <c r="L1860">
        <f t="shared" si="179"/>
        <v>0</v>
      </c>
    </row>
    <row r="1861" spans="1:12" x14ac:dyDescent="0.3">
      <c r="A1861">
        <v>214508205</v>
      </c>
      <c r="B1861" s="1">
        <v>45044</v>
      </c>
      <c r="C1861" s="1">
        <v>45111</v>
      </c>
      <c r="D1861" t="s">
        <v>7</v>
      </c>
      <c r="E1861">
        <v>39</v>
      </c>
      <c r="F1861" t="s">
        <v>6</v>
      </c>
      <c r="G1861">
        <f t="shared" si="174"/>
        <v>67</v>
      </c>
      <c r="H1861" s="1" t="str">
        <f t="shared" si="175"/>
        <v>Friday</v>
      </c>
      <c r="I1861" t="str">
        <f t="shared" si="176"/>
        <v>No</v>
      </c>
      <c r="J1861">
        <f t="shared" si="177"/>
        <v>0</v>
      </c>
      <c r="K1861">
        <f t="shared" si="178"/>
        <v>1</v>
      </c>
      <c r="L1861">
        <f t="shared" si="179"/>
        <v>67</v>
      </c>
    </row>
    <row r="1862" spans="1:12" ht="14.4" customHeight="1" x14ac:dyDescent="0.3">
      <c r="A1862">
        <v>156178486</v>
      </c>
      <c r="B1862" s="1">
        <v>45045</v>
      </c>
      <c r="D1862" t="s">
        <v>7</v>
      </c>
      <c r="E1862">
        <v>39</v>
      </c>
      <c r="F1862" t="s">
        <v>6</v>
      </c>
      <c r="G1862" t="str">
        <f t="shared" si="174"/>
        <v/>
      </c>
      <c r="H1862" s="1" t="str">
        <f t="shared" si="175"/>
        <v>Saturday</v>
      </c>
      <c r="I1862" t="str">
        <f t="shared" si="176"/>
        <v>No</v>
      </c>
      <c r="J1862">
        <f t="shared" si="177"/>
        <v>0</v>
      </c>
      <c r="K1862">
        <f t="shared" si="178"/>
        <v>0</v>
      </c>
      <c r="L1862" t="str">
        <f t="shared" si="179"/>
        <v/>
      </c>
    </row>
    <row r="1863" spans="1:12" x14ac:dyDescent="0.3">
      <c r="A1863">
        <v>214584458</v>
      </c>
      <c r="B1863" s="1">
        <v>45045</v>
      </c>
      <c r="C1863" s="1">
        <v>45127</v>
      </c>
      <c r="D1863" t="s">
        <v>7</v>
      </c>
      <c r="E1863">
        <v>39</v>
      </c>
      <c r="F1863" t="s">
        <v>6</v>
      </c>
      <c r="G1863">
        <f t="shared" si="174"/>
        <v>82</v>
      </c>
      <c r="H1863" s="1" t="str">
        <f t="shared" si="175"/>
        <v>Saturday</v>
      </c>
      <c r="I1863" t="str">
        <f t="shared" si="176"/>
        <v>No</v>
      </c>
      <c r="J1863">
        <f t="shared" si="177"/>
        <v>0</v>
      </c>
      <c r="K1863">
        <f t="shared" si="178"/>
        <v>1</v>
      </c>
      <c r="L1863">
        <f t="shared" si="179"/>
        <v>82</v>
      </c>
    </row>
    <row r="1864" spans="1:12" ht="14.4" customHeight="1" x14ac:dyDescent="0.3">
      <c r="A1864">
        <v>181935574</v>
      </c>
      <c r="B1864" s="1">
        <v>45046</v>
      </c>
      <c r="D1864" t="s">
        <v>7</v>
      </c>
      <c r="E1864">
        <v>39</v>
      </c>
      <c r="F1864" t="s">
        <v>6</v>
      </c>
      <c r="G1864" t="str">
        <f t="shared" si="174"/>
        <v/>
      </c>
      <c r="H1864" s="1" t="str">
        <f t="shared" si="175"/>
        <v>Sunday</v>
      </c>
      <c r="I1864" t="str">
        <f t="shared" si="176"/>
        <v>No</v>
      </c>
      <c r="J1864">
        <f t="shared" si="177"/>
        <v>0</v>
      </c>
      <c r="K1864">
        <f t="shared" si="178"/>
        <v>0</v>
      </c>
      <c r="L1864" t="str">
        <f t="shared" si="179"/>
        <v/>
      </c>
    </row>
    <row r="1865" spans="1:12" ht="14.4" customHeight="1" x14ac:dyDescent="0.3">
      <c r="A1865">
        <v>153006404</v>
      </c>
      <c r="B1865" s="1">
        <v>45046</v>
      </c>
      <c r="C1865" s="1">
        <v>45066</v>
      </c>
      <c r="D1865" t="s">
        <v>7</v>
      </c>
      <c r="E1865">
        <v>39</v>
      </c>
      <c r="F1865" t="s">
        <v>6</v>
      </c>
      <c r="G1865">
        <f t="shared" si="174"/>
        <v>20</v>
      </c>
      <c r="H1865" s="1" t="str">
        <f t="shared" si="175"/>
        <v>Sunday</v>
      </c>
      <c r="I1865" t="str">
        <f t="shared" si="176"/>
        <v>No</v>
      </c>
      <c r="J1865">
        <f t="shared" si="177"/>
        <v>0</v>
      </c>
      <c r="K1865">
        <f t="shared" si="178"/>
        <v>0</v>
      </c>
      <c r="L1865">
        <f t="shared" si="179"/>
        <v>20</v>
      </c>
    </row>
    <row r="1866" spans="1:12" x14ac:dyDescent="0.3">
      <c r="A1866">
        <v>214423891</v>
      </c>
      <c r="B1866" s="1">
        <v>45046</v>
      </c>
      <c r="C1866" s="1">
        <v>45079</v>
      </c>
      <c r="D1866" t="s">
        <v>7</v>
      </c>
      <c r="E1866">
        <v>39</v>
      </c>
      <c r="F1866" t="s">
        <v>6</v>
      </c>
      <c r="G1866">
        <f t="shared" si="174"/>
        <v>33</v>
      </c>
      <c r="H1866" s="1" t="str">
        <f t="shared" si="175"/>
        <v>Sunday</v>
      </c>
      <c r="I1866" t="str">
        <f t="shared" si="176"/>
        <v>No</v>
      </c>
      <c r="J1866">
        <f t="shared" si="177"/>
        <v>0</v>
      </c>
      <c r="K1866">
        <f t="shared" si="178"/>
        <v>1</v>
      </c>
      <c r="L1866">
        <f t="shared" si="179"/>
        <v>33</v>
      </c>
    </row>
    <row r="1867" spans="1:12" x14ac:dyDescent="0.3">
      <c r="A1867">
        <v>214510838</v>
      </c>
      <c r="B1867" s="1">
        <v>45046</v>
      </c>
      <c r="C1867" s="1">
        <v>45083</v>
      </c>
      <c r="D1867" t="s">
        <v>7</v>
      </c>
      <c r="E1867">
        <v>39</v>
      </c>
      <c r="F1867" t="s">
        <v>6</v>
      </c>
      <c r="G1867">
        <f t="shared" si="174"/>
        <v>37</v>
      </c>
      <c r="H1867" s="1" t="str">
        <f t="shared" si="175"/>
        <v>Sunday</v>
      </c>
      <c r="I1867" t="str">
        <f t="shared" si="176"/>
        <v>No</v>
      </c>
      <c r="J1867">
        <f t="shared" si="177"/>
        <v>0</v>
      </c>
      <c r="K1867">
        <f t="shared" si="178"/>
        <v>1</v>
      </c>
      <c r="L1867">
        <f t="shared" si="179"/>
        <v>37</v>
      </c>
    </row>
    <row r="1868" spans="1:12" ht="14.4" customHeight="1" x14ac:dyDescent="0.3">
      <c r="A1868">
        <v>211383216</v>
      </c>
      <c r="B1868" s="1">
        <v>45046</v>
      </c>
      <c r="C1868" s="1">
        <v>45048</v>
      </c>
      <c r="D1868" t="s">
        <v>7</v>
      </c>
      <c r="E1868">
        <v>39</v>
      </c>
      <c r="F1868" t="s">
        <v>6</v>
      </c>
      <c r="G1868">
        <f t="shared" si="174"/>
        <v>2</v>
      </c>
      <c r="H1868" s="1" t="str">
        <f t="shared" si="175"/>
        <v>Sunday</v>
      </c>
      <c r="I1868" t="str">
        <f t="shared" si="176"/>
        <v>No</v>
      </c>
      <c r="J1868">
        <f t="shared" si="177"/>
        <v>1</v>
      </c>
      <c r="K1868">
        <f t="shared" si="178"/>
        <v>0</v>
      </c>
      <c r="L1868">
        <f t="shared" si="179"/>
        <v>2</v>
      </c>
    </row>
    <row r="1869" spans="1:12" ht="14.4" customHeight="1" x14ac:dyDescent="0.3">
      <c r="A1869">
        <v>214641741</v>
      </c>
      <c r="B1869" s="1">
        <v>45046</v>
      </c>
      <c r="C1869" s="1">
        <v>45047</v>
      </c>
      <c r="D1869" t="s">
        <v>7</v>
      </c>
      <c r="E1869">
        <v>39</v>
      </c>
      <c r="F1869" t="s">
        <v>6</v>
      </c>
      <c r="G1869">
        <f t="shared" si="174"/>
        <v>1</v>
      </c>
      <c r="H1869" s="1" t="str">
        <f t="shared" si="175"/>
        <v>Sunday</v>
      </c>
      <c r="I1869" t="str">
        <f t="shared" si="176"/>
        <v>No</v>
      </c>
      <c r="J1869">
        <f t="shared" si="177"/>
        <v>1</v>
      </c>
      <c r="K1869">
        <f t="shared" si="178"/>
        <v>0</v>
      </c>
      <c r="L1869">
        <f t="shared" si="179"/>
        <v>1</v>
      </c>
    </row>
    <row r="1870" spans="1:12" x14ac:dyDescent="0.3">
      <c r="A1870">
        <v>214643362</v>
      </c>
      <c r="B1870" s="1">
        <v>45046</v>
      </c>
      <c r="C1870" s="1">
        <v>45107</v>
      </c>
      <c r="D1870" t="s">
        <v>7</v>
      </c>
      <c r="E1870">
        <v>39</v>
      </c>
      <c r="F1870" t="s">
        <v>6</v>
      </c>
      <c r="G1870">
        <f t="shared" si="174"/>
        <v>61</v>
      </c>
      <c r="H1870" s="1" t="str">
        <f t="shared" si="175"/>
        <v>Sunday</v>
      </c>
      <c r="I1870" t="str">
        <f t="shared" si="176"/>
        <v>No</v>
      </c>
      <c r="J1870">
        <f t="shared" si="177"/>
        <v>0</v>
      </c>
      <c r="K1870">
        <f t="shared" si="178"/>
        <v>1</v>
      </c>
      <c r="L1870">
        <f t="shared" si="179"/>
        <v>61</v>
      </c>
    </row>
    <row r="1871" spans="1:12" ht="14.4" customHeight="1" x14ac:dyDescent="0.3">
      <c r="A1871">
        <v>214419772</v>
      </c>
      <c r="B1871" s="1">
        <v>45047</v>
      </c>
      <c r="D1871" t="s">
        <v>7</v>
      </c>
      <c r="E1871">
        <v>39</v>
      </c>
      <c r="F1871" t="s">
        <v>6</v>
      </c>
      <c r="G1871" t="str">
        <f t="shared" si="174"/>
        <v/>
      </c>
      <c r="H1871" s="1" t="str">
        <f t="shared" si="175"/>
        <v>Monday</v>
      </c>
      <c r="I1871" t="str">
        <f t="shared" si="176"/>
        <v>No</v>
      </c>
      <c r="J1871">
        <f t="shared" si="177"/>
        <v>0</v>
      </c>
      <c r="K1871">
        <f t="shared" si="178"/>
        <v>0</v>
      </c>
      <c r="L1871" t="str">
        <f t="shared" si="179"/>
        <v/>
      </c>
    </row>
    <row r="1872" spans="1:12" ht="14.4" customHeight="1" x14ac:dyDescent="0.3">
      <c r="A1872">
        <v>213227787</v>
      </c>
      <c r="B1872" s="1">
        <v>45047</v>
      </c>
      <c r="D1872" t="s">
        <v>7</v>
      </c>
      <c r="E1872">
        <v>39</v>
      </c>
      <c r="F1872" t="s">
        <v>6</v>
      </c>
      <c r="G1872" t="str">
        <f t="shared" si="174"/>
        <v/>
      </c>
      <c r="H1872" s="1" t="str">
        <f t="shared" si="175"/>
        <v>Monday</v>
      </c>
      <c r="I1872" t="str">
        <f t="shared" si="176"/>
        <v>No</v>
      </c>
      <c r="J1872">
        <f t="shared" si="177"/>
        <v>0</v>
      </c>
      <c r="K1872">
        <f t="shared" si="178"/>
        <v>0</v>
      </c>
      <c r="L1872" t="str">
        <f t="shared" si="179"/>
        <v/>
      </c>
    </row>
    <row r="1873" spans="1:12" ht="14.4" customHeight="1" x14ac:dyDescent="0.3">
      <c r="A1873">
        <v>214666572</v>
      </c>
      <c r="B1873" s="1">
        <v>45047</v>
      </c>
      <c r="D1873" t="s">
        <v>7</v>
      </c>
      <c r="E1873">
        <v>39</v>
      </c>
      <c r="F1873" t="s">
        <v>6</v>
      </c>
      <c r="G1873" t="str">
        <f t="shared" si="174"/>
        <v/>
      </c>
      <c r="H1873" s="1" t="str">
        <f t="shared" si="175"/>
        <v>Monday</v>
      </c>
      <c r="I1873" t="str">
        <f t="shared" si="176"/>
        <v>No</v>
      </c>
      <c r="J1873">
        <f t="shared" si="177"/>
        <v>0</v>
      </c>
      <c r="K1873">
        <f t="shared" si="178"/>
        <v>0</v>
      </c>
      <c r="L1873" t="str">
        <f t="shared" si="179"/>
        <v/>
      </c>
    </row>
    <row r="1874" spans="1:12" x14ac:dyDescent="0.3">
      <c r="A1874">
        <v>126780716</v>
      </c>
      <c r="B1874" s="1">
        <v>45047</v>
      </c>
      <c r="C1874" s="1">
        <v>45078</v>
      </c>
      <c r="D1874" t="s">
        <v>7</v>
      </c>
      <c r="E1874">
        <v>39</v>
      </c>
      <c r="F1874" t="s">
        <v>6</v>
      </c>
      <c r="G1874">
        <f t="shared" si="174"/>
        <v>31</v>
      </c>
      <c r="H1874" s="1" t="str">
        <f t="shared" si="175"/>
        <v>Monday</v>
      </c>
      <c r="I1874" t="str">
        <f t="shared" si="176"/>
        <v>No</v>
      </c>
      <c r="J1874">
        <f t="shared" si="177"/>
        <v>0</v>
      </c>
      <c r="K1874">
        <f t="shared" si="178"/>
        <v>1</v>
      </c>
      <c r="L1874">
        <f t="shared" si="179"/>
        <v>31</v>
      </c>
    </row>
    <row r="1875" spans="1:12" x14ac:dyDescent="0.3">
      <c r="A1875">
        <v>214682826</v>
      </c>
      <c r="B1875" s="1">
        <v>45047</v>
      </c>
      <c r="C1875" s="1">
        <v>45078</v>
      </c>
      <c r="D1875" t="s">
        <v>7</v>
      </c>
      <c r="E1875">
        <v>39</v>
      </c>
      <c r="F1875" t="s">
        <v>6</v>
      </c>
      <c r="G1875">
        <f t="shared" si="174"/>
        <v>31</v>
      </c>
      <c r="H1875" s="1" t="str">
        <f t="shared" si="175"/>
        <v>Monday</v>
      </c>
      <c r="I1875" t="str">
        <f t="shared" si="176"/>
        <v>No</v>
      </c>
      <c r="J1875">
        <f t="shared" si="177"/>
        <v>0</v>
      </c>
      <c r="K1875">
        <f t="shared" si="178"/>
        <v>1</v>
      </c>
      <c r="L1875">
        <f t="shared" si="179"/>
        <v>31</v>
      </c>
    </row>
    <row r="1876" spans="1:12" ht="14.4" customHeight="1" x14ac:dyDescent="0.3">
      <c r="A1876">
        <v>212392663</v>
      </c>
      <c r="B1876" s="1">
        <v>45047</v>
      </c>
      <c r="C1876" s="1">
        <v>45070</v>
      </c>
      <c r="D1876" t="s">
        <v>7</v>
      </c>
      <c r="E1876">
        <v>39</v>
      </c>
      <c r="F1876" t="s">
        <v>6</v>
      </c>
      <c r="G1876">
        <f t="shared" si="174"/>
        <v>23</v>
      </c>
      <c r="H1876" s="1" t="str">
        <f t="shared" si="175"/>
        <v>Monday</v>
      </c>
      <c r="I1876" t="str">
        <f t="shared" si="176"/>
        <v>No</v>
      </c>
      <c r="J1876">
        <f t="shared" si="177"/>
        <v>0</v>
      </c>
      <c r="K1876">
        <f t="shared" si="178"/>
        <v>0</v>
      </c>
      <c r="L1876">
        <f t="shared" si="179"/>
        <v>23</v>
      </c>
    </row>
    <row r="1877" spans="1:12" x14ac:dyDescent="0.3">
      <c r="A1877">
        <v>147118133</v>
      </c>
      <c r="B1877" s="1">
        <v>45047</v>
      </c>
      <c r="C1877" s="1">
        <v>45146</v>
      </c>
      <c r="D1877" t="s">
        <v>7</v>
      </c>
      <c r="E1877">
        <v>39</v>
      </c>
      <c r="F1877" t="s">
        <v>6</v>
      </c>
      <c r="G1877">
        <f t="shared" si="174"/>
        <v>99</v>
      </c>
      <c r="H1877" s="1" t="str">
        <f t="shared" si="175"/>
        <v>Monday</v>
      </c>
      <c r="I1877" t="str">
        <f t="shared" si="176"/>
        <v>No</v>
      </c>
      <c r="J1877">
        <f t="shared" si="177"/>
        <v>0</v>
      </c>
      <c r="K1877">
        <f t="shared" si="178"/>
        <v>1</v>
      </c>
      <c r="L1877">
        <f t="shared" si="179"/>
        <v>99</v>
      </c>
    </row>
    <row r="1878" spans="1:12" ht="14.4" customHeight="1" x14ac:dyDescent="0.3">
      <c r="A1878">
        <v>157031617</v>
      </c>
      <c r="B1878" s="1">
        <v>45048</v>
      </c>
      <c r="D1878" t="s">
        <v>7</v>
      </c>
      <c r="E1878">
        <v>39</v>
      </c>
      <c r="F1878" t="s">
        <v>6</v>
      </c>
      <c r="G1878" t="str">
        <f t="shared" si="174"/>
        <v/>
      </c>
      <c r="H1878" s="1" t="str">
        <f t="shared" si="175"/>
        <v>Tuesday</v>
      </c>
      <c r="I1878" t="str">
        <f t="shared" si="176"/>
        <v>No</v>
      </c>
      <c r="J1878">
        <f t="shared" si="177"/>
        <v>0</v>
      </c>
      <c r="K1878">
        <f t="shared" si="178"/>
        <v>0</v>
      </c>
      <c r="L1878" t="str">
        <f t="shared" si="179"/>
        <v/>
      </c>
    </row>
    <row r="1879" spans="1:12" ht="14.4" customHeight="1" x14ac:dyDescent="0.3">
      <c r="A1879">
        <v>211958379</v>
      </c>
      <c r="B1879" s="1">
        <v>45048</v>
      </c>
      <c r="D1879" t="s">
        <v>7</v>
      </c>
      <c r="E1879">
        <v>39</v>
      </c>
      <c r="F1879" t="s">
        <v>6</v>
      </c>
      <c r="G1879" t="str">
        <f t="shared" si="174"/>
        <v/>
      </c>
      <c r="H1879" s="1" t="str">
        <f t="shared" si="175"/>
        <v>Tuesday</v>
      </c>
      <c r="I1879" t="str">
        <f t="shared" si="176"/>
        <v>No</v>
      </c>
      <c r="J1879">
        <f t="shared" si="177"/>
        <v>0</v>
      </c>
      <c r="K1879">
        <f t="shared" si="178"/>
        <v>0</v>
      </c>
      <c r="L1879" t="str">
        <f t="shared" si="179"/>
        <v/>
      </c>
    </row>
    <row r="1880" spans="1:12" ht="14.4" customHeight="1" x14ac:dyDescent="0.3">
      <c r="A1880">
        <v>152310842</v>
      </c>
      <c r="B1880" s="1">
        <v>45048</v>
      </c>
      <c r="D1880" t="s">
        <v>7</v>
      </c>
      <c r="E1880">
        <v>39</v>
      </c>
      <c r="F1880" t="s">
        <v>6</v>
      </c>
      <c r="G1880" t="str">
        <f t="shared" si="174"/>
        <v/>
      </c>
      <c r="H1880" s="1" t="str">
        <f t="shared" si="175"/>
        <v>Tuesday</v>
      </c>
      <c r="I1880" t="str">
        <f t="shared" si="176"/>
        <v>No</v>
      </c>
      <c r="J1880">
        <f t="shared" si="177"/>
        <v>0</v>
      </c>
      <c r="K1880">
        <f t="shared" si="178"/>
        <v>0</v>
      </c>
      <c r="L1880" t="str">
        <f t="shared" si="179"/>
        <v/>
      </c>
    </row>
    <row r="1881" spans="1:12" ht="14.4" customHeight="1" x14ac:dyDescent="0.3">
      <c r="A1881">
        <v>214711907</v>
      </c>
      <c r="B1881" s="1">
        <v>45048</v>
      </c>
      <c r="D1881" t="s">
        <v>7</v>
      </c>
      <c r="E1881">
        <v>39</v>
      </c>
      <c r="F1881" t="s">
        <v>6</v>
      </c>
      <c r="G1881" t="str">
        <f t="shared" si="174"/>
        <v/>
      </c>
      <c r="H1881" s="1" t="str">
        <f t="shared" si="175"/>
        <v>Tuesday</v>
      </c>
      <c r="I1881" t="str">
        <f t="shared" si="176"/>
        <v>No</v>
      </c>
      <c r="J1881">
        <f t="shared" si="177"/>
        <v>0</v>
      </c>
      <c r="K1881">
        <f t="shared" si="178"/>
        <v>0</v>
      </c>
      <c r="L1881" t="str">
        <f t="shared" si="179"/>
        <v/>
      </c>
    </row>
    <row r="1882" spans="1:12" ht="14.4" customHeight="1" x14ac:dyDescent="0.3">
      <c r="A1882">
        <v>150342446</v>
      </c>
      <c r="B1882" s="1">
        <v>45048</v>
      </c>
      <c r="C1882" s="1">
        <v>45049</v>
      </c>
      <c r="D1882" t="s">
        <v>7</v>
      </c>
      <c r="E1882">
        <v>39</v>
      </c>
      <c r="F1882" t="s">
        <v>6</v>
      </c>
      <c r="G1882">
        <f t="shared" si="174"/>
        <v>1</v>
      </c>
      <c r="H1882" s="1" t="str">
        <f t="shared" si="175"/>
        <v>Tuesday</v>
      </c>
      <c r="I1882" t="str">
        <f t="shared" si="176"/>
        <v>No</v>
      </c>
      <c r="J1882">
        <f t="shared" si="177"/>
        <v>1</v>
      </c>
      <c r="K1882">
        <f t="shared" si="178"/>
        <v>0</v>
      </c>
      <c r="L1882">
        <f t="shared" si="179"/>
        <v>1</v>
      </c>
    </row>
    <row r="1883" spans="1:12" x14ac:dyDescent="0.3">
      <c r="A1883">
        <v>214741130</v>
      </c>
      <c r="B1883" s="1">
        <v>45048</v>
      </c>
      <c r="C1883" s="1">
        <v>45116</v>
      </c>
      <c r="D1883" t="s">
        <v>7</v>
      </c>
      <c r="E1883">
        <v>39</v>
      </c>
      <c r="F1883" t="s">
        <v>6</v>
      </c>
      <c r="G1883">
        <f t="shared" si="174"/>
        <v>68</v>
      </c>
      <c r="H1883" s="1" t="str">
        <f t="shared" si="175"/>
        <v>Tuesday</v>
      </c>
      <c r="I1883" t="str">
        <f t="shared" si="176"/>
        <v>No</v>
      </c>
      <c r="J1883">
        <f t="shared" si="177"/>
        <v>0</v>
      </c>
      <c r="K1883">
        <f t="shared" si="178"/>
        <v>1</v>
      </c>
      <c r="L1883">
        <f t="shared" si="179"/>
        <v>68</v>
      </c>
    </row>
    <row r="1884" spans="1:12" x14ac:dyDescent="0.3">
      <c r="A1884">
        <v>214734037</v>
      </c>
      <c r="B1884" s="1">
        <v>45048</v>
      </c>
      <c r="C1884" s="1">
        <v>45096</v>
      </c>
      <c r="D1884" t="s">
        <v>7</v>
      </c>
      <c r="E1884">
        <v>39</v>
      </c>
      <c r="F1884" t="s">
        <v>6</v>
      </c>
      <c r="G1884">
        <f t="shared" si="174"/>
        <v>48</v>
      </c>
      <c r="H1884" s="1" t="str">
        <f t="shared" si="175"/>
        <v>Tuesday</v>
      </c>
      <c r="I1884" t="str">
        <f t="shared" si="176"/>
        <v>No</v>
      </c>
      <c r="J1884">
        <f t="shared" si="177"/>
        <v>0</v>
      </c>
      <c r="K1884">
        <f t="shared" si="178"/>
        <v>1</v>
      </c>
      <c r="L1884">
        <f t="shared" si="179"/>
        <v>48</v>
      </c>
    </row>
    <row r="1885" spans="1:12" x14ac:dyDescent="0.3">
      <c r="A1885">
        <v>214500293</v>
      </c>
      <c r="B1885" s="1">
        <v>45048</v>
      </c>
      <c r="C1885" s="1">
        <v>45083</v>
      </c>
      <c r="D1885" t="s">
        <v>7</v>
      </c>
      <c r="E1885">
        <v>39</v>
      </c>
      <c r="F1885" t="s">
        <v>6</v>
      </c>
      <c r="G1885">
        <f t="shared" si="174"/>
        <v>35</v>
      </c>
      <c r="H1885" s="1" t="str">
        <f t="shared" si="175"/>
        <v>Tuesday</v>
      </c>
      <c r="I1885" t="str">
        <f t="shared" si="176"/>
        <v>No</v>
      </c>
      <c r="J1885">
        <f t="shared" si="177"/>
        <v>0</v>
      </c>
      <c r="K1885">
        <f t="shared" si="178"/>
        <v>1</v>
      </c>
      <c r="L1885">
        <f t="shared" si="179"/>
        <v>35</v>
      </c>
    </row>
    <row r="1886" spans="1:12" x14ac:dyDescent="0.3">
      <c r="A1886">
        <v>214587827</v>
      </c>
      <c r="B1886" s="1">
        <v>45048</v>
      </c>
      <c r="C1886" s="1">
        <v>45139</v>
      </c>
      <c r="D1886" t="s">
        <v>7</v>
      </c>
      <c r="E1886">
        <v>39</v>
      </c>
      <c r="F1886" t="s">
        <v>6</v>
      </c>
      <c r="G1886">
        <f t="shared" si="174"/>
        <v>91</v>
      </c>
      <c r="H1886" s="1" t="str">
        <f t="shared" si="175"/>
        <v>Tuesday</v>
      </c>
      <c r="I1886" t="str">
        <f t="shared" si="176"/>
        <v>No</v>
      </c>
      <c r="J1886">
        <f t="shared" si="177"/>
        <v>0</v>
      </c>
      <c r="K1886">
        <f t="shared" si="178"/>
        <v>1</v>
      </c>
      <c r="L1886">
        <f t="shared" si="179"/>
        <v>91</v>
      </c>
    </row>
    <row r="1887" spans="1:12" x14ac:dyDescent="0.3">
      <c r="A1887">
        <v>214739055</v>
      </c>
      <c r="B1887" s="1">
        <v>45048</v>
      </c>
      <c r="C1887" s="1">
        <v>45147</v>
      </c>
      <c r="D1887" t="s">
        <v>7</v>
      </c>
      <c r="E1887">
        <v>39</v>
      </c>
      <c r="F1887" t="s">
        <v>6</v>
      </c>
      <c r="G1887">
        <f t="shared" si="174"/>
        <v>99</v>
      </c>
      <c r="H1887" s="1" t="str">
        <f t="shared" si="175"/>
        <v>Tuesday</v>
      </c>
      <c r="I1887" t="str">
        <f t="shared" si="176"/>
        <v>No</v>
      </c>
      <c r="J1887">
        <f t="shared" si="177"/>
        <v>0</v>
      </c>
      <c r="K1887">
        <f t="shared" si="178"/>
        <v>1</v>
      </c>
      <c r="L1887">
        <f t="shared" si="179"/>
        <v>99</v>
      </c>
    </row>
    <row r="1888" spans="1:12" x14ac:dyDescent="0.3">
      <c r="A1888">
        <v>163103693</v>
      </c>
      <c r="B1888" s="1">
        <v>45048</v>
      </c>
      <c r="C1888" s="1">
        <v>45160</v>
      </c>
      <c r="D1888" t="s">
        <v>7</v>
      </c>
      <c r="E1888">
        <v>39</v>
      </c>
      <c r="F1888" t="s">
        <v>6</v>
      </c>
      <c r="G1888">
        <f t="shared" si="174"/>
        <v>112</v>
      </c>
      <c r="H1888" s="1" t="str">
        <f t="shared" si="175"/>
        <v>Tuesday</v>
      </c>
      <c r="I1888" t="str">
        <f t="shared" si="176"/>
        <v>No</v>
      </c>
      <c r="J1888">
        <f t="shared" si="177"/>
        <v>0</v>
      </c>
      <c r="K1888">
        <f t="shared" si="178"/>
        <v>1</v>
      </c>
      <c r="L1888">
        <f t="shared" si="179"/>
        <v>112</v>
      </c>
    </row>
    <row r="1889" spans="1:12" ht="14.4" customHeight="1" x14ac:dyDescent="0.3">
      <c r="A1889">
        <v>214483378</v>
      </c>
      <c r="B1889" s="1">
        <v>45049</v>
      </c>
      <c r="D1889" t="s">
        <v>7</v>
      </c>
      <c r="E1889">
        <v>39</v>
      </c>
      <c r="F1889" t="s">
        <v>6</v>
      </c>
      <c r="G1889" t="str">
        <f t="shared" si="174"/>
        <v/>
      </c>
      <c r="H1889" s="1" t="str">
        <f t="shared" si="175"/>
        <v>Wednesday</v>
      </c>
      <c r="I1889" t="str">
        <f t="shared" si="176"/>
        <v>No</v>
      </c>
      <c r="J1889">
        <f t="shared" si="177"/>
        <v>0</v>
      </c>
      <c r="K1889">
        <f t="shared" si="178"/>
        <v>0</v>
      </c>
      <c r="L1889" t="str">
        <f t="shared" si="179"/>
        <v/>
      </c>
    </row>
    <row r="1890" spans="1:12" ht="14.4" customHeight="1" x14ac:dyDescent="0.3">
      <c r="A1890">
        <v>157883110</v>
      </c>
      <c r="B1890" s="1">
        <v>45049</v>
      </c>
      <c r="D1890" t="s">
        <v>7</v>
      </c>
      <c r="E1890">
        <v>39</v>
      </c>
      <c r="F1890" t="s">
        <v>6</v>
      </c>
      <c r="G1890" t="str">
        <f t="shared" si="174"/>
        <v/>
      </c>
      <c r="H1890" s="1" t="str">
        <f t="shared" si="175"/>
        <v>Wednesday</v>
      </c>
      <c r="I1890" t="str">
        <f t="shared" si="176"/>
        <v>No</v>
      </c>
      <c r="J1890">
        <f t="shared" si="177"/>
        <v>0</v>
      </c>
      <c r="K1890">
        <f t="shared" si="178"/>
        <v>0</v>
      </c>
      <c r="L1890" t="str">
        <f t="shared" si="179"/>
        <v/>
      </c>
    </row>
    <row r="1891" spans="1:12" x14ac:dyDescent="0.3">
      <c r="A1891">
        <v>132424181</v>
      </c>
      <c r="B1891" s="1">
        <v>45049</v>
      </c>
      <c r="C1891" s="1">
        <v>45122</v>
      </c>
      <c r="D1891" t="s">
        <v>7</v>
      </c>
      <c r="E1891">
        <v>39</v>
      </c>
      <c r="F1891" t="s">
        <v>6</v>
      </c>
      <c r="G1891">
        <f t="shared" si="174"/>
        <v>73</v>
      </c>
      <c r="H1891" s="1" t="str">
        <f t="shared" si="175"/>
        <v>Wednesday</v>
      </c>
      <c r="I1891" t="str">
        <f t="shared" si="176"/>
        <v>No</v>
      </c>
      <c r="J1891">
        <f t="shared" si="177"/>
        <v>0</v>
      </c>
      <c r="K1891">
        <f t="shared" si="178"/>
        <v>1</v>
      </c>
      <c r="L1891">
        <f t="shared" si="179"/>
        <v>73</v>
      </c>
    </row>
    <row r="1892" spans="1:12" x14ac:dyDescent="0.3">
      <c r="A1892">
        <v>214805206</v>
      </c>
      <c r="B1892" s="1">
        <v>45049</v>
      </c>
      <c r="C1892" s="1">
        <v>45097</v>
      </c>
      <c r="D1892" t="s">
        <v>7</v>
      </c>
      <c r="E1892">
        <v>39</v>
      </c>
      <c r="F1892" t="s">
        <v>6</v>
      </c>
      <c r="G1892">
        <f t="shared" si="174"/>
        <v>48</v>
      </c>
      <c r="H1892" s="1" t="str">
        <f t="shared" si="175"/>
        <v>Wednesday</v>
      </c>
      <c r="I1892" t="str">
        <f t="shared" si="176"/>
        <v>No</v>
      </c>
      <c r="J1892">
        <f t="shared" si="177"/>
        <v>0</v>
      </c>
      <c r="K1892">
        <f t="shared" si="178"/>
        <v>1</v>
      </c>
      <c r="L1892">
        <f t="shared" si="179"/>
        <v>48</v>
      </c>
    </row>
    <row r="1893" spans="1:12" x14ac:dyDescent="0.3">
      <c r="A1893">
        <v>214641940</v>
      </c>
      <c r="B1893" s="1">
        <v>45049</v>
      </c>
      <c r="C1893" s="1">
        <v>45087</v>
      </c>
      <c r="D1893" t="s">
        <v>7</v>
      </c>
      <c r="E1893">
        <v>39</v>
      </c>
      <c r="F1893" t="s">
        <v>6</v>
      </c>
      <c r="G1893">
        <f t="shared" si="174"/>
        <v>38</v>
      </c>
      <c r="H1893" s="1" t="str">
        <f t="shared" si="175"/>
        <v>Wednesday</v>
      </c>
      <c r="I1893" t="str">
        <f t="shared" si="176"/>
        <v>No</v>
      </c>
      <c r="J1893">
        <f t="shared" si="177"/>
        <v>0</v>
      </c>
      <c r="K1893">
        <f t="shared" si="178"/>
        <v>1</v>
      </c>
      <c r="L1893">
        <f t="shared" si="179"/>
        <v>38</v>
      </c>
    </row>
    <row r="1894" spans="1:12" x14ac:dyDescent="0.3">
      <c r="A1894">
        <v>206112289</v>
      </c>
      <c r="B1894" s="1">
        <v>45049</v>
      </c>
      <c r="C1894" s="1">
        <v>45089</v>
      </c>
      <c r="D1894" t="s">
        <v>7</v>
      </c>
      <c r="E1894">
        <v>39</v>
      </c>
      <c r="F1894" t="s">
        <v>6</v>
      </c>
      <c r="G1894">
        <f t="shared" si="174"/>
        <v>40</v>
      </c>
      <c r="H1894" s="1" t="str">
        <f t="shared" si="175"/>
        <v>Wednesday</v>
      </c>
      <c r="I1894" t="str">
        <f t="shared" si="176"/>
        <v>No</v>
      </c>
      <c r="J1894">
        <f t="shared" si="177"/>
        <v>0</v>
      </c>
      <c r="K1894">
        <f t="shared" si="178"/>
        <v>1</v>
      </c>
      <c r="L1894">
        <f t="shared" si="179"/>
        <v>40</v>
      </c>
    </row>
    <row r="1895" spans="1:12" ht="14.4" customHeight="1" x14ac:dyDescent="0.3">
      <c r="A1895">
        <v>214781323</v>
      </c>
      <c r="B1895" s="1">
        <v>45049</v>
      </c>
      <c r="C1895" s="1">
        <v>45070</v>
      </c>
      <c r="D1895" t="s">
        <v>7</v>
      </c>
      <c r="E1895">
        <v>39</v>
      </c>
      <c r="F1895" t="s">
        <v>6</v>
      </c>
      <c r="G1895">
        <f t="shared" si="174"/>
        <v>21</v>
      </c>
      <c r="H1895" s="1" t="str">
        <f t="shared" si="175"/>
        <v>Wednesday</v>
      </c>
      <c r="I1895" t="str">
        <f t="shared" si="176"/>
        <v>No</v>
      </c>
      <c r="J1895">
        <f t="shared" si="177"/>
        <v>0</v>
      </c>
      <c r="K1895">
        <f t="shared" si="178"/>
        <v>0</v>
      </c>
      <c r="L1895">
        <f t="shared" si="179"/>
        <v>21</v>
      </c>
    </row>
    <row r="1896" spans="1:12" ht="14.4" customHeight="1" x14ac:dyDescent="0.3">
      <c r="A1896">
        <v>214767936</v>
      </c>
      <c r="B1896" s="1">
        <v>45049</v>
      </c>
      <c r="C1896" s="1">
        <v>45049</v>
      </c>
      <c r="D1896" t="s">
        <v>7</v>
      </c>
      <c r="E1896">
        <v>39</v>
      </c>
      <c r="F1896" t="s">
        <v>6</v>
      </c>
      <c r="G1896">
        <f t="shared" si="174"/>
        <v>0</v>
      </c>
      <c r="H1896" s="1" t="str">
        <f t="shared" si="175"/>
        <v>Wednesday</v>
      </c>
      <c r="I1896" t="str">
        <f t="shared" si="176"/>
        <v>Yes</v>
      </c>
      <c r="J1896">
        <f t="shared" si="177"/>
        <v>1</v>
      </c>
      <c r="K1896">
        <f t="shared" si="178"/>
        <v>0</v>
      </c>
      <c r="L1896">
        <f t="shared" si="179"/>
        <v>0</v>
      </c>
    </row>
    <row r="1897" spans="1:12" ht="14.4" customHeight="1" x14ac:dyDescent="0.3">
      <c r="A1897">
        <v>182023209</v>
      </c>
      <c r="B1897" s="1">
        <v>45049</v>
      </c>
      <c r="C1897" s="1">
        <v>45060</v>
      </c>
      <c r="D1897" t="s">
        <v>7</v>
      </c>
      <c r="E1897">
        <v>39</v>
      </c>
      <c r="F1897" t="s">
        <v>6</v>
      </c>
      <c r="G1897">
        <f t="shared" si="174"/>
        <v>11</v>
      </c>
      <c r="H1897" s="1" t="str">
        <f t="shared" si="175"/>
        <v>Wednesday</v>
      </c>
      <c r="I1897" t="str">
        <f t="shared" si="176"/>
        <v>No</v>
      </c>
      <c r="J1897">
        <f t="shared" si="177"/>
        <v>0</v>
      </c>
      <c r="K1897">
        <f t="shared" si="178"/>
        <v>0</v>
      </c>
      <c r="L1897">
        <f t="shared" si="179"/>
        <v>11</v>
      </c>
    </row>
    <row r="1898" spans="1:12" ht="14.4" customHeight="1" x14ac:dyDescent="0.3">
      <c r="A1898">
        <v>148513036</v>
      </c>
      <c r="B1898" s="1">
        <v>45050</v>
      </c>
      <c r="D1898" t="s">
        <v>7</v>
      </c>
      <c r="E1898">
        <v>39</v>
      </c>
      <c r="F1898" t="s">
        <v>6</v>
      </c>
      <c r="G1898" t="str">
        <f t="shared" si="174"/>
        <v/>
      </c>
      <c r="H1898" s="1" t="str">
        <f t="shared" si="175"/>
        <v>Thursday</v>
      </c>
      <c r="I1898" t="str">
        <f t="shared" si="176"/>
        <v>No</v>
      </c>
      <c r="J1898">
        <f t="shared" si="177"/>
        <v>0</v>
      </c>
      <c r="K1898">
        <f t="shared" si="178"/>
        <v>0</v>
      </c>
      <c r="L1898" t="str">
        <f t="shared" si="179"/>
        <v/>
      </c>
    </row>
    <row r="1899" spans="1:12" ht="14.4" customHeight="1" x14ac:dyDescent="0.3">
      <c r="A1899">
        <v>157910445</v>
      </c>
      <c r="B1899" s="1">
        <v>45050</v>
      </c>
      <c r="D1899" t="s">
        <v>7</v>
      </c>
      <c r="E1899">
        <v>39</v>
      </c>
      <c r="F1899" t="s">
        <v>6</v>
      </c>
      <c r="G1899" t="str">
        <f t="shared" si="174"/>
        <v/>
      </c>
      <c r="H1899" s="1" t="str">
        <f t="shared" si="175"/>
        <v>Thursday</v>
      </c>
      <c r="I1899" t="str">
        <f t="shared" si="176"/>
        <v>No</v>
      </c>
      <c r="J1899">
        <f t="shared" si="177"/>
        <v>0</v>
      </c>
      <c r="K1899">
        <f t="shared" si="178"/>
        <v>0</v>
      </c>
      <c r="L1899" t="str">
        <f t="shared" si="179"/>
        <v/>
      </c>
    </row>
    <row r="1900" spans="1:12" x14ac:dyDescent="0.3">
      <c r="A1900">
        <v>213810773</v>
      </c>
      <c r="B1900" s="1">
        <v>45050</v>
      </c>
      <c r="C1900" s="1">
        <v>45174</v>
      </c>
      <c r="D1900" t="s">
        <v>7</v>
      </c>
      <c r="E1900">
        <v>39</v>
      </c>
      <c r="F1900" t="s">
        <v>6</v>
      </c>
      <c r="G1900">
        <f t="shared" si="174"/>
        <v>124</v>
      </c>
      <c r="H1900" s="1" t="str">
        <f t="shared" si="175"/>
        <v>Thursday</v>
      </c>
      <c r="I1900" t="str">
        <f t="shared" si="176"/>
        <v>No</v>
      </c>
      <c r="J1900">
        <f t="shared" si="177"/>
        <v>0</v>
      </c>
      <c r="K1900">
        <f t="shared" si="178"/>
        <v>1</v>
      </c>
      <c r="L1900">
        <f t="shared" si="179"/>
        <v>124</v>
      </c>
    </row>
    <row r="1901" spans="1:12" x14ac:dyDescent="0.3">
      <c r="A1901">
        <v>154820233</v>
      </c>
      <c r="B1901" s="1">
        <v>45050</v>
      </c>
      <c r="C1901" s="1">
        <v>45112</v>
      </c>
      <c r="D1901" t="s">
        <v>7</v>
      </c>
      <c r="E1901">
        <v>39</v>
      </c>
      <c r="F1901" t="s">
        <v>6</v>
      </c>
      <c r="G1901">
        <f t="shared" si="174"/>
        <v>62</v>
      </c>
      <c r="H1901" s="1" t="str">
        <f t="shared" si="175"/>
        <v>Thursday</v>
      </c>
      <c r="I1901" t="str">
        <f t="shared" si="176"/>
        <v>No</v>
      </c>
      <c r="J1901">
        <f t="shared" si="177"/>
        <v>0</v>
      </c>
      <c r="K1901">
        <f t="shared" si="178"/>
        <v>1</v>
      </c>
      <c r="L1901">
        <f t="shared" si="179"/>
        <v>62</v>
      </c>
    </row>
    <row r="1902" spans="1:12" ht="14.4" customHeight="1" x14ac:dyDescent="0.3">
      <c r="A1902">
        <v>214248197</v>
      </c>
      <c r="B1902" s="1">
        <v>45050</v>
      </c>
      <c r="C1902" s="1">
        <v>45079</v>
      </c>
      <c r="D1902" t="s">
        <v>7</v>
      </c>
      <c r="E1902">
        <v>39</v>
      </c>
      <c r="F1902" t="s">
        <v>6</v>
      </c>
      <c r="G1902">
        <f t="shared" si="174"/>
        <v>29</v>
      </c>
      <c r="H1902" s="1" t="str">
        <f t="shared" si="175"/>
        <v>Thursday</v>
      </c>
      <c r="I1902" t="str">
        <f t="shared" si="176"/>
        <v>No</v>
      </c>
      <c r="J1902">
        <f t="shared" si="177"/>
        <v>0</v>
      </c>
      <c r="K1902">
        <f t="shared" si="178"/>
        <v>0</v>
      </c>
      <c r="L1902">
        <f t="shared" si="179"/>
        <v>29</v>
      </c>
    </row>
    <row r="1903" spans="1:12" ht="14.4" customHeight="1" x14ac:dyDescent="0.3">
      <c r="A1903">
        <v>214818730</v>
      </c>
      <c r="B1903" s="1">
        <v>45050</v>
      </c>
      <c r="C1903" s="1">
        <v>45078</v>
      </c>
      <c r="D1903" t="s">
        <v>7</v>
      </c>
      <c r="E1903">
        <v>39</v>
      </c>
      <c r="F1903" t="s">
        <v>6</v>
      </c>
      <c r="G1903">
        <f t="shared" si="174"/>
        <v>28</v>
      </c>
      <c r="H1903" s="1" t="str">
        <f t="shared" si="175"/>
        <v>Thursday</v>
      </c>
      <c r="I1903" t="str">
        <f t="shared" si="176"/>
        <v>No</v>
      </c>
      <c r="J1903">
        <f t="shared" si="177"/>
        <v>0</v>
      </c>
      <c r="K1903">
        <f t="shared" si="178"/>
        <v>0</v>
      </c>
      <c r="L1903">
        <f t="shared" si="179"/>
        <v>28</v>
      </c>
    </row>
    <row r="1904" spans="1:12" ht="14.4" customHeight="1" x14ac:dyDescent="0.3">
      <c r="A1904">
        <v>186667733</v>
      </c>
      <c r="B1904" s="1">
        <v>45050</v>
      </c>
      <c r="C1904" s="1">
        <v>45078</v>
      </c>
      <c r="D1904" t="s">
        <v>7</v>
      </c>
      <c r="E1904">
        <v>39</v>
      </c>
      <c r="F1904" t="s">
        <v>6</v>
      </c>
      <c r="G1904">
        <f t="shared" si="174"/>
        <v>28</v>
      </c>
      <c r="H1904" s="1" t="str">
        <f t="shared" si="175"/>
        <v>Thursday</v>
      </c>
      <c r="I1904" t="str">
        <f t="shared" si="176"/>
        <v>No</v>
      </c>
      <c r="J1904">
        <f t="shared" si="177"/>
        <v>0</v>
      </c>
      <c r="K1904">
        <f t="shared" si="178"/>
        <v>0</v>
      </c>
      <c r="L1904">
        <f t="shared" si="179"/>
        <v>28</v>
      </c>
    </row>
    <row r="1905" spans="1:12" ht="14.4" customHeight="1" x14ac:dyDescent="0.3">
      <c r="A1905">
        <v>214901781</v>
      </c>
      <c r="B1905" s="1">
        <v>45051</v>
      </c>
      <c r="D1905" t="s">
        <v>7</v>
      </c>
      <c r="E1905">
        <v>39</v>
      </c>
      <c r="F1905" t="s">
        <v>6</v>
      </c>
      <c r="G1905" t="str">
        <f t="shared" si="174"/>
        <v/>
      </c>
      <c r="H1905" s="1" t="str">
        <f t="shared" si="175"/>
        <v>Friday</v>
      </c>
      <c r="I1905" t="str">
        <f t="shared" si="176"/>
        <v>No</v>
      </c>
      <c r="J1905">
        <f t="shared" si="177"/>
        <v>0</v>
      </c>
      <c r="K1905">
        <f t="shared" si="178"/>
        <v>0</v>
      </c>
      <c r="L1905" t="str">
        <f t="shared" si="179"/>
        <v/>
      </c>
    </row>
    <row r="1906" spans="1:12" ht="14.4" customHeight="1" x14ac:dyDescent="0.3">
      <c r="A1906">
        <v>214884589</v>
      </c>
      <c r="B1906" s="1">
        <v>45051</v>
      </c>
      <c r="D1906" t="s">
        <v>7</v>
      </c>
      <c r="E1906">
        <v>39</v>
      </c>
      <c r="F1906" t="s">
        <v>6</v>
      </c>
      <c r="G1906" t="str">
        <f t="shared" si="174"/>
        <v/>
      </c>
      <c r="H1906" s="1" t="str">
        <f t="shared" si="175"/>
        <v>Friday</v>
      </c>
      <c r="I1906" t="str">
        <f t="shared" si="176"/>
        <v>No</v>
      </c>
      <c r="J1906">
        <f t="shared" si="177"/>
        <v>0</v>
      </c>
      <c r="K1906">
        <f t="shared" si="178"/>
        <v>0</v>
      </c>
      <c r="L1906" t="str">
        <f t="shared" si="179"/>
        <v/>
      </c>
    </row>
    <row r="1907" spans="1:12" ht="14.4" customHeight="1" x14ac:dyDescent="0.3">
      <c r="A1907">
        <v>210344586</v>
      </c>
      <c r="B1907" s="1">
        <v>45051</v>
      </c>
      <c r="D1907" t="s">
        <v>7</v>
      </c>
      <c r="E1907">
        <v>39</v>
      </c>
      <c r="F1907" t="s">
        <v>6</v>
      </c>
      <c r="G1907" t="str">
        <f t="shared" si="174"/>
        <v/>
      </c>
      <c r="H1907" s="1" t="str">
        <f t="shared" si="175"/>
        <v>Friday</v>
      </c>
      <c r="I1907" t="str">
        <f t="shared" si="176"/>
        <v>No</v>
      </c>
      <c r="J1907">
        <f t="shared" si="177"/>
        <v>0</v>
      </c>
      <c r="K1907">
        <f t="shared" si="178"/>
        <v>0</v>
      </c>
      <c r="L1907" t="str">
        <f t="shared" si="179"/>
        <v/>
      </c>
    </row>
    <row r="1908" spans="1:12" ht="14.4" customHeight="1" x14ac:dyDescent="0.3">
      <c r="A1908">
        <v>214813191</v>
      </c>
      <c r="B1908" s="1">
        <v>45051</v>
      </c>
      <c r="D1908" t="s">
        <v>7</v>
      </c>
      <c r="E1908">
        <v>39</v>
      </c>
      <c r="F1908" t="s">
        <v>6</v>
      </c>
      <c r="G1908" t="str">
        <f t="shared" si="174"/>
        <v/>
      </c>
      <c r="H1908" s="1" t="str">
        <f t="shared" si="175"/>
        <v>Friday</v>
      </c>
      <c r="I1908" t="str">
        <f t="shared" si="176"/>
        <v>No</v>
      </c>
      <c r="J1908">
        <f t="shared" si="177"/>
        <v>0</v>
      </c>
      <c r="K1908">
        <f t="shared" si="178"/>
        <v>0</v>
      </c>
      <c r="L1908" t="str">
        <f t="shared" si="179"/>
        <v/>
      </c>
    </row>
    <row r="1909" spans="1:12" ht="14.4" customHeight="1" x14ac:dyDescent="0.3">
      <c r="A1909">
        <v>214880602</v>
      </c>
      <c r="B1909" s="1">
        <v>45051</v>
      </c>
      <c r="D1909" t="s">
        <v>7</v>
      </c>
      <c r="E1909">
        <v>39</v>
      </c>
      <c r="F1909" t="s">
        <v>6</v>
      </c>
      <c r="G1909" t="str">
        <f t="shared" si="174"/>
        <v/>
      </c>
      <c r="H1909" s="1" t="str">
        <f t="shared" si="175"/>
        <v>Friday</v>
      </c>
      <c r="I1909" t="str">
        <f t="shared" si="176"/>
        <v>No</v>
      </c>
      <c r="J1909">
        <f t="shared" si="177"/>
        <v>0</v>
      </c>
      <c r="K1909">
        <f t="shared" si="178"/>
        <v>0</v>
      </c>
      <c r="L1909" t="str">
        <f t="shared" si="179"/>
        <v/>
      </c>
    </row>
    <row r="1910" spans="1:12" ht="14.4" customHeight="1" x14ac:dyDescent="0.3">
      <c r="A1910">
        <v>186140999</v>
      </c>
      <c r="B1910" s="1">
        <v>45051</v>
      </c>
      <c r="C1910" s="1">
        <v>45080</v>
      </c>
      <c r="D1910" t="s">
        <v>7</v>
      </c>
      <c r="E1910">
        <v>39</v>
      </c>
      <c r="F1910" t="s">
        <v>6</v>
      </c>
      <c r="G1910">
        <f t="shared" si="174"/>
        <v>29</v>
      </c>
      <c r="H1910" s="1" t="str">
        <f t="shared" si="175"/>
        <v>Friday</v>
      </c>
      <c r="I1910" t="str">
        <f t="shared" si="176"/>
        <v>No</v>
      </c>
      <c r="J1910">
        <f t="shared" si="177"/>
        <v>0</v>
      </c>
      <c r="K1910">
        <f t="shared" si="178"/>
        <v>0</v>
      </c>
      <c r="L1910">
        <f t="shared" si="179"/>
        <v>29</v>
      </c>
    </row>
    <row r="1911" spans="1:12" x14ac:dyDescent="0.3">
      <c r="A1911">
        <v>214860336</v>
      </c>
      <c r="B1911" s="1">
        <v>45051</v>
      </c>
      <c r="C1911" s="1">
        <v>45110</v>
      </c>
      <c r="D1911" t="s">
        <v>7</v>
      </c>
      <c r="E1911">
        <v>39</v>
      </c>
      <c r="F1911" t="s">
        <v>6</v>
      </c>
      <c r="G1911">
        <f t="shared" si="174"/>
        <v>59</v>
      </c>
      <c r="H1911" s="1" t="str">
        <f t="shared" si="175"/>
        <v>Friday</v>
      </c>
      <c r="I1911" t="str">
        <f t="shared" si="176"/>
        <v>No</v>
      </c>
      <c r="J1911">
        <f t="shared" si="177"/>
        <v>0</v>
      </c>
      <c r="K1911">
        <f t="shared" si="178"/>
        <v>1</v>
      </c>
      <c r="L1911">
        <f t="shared" si="179"/>
        <v>59</v>
      </c>
    </row>
    <row r="1912" spans="1:12" x14ac:dyDescent="0.3">
      <c r="A1912">
        <v>138725699</v>
      </c>
      <c r="B1912" s="1">
        <v>45051</v>
      </c>
      <c r="C1912" s="1">
        <v>45089</v>
      </c>
      <c r="D1912" t="s">
        <v>7</v>
      </c>
      <c r="E1912">
        <v>39</v>
      </c>
      <c r="F1912" t="s">
        <v>6</v>
      </c>
      <c r="G1912">
        <f t="shared" si="174"/>
        <v>38</v>
      </c>
      <c r="H1912" s="1" t="str">
        <f t="shared" si="175"/>
        <v>Friday</v>
      </c>
      <c r="I1912" t="str">
        <f t="shared" si="176"/>
        <v>No</v>
      </c>
      <c r="J1912">
        <f t="shared" si="177"/>
        <v>0</v>
      </c>
      <c r="K1912">
        <f t="shared" si="178"/>
        <v>1</v>
      </c>
      <c r="L1912">
        <f t="shared" si="179"/>
        <v>38</v>
      </c>
    </row>
    <row r="1913" spans="1:12" ht="14.4" customHeight="1" x14ac:dyDescent="0.3">
      <c r="A1913">
        <v>132315255</v>
      </c>
      <c r="B1913" s="1">
        <v>45051</v>
      </c>
      <c r="C1913" s="1">
        <v>45051</v>
      </c>
      <c r="D1913" t="s">
        <v>7</v>
      </c>
      <c r="E1913">
        <v>39</v>
      </c>
      <c r="F1913" t="s">
        <v>6</v>
      </c>
      <c r="G1913">
        <f t="shared" si="174"/>
        <v>0</v>
      </c>
      <c r="H1913" s="1" t="str">
        <f t="shared" si="175"/>
        <v>Friday</v>
      </c>
      <c r="I1913" t="str">
        <f t="shared" si="176"/>
        <v>Yes</v>
      </c>
      <c r="J1913">
        <f t="shared" si="177"/>
        <v>1</v>
      </c>
      <c r="K1913">
        <f t="shared" si="178"/>
        <v>0</v>
      </c>
      <c r="L1913">
        <f t="shared" si="179"/>
        <v>0</v>
      </c>
    </row>
    <row r="1914" spans="1:12" ht="14.4" customHeight="1" x14ac:dyDescent="0.3">
      <c r="A1914">
        <v>208202304</v>
      </c>
      <c r="B1914" s="1">
        <v>45051</v>
      </c>
      <c r="C1914" s="1">
        <v>45051</v>
      </c>
      <c r="D1914" t="s">
        <v>7</v>
      </c>
      <c r="E1914">
        <v>39</v>
      </c>
      <c r="F1914" t="s">
        <v>6</v>
      </c>
      <c r="G1914">
        <f t="shared" si="174"/>
        <v>0</v>
      </c>
      <c r="H1914" s="1" t="str">
        <f t="shared" si="175"/>
        <v>Friday</v>
      </c>
      <c r="I1914" t="str">
        <f t="shared" si="176"/>
        <v>Yes</v>
      </c>
      <c r="J1914">
        <f t="shared" si="177"/>
        <v>1</v>
      </c>
      <c r="K1914">
        <f t="shared" si="178"/>
        <v>0</v>
      </c>
      <c r="L1914">
        <f t="shared" si="179"/>
        <v>0</v>
      </c>
    </row>
    <row r="1915" spans="1:12" ht="14.4" customHeight="1" x14ac:dyDescent="0.3">
      <c r="A1915">
        <v>214869362</v>
      </c>
      <c r="B1915" s="1">
        <v>45051</v>
      </c>
      <c r="C1915" s="1">
        <v>45077</v>
      </c>
      <c r="D1915" t="s">
        <v>7</v>
      </c>
      <c r="E1915">
        <v>39</v>
      </c>
      <c r="F1915" t="s">
        <v>6</v>
      </c>
      <c r="G1915">
        <f t="shared" si="174"/>
        <v>26</v>
      </c>
      <c r="H1915" s="1" t="str">
        <f t="shared" si="175"/>
        <v>Friday</v>
      </c>
      <c r="I1915" t="str">
        <f t="shared" si="176"/>
        <v>No</v>
      </c>
      <c r="J1915">
        <f t="shared" si="177"/>
        <v>0</v>
      </c>
      <c r="K1915">
        <f t="shared" si="178"/>
        <v>0</v>
      </c>
      <c r="L1915">
        <f t="shared" si="179"/>
        <v>26</v>
      </c>
    </row>
    <row r="1916" spans="1:12" ht="14.4" customHeight="1" x14ac:dyDescent="0.3">
      <c r="A1916">
        <v>207118054</v>
      </c>
      <c r="B1916" s="1">
        <v>45052</v>
      </c>
      <c r="D1916" t="s">
        <v>7</v>
      </c>
      <c r="E1916">
        <v>39</v>
      </c>
      <c r="F1916" t="s">
        <v>6</v>
      </c>
      <c r="G1916" t="str">
        <f t="shared" si="174"/>
        <v/>
      </c>
      <c r="H1916" s="1" t="str">
        <f t="shared" si="175"/>
        <v>Saturday</v>
      </c>
      <c r="I1916" t="str">
        <f t="shared" si="176"/>
        <v>No</v>
      </c>
      <c r="J1916">
        <f t="shared" si="177"/>
        <v>0</v>
      </c>
      <c r="K1916">
        <f t="shared" si="178"/>
        <v>0</v>
      </c>
      <c r="L1916" t="str">
        <f t="shared" si="179"/>
        <v/>
      </c>
    </row>
    <row r="1917" spans="1:12" ht="14.4" customHeight="1" x14ac:dyDescent="0.3">
      <c r="A1917">
        <v>214856586</v>
      </c>
      <c r="B1917" s="1">
        <v>45052</v>
      </c>
      <c r="D1917" t="s">
        <v>7</v>
      </c>
      <c r="E1917">
        <v>39</v>
      </c>
      <c r="F1917" t="s">
        <v>6</v>
      </c>
      <c r="G1917" t="str">
        <f t="shared" si="174"/>
        <v/>
      </c>
      <c r="H1917" s="1" t="str">
        <f t="shared" si="175"/>
        <v>Saturday</v>
      </c>
      <c r="I1917" t="str">
        <f t="shared" si="176"/>
        <v>No</v>
      </c>
      <c r="J1917">
        <f t="shared" si="177"/>
        <v>0</v>
      </c>
      <c r="K1917">
        <f t="shared" si="178"/>
        <v>0</v>
      </c>
      <c r="L1917" t="str">
        <f t="shared" si="179"/>
        <v/>
      </c>
    </row>
    <row r="1918" spans="1:12" ht="14.4" customHeight="1" x14ac:dyDescent="0.3">
      <c r="A1918">
        <v>201945254</v>
      </c>
      <c r="B1918" s="1">
        <v>45052</v>
      </c>
      <c r="C1918" s="1">
        <v>45079</v>
      </c>
      <c r="D1918" t="s">
        <v>7</v>
      </c>
      <c r="E1918">
        <v>39</v>
      </c>
      <c r="F1918" t="s">
        <v>6</v>
      </c>
      <c r="G1918">
        <f t="shared" si="174"/>
        <v>27</v>
      </c>
      <c r="H1918" s="1" t="str">
        <f t="shared" si="175"/>
        <v>Saturday</v>
      </c>
      <c r="I1918" t="str">
        <f t="shared" si="176"/>
        <v>No</v>
      </c>
      <c r="J1918">
        <f t="shared" si="177"/>
        <v>0</v>
      </c>
      <c r="K1918">
        <f t="shared" si="178"/>
        <v>0</v>
      </c>
      <c r="L1918">
        <f t="shared" si="179"/>
        <v>27</v>
      </c>
    </row>
    <row r="1919" spans="1:12" ht="14.4" customHeight="1" x14ac:dyDescent="0.3">
      <c r="A1919">
        <v>134531651</v>
      </c>
      <c r="B1919" s="1">
        <v>45053</v>
      </c>
      <c r="D1919" t="s">
        <v>7</v>
      </c>
      <c r="E1919">
        <v>39</v>
      </c>
      <c r="F1919" t="s">
        <v>6</v>
      </c>
      <c r="G1919" t="str">
        <f t="shared" si="174"/>
        <v/>
      </c>
      <c r="H1919" s="1" t="str">
        <f t="shared" si="175"/>
        <v>Sunday</v>
      </c>
      <c r="I1919" t="str">
        <f t="shared" si="176"/>
        <v>No</v>
      </c>
      <c r="J1919">
        <f t="shared" si="177"/>
        <v>0</v>
      </c>
      <c r="K1919">
        <f t="shared" si="178"/>
        <v>0</v>
      </c>
      <c r="L1919" t="str">
        <f t="shared" si="179"/>
        <v/>
      </c>
    </row>
    <row r="1920" spans="1:12" ht="14.4" customHeight="1" x14ac:dyDescent="0.3">
      <c r="A1920">
        <v>204865394</v>
      </c>
      <c r="B1920" s="1">
        <v>45053</v>
      </c>
      <c r="D1920" t="s">
        <v>7</v>
      </c>
      <c r="E1920">
        <v>39</v>
      </c>
      <c r="F1920" t="s">
        <v>6</v>
      </c>
      <c r="G1920" t="str">
        <f t="shared" si="174"/>
        <v/>
      </c>
      <c r="H1920" s="1" t="str">
        <f t="shared" si="175"/>
        <v>Sunday</v>
      </c>
      <c r="I1920" t="str">
        <f t="shared" si="176"/>
        <v>No</v>
      </c>
      <c r="J1920">
        <f t="shared" si="177"/>
        <v>0</v>
      </c>
      <c r="K1920">
        <f t="shared" si="178"/>
        <v>0</v>
      </c>
      <c r="L1920" t="str">
        <f t="shared" si="179"/>
        <v/>
      </c>
    </row>
    <row r="1921" spans="1:12" ht="14.4" customHeight="1" x14ac:dyDescent="0.3">
      <c r="A1921">
        <v>158906669</v>
      </c>
      <c r="B1921" s="1">
        <v>45053</v>
      </c>
      <c r="D1921" t="s">
        <v>7</v>
      </c>
      <c r="E1921">
        <v>39</v>
      </c>
      <c r="F1921" t="s">
        <v>6</v>
      </c>
      <c r="G1921" t="str">
        <f t="shared" si="174"/>
        <v/>
      </c>
      <c r="H1921" s="1" t="str">
        <f t="shared" si="175"/>
        <v>Sunday</v>
      </c>
      <c r="I1921" t="str">
        <f t="shared" si="176"/>
        <v>No</v>
      </c>
      <c r="J1921">
        <f t="shared" si="177"/>
        <v>0</v>
      </c>
      <c r="K1921">
        <f t="shared" si="178"/>
        <v>0</v>
      </c>
      <c r="L1921" t="str">
        <f t="shared" si="179"/>
        <v/>
      </c>
    </row>
    <row r="1922" spans="1:12" x14ac:dyDescent="0.3">
      <c r="A1922">
        <v>125591366</v>
      </c>
      <c r="B1922" s="1">
        <v>45053</v>
      </c>
      <c r="C1922" s="1">
        <v>45144</v>
      </c>
      <c r="D1922" t="s">
        <v>7</v>
      </c>
      <c r="E1922">
        <v>39</v>
      </c>
      <c r="F1922" t="s">
        <v>6</v>
      </c>
      <c r="G1922">
        <f t="shared" ref="G1922:G1985" si="180">IF(C1922="","",C1922-B1922)</f>
        <v>91</v>
      </c>
      <c r="H1922" s="1" t="str">
        <f t="shared" si="175"/>
        <v>Sunday</v>
      </c>
      <c r="I1922" t="str">
        <f t="shared" si="176"/>
        <v>No</v>
      </c>
      <c r="J1922">
        <f t="shared" si="177"/>
        <v>0</v>
      </c>
      <c r="K1922">
        <f t="shared" si="178"/>
        <v>1</v>
      </c>
      <c r="L1922">
        <f t="shared" si="179"/>
        <v>91</v>
      </c>
    </row>
    <row r="1923" spans="1:12" x14ac:dyDescent="0.3">
      <c r="A1923">
        <v>214839844</v>
      </c>
      <c r="B1923" s="1">
        <v>45053</v>
      </c>
      <c r="C1923" s="1">
        <v>45114</v>
      </c>
      <c r="D1923" t="s">
        <v>7</v>
      </c>
      <c r="E1923">
        <v>39</v>
      </c>
      <c r="F1923" t="s">
        <v>6</v>
      </c>
      <c r="G1923">
        <f t="shared" si="180"/>
        <v>61</v>
      </c>
      <c r="H1923" s="1" t="str">
        <f t="shared" ref="H1923:H1986" si="181">TEXT(B1923,"dddd")</f>
        <v>Sunday</v>
      </c>
      <c r="I1923" t="str">
        <f t="shared" ref="I1923:I1986" si="182">IF(B1923=C1923,"Yes","No")</f>
        <v>No</v>
      </c>
      <c r="J1923">
        <f t="shared" ref="J1923:J1986" si="183">IF(AND(C1923&lt;&gt;"",C1923-B1923&lt;=2),1,0)</f>
        <v>0</v>
      </c>
      <c r="K1923">
        <f t="shared" ref="K1923:K1986" si="184">IF(AND(C1923&lt;&gt;"",C1923-B1923&gt;30),1,0)</f>
        <v>1</v>
      </c>
      <c r="L1923">
        <f t="shared" ref="L1923:L1986" si="185">IF(C1923="","",C1923-B1923)</f>
        <v>61</v>
      </c>
    </row>
    <row r="1924" spans="1:12" x14ac:dyDescent="0.3">
      <c r="A1924">
        <v>214939612</v>
      </c>
      <c r="B1924" s="1">
        <v>45053</v>
      </c>
      <c r="C1924" s="1">
        <v>45110</v>
      </c>
      <c r="D1924" t="s">
        <v>7</v>
      </c>
      <c r="E1924">
        <v>39</v>
      </c>
      <c r="F1924" t="s">
        <v>6</v>
      </c>
      <c r="G1924">
        <f t="shared" si="180"/>
        <v>57</v>
      </c>
      <c r="H1924" s="1" t="str">
        <f t="shared" si="181"/>
        <v>Sunday</v>
      </c>
      <c r="I1924" t="str">
        <f t="shared" si="182"/>
        <v>No</v>
      </c>
      <c r="J1924">
        <f t="shared" si="183"/>
        <v>0</v>
      </c>
      <c r="K1924">
        <f t="shared" si="184"/>
        <v>1</v>
      </c>
      <c r="L1924">
        <f t="shared" si="185"/>
        <v>57</v>
      </c>
    </row>
    <row r="1925" spans="1:12" x14ac:dyDescent="0.3">
      <c r="A1925">
        <v>204670100</v>
      </c>
      <c r="B1925" s="1">
        <v>45053</v>
      </c>
      <c r="C1925" s="1">
        <v>45121</v>
      </c>
      <c r="D1925" t="s">
        <v>7</v>
      </c>
      <c r="E1925">
        <v>39</v>
      </c>
      <c r="F1925" t="s">
        <v>6</v>
      </c>
      <c r="G1925">
        <f t="shared" si="180"/>
        <v>68</v>
      </c>
      <c r="H1925" s="1" t="str">
        <f t="shared" si="181"/>
        <v>Sunday</v>
      </c>
      <c r="I1925" t="str">
        <f t="shared" si="182"/>
        <v>No</v>
      </c>
      <c r="J1925">
        <f t="shared" si="183"/>
        <v>0</v>
      </c>
      <c r="K1925">
        <f t="shared" si="184"/>
        <v>1</v>
      </c>
      <c r="L1925">
        <f t="shared" si="185"/>
        <v>68</v>
      </c>
    </row>
    <row r="1926" spans="1:12" x14ac:dyDescent="0.3">
      <c r="A1926">
        <v>214830539</v>
      </c>
      <c r="B1926" s="1">
        <v>45053</v>
      </c>
      <c r="C1926" s="1">
        <v>45091</v>
      </c>
      <c r="D1926" t="s">
        <v>7</v>
      </c>
      <c r="E1926">
        <v>39</v>
      </c>
      <c r="F1926" t="s">
        <v>6</v>
      </c>
      <c r="G1926">
        <f t="shared" si="180"/>
        <v>38</v>
      </c>
      <c r="H1926" s="1" t="str">
        <f t="shared" si="181"/>
        <v>Sunday</v>
      </c>
      <c r="I1926" t="str">
        <f t="shared" si="182"/>
        <v>No</v>
      </c>
      <c r="J1926">
        <f t="shared" si="183"/>
        <v>0</v>
      </c>
      <c r="K1926">
        <f t="shared" si="184"/>
        <v>1</v>
      </c>
      <c r="L1926">
        <f t="shared" si="185"/>
        <v>38</v>
      </c>
    </row>
    <row r="1927" spans="1:12" x14ac:dyDescent="0.3">
      <c r="A1927">
        <v>185952990</v>
      </c>
      <c r="B1927" s="1">
        <v>45053</v>
      </c>
      <c r="C1927" s="1">
        <v>45087</v>
      </c>
      <c r="D1927" t="s">
        <v>7</v>
      </c>
      <c r="E1927">
        <v>39</v>
      </c>
      <c r="F1927" t="s">
        <v>6</v>
      </c>
      <c r="G1927">
        <f t="shared" si="180"/>
        <v>34</v>
      </c>
      <c r="H1927" s="1" t="str">
        <f t="shared" si="181"/>
        <v>Sunday</v>
      </c>
      <c r="I1927" t="str">
        <f t="shared" si="182"/>
        <v>No</v>
      </c>
      <c r="J1927">
        <f t="shared" si="183"/>
        <v>0</v>
      </c>
      <c r="K1927">
        <f t="shared" si="184"/>
        <v>1</v>
      </c>
      <c r="L1927">
        <f t="shared" si="185"/>
        <v>34</v>
      </c>
    </row>
    <row r="1928" spans="1:12" ht="14.4" customHeight="1" x14ac:dyDescent="0.3">
      <c r="A1928">
        <v>214936311</v>
      </c>
      <c r="B1928" s="1">
        <v>45053</v>
      </c>
      <c r="C1928" s="1">
        <v>45053</v>
      </c>
      <c r="D1928" t="s">
        <v>7</v>
      </c>
      <c r="E1928">
        <v>39</v>
      </c>
      <c r="F1928" t="s">
        <v>6</v>
      </c>
      <c r="G1928">
        <f t="shared" si="180"/>
        <v>0</v>
      </c>
      <c r="H1928" s="1" t="str">
        <f t="shared" si="181"/>
        <v>Sunday</v>
      </c>
      <c r="I1928" t="str">
        <f t="shared" si="182"/>
        <v>Yes</v>
      </c>
      <c r="J1928">
        <f t="shared" si="183"/>
        <v>1</v>
      </c>
      <c r="K1928">
        <f t="shared" si="184"/>
        <v>0</v>
      </c>
      <c r="L1928">
        <f t="shared" si="185"/>
        <v>0</v>
      </c>
    </row>
    <row r="1929" spans="1:12" x14ac:dyDescent="0.3">
      <c r="A1929">
        <v>214620392</v>
      </c>
      <c r="B1929" s="1">
        <v>45053</v>
      </c>
      <c r="C1929" s="1">
        <v>45114</v>
      </c>
      <c r="D1929" t="s">
        <v>7</v>
      </c>
      <c r="E1929">
        <v>39</v>
      </c>
      <c r="F1929" t="s">
        <v>6</v>
      </c>
      <c r="G1929">
        <f t="shared" si="180"/>
        <v>61</v>
      </c>
      <c r="H1929" s="1" t="str">
        <f t="shared" si="181"/>
        <v>Sunday</v>
      </c>
      <c r="I1929" t="str">
        <f t="shared" si="182"/>
        <v>No</v>
      </c>
      <c r="J1929">
        <f t="shared" si="183"/>
        <v>0</v>
      </c>
      <c r="K1929">
        <f t="shared" si="184"/>
        <v>1</v>
      </c>
      <c r="L1929">
        <f t="shared" si="185"/>
        <v>61</v>
      </c>
    </row>
    <row r="1930" spans="1:12" ht="14.4" customHeight="1" x14ac:dyDescent="0.3">
      <c r="A1930">
        <v>157935884</v>
      </c>
      <c r="B1930" s="1">
        <v>45054</v>
      </c>
      <c r="D1930" t="s">
        <v>7</v>
      </c>
      <c r="E1930">
        <v>39</v>
      </c>
      <c r="F1930" t="s">
        <v>6</v>
      </c>
      <c r="G1930" t="str">
        <f t="shared" si="180"/>
        <v/>
      </c>
      <c r="H1930" s="1" t="str">
        <f t="shared" si="181"/>
        <v>Monday</v>
      </c>
      <c r="I1930" t="str">
        <f t="shared" si="182"/>
        <v>No</v>
      </c>
      <c r="J1930">
        <f t="shared" si="183"/>
        <v>0</v>
      </c>
      <c r="K1930">
        <f t="shared" si="184"/>
        <v>0</v>
      </c>
      <c r="L1930" t="str">
        <f t="shared" si="185"/>
        <v/>
      </c>
    </row>
    <row r="1931" spans="1:12" ht="14.4" customHeight="1" x14ac:dyDescent="0.3">
      <c r="A1931">
        <v>214945706</v>
      </c>
      <c r="B1931" s="1">
        <v>45054</v>
      </c>
      <c r="D1931" t="s">
        <v>7</v>
      </c>
      <c r="E1931">
        <v>39</v>
      </c>
      <c r="F1931" t="s">
        <v>6</v>
      </c>
      <c r="G1931" t="str">
        <f t="shared" si="180"/>
        <v/>
      </c>
      <c r="H1931" s="1" t="str">
        <f t="shared" si="181"/>
        <v>Monday</v>
      </c>
      <c r="I1931" t="str">
        <f t="shared" si="182"/>
        <v>No</v>
      </c>
      <c r="J1931">
        <f t="shared" si="183"/>
        <v>0</v>
      </c>
      <c r="K1931">
        <f t="shared" si="184"/>
        <v>0</v>
      </c>
      <c r="L1931" t="str">
        <f t="shared" si="185"/>
        <v/>
      </c>
    </row>
    <row r="1932" spans="1:12" ht="14.4" customHeight="1" x14ac:dyDescent="0.3">
      <c r="A1932">
        <v>214999374</v>
      </c>
      <c r="B1932" s="1">
        <v>45054</v>
      </c>
      <c r="D1932" t="s">
        <v>7</v>
      </c>
      <c r="E1932">
        <v>39</v>
      </c>
      <c r="F1932" t="s">
        <v>6</v>
      </c>
      <c r="G1932" t="str">
        <f t="shared" si="180"/>
        <v/>
      </c>
      <c r="H1932" s="1" t="str">
        <f t="shared" si="181"/>
        <v>Monday</v>
      </c>
      <c r="I1932" t="str">
        <f t="shared" si="182"/>
        <v>No</v>
      </c>
      <c r="J1932">
        <f t="shared" si="183"/>
        <v>0</v>
      </c>
      <c r="K1932">
        <f t="shared" si="184"/>
        <v>0</v>
      </c>
      <c r="L1932" t="str">
        <f t="shared" si="185"/>
        <v/>
      </c>
    </row>
    <row r="1933" spans="1:12" ht="14.4" customHeight="1" x14ac:dyDescent="0.3">
      <c r="A1933">
        <v>214986467</v>
      </c>
      <c r="B1933" s="1">
        <v>45054</v>
      </c>
      <c r="D1933" t="s">
        <v>7</v>
      </c>
      <c r="E1933">
        <v>39</v>
      </c>
      <c r="F1933" t="s">
        <v>6</v>
      </c>
      <c r="G1933" t="str">
        <f t="shared" si="180"/>
        <v/>
      </c>
      <c r="H1933" s="1" t="str">
        <f t="shared" si="181"/>
        <v>Monday</v>
      </c>
      <c r="I1933" t="str">
        <f t="shared" si="182"/>
        <v>No</v>
      </c>
      <c r="J1933">
        <f t="shared" si="183"/>
        <v>0</v>
      </c>
      <c r="K1933">
        <f t="shared" si="184"/>
        <v>0</v>
      </c>
      <c r="L1933" t="str">
        <f t="shared" si="185"/>
        <v/>
      </c>
    </row>
    <row r="1934" spans="1:12" ht="14.4" customHeight="1" x14ac:dyDescent="0.3">
      <c r="A1934">
        <v>214984741</v>
      </c>
      <c r="B1934" s="1">
        <v>45054</v>
      </c>
      <c r="D1934" t="s">
        <v>7</v>
      </c>
      <c r="E1934">
        <v>39</v>
      </c>
      <c r="F1934" t="s">
        <v>6</v>
      </c>
      <c r="G1934" t="str">
        <f t="shared" si="180"/>
        <v/>
      </c>
      <c r="H1934" s="1" t="str">
        <f t="shared" si="181"/>
        <v>Monday</v>
      </c>
      <c r="I1934" t="str">
        <f t="shared" si="182"/>
        <v>No</v>
      </c>
      <c r="J1934">
        <f t="shared" si="183"/>
        <v>0</v>
      </c>
      <c r="K1934">
        <f t="shared" si="184"/>
        <v>0</v>
      </c>
      <c r="L1934" t="str">
        <f t="shared" si="185"/>
        <v/>
      </c>
    </row>
    <row r="1935" spans="1:12" ht="14.4" customHeight="1" x14ac:dyDescent="0.3">
      <c r="A1935">
        <v>214993166</v>
      </c>
      <c r="B1935" s="1">
        <v>45054</v>
      </c>
      <c r="D1935" t="s">
        <v>7</v>
      </c>
      <c r="E1935">
        <v>39</v>
      </c>
      <c r="F1935" t="s">
        <v>6</v>
      </c>
      <c r="G1935" t="str">
        <f t="shared" si="180"/>
        <v/>
      </c>
      <c r="H1935" s="1" t="str">
        <f t="shared" si="181"/>
        <v>Monday</v>
      </c>
      <c r="I1935" t="str">
        <f t="shared" si="182"/>
        <v>No</v>
      </c>
      <c r="J1935">
        <f t="shared" si="183"/>
        <v>0</v>
      </c>
      <c r="K1935">
        <f t="shared" si="184"/>
        <v>0</v>
      </c>
      <c r="L1935" t="str">
        <f t="shared" si="185"/>
        <v/>
      </c>
    </row>
    <row r="1936" spans="1:12" ht="14.4" customHeight="1" x14ac:dyDescent="0.3">
      <c r="A1936">
        <v>203116697</v>
      </c>
      <c r="B1936" s="1">
        <v>45054</v>
      </c>
      <c r="D1936" t="s">
        <v>7</v>
      </c>
      <c r="E1936">
        <v>39</v>
      </c>
      <c r="F1936" t="s">
        <v>6</v>
      </c>
      <c r="G1936" t="str">
        <f t="shared" si="180"/>
        <v/>
      </c>
      <c r="H1936" s="1" t="str">
        <f t="shared" si="181"/>
        <v>Monday</v>
      </c>
      <c r="I1936" t="str">
        <f t="shared" si="182"/>
        <v>No</v>
      </c>
      <c r="J1936">
        <f t="shared" si="183"/>
        <v>0</v>
      </c>
      <c r="K1936">
        <f t="shared" si="184"/>
        <v>0</v>
      </c>
      <c r="L1936" t="str">
        <f t="shared" si="185"/>
        <v/>
      </c>
    </row>
    <row r="1937" spans="1:12" ht="14.4" customHeight="1" x14ac:dyDescent="0.3">
      <c r="A1937">
        <v>214906741</v>
      </c>
      <c r="B1937" s="1">
        <v>45054</v>
      </c>
      <c r="D1937" t="s">
        <v>7</v>
      </c>
      <c r="E1937">
        <v>39</v>
      </c>
      <c r="F1937" t="s">
        <v>6</v>
      </c>
      <c r="G1937" t="str">
        <f t="shared" si="180"/>
        <v/>
      </c>
      <c r="H1937" s="1" t="str">
        <f t="shared" si="181"/>
        <v>Monday</v>
      </c>
      <c r="I1937" t="str">
        <f t="shared" si="182"/>
        <v>No</v>
      </c>
      <c r="J1937">
        <f t="shared" si="183"/>
        <v>0</v>
      </c>
      <c r="K1937">
        <f t="shared" si="184"/>
        <v>0</v>
      </c>
      <c r="L1937" t="str">
        <f t="shared" si="185"/>
        <v/>
      </c>
    </row>
    <row r="1938" spans="1:12" x14ac:dyDescent="0.3">
      <c r="A1938">
        <v>128977818</v>
      </c>
      <c r="B1938" s="1">
        <v>45054</v>
      </c>
      <c r="C1938" s="1">
        <v>45175</v>
      </c>
      <c r="D1938" t="s">
        <v>7</v>
      </c>
      <c r="E1938">
        <v>39</v>
      </c>
      <c r="F1938" t="s">
        <v>6</v>
      </c>
      <c r="G1938">
        <f t="shared" si="180"/>
        <v>121</v>
      </c>
      <c r="H1938" s="1" t="str">
        <f t="shared" si="181"/>
        <v>Monday</v>
      </c>
      <c r="I1938" t="str">
        <f t="shared" si="182"/>
        <v>No</v>
      </c>
      <c r="J1938">
        <f t="shared" si="183"/>
        <v>0</v>
      </c>
      <c r="K1938">
        <f t="shared" si="184"/>
        <v>1</v>
      </c>
      <c r="L1938">
        <f t="shared" si="185"/>
        <v>121</v>
      </c>
    </row>
    <row r="1939" spans="1:12" ht="14.4" customHeight="1" x14ac:dyDescent="0.3">
      <c r="A1939">
        <v>209743418</v>
      </c>
      <c r="B1939" s="1">
        <v>45054</v>
      </c>
      <c r="C1939" s="1">
        <v>45055</v>
      </c>
      <c r="D1939" t="s">
        <v>7</v>
      </c>
      <c r="E1939">
        <v>39</v>
      </c>
      <c r="F1939" t="s">
        <v>6</v>
      </c>
      <c r="G1939">
        <f t="shared" si="180"/>
        <v>1</v>
      </c>
      <c r="H1939" s="1" t="str">
        <f t="shared" si="181"/>
        <v>Monday</v>
      </c>
      <c r="I1939" t="str">
        <f t="shared" si="182"/>
        <v>No</v>
      </c>
      <c r="J1939">
        <f t="shared" si="183"/>
        <v>1</v>
      </c>
      <c r="K1939">
        <f t="shared" si="184"/>
        <v>0</v>
      </c>
      <c r="L1939">
        <f t="shared" si="185"/>
        <v>1</v>
      </c>
    </row>
    <row r="1940" spans="1:12" x14ac:dyDescent="0.3">
      <c r="A1940">
        <v>209743418</v>
      </c>
      <c r="B1940" s="1">
        <v>45054</v>
      </c>
      <c r="C1940" s="1">
        <v>45115</v>
      </c>
      <c r="D1940" t="s">
        <v>7</v>
      </c>
      <c r="E1940">
        <v>39</v>
      </c>
      <c r="F1940" t="s">
        <v>6</v>
      </c>
      <c r="G1940">
        <f t="shared" si="180"/>
        <v>61</v>
      </c>
      <c r="H1940" s="1" t="str">
        <f t="shared" si="181"/>
        <v>Monday</v>
      </c>
      <c r="I1940" t="str">
        <f t="shared" si="182"/>
        <v>No</v>
      </c>
      <c r="J1940">
        <f t="shared" si="183"/>
        <v>0</v>
      </c>
      <c r="K1940">
        <f t="shared" si="184"/>
        <v>1</v>
      </c>
      <c r="L1940">
        <f t="shared" si="185"/>
        <v>61</v>
      </c>
    </row>
    <row r="1941" spans="1:12" x14ac:dyDescent="0.3">
      <c r="A1941">
        <v>130868671</v>
      </c>
      <c r="B1941" s="1">
        <v>45054</v>
      </c>
      <c r="C1941" s="1">
        <v>45091</v>
      </c>
      <c r="D1941" t="s">
        <v>7</v>
      </c>
      <c r="E1941">
        <v>39</v>
      </c>
      <c r="F1941" t="s">
        <v>6</v>
      </c>
      <c r="G1941">
        <f t="shared" si="180"/>
        <v>37</v>
      </c>
      <c r="H1941" s="1" t="str">
        <f t="shared" si="181"/>
        <v>Monday</v>
      </c>
      <c r="I1941" t="str">
        <f t="shared" si="182"/>
        <v>No</v>
      </c>
      <c r="J1941">
        <f t="shared" si="183"/>
        <v>0</v>
      </c>
      <c r="K1941">
        <f t="shared" si="184"/>
        <v>1</v>
      </c>
      <c r="L1941">
        <f t="shared" si="185"/>
        <v>37</v>
      </c>
    </row>
    <row r="1942" spans="1:12" x14ac:dyDescent="0.3">
      <c r="A1942">
        <v>146963394</v>
      </c>
      <c r="B1942" s="1">
        <v>45054</v>
      </c>
      <c r="C1942" s="1">
        <v>45111</v>
      </c>
      <c r="D1942" t="s">
        <v>7</v>
      </c>
      <c r="E1942">
        <v>39</v>
      </c>
      <c r="F1942" t="s">
        <v>6</v>
      </c>
      <c r="G1942">
        <f t="shared" si="180"/>
        <v>57</v>
      </c>
      <c r="H1942" s="1" t="str">
        <f t="shared" si="181"/>
        <v>Monday</v>
      </c>
      <c r="I1942" t="str">
        <f t="shared" si="182"/>
        <v>No</v>
      </c>
      <c r="J1942">
        <f t="shared" si="183"/>
        <v>0</v>
      </c>
      <c r="K1942">
        <f t="shared" si="184"/>
        <v>1</v>
      </c>
      <c r="L1942">
        <f t="shared" si="185"/>
        <v>57</v>
      </c>
    </row>
    <row r="1943" spans="1:12" x14ac:dyDescent="0.3">
      <c r="A1943">
        <v>214960770</v>
      </c>
      <c r="B1943" s="1">
        <v>45054</v>
      </c>
      <c r="C1943" s="1">
        <v>45110</v>
      </c>
      <c r="D1943" t="s">
        <v>7</v>
      </c>
      <c r="E1943">
        <v>39</v>
      </c>
      <c r="F1943" t="s">
        <v>6</v>
      </c>
      <c r="G1943">
        <f t="shared" si="180"/>
        <v>56</v>
      </c>
      <c r="H1943" s="1" t="str">
        <f t="shared" si="181"/>
        <v>Monday</v>
      </c>
      <c r="I1943" t="str">
        <f t="shared" si="182"/>
        <v>No</v>
      </c>
      <c r="J1943">
        <f t="shared" si="183"/>
        <v>0</v>
      </c>
      <c r="K1943">
        <f t="shared" si="184"/>
        <v>1</v>
      </c>
      <c r="L1943">
        <f t="shared" si="185"/>
        <v>56</v>
      </c>
    </row>
    <row r="1944" spans="1:12" ht="14.4" customHeight="1" x14ac:dyDescent="0.3">
      <c r="A1944">
        <v>207344872</v>
      </c>
      <c r="B1944" s="1">
        <v>45054</v>
      </c>
      <c r="C1944" s="1">
        <v>45084</v>
      </c>
      <c r="D1944" t="s">
        <v>7</v>
      </c>
      <c r="E1944">
        <v>39</v>
      </c>
      <c r="F1944" t="s">
        <v>6</v>
      </c>
      <c r="G1944">
        <f t="shared" si="180"/>
        <v>30</v>
      </c>
      <c r="H1944" s="1" t="str">
        <f t="shared" si="181"/>
        <v>Monday</v>
      </c>
      <c r="I1944" t="str">
        <f t="shared" si="182"/>
        <v>No</v>
      </c>
      <c r="J1944">
        <f t="shared" si="183"/>
        <v>0</v>
      </c>
      <c r="K1944">
        <f t="shared" si="184"/>
        <v>0</v>
      </c>
      <c r="L1944">
        <f t="shared" si="185"/>
        <v>30</v>
      </c>
    </row>
    <row r="1945" spans="1:12" x14ac:dyDescent="0.3">
      <c r="A1945">
        <v>202925989</v>
      </c>
      <c r="B1945" s="1">
        <v>45054</v>
      </c>
      <c r="C1945" s="1">
        <v>45092</v>
      </c>
      <c r="D1945" t="s">
        <v>7</v>
      </c>
      <c r="E1945">
        <v>39</v>
      </c>
      <c r="F1945" t="s">
        <v>6</v>
      </c>
      <c r="G1945">
        <f t="shared" si="180"/>
        <v>38</v>
      </c>
      <c r="H1945" s="1" t="str">
        <f t="shared" si="181"/>
        <v>Monday</v>
      </c>
      <c r="I1945" t="str">
        <f t="shared" si="182"/>
        <v>No</v>
      </c>
      <c r="J1945">
        <f t="shared" si="183"/>
        <v>0</v>
      </c>
      <c r="K1945">
        <f t="shared" si="184"/>
        <v>1</v>
      </c>
      <c r="L1945">
        <f t="shared" si="185"/>
        <v>38</v>
      </c>
    </row>
    <row r="1946" spans="1:12" x14ac:dyDescent="0.3">
      <c r="A1946">
        <v>214991976</v>
      </c>
      <c r="B1946" s="1">
        <v>45054</v>
      </c>
      <c r="C1946" s="1">
        <v>45099</v>
      </c>
      <c r="D1946" t="s">
        <v>7</v>
      </c>
      <c r="E1946">
        <v>39</v>
      </c>
      <c r="F1946" t="s">
        <v>6</v>
      </c>
      <c r="G1946">
        <f t="shared" si="180"/>
        <v>45</v>
      </c>
      <c r="H1946" s="1" t="str">
        <f t="shared" si="181"/>
        <v>Monday</v>
      </c>
      <c r="I1946" t="str">
        <f t="shared" si="182"/>
        <v>No</v>
      </c>
      <c r="J1946">
        <f t="shared" si="183"/>
        <v>0</v>
      </c>
      <c r="K1946">
        <f t="shared" si="184"/>
        <v>1</v>
      </c>
      <c r="L1946">
        <f t="shared" si="185"/>
        <v>45</v>
      </c>
    </row>
    <row r="1947" spans="1:12" ht="14.4" customHeight="1" x14ac:dyDescent="0.3">
      <c r="A1947">
        <v>211917633</v>
      </c>
      <c r="B1947" s="1">
        <v>45054</v>
      </c>
      <c r="C1947" s="1">
        <v>45071</v>
      </c>
      <c r="D1947" t="s">
        <v>7</v>
      </c>
      <c r="E1947">
        <v>39</v>
      </c>
      <c r="F1947" t="s">
        <v>6</v>
      </c>
      <c r="G1947">
        <f t="shared" si="180"/>
        <v>17</v>
      </c>
      <c r="H1947" s="1" t="str">
        <f t="shared" si="181"/>
        <v>Monday</v>
      </c>
      <c r="I1947" t="str">
        <f t="shared" si="182"/>
        <v>No</v>
      </c>
      <c r="J1947">
        <f t="shared" si="183"/>
        <v>0</v>
      </c>
      <c r="K1947">
        <f t="shared" si="184"/>
        <v>0</v>
      </c>
      <c r="L1947">
        <f t="shared" si="185"/>
        <v>17</v>
      </c>
    </row>
    <row r="1948" spans="1:12" x14ac:dyDescent="0.3">
      <c r="A1948">
        <v>214623264</v>
      </c>
      <c r="B1948" s="1">
        <v>45054</v>
      </c>
      <c r="C1948" s="1">
        <v>45122</v>
      </c>
      <c r="D1948" t="s">
        <v>7</v>
      </c>
      <c r="E1948">
        <v>39</v>
      </c>
      <c r="F1948" t="s">
        <v>6</v>
      </c>
      <c r="G1948">
        <f t="shared" si="180"/>
        <v>68</v>
      </c>
      <c r="H1948" s="1" t="str">
        <f t="shared" si="181"/>
        <v>Monday</v>
      </c>
      <c r="I1948" t="str">
        <f t="shared" si="182"/>
        <v>No</v>
      </c>
      <c r="J1948">
        <f t="shared" si="183"/>
        <v>0</v>
      </c>
      <c r="K1948">
        <f t="shared" si="184"/>
        <v>1</v>
      </c>
      <c r="L1948">
        <f t="shared" si="185"/>
        <v>68</v>
      </c>
    </row>
    <row r="1949" spans="1:12" x14ac:dyDescent="0.3">
      <c r="A1949">
        <v>205339362</v>
      </c>
      <c r="B1949" s="1">
        <v>45054</v>
      </c>
      <c r="C1949" s="1">
        <v>45115</v>
      </c>
      <c r="D1949" t="s">
        <v>7</v>
      </c>
      <c r="E1949">
        <v>39</v>
      </c>
      <c r="F1949" t="s">
        <v>6</v>
      </c>
      <c r="G1949">
        <f t="shared" si="180"/>
        <v>61</v>
      </c>
      <c r="H1949" s="1" t="str">
        <f t="shared" si="181"/>
        <v>Monday</v>
      </c>
      <c r="I1949" t="str">
        <f t="shared" si="182"/>
        <v>No</v>
      </c>
      <c r="J1949">
        <f t="shared" si="183"/>
        <v>0</v>
      </c>
      <c r="K1949">
        <f t="shared" si="184"/>
        <v>1</v>
      </c>
      <c r="L1949">
        <f t="shared" si="185"/>
        <v>61</v>
      </c>
    </row>
    <row r="1950" spans="1:12" ht="14.4" customHeight="1" x14ac:dyDescent="0.3">
      <c r="A1950">
        <v>214956352</v>
      </c>
      <c r="B1950" s="1">
        <v>45055</v>
      </c>
      <c r="D1950" t="s">
        <v>7</v>
      </c>
      <c r="E1950">
        <v>39</v>
      </c>
      <c r="F1950" t="s">
        <v>6</v>
      </c>
      <c r="G1950" t="str">
        <f t="shared" si="180"/>
        <v/>
      </c>
      <c r="H1950" s="1" t="str">
        <f t="shared" si="181"/>
        <v>Tuesday</v>
      </c>
      <c r="I1950" t="str">
        <f t="shared" si="182"/>
        <v>No</v>
      </c>
      <c r="J1950">
        <f t="shared" si="183"/>
        <v>0</v>
      </c>
      <c r="K1950">
        <f t="shared" si="184"/>
        <v>0</v>
      </c>
      <c r="L1950" t="str">
        <f t="shared" si="185"/>
        <v/>
      </c>
    </row>
    <row r="1951" spans="1:12" ht="14.4" customHeight="1" x14ac:dyDescent="0.3">
      <c r="A1951">
        <v>196061402</v>
      </c>
      <c r="B1951" s="1">
        <v>45055</v>
      </c>
      <c r="D1951" t="s">
        <v>7</v>
      </c>
      <c r="E1951">
        <v>39</v>
      </c>
      <c r="F1951" t="s">
        <v>6</v>
      </c>
      <c r="G1951" t="str">
        <f t="shared" si="180"/>
        <v/>
      </c>
      <c r="H1951" s="1" t="str">
        <f t="shared" si="181"/>
        <v>Tuesday</v>
      </c>
      <c r="I1951" t="str">
        <f t="shared" si="182"/>
        <v>No</v>
      </c>
      <c r="J1951">
        <f t="shared" si="183"/>
        <v>0</v>
      </c>
      <c r="K1951">
        <f t="shared" si="184"/>
        <v>0</v>
      </c>
      <c r="L1951" t="str">
        <f t="shared" si="185"/>
        <v/>
      </c>
    </row>
    <row r="1952" spans="1:12" ht="14.4" customHeight="1" x14ac:dyDescent="0.3">
      <c r="A1952">
        <v>215019022</v>
      </c>
      <c r="B1952" s="1">
        <v>45055</v>
      </c>
      <c r="D1952" t="s">
        <v>7</v>
      </c>
      <c r="E1952">
        <v>39</v>
      </c>
      <c r="F1952" t="s">
        <v>6</v>
      </c>
      <c r="G1952" t="str">
        <f t="shared" si="180"/>
        <v/>
      </c>
      <c r="H1952" s="1" t="str">
        <f t="shared" si="181"/>
        <v>Tuesday</v>
      </c>
      <c r="I1952" t="str">
        <f t="shared" si="182"/>
        <v>No</v>
      </c>
      <c r="J1952">
        <f t="shared" si="183"/>
        <v>0</v>
      </c>
      <c r="K1952">
        <f t="shared" si="184"/>
        <v>0</v>
      </c>
      <c r="L1952" t="str">
        <f t="shared" si="185"/>
        <v/>
      </c>
    </row>
    <row r="1953" spans="1:12" ht="14.4" customHeight="1" x14ac:dyDescent="0.3">
      <c r="A1953">
        <v>185517087</v>
      </c>
      <c r="B1953" s="1">
        <v>45055</v>
      </c>
      <c r="D1953" t="s">
        <v>7</v>
      </c>
      <c r="E1953">
        <v>39</v>
      </c>
      <c r="F1953" t="s">
        <v>6</v>
      </c>
      <c r="G1953" t="str">
        <f t="shared" si="180"/>
        <v/>
      </c>
      <c r="H1953" s="1" t="str">
        <f t="shared" si="181"/>
        <v>Tuesday</v>
      </c>
      <c r="I1953" t="str">
        <f t="shared" si="182"/>
        <v>No</v>
      </c>
      <c r="J1953">
        <f t="shared" si="183"/>
        <v>0</v>
      </c>
      <c r="K1953">
        <f t="shared" si="184"/>
        <v>0</v>
      </c>
      <c r="L1953" t="str">
        <f t="shared" si="185"/>
        <v/>
      </c>
    </row>
    <row r="1954" spans="1:12" ht="14.4" customHeight="1" x14ac:dyDescent="0.3">
      <c r="A1954">
        <v>151513254</v>
      </c>
      <c r="B1954" s="1">
        <v>45055</v>
      </c>
      <c r="C1954" s="1">
        <v>45055</v>
      </c>
      <c r="D1954" t="s">
        <v>7</v>
      </c>
      <c r="E1954">
        <v>39</v>
      </c>
      <c r="F1954" t="s">
        <v>6</v>
      </c>
      <c r="G1954">
        <f t="shared" si="180"/>
        <v>0</v>
      </c>
      <c r="H1954" s="1" t="str">
        <f t="shared" si="181"/>
        <v>Tuesday</v>
      </c>
      <c r="I1954" t="str">
        <f t="shared" si="182"/>
        <v>Yes</v>
      </c>
      <c r="J1954">
        <f t="shared" si="183"/>
        <v>1</v>
      </c>
      <c r="K1954">
        <f t="shared" si="184"/>
        <v>0</v>
      </c>
      <c r="L1954">
        <f t="shared" si="185"/>
        <v>0</v>
      </c>
    </row>
    <row r="1955" spans="1:12" ht="14.4" customHeight="1" x14ac:dyDescent="0.3">
      <c r="A1955">
        <v>214952558</v>
      </c>
      <c r="B1955" s="1">
        <v>45055</v>
      </c>
      <c r="C1955" s="1">
        <v>45056</v>
      </c>
      <c r="D1955" t="s">
        <v>8</v>
      </c>
      <c r="E1955">
        <v>39</v>
      </c>
      <c r="F1955" t="s">
        <v>6</v>
      </c>
      <c r="G1955">
        <f t="shared" si="180"/>
        <v>1</v>
      </c>
      <c r="H1955" s="1" t="str">
        <f t="shared" si="181"/>
        <v>Tuesday</v>
      </c>
      <c r="I1955" t="str">
        <f t="shared" si="182"/>
        <v>No</v>
      </c>
      <c r="J1955">
        <f t="shared" si="183"/>
        <v>1</v>
      </c>
      <c r="K1955">
        <f t="shared" si="184"/>
        <v>0</v>
      </c>
      <c r="L1955">
        <f t="shared" si="185"/>
        <v>1</v>
      </c>
    </row>
    <row r="1956" spans="1:12" x14ac:dyDescent="0.3">
      <c r="A1956">
        <v>139339380</v>
      </c>
      <c r="B1956" s="1">
        <v>45055</v>
      </c>
      <c r="C1956" s="1">
        <v>45095</v>
      </c>
      <c r="D1956" t="s">
        <v>7</v>
      </c>
      <c r="E1956">
        <v>39</v>
      </c>
      <c r="F1956" t="s">
        <v>6</v>
      </c>
      <c r="G1956">
        <f t="shared" si="180"/>
        <v>40</v>
      </c>
      <c r="H1956" s="1" t="str">
        <f t="shared" si="181"/>
        <v>Tuesday</v>
      </c>
      <c r="I1956" t="str">
        <f t="shared" si="182"/>
        <v>No</v>
      </c>
      <c r="J1956">
        <f t="shared" si="183"/>
        <v>0</v>
      </c>
      <c r="K1956">
        <f t="shared" si="184"/>
        <v>1</v>
      </c>
      <c r="L1956">
        <f t="shared" si="185"/>
        <v>40</v>
      </c>
    </row>
    <row r="1957" spans="1:12" x14ac:dyDescent="0.3">
      <c r="A1957">
        <v>208188866</v>
      </c>
      <c r="B1957" s="1">
        <v>45055</v>
      </c>
      <c r="C1957" s="1">
        <v>45086</v>
      </c>
      <c r="D1957" t="s">
        <v>7</v>
      </c>
      <c r="E1957">
        <v>39</v>
      </c>
      <c r="F1957" t="s">
        <v>6</v>
      </c>
      <c r="G1957">
        <f t="shared" si="180"/>
        <v>31</v>
      </c>
      <c r="H1957" s="1" t="str">
        <f t="shared" si="181"/>
        <v>Tuesday</v>
      </c>
      <c r="I1957" t="str">
        <f t="shared" si="182"/>
        <v>No</v>
      </c>
      <c r="J1957">
        <f t="shared" si="183"/>
        <v>0</v>
      </c>
      <c r="K1957">
        <f t="shared" si="184"/>
        <v>1</v>
      </c>
      <c r="L1957">
        <f t="shared" si="185"/>
        <v>31</v>
      </c>
    </row>
    <row r="1958" spans="1:12" x14ac:dyDescent="0.3">
      <c r="A1958">
        <v>150342446</v>
      </c>
      <c r="B1958" s="1">
        <v>45055</v>
      </c>
      <c r="C1958" s="1">
        <v>45093</v>
      </c>
      <c r="D1958" t="s">
        <v>7</v>
      </c>
      <c r="E1958">
        <v>39</v>
      </c>
      <c r="F1958" t="s">
        <v>6</v>
      </c>
      <c r="G1958">
        <f t="shared" si="180"/>
        <v>38</v>
      </c>
      <c r="H1958" s="1" t="str">
        <f t="shared" si="181"/>
        <v>Tuesday</v>
      </c>
      <c r="I1958" t="str">
        <f t="shared" si="182"/>
        <v>No</v>
      </c>
      <c r="J1958">
        <f t="shared" si="183"/>
        <v>0</v>
      </c>
      <c r="K1958">
        <f t="shared" si="184"/>
        <v>1</v>
      </c>
      <c r="L1958">
        <f t="shared" si="185"/>
        <v>38</v>
      </c>
    </row>
    <row r="1959" spans="1:12" x14ac:dyDescent="0.3">
      <c r="A1959">
        <v>188748372</v>
      </c>
      <c r="B1959" s="1">
        <v>45055</v>
      </c>
      <c r="C1959" s="1">
        <v>45093</v>
      </c>
      <c r="D1959" t="s">
        <v>7</v>
      </c>
      <c r="E1959">
        <v>39</v>
      </c>
      <c r="F1959" t="s">
        <v>6</v>
      </c>
      <c r="G1959">
        <f t="shared" si="180"/>
        <v>38</v>
      </c>
      <c r="H1959" s="1" t="str">
        <f t="shared" si="181"/>
        <v>Tuesday</v>
      </c>
      <c r="I1959" t="str">
        <f t="shared" si="182"/>
        <v>No</v>
      </c>
      <c r="J1959">
        <f t="shared" si="183"/>
        <v>0</v>
      </c>
      <c r="K1959">
        <f t="shared" si="184"/>
        <v>1</v>
      </c>
      <c r="L1959">
        <f t="shared" si="185"/>
        <v>38</v>
      </c>
    </row>
    <row r="1960" spans="1:12" ht="14.4" customHeight="1" x14ac:dyDescent="0.3">
      <c r="A1960">
        <v>215034356</v>
      </c>
      <c r="B1960" s="1">
        <v>45055</v>
      </c>
      <c r="C1960" s="1">
        <v>45055</v>
      </c>
      <c r="D1960" t="s">
        <v>7</v>
      </c>
      <c r="E1960">
        <v>39</v>
      </c>
      <c r="F1960" t="s">
        <v>6</v>
      </c>
      <c r="G1960">
        <f t="shared" si="180"/>
        <v>0</v>
      </c>
      <c r="H1960" s="1" t="str">
        <f t="shared" si="181"/>
        <v>Tuesday</v>
      </c>
      <c r="I1960" t="str">
        <f t="shared" si="182"/>
        <v>Yes</v>
      </c>
      <c r="J1960">
        <f t="shared" si="183"/>
        <v>1</v>
      </c>
      <c r="K1960">
        <f t="shared" si="184"/>
        <v>0</v>
      </c>
      <c r="L1960">
        <f t="shared" si="185"/>
        <v>0</v>
      </c>
    </row>
    <row r="1961" spans="1:12" ht="14.4" customHeight="1" x14ac:dyDescent="0.3">
      <c r="A1961">
        <v>145013444</v>
      </c>
      <c r="B1961" s="1">
        <v>45055</v>
      </c>
      <c r="C1961" s="1">
        <v>45075</v>
      </c>
      <c r="D1961" t="s">
        <v>7</v>
      </c>
      <c r="E1961">
        <v>39</v>
      </c>
      <c r="F1961" t="s">
        <v>6</v>
      </c>
      <c r="G1961">
        <f t="shared" si="180"/>
        <v>20</v>
      </c>
      <c r="H1961" s="1" t="str">
        <f t="shared" si="181"/>
        <v>Tuesday</v>
      </c>
      <c r="I1961" t="str">
        <f t="shared" si="182"/>
        <v>No</v>
      </c>
      <c r="J1961">
        <f t="shared" si="183"/>
        <v>0</v>
      </c>
      <c r="K1961">
        <f t="shared" si="184"/>
        <v>0</v>
      </c>
      <c r="L1961">
        <f t="shared" si="185"/>
        <v>20</v>
      </c>
    </row>
    <row r="1962" spans="1:12" x14ac:dyDescent="0.3">
      <c r="A1962">
        <v>164548755</v>
      </c>
      <c r="B1962" s="1">
        <v>45055</v>
      </c>
      <c r="C1962" s="1">
        <v>45123</v>
      </c>
      <c r="D1962" t="s">
        <v>7</v>
      </c>
      <c r="E1962">
        <v>39</v>
      </c>
      <c r="F1962" t="s">
        <v>6</v>
      </c>
      <c r="G1962">
        <f t="shared" si="180"/>
        <v>68</v>
      </c>
      <c r="H1962" s="1" t="str">
        <f t="shared" si="181"/>
        <v>Tuesday</v>
      </c>
      <c r="I1962" t="str">
        <f t="shared" si="182"/>
        <v>No</v>
      </c>
      <c r="J1962">
        <f t="shared" si="183"/>
        <v>0</v>
      </c>
      <c r="K1962">
        <f t="shared" si="184"/>
        <v>1</v>
      </c>
      <c r="L1962">
        <f t="shared" si="185"/>
        <v>68</v>
      </c>
    </row>
    <row r="1963" spans="1:12" x14ac:dyDescent="0.3">
      <c r="A1963">
        <v>193315330</v>
      </c>
      <c r="B1963" s="1">
        <v>45055</v>
      </c>
      <c r="C1963" s="1">
        <v>45154</v>
      </c>
      <c r="D1963" t="s">
        <v>7</v>
      </c>
      <c r="E1963">
        <v>39</v>
      </c>
      <c r="F1963" t="s">
        <v>6</v>
      </c>
      <c r="G1963">
        <f t="shared" si="180"/>
        <v>99</v>
      </c>
      <c r="H1963" s="1" t="str">
        <f t="shared" si="181"/>
        <v>Tuesday</v>
      </c>
      <c r="I1963" t="str">
        <f t="shared" si="182"/>
        <v>No</v>
      </c>
      <c r="J1963">
        <f t="shared" si="183"/>
        <v>0</v>
      </c>
      <c r="K1963">
        <f t="shared" si="184"/>
        <v>1</v>
      </c>
      <c r="L1963">
        <f t="shared" si="185"/>
        <v>99</v>
      </c>
    </row>
    <row r="1964" spans="1:12" ht="14.4" customHeight="1" x14ac:dyDescent="0.3">
      <c r="A1964">
        <v>147592201</v>
      </c>
      <c r="B1964" s="1">
        <v>45056</v>
      </c>
      <c r="D1964" t="s">
        <v>7</v>
      </c>
      <c r="E1964">
        <v>39</v>
      </c>
      <c r="F1964" t="s">
        <v>6</v>
      </c>
      <c r="G1964" t="str">
        <f t="shared" si="180"/>
        <v/>
      </c>
      <c r="H1964" s="1" t="str">
        <f t="shared" si="181"/>
        <v>Wednesday</v>
      </c>
      <c r="I1964" t="str">
        <f t="shared" si="182"/>
        <v>No</v>
      </c>
      <c r="J1964">
        <f t="shared" si="183"/>
        <v>0</v>
      </c>
      <c r="K1964">
        <f t="shared" si="184"/>
        <v>0</v>
      </c>
      <c r="L1964" t="str">
        <f t="shared" si="185"/>
        <v/>
      </c>
    </row>
    <row r="1965" spans="1:12" ht="14.4" customHeight="1" x14ac:dyDescent="0.3">
      <c r="A1965">
        <v>192068317</v>
      </c>
      <c r="B1965" s="1">
        <v>45056</v>
      </c>
      <c r="D1965" t="s">
        <v>7</v>
      </c>
      <c r="E1965">
        <v>39</v>
      </c>
      <c r="F1965" t="s">
        <v>6</v>
      </c>
      <c r="G1965" t="str">
        <f t="shared" si="180"/>
        <v/>
      </c>
      <c r="H1965" s="1" t="str">
        <f t="shared" si="181"/>
        <v>Wednesday</v>
      </c>
      <c r="I1965" t="str">
        <f t="shared" si="182"/>
        <v>No</v>
      </c>
      <c r="J1965">
        <f t="shared" si="183"/>
        <v>0</v>
      </c>
      <c r="K1965">
        <f t="shared" si="184"/>
        <v>0</v>
      </c>
      <c r="L1965" t="str">
        <f t="shared" si="185"/>
        <v/>
      </c>
    </row>
    <row r="1966" spans="1:12" ht="14.4" customHeight="1" x14ac:dyDescent="0.3">
      <c r="A1966">
        <v>214396083</v>
      </c>
      <c r="B1966" s="1">
        <v>45056</v>
      </c>
      <c r="D1966" t="s">
        <v>7</v>
      </c>
      <c r="E1966">
        <v>39</v>
      </c>
      <c r="F1966" t="s">
        <v>6</v>
      </c>
      <c r="G1966" t="str">
        <f t="shared" si="180"/>
        <v/>
      </c>
      <c r="H1966" s="1" t="str">
        <f t="shared" si="181"/>
        <v>Wednesday</v>
      </c>
      <c r="I1966" t="str">
        <f t="shared" si="182"/>
        <v>No</v>
      </c>
      <c r="J1966">
        <f t="shared" si="183"/>
        <v>0</v>
      </c>
      <c r="K1966">
        <f t="shared" si="184"/>
        <v>0</v>
      </c>
      <c r="L1966" t="str">
        <f t="shared" si="185"/>
        <v/>
      </c>
    </row>
    <row r="1967" spans="1:12" ht="14.4" customHeight="1" x14ac:dyDescent="0.3">
      <c r="A1967">
        <v>214698924</v>
      </c>
      <c r="B1967" s="1">
        <v>45056</v>
      </c>
      <c r="C1967" s="1">
        <v>45056</v>
      </c>
      <c r="D1967" t="s">
        <v>7</v>
      </c>
      <c r="E1967">
        <v>39</v>
      </c>
      <c r="F1967" t="s">
        <v>6</v>
      </c>
      <c r="G1967">
        <f t="shared" si="180"/>
        <v>0</v>
      </c>
      <c r="H1967" s="1" t="str">
        <f t="shared" si="181"/>
        <v>Wednesday</v>
      </c>
      <c r="I1967" t="str">
        <f t="shared" si="182"/>
        <v>Yes</v>
      </c>
      <c r="J1967">
        <f t="shared" si="183"/>
        <v>1</v>
      </c>
      <c r="K1967">
        <f t="shared" si="184"/>
        <v>0</v>
      </c>
      <c r="L1967">
        <f t="shared" si="185"/>
        <v>0</v>
      </c>
    </row>
    <row r="1968" spans="1:12" ht="14.4" customHeight="1" x14ac:dyDescent="0.3">
      <c r="A1968">
        <v>153402484</v>
      </c>
      <c r="B1968" s="1">
        <v>45056</v>
      </c>
      <c r="C1968" s="1">
        <v>45086</v>
      </c>
      <c r="D1968" t="s">
        <v>7</v>
      </c>
      <c r="E1968">
        <v>39</v>
      </c>
      <c r="F1968" t="s">
        <v>6</v>
      </c>
      <c r="G1968">
        <f t="shared" si="180"/>
        <v>30</v>
      </c>
      <c r="H1968" s="1" t="str">
        <f t="shared" si="181"/>
        <v>Wednesday</v>
      </c>
      <c r="I1968" t="str">
        <f t="shared" si="182"/>
        <v>No</v>
      </c>
      <c r="J1968">
        <f t="shared" si="183"/>
        <v>0</v>
      </c>
      <c r="K1968">
        <f t="shared" si="184"/>
        <v>0</v>
      </c>
      <c r="L1968">
        <f t="shared" si="185"/>
        <v>30</v>
      </c>
    </row>
    <row r="1969" spans="1:12" x14ac:dyDescent="0.3">
      <c r="A1969">
        <v>214809412</v>
      </c>
      <c r="B1969" s="1">
        <v>45056</v>
      </c>
      <c r="C1969" s="1">
        <v>45147</v>
      </c>
      <c r="D1969" t="s">
        <v>7</v>
      </c>
      <c r="E1969">
        <v>39</v>
      </c>
      <c r="F1969" t="s">
        <v>6</v>
      </c>
      <c r="G1969">
        <f t="shared" si="180"/>
        <v>91</v>
      </c>
      <c r="H1969" s="1" t="str">
        <f t="shared" si="181"/>
        <v>Wednesday</v>
      </c>
      <c r="I1969" t="str">
        <f t="shared" si="182"/>
        <v>No</v>
      </c>
      <c r="J1969">
        <f t="shared" si="183"/>
        <v>0</v>
      </c>
      <c r="K1969">
        <f t="shared" si="184"/>
        <v>1</v>
      </c>
      <c r="L1969">
        <f t="shared" si="185"/>
        <v>91</v>
      </c>
    </row>
    <row r="1970" spans="1:12" x14ac:dyDescent="0.3">
      <c r="A1970">
        <v>215062365</v>
      </c>
      <c r="B1970" s="1">
        <v>45056</v>
      </c>
      <c r="C1970" s="1">
        <v>45141</v>
      </c>
      <c r="D1970" t="s">
        <v>7</v>
      </c>
      <c r="E1970">
        <v>39</v>
      </c>
      <c r="F1970" t="s">
        <v>6</v>
      </c>
      <c r="G1970">
        <f t="shared" si="180"/>
        <v>85</v>
      </c>
      <c r="H1970" s="1" t="str">
        <f t="shared" si="181"/>
        <v>Wednesday</v>
      </c>
      <c r="I1970" t="str">
        <f t="shared" si="182"/>
        <v>No</v>
      </c>
      <c r="J1970">
        <f t="shared" si="183"/>
        <v>0</v>
      </c>
      <c r="K1970">
        <f t="shared" si="184"/>
        <v>1</v>
      </c>
      <c r="L1970">
        <f t="shared" si="185"/>
        <v>85</v>
      </c>
    </row>
    <row r="1971" spans="1:12" ht="14.4" customHeight="1" x14ac:dyDescent="0.3">
      <c r="A1971">
        <v>135185873</v>
      </c>
      <c r="B1971" s="1">
        <v>45057</v>
      </c>
      <c r="D1971" t="s">
        <v>7</v>
      </c>
      <c r="E1971">
        <v>39</v>
      </c>
      <c r="F1971" t="s">
        <v>6</v>
      </c>
      <c r="G1971" t="str">
        <f t="shared" si="180"/>
        <v/>
      </c>
      <c r="H1971" s="1" t="str">
        <f t="shared" si="181"/>
        <v>Thursday</v>
      </c>
      <c r="I1971" t="str">
        <f t="shared" si="182"/>
        <v>No</v>
      </c>
      <c r="J1971">
        <f t="shared" si="183"/>
        <v>0</v>
      </c>
      <c r="K1971">
        <f t="shared" si="184"/>
        <v>0</v>
      </c>
      <c r="L1971" t="str">
        <f t="shared" si="185"/>
        <v/>
      </c>
    </row>
    <row r="1972" spans="1:12" ht="14.4" customHeight="1" x14ac:dyDescent="0.3">
      <c r="A1972">
        <v>144898968</v>
      </c>
      <c r="B1972" s="1">
        <v>45057</v>
      </c>
      <c r="D1972" t="s">
        <v>7</v>
      </c>
      <c r="E1972">
        <v>39</v>
      </c>
      <c r="F1972" t="s">
        <v>6</v>
      </c>
      <c r="G1972" t="str">
        <f t="shared" si="180"/>
        <v/>
      </c>
      <c r="H1972" s="1" t="str">
        <f t="shared" si="181"/>
        <v>Thursday</v>
      </c>
      <c r="I1972" t="str">
        <f t="shared" si="182"/>
        <v>No</v>
      </c>
      <c r="J1972">
        <f t="shared" si="183"/>
        <v>0</v>
      </c>
      <c r="K1972">
        <f t="shared" si="184"/>
        <v>0</v>
      </c>
      <c r="L1972" t="str">
        <f t="shared" si="185"/>
        <v/>
      </c>
    </row>
    <row r="1973" spans="1:12" ht="14.4" customHeight="1" x14ac:dyDescent="0.3">
      <c r="A1973">
        <v>214973231</v>
      </c>
      <c r="B1973" s="1">
        <v>45057</v>
      </c>
      <c r="D1973" t="s">
        <v>7</v>
      </c>
      <c r="E1973">
        <v>39</v>
      </c>
      <c r="F1973" t="s">
        <v>6</v>
      </c>
      <c r="G1973" t="str">
        <f t="shared" si="180"/>
        <v/>
      </c>
      <c r="H1973" s="1" t="str">
        <f t="shared" si="181"/>
        <v>Thursday</v>
      </c>
      <c r="I1973" t="str">
        <f t="shared" si="182"/>
        <v>No</v>
      </c>
      <c r="J1973">
        <f t="shared" si="183"/>
        <v>0</v>
      </c>
      <c r="K1973">
        <f t="shared" si="184"/>
        <v>0</v>
      </c>
      <c r="L1973" t="str">
        <f t="shared" si="185"/>
        <v/>
      </c>
    </row>
    <row r="1974" spans="1:12" ht="14.4" customHeight="1" x14ac:dyDescent="0.3">
      <c r="A1974">
        <v>214971897</v>
      </c>
      <c r="B1974" s="1">
        <v>45057</v>
      </c>
      <c r="D1974" t="s">
        <v>7</v>
      </c>
      <c r="E1974">
        <v>39</v>
      </c>
      <c r="F1974" t="s">
        <v>6</v>
      </c>
      <c r="G1974" t="str">
        <f t="shared" si="180"/>
        <v/>
      </c>
      <c r="H1974" s="1" t="str">
        <f t="shared" si="181"/>
        <v>Thursday</v>
      </c>
      <c r="I1974" t="str">
        <f t="shared" si="182"/>
        <v>No</v>
      </c>
      <c r="J1974">
        <f t="shared" si="183"/>
        <v>0</v>
      </c>
      <c r="K1974">
        <f t="shared" si="184"/>
        <v>0</v>
      </c>
      <c r="L1974" t="str">
        <f t="shared" si="185"/>
        <v/>
      </c>
    </row>
    <row r="1975" spans="1:12" x14ac:dyDescent="0.3">
      <c r="A1975">
        <v>134919488</v>
      </c>
      <c r="B1975" s="1">
        <v>45057</v>
      </c>
      <c r="C1975" s="1">
        <v>45145</v>
      </c>
      <c r="D1975" t="s">
        <v>7</v>
      </c>
      <c r="E1975">
        <v>39</v>
      </c>
      <c r="F1975" t="s">
        <v>6</v>
      </c>
      <c r="G1975">
        <f t="shared" si="180"/>
        <v>88</v>
      </c>
      <c r="H1975" s="1" t="str">
        <f t="shared" si="181"/>
        <v>Thursday</v>
      </c>
      <c r="I1975" t="str">
        <f t="shared" si="182"/>
        <v>No</v>
      </c>
      <c r="J1975">
        <f t="shared" si="183"/>
        <v>0</v>
      </c>
      <c r="K1975">
        <f t="shared" si="184"/>
        <v>1</v>
      </c>
      <c r="L1975">
        <f t="shared" si="185"/>
        <v>88</v>
      </c>
    </row>
    <row r="1976" spans="1:12" x14ac:dyDescent="0.3">
      <c r="A1976">
        <v>214912916</v>
      </c>
      <c r="B1976" s="1">
        <v>45057</v>
      </c>
      <c r="C1976" s="1">
        <v>45088</v>
      </c>
      <c r="D1976" t="s">
        <v>7</v>
      </c>
      <c r="E1976">
        <v>39</v>
      </c>
      <c r="F1976" t="s">
        <v>6</v>
      </c>
      <c r="G1976">
        <f t="shared" si="180"/>
        <v>31</v>
      </c>
      <c r="H1976" s="1" t="str">
        <f t="shared" si="181"/>
        <v>Thursday</v>
      </c>
      <c r="I1976" t="str">
        <f t="shared" si="182"/>
        <v>No</v>
      </c>
      <c r="J1976">
        <f t="shared" si="183"/>
        <v>0</v>
      </c>
      <c r="K1976">
        <f t="shared" si="184"/>
        <v>1</v>
      </c>
      <c r="L1976">
        <f t="shared" si="185"/>
        <v>31</v>
      </c>
    </row>
    <row r="1977" spans="1:12" ht="14.4" customHeight="1" x14ac:dyDescent="0.3">
      <c r="A1977">
        <v>215138344</v>
      </c>
      <c r="B1977" s="1">
        <v>45057</v>
      </c>
      <c r="C1977" s="1">
        <v>45079</v>
      </c>
      <c r="D1977" t="s">
        <v>7</v>
      </c>
      <c r="E1977">
        <v>39</v>
      </c>
      <c r="F1977" t="s">
        <v>6</v>
      </c>
      <c r="G1977">
        <f t="shared" si="180"/>
        <v>22</v>
      </c>
      <c r="H1977" s="1" t="str">
        <f t="shared" si="181"/>
        <v>Thursday</v>
      </c>
      <c r="I1977" t="str">
        <f t="shared" si="182"/>
        <v>No</v>
      </c>
      <c r="J1977">
        <f t="shared" si="183"/>
        <v>0</v>
      </c>
      <c r="K1977">
        <f t="shared" si="184"/>
        <v>0</v>
      </c>
      <c r="L1977">
        <f t="shared" si="185"/>
        <v>22</v>
      </c>
    </row>
    <row r="1978" spans="1:12" ht="14.4" customHeight="1" x14ac:dyDescent="0.3">
      <c r="A1978">
        <v>215132378</v>
      </c>
      <c r="B1978" s="1">
        <v>45057</v>
      </c>
      <c r="C1978" s="1">
        <v>45082</v>
      </c>
      <c r="D1978" t="s">
        <v>7</v>
      </c>
      <c r="E1978">
        <v>39</v>
      </c>
      <c r="F1978" t="s">
        <v>6</v>
      </c>
      <c r="G1978">
        <f t="shared" si="180"/>
        <v>25</v>
      </c>
      <c r="H1978" s="1" t="str">
        <f t="shared" si="181"/>
        <v>Thursday</v>
      </c>
      <c r="I1978" t="str">
        <f t="shared" si="182"/>
        <v>No</v>
      </c>
      <c r="J1978">
        <f t="shared" si="183"/>
        <v>0</v>
      </c>
      <c r="K1978">
        <f t="shared" si="184"/>
        <v>0</v>
      </c>
      <c r="L1978">
        <f t="shared" si="185"/>
        <v>25</v>
      </c>
    </row>
    <row r="1979" spans="1:12" ht="14.4" customHeight="1" x14ac:dyDescent="0.3">
      <c r="A1979">
        <v>206145911</v>
      </c>
      <c r="B1979" s="1">
        <v>45057</v>
      </c>
      <c r="C1979" s="1">
        <v>45057</v>
      </c>
      <c r="D1979" t="s">
        <v>7</v>
      </c>
      <c r="E1979">
        <v>39</v>
      </c>
      <c r="F1979" t="s">
        <v>6</v>
      </c>
      <c r="G1979">
        <f t="shared" si="180"/>
        <v>0</v>
      </c>
      <c r="H1979" s="1" t="str">
        <f t="shared" si="181"/>
        <v>Thursday</v>
      </c>
      <c r="I1979" t="str">
        <f t="shared" si="182"/>
        <v>Yes</v>
      </c>
      <c r="J1979">
        <f t="shared" si="183"/>
        <v>1</v>
      </c>
      <c r="K1979">
        <f t="shared" si="184"/>
        <v>0</v>
      </c>
      <c r="L1979">
        <f t="shared" si="185"/>
        <v>0</v>
      </c>
    </row>
    <row r="1980" spans="1:12" ht="14.4" customHeight="1" x14ac:dyDescent="0.3">
      <c r="A1980">
        <v>215146368</v>
      </c>
      <c r="B1980" s="1">
        <v>45057</v>
      </c>
      <c r="C1980" s="1">
        <v>45065</v>
      </c>
      <c r="D1980" t="s">
        <v>7</v>
      </c>
      <c r="E1980">
        <v>39</v>
      </c>
      <c r="F1980" t="s">
        <v>6</v>
      </c>
      <c r="G1980">
        <f t="shared" si="180"/>
        <v>8</v>
      </c>
      <c r="H1980" s="1" t="str">
        <f t="shared" si="181"/>
        <v>Thursday</v>
      </c>
      <c r="I1980" t="str">
        <f t="shared" si="182"/>
        <v>No</v>
      </c>
      <c r="J1980">
        <f t="shared" si="183"/>
        <v>0</v>
      </c>
      <c r="K1980">
        <f t="shared" si="184"/>
        <v>0</v>
      </c>
      <c r="L1980">
        <f t="shared" si="185"/>
        <v>8</v>
      </c>
    </row>
    <row r="1981" spans="1:12" ht="14.4" customHeight="1" x14ac:dyDescent="0.3">
      <c r="A1981">
        <v>133199506</v>
      </c>
      <c r="B1981" s="1">
        <v>45058</v>
      </c>
      <c r="D1981" t="s">
        <v>7</v>
      </c>
      <c r="E1981">
        <v>39</v>
      </c>
      <c r="F1981" t="s">
        <v>6</v>
      </c>
      <c r="G1981" t="str">
        <f t="shared" si="180"/>
        <v/>
      </c>
      <c r="H1981" s="1" t="str">
        <f t="shared" si="181"/>
        <v>Friday</v>
      </c>
      <c r="I1981" t="str">
        <f t="shared" si="182"/>
        <v>No</v>
      </c>
      <c r="J1981">
        <f t="shared" si="183"/>
        <v>0</v>
      </c>
      <c r="K1981">
        <f t="shared" si="184"/>
        <v>0</v>
      </c>
      <c r="L1981" t="str">
        <f t="shared" si="185"/>
        <v/>
      </c>
    </row>
    <row r="1982" spans="1:12" ht="14.4" customHeight="1" x14ac:dyDescent="0.3">
      <c r="A1982">
        <v>202763494</v>
      </c>
      <c r="B1982" s="1">
        <v>45058</v>
      </c>
      <c r="D1982" t="s">
        <v>7</v>
      </c>
      <c r="E1982">
        <v>39</v>
      </c>
      <c r="F1982" t="s">
        <v>6</v>
      </c>
      <c r="G1982" t="str">
        <f t="shared" si="180"/>
        <v/>
      </c>
      <c r="H1982" s="1" t="str">
        <f t="shared" si="181"/>
        <v>Friday</v>
      </c>
      <c r="I1982" t="str">
        <f t="shared" si="182"/>
        <v>No</v>
      </c>
      <c r="J1982">
        <f t="shared" si="183"/>
        <v>0</v>
      </c>
      <c r="K1982">
        <f t="shared" si="184"/>
        <v>0</v>
      </c>
      <c r="L1982" t="str">
        <f t="shared" si="185"/>
        <v/>
      </c>
    </row>
    <row r="1983" spans="1:12" ht="14.4" customHeight="1" x14ac:dyDescent="0.3">
      <c r="A1983">
        <v>215113205</v>
      </c>
      <c r="B1983" s="1">
        <v>45058</v>
      </c>
      <c r="D1983" t="s">
        <v>7</v>
      </c>
      <c r="E1983">
        <v>39</v>
      </c>
      <c r="F1983" t="s">
        <v>6</v>
      </c>
      <c r="G1983" t="str">
        <f t="shared" si="180"/>
        <v/>
      </c>
      <c r="H1983" s="1" t="str">
        <f t="shared" si="181"/>
        <v>Friday</v>
      </c>
      <c r="I1983" t="str">
        <f t="shared" si="182"/>
        <v>No</v>
      </c>
      <c r="J1983">
        <f t="shared" si="183"/>
        <v>0</v>
      </c>
      <c r="K1983">
        <f t="shared" si="184"/>
        <v>0</v>
      </c>
      <c r="L1983" t="str">
        <f t="shared" si="185"/>
        <v/>
      </c>
    </row>
    <row r="1984" spans="1:12" ht="14.4" customHeight="1" x14ac:dyDescent="0.3">
      <c r="A1984">
        <v>147097108</v>
      </c>
      <c r="B1984" s="1">
        <v>45058</v>
      </c>
      <c r="D1984" t="s">
        <v>7</v>
      </c>
      <c r="E1984">
        <v>39</v>
      </c>
      <c r="F1984" t="s">
        <v>6</v>
      </c>
      <c r="G1984" t="str">
        <f t="shared" si="180"/>
        <v/>
      </c>
      <c r="H1984" s="1" t="str">
        <f t="shared" si="181"/>
        <v>Friday</v>
      </c>
      <c r="I1984" t="str">
        <f t="shared" si="182"/>
        <v>No</v>
      </c>
      <c r="J1984">
        <f t="shared" si="183"/>
        <v>0</v>
      </c>
      <c r="K1984">
        <f t="shared" si="184"/>
        <v>0</v>
      </c>
      <c r="L1984" t="str">
        <f t="shared" si="185"/>
        <v/>
      </c>
    </row>
    <row r="1985" spans="1:12" ht="14.4" customHeight="1" x14ac:dyDescent="0.3">
      <c r="A1985">
        <v>186692270</v>
      </c>
      <c r="B1985" s="1">
        <v>45058</v>
      </c>
      <c r="D1985" t="s">
        <v>7</v>
      </c>
      <c r="E1985">
        <v>39</v>
      </c>
      <c r="F1985" t="s">
        <v>6</v>
      </c>
      <c r="G1985" t="str">
        <f t="shared" si="180"/>
        <v/>
      </c>
      <c r="H1985" s="1" t="str">
        <f t="shared" si="181"/>
        <v>Friday</v>
      </c>
      <c r="I1985" t="str">
        <f t="shared" si="182"/>
        <v>No</v>
      </c>
      <c r="J1985">
        <f t="shared" si="183"/>
        <v>0</v>
      </c>
      <c r="K1985">
        <f t="shared" si="184"/>
        <v>0</v>
      </c>
      <c r="L1985" t="str">
        <f t="shared" si="185"/>
        <v/>
      </c>
    </row>
    <row r="1986" spans="1:12" ht="14.4" customHeight="1" x14ac:dyDescent="0.3">
      <c r="A1986">
        <v>215169444</v>
      </c>
      <c r="B1986" s="1">
        <v>45058</v>
      </c>
      <c r="D1986" t="s">
        <v>7</v>
      </c>
      <c r="E1986">
        <v>39</v>
      </c>
      <c r="F1986" t="s">
        <v>6</v>
      </c>
      <c r="G1986" t="str">
        <f t="shared" ref="G1986:G2049" si="186">IF(C1986="","",C1986-B1986)</f>
        <v/>
      </c>
      <c r="H1986" s="1" t="str">
        <f t="shared" si="181"/>
        <v>Friday</v>
      </c>
      <c r="I1986" t="str">
        <f t="shared" si="182"/>
        <v>No</v>
      </c>
      <c r="J1986">
        <f t="shared" si="183"/>
        <v>0</v>
      </c>
      <c r="K1986">
        <f t="shared" si="184"/>
        <v>0</v>
      </c>
      <c r="L1986" t="str">
        <f t="shared" si="185"/>
        <v/>
      </c>
    </row>
    <row r="1987" spans="1:12" x14ac:dyDescent="0.3">
      <c r="A1987">
        <v>114992353</v>
      </c>
      <c r="B1987" s="1">
        <v>45058</v>
      </c>
      <c r="C1987" s="1">
        <v>45152</v>
      </c>
      <c r="D1987" t="s">
        <v>7</v>
      </c>
      <c r="E1987">
        <v>39</v>
      </c>
      <c r="F1987" t="s">
        <v>6</v>
      </c>
      <c r="G1987">
        <f t="shared" si="186"/>
        <v>94</v>
      </c>
      <c r="H1987" s="1" t="str">
        <f t="shared" ref="H1987:H2050" si="187">TEXT(B1987,"dddd")</f>
        <v>Friday</v>
      </c>
      <c r="I1987" t="str">
        <f t="shared" ref="I1987:I2050" si="188">IF(B1987=C1987,"Yes","No")</f>
        <v>No</v>
      </c>
      <c r="J1987">
        <f t="shared" ref="J1987:J2050" si="189">IF(AND(C1987&lt;&gt;"",C1987-B1987&lt;=2),1,0)</f>
        <v>0</v>
      </c>
      <c r="K1987">
        <f t="shared" ref="K1987:K2050" si="190">IF(AND(C1987&lt;&gt;"",C1987-B1987&gt;30),1,0)</f>
        <v>1</v>
      </c>
      <c r="L1987">
        <f t="shared" ref="L1987:L2050" si="191">IF(C1987="","",C1987-B1987)</f>
        <v>94</v>
      </c>
    </row>
    <row r="1988" spans="1:12" ht="14.4" customHeight="1" x14ac:dyDescent="0.3">
      <c r="A1988">
        <v>212339137</v>
      </c>
      <c r="B1988" s="1">
        <v>45058</v>
      </c>
      <c r="C1988" s="1">
        <v>45059</v>
      </c>
      <c r="D1988" t="s">
        <v>7</v>
      </c>
      <c r="E1988">
        <v>39</v>
      </c>
      <c r="F1988" t="s">
        <v>6</v>
      </c>
      <c r="G1988">
        <f t="shared" si="186"/>
        <v>1</v>
      </c>
      <c r="H1988" s="1" t="str">
        <f t="shared" si="187"/>
        <v>Friday</v>
      </c>
      <c r="I1988" t="str">
        <f t="shared" si="188"/>
        <v>No</v>
      </c>
      <c r="J1988">
        <f t="shared" si="189"/>
        <v>1</v>
      </c>
      <c r="K1988">
        <f t="shared" si="190"/>
        <v>0</v>
      </c>
      <c r="L1988">
        <f t="shared" si="191"/>
        <v>1</v>
      </c>
    </row>
    <row r="1989" spans="1:12" ht="14.4" customHeight="1" x14ac:dyDescent="0.3">
      <c r="A1989">
        <v>175564124</v>
      </c>
      <c r="B1989" s="1">
        <v>45058</v>
      </c>
      <c r="C1989" s="1">
        <v>45081</v>
      </c>
      <c r="D1989" t="s">
        <v>7</v>
      </c>
      <c r="E1989">
        <v>39</v>
      </c>
      <c r="F1989" t="s">
        <v>6</v>
      </c>
      <c r="G1989">
        <f t="shared" si="186"/>
        <v>23</v>
      </c>
      <c r="H1989" s="1" t="str">
        <f t="shared" si="187"/>
        <v>Friday</v>
      </c>
      <c r="I1989" t="str">
        <f t="shared" si="188"/>
        <v>No</v>
      </c>
      <c r="J1989">
        <f t="shared" si="189"/>
        <v>0</v>
      </c>
      <c r="K1989">
        <f t="shared" si="190"/>
        <v>0</v>
      </c>
      <c r="L1989">
        <f t="shared" si="191"/>
        <v>23</v>
      </c>
    </row>
    <row r="1990" spans="1:12" x14ac:dyDescent="0.3">
      <c r="A1990">
        <v>174646950</v>
      </c>
      <c r="B1990" s="1">
        <v>45058</v>
      </c>
      <c r="C1990" s="1">
        <v>45096</v>
      </c>
      <c r="D1990" t="s">
        <v>7</v>
      </c>
      <c r="E1990">
        <v>39</v>
      </c>
      <c r="F1990" t="s">
        <v>6</v>
      </c>
      <c r="G1990">
        <f t="shared" si="186"/>
        <v>38</v>
      </c>
      <c r="H1990" s="1" t="str">
        <f t="shared" si="187"/>
        <v>Friday</v>
      </c>
      <c r="I1990" t="str">
        <f t="shared" si="188"/>
        <v>No</v>
      </c>
      <c r="J1990">
        <f t="shared" si="189"/>
        <v>0</v>
      </c>
      <c r="K1990">
        <f t="shared" si="190"/>
        <v>1</v>
      </c>
      <c r="L1990">
        <f t="shared" si="191"/>
        <v>38</v>
      </c>
    </row>
    <row r="1991" spans="1:12" ht="14.4" customHeight="1" x14ac:dyDescent="0.3">
      <c r="A1991">
        <v>215075697</v>
      </c>
      <c r="B1991" s="1">
        <v>45058</v>
      </c>
      <c r="C1991" s="1">
        <v>45088</v>
      </c>
      <c r="D1991" t="s">
        <v>7</v>
      </c>
      <c r="E1991">
        <v>39</v>
      </c>
      <c r="F1991" t="s">
        <v>6</v>
      </c>
      <c r="G1991">
        <f t="shared" si="186"/>
        <v>30</v>
      </c>
      <c r="H1991" s="1" t="str">
        <f t="shared" si="187"/>
        <v>Friday</v>
      </c>
      <c r="I1991" t="str">
        <f t="shared" si="188"/>
        <v>No</v>
      </c>
      <c r="J1991">
        <f t="shared" si="189"/>
        <v>0</v>
      </c>
      <c r="K1991">
        <f t="shared" si="190"/>
        <v>0</v>
      </c>
      <c r="L1991">
        <f t="shared" si="191"/>
        <v>30</v>
      </c>
    </row>
    <row r="1992" spans="1:12" x14ac:dyDescent="0.3">
      <c r="A1992">
        <v>215149530</v>
      </c>
      <c r="B1992" s="1">
        <v>45058</v>
      </c>
      <c r="C1992" s="1">
        <v>45107</v>
      </c>
      <c r="D1992" t="s">
        <v>7</v>
      </c>
      <c r="E1992">
        <v>39</v>
      </c>
      <c r="F1992" t="s">
        <v>6</v>
      </c>
      <c r="G1992">
        <f t="shared" si="186"/>
        <v>49</v>
      </c>
      <c r="H1992" s="1" t="str">
        <f t="shared" si="187"/>
        <v>Friday</v>
      </c>
      <c r="I1992" t="str">
        <f t="shared" si="188"/>
        <v>No</v>
      </c>
      <c r="J1992">
        <f t="shared" si="189"/>
        <v>0</v>
      </c>
      <c r="K1992">
        <f t="shared" si="190"/>
        <v>1</v>
      </c>
      <c r="L1992">
        <f t="shared" si="191"/>
        <v>49</v>
      </c>
    </row>
    <row r="1993" spans="1:12" ht="14.4" customHeight="1" x14ac:dyDescent="0.3">
      <c r="A1993">
        <v>215226464</v>
      </c>
      <c r="B1993" s="1">
        <v>45059</v>
      </c>
      <c r="D1993" t="s">
        <v>7</v>
      </c>
      <c r="E1993">
        <v>39</v>
      </c>
      <c r="F1993" t="s">
        <v>6</v>
      </c>
      <c r="G1993" t="str">
        <f t="shared" si="186"/>
        <v/>
      </c>
      <c r="H1993" s="1" t="str">
        <f t="shared" si="187"/>
        <v>Saturday</v>
      </c>
      <c r="I1993" t="str">
        <f t="shared" si="188"/>
        <v>No</v>
      </c>
      <c r="J1993">
        <f t="shared" si="189"/>
        <v>0</v>
      </c>
      <c r="K1993">
        <f t="shared" si="190"/>
        <v>0</v>
      </c>
      <c r="L1993" t="str">
        <f t="shared" si="191"/>
        <v/>
      </c>
    </row>
    <row r="1994" spans="1:12" ht="14.4" customHeight="1" x14ac:dyDescent="0.3">
      <c r="A1994">
        <v>215221354</v>
      </c>
      <c r="B1994" s="1">
        <v>45059</v>
      </c>
      <c r="D1994" t="s">
        <v>7</v>
      </c>
      <c r="E1994">
        <v>39</v>
      </c>
      <c r="F1994" t="s">
        <v>6</v>
      </c>
      <c r="G1994" t="str">
        <f t="shared" si="186"/>
        <v/>
      </c>
      <c r="H1994" s="1" t="str">
        <f t="shared" si="187"/>
        <v>Saturday</v>
      </c>
      <c r="I1994" t="str">
        <f t="shared" si="188"/>
        <v>No</v>
      </c>
      <c r="J1994">
        <f t="shared" si="189"/>
        <v>0</v>
      </c>
      <c r="K1994">
        <f t="shared" si="190"/>
        <v>0</v>
      </c>
      <c r="L1994" t="str">
        <f t="shared" si="191"/>
        <v/>
      </c>
    </row>
    <row r="1995" spans="1:12" ht="14.4" customHeight="1" x14ac:dyDescent="0.3">
      <c r="A1995">
        <v>215031638</v>
      </c>
      <c r="B1995" s="1">
        <v>45059</v>
      </c>
      <c r="D1995" t="s">
        <v>7</v>
      </c>
      <c r="E1995">
        <v>39</v>
      </c>
      <c r="F1995" t="s">
        <v>6</v>
      </c>
      <c r="G1995" t="str">
        <f t="shared" si="186"/>
        <v/>
      </c>
      <c r="H1995" s="1" t="str">
        <f t="shared" si="187"/>
        <v>Saturday</v>
      </c>
      <c r="I1995" t="str">
        <f t="shared" si="188"/>
        <v>No</v>
      </c>
      <c r="J1995">
        <f t="shared" si="189"/>
        <v>0</v>
      </c>
      <c r="K1995">
        <f t="shared" si="190"/>
        <v>0</v>
      </c>
      <c r="L1995" t="str">
        <f t="shared" si="191"/>
        <v/>
      </c>
    </row>
    <row r="1996" spans="1:12" ht="14.4" customHeight="1" x14ac:dyDescent="0.3">
      <c r="A1996">
        <v>182019861</v>
      </c>
      <c r="B1996" s="1">
        <v>45060</v>
      </c>
      <c r="D1996" t="s">
        <v>7</v>
      </c>
      <c r="E1996">
        <v>39</v>
      </c>
      <c r="F1996" t="s">
        <v>6</v>
      </c>
      <c r="G1996" t="str">
        <f t="shared" si="186"/>
        <v/>
      </c>
      <c r="H1996" s="1" t="str">
        <f t="shared" si="187"/>
        <v>Sunday</v>
      </c>
      <c r="I1996" t="str">
        <f t="shared" si="188"/>
        <v>No</v>
      </c>
      <c r="J1996">
        <f t="shared" si="189"/>
        <v>0</v>
      </c>
      <c r="K1996">
        <f t="shared" si="190"/>
        <v>0</v>
      </c>
      <c r="L1996" t="str">
        <f t="shared" si="191"/>
        <v/>
      </c>
    </row>
    <row r="1997" spans="1:12" ht="14.4" customHeight="1" x14ac:dyDescent="0.3">
      <c r="A1997">
        <v>210072231</v>
      </c>
      <c r="B1997" s="1">
        <v>45060</v>
      </c>
      <c r="D1997" t="s">
        <v>7</v>
      </c>
      <c r="E1997">
        <v>39</v>
      </c>
      <c r="F1997" t="s">
        <v>6</v>
      </c>
      <c r="G1997" t="str">
        <f t="shared" si="186"/>
        <v/>
      </c>
      <c r="H1997" s="1" t="str">
        <f t="shared" si="187"/>
        <v>Sunday</v>
      </c>
      <c r="I1997" t="str">
        <f t="shared" si="188"/>
        <v>No</v>
      </c>
      <c r="J1997">
        <f t="shared" si="189"/>
        <v>0</v>
      </c>
      <c r="K1997">
        <f t="shared" si="190"/>
        <v>0</v>
      </c>
      <c r="L1997" t="str">
        <f t="shared" si="191"/>
        <v/>
      </c>
    </row>
    <row r="1998" spans="1:12" ht="14.4" customHeight="1" x14ac:dyDescent="0.3">
      <c r="A1998">
        <v>127328847</v>
      </c>
      <c r="B1998" s="1">
        <v>45060</v>
      </c>
      <c r="C1998" s="1">
        <v>45061</v>
      </c>
      <c r="D1998" t="s">
        <v>7</v>
      </c>
      <c r="E1998">
        <v>39</v>
      </c>
      <c r="F1998" t="s">
        <v>6</v>
      </c>
      <c r="G1998">
        <f t="shared" si="186"/>
        <v>1</v>
      </c>
      <c r="H1998" s="1" t="str">
        <f t="shared" si="187"/>
        <v>Sunday</v>
      </c>
      <c r="I1998" t="str">
        <f t="shared" si="188"/>
        <v>No</v>
      </c>
      <c r="J1998">
        <f t="shared" si="189"/>
        <v>1</v>
      </c>
      <c r="K1998">
        <f t="shared" si="190"/>
        <v>0</v>
      </c>
      <c r="L1998">
        <f t="shared" si="191"/>
        <v>1</v>
      </c>
    </row>
    <row r="1999" spans="1:12" ht="14.4" customHeight="1" x14ac:dyDescent="0.3">
      <c r="A1999">
        <v>155566052</v>
      </c>
      <c r="B1999" s="1">
        <v>45060</v>
      </c>
      <c r="C1999" s="1">
        <v>45089</v>
      </c>
      <c r="D1999" t="s">
        <v>7</v>
      </c>
      <c r="E1999">
        <v>39</v>
      </c>
      <c r="F1999" t="s">
        <v>6</v>
      </c>
      <c r="G1999">
        <f t="shared" si="186"/>
        <v>29</v>
      </c>
      <c r="H1999" s="1" t="str">
        <f t="shared" si="187"/>
        <v>Sunday</v>
      </c>
      <c r="I1999" t="str">
        <f t="shared" si="188"/>
        <v>No</v>
      </c>
      <c r="J1999">
        <f t="shared" si="189"/>
        <v>0</v>
      </c>
      <c r="K1999">
        <f t="shared" si="190"/>
        <v>0</v>
      </c>
      <c r="L1999">
        <f t="shared" si="191"/>
        <v>29</v>
      </c>
    </row>
    <row r="2000" spans="1:12" x14ac:dyDescent="0.3">
      <c r="A2000">
        <v>151513254</v>
      </c>
      <c r="B2000" s="1">
        <v>45060</v>
      </c>
      <c r="C2000" s="1">
        <v>45097</v>
      </c>
      <c r="D2000" t="s">
        <v>7</v>
      </c>
      <c r="E2000">
        <v>39</v>
      </c>
      <c r="F2000" t="s">
        <v>6</v>
      </c>
      <c r="G2000">
        <f t="shared" si="186"/>
        <v>37</v>
      </c>
      <c r="H2000" s="1" t="str">
        <f t="shared" si="187"/>
        <v>Sunday</v>
      </c>
      <c r="I2000" t="str">
        <f t="shared" si="188"/>
        <v>No</v>
      </c>
      <c r="J2000">
        <f t="shared" si="189"/>
        <v>0</v>
      </c>
      <c r="K2000">
        <f t="shared" si="190"/>
        <v>1</v>
      </c>
      <c r="L2000">
        <f t="shared" si="191"/>
        <v>37</v>
      </c>
    </row>
    <row r="2001" spans="1:12" x14ac:dyDescent="0.3">
      <c r="A2001">
        <v>152236400</v>
      </c>
      <c r="B2001" s="1">
        <v>45060</v>
      </c>
      <c r="C2001" s="1">
        <v>45113</v>
      </c>
      <c r="D2001" t="s">
        <v>7</v>
      </c>
      <c r="E2001">
        <v>39</v>
      </c>
      <c r="F2001" t="s">
        <v>6</v>
      </c>
      <c r="G2001">
        <f t="shared" si="186"/>
        <v>53</v>
      </c>
      <c r="H2001" s="1" t="str">
        <f t="shared" si="187"/>
        <v>Sunday</v>
      </c>
      <c r="I2001" t="str">
        <f t="shared" si="188"/>
        <v>No</v>
      </c>
      <c r="J2001">
        <f t="shared" si="189"/>
        <v>0</v>
      </c>
      <c r="K2001">
        <f t="shared" si="190"/>
        <v>1</v>
      </c>
      <c r="L2001">
        <f t="shared" si="191"/>
        <v>53</v>
      </c>
    </row>
    <row r="2002" spans="1:12" x14ac:dyDescent="0.3">
      <c r="A2002">
        <v>215030324</v>
      </c>
      <c r="B2002" s="1">
        <v>45060</v>
      </c>
      <c r="C2002" s="1">
        <v>45152</v>
      </c>
      <c r="D2002" t="s">
        <v>7</v>
      </c>
      <c r="E2002">
        <v>39</v>
      </c>
      <c r="F2002" t="s">
        <v>6</v>
      </c>
      <c r="G2002">
        <f t="shared" si="186"/>
        <v>92</v>
      </c>
      <c r="H2002" s="1" t="str">
        <f t="shared" si="187"/>
        <v>Sunday</v>
      </c>
      <c r="I2002" t="str">
        <f t="shared" si="188"/>
        <v>No</v>
      </c>
      <c r="J2002">
        <f t="shared" si="189"/>
        <v>0</v>
      </c>
      <c r="K2002">
        <f t="shared" si="190"/>
        <v>1</v>
      </c>
      <c r="L2002">
        <f t="shared" si="191"/>
        <v>92</v>
      </c>
    </row>
    <row r="2003" spans="1:12" x14ac:dyDescent="0.3">
      <c r="A2003">
        <v>206087650</v>
      </c>
      <c r="B2003" s="1">
        <v>45060</v>
      </c>
      <c r="C2003" s="1">
        <v>45128</v>
      </c>
      <c r="D2003" t="s">
        <v>7</v>
      </c>
      <c r="E2003">
        <v>39</v>
      </c>
      <c r="F2003" t="s">
        <v>6</v>
      </c>
      <c r="G2003">
        <f t="shared" si="186"/>
        <v>68</v>
      </c>
      <c r="H2003" s="1" t="str">
        <f t="shared" si="187"/>
        <v>Sunday</v>
      </c>
      <c r="I2003" t="str">
        <f t="shared" si="188"/>
        <v>No</v>
      </c>
      <c r="J2003">
        <f t="shared" si="189"/>
        <v>0</v>
      </c>
      <c r="K2003">
        <f t="shared" si="190"/>
        <v>1</v>
      </c>
      <c r="L2003">
        <f t="shared" si="191"/>
        <v>68</v>
      </c>
    </row>
    <row r="2004" spans="1:12" x14ac:dyDescent="0.3">
      <c r="A2004">
        <v>136252657</v>
      </c>
      <c r="B2004" s="1">
        <v>45061</v>
      </c>
      <c r="C2004" s="1">
        <v>45112</v>
      </c>
      <c r="D2004" t="s">
        <v>7</v>
      </c>
      <c r="E2004">
        <v>39</v>
      </c>
      <c r="F2004" t="s">
        <v>6</v>
      </c>
      <c r="G2004">
        <f t="shared" si="186"/>
        <v>51</v>
      </c>
      <c r="H2004" s="1" t="str">
        <f t="shared" si="187"/>
        <v>Monday</v>
      </c>
      <c r="I2004" t="str">
        <f t="shared" si="188"/>
        <v>No</v>
      </c>
      <c r="J2004">
        <f t="shared" si="189"/>
        <v>0</v>
      </c>
      <c r="K2004">
        <f t="shared" si="190"/>
        <v>1</v>
      </c>
      <c r="L2004">
        <f t="shared" si="191"/>
        <v>51</v>
      </c>
    </row>
    <row r="2005" spans="1:12" x14ac:dyDescent="0.3">
      <c r="A2005">
        <v>134753801</v>
      </c>
      <c r="B2005" s="1">
        <v>45061</v>
      </c>
      <c r="C2005" s="1">
        <v>45119</v>
      </c>
      <c r="D2005" t="s">
        <v>7</v>
      </c>
      <c r="E2005">
        <v>39</v>
      </c>
      <c r="F2005" t="s">
        <v>6</v>
      </c>
      <c r="G2005">
        <f t="shared" si="186"/>
        <v>58</v>
      </c>
      <c r="H2005" s="1" t="str">
        <f t="shared" si="187"/>
        <v>Monday</v>
      </c>
      <c r="I2005" t="str">
        <f t="shared" si="188"/>
        <v>No</v>
      </c>
      <c r="J2005">
        <f t="shared" si="189"/>
        <v>0</v>
      </c>
      <c r="K2005">
        <f t="shared" si="190"/>
        <v>1</v>
      </c>
      <c r="L2005">
        <f t="shared" si="191"/>
        <v>58</v>
      </c>
    </row>
    <row r="2006" spans="1:12" x14ac:dyDescent="0.3">
      <c r="A2006">
        <v>155245092</v>
      </c>
      <c r="B2006" s="1">
        <v>45061</v>
      </c>
      <c r="C2006" s="1">
        <v>45093</v>
      </c>
      <c r="D2006" t="s">
        <v>7</v>
      </c>
      <c r="E2006">
        <v>39</v>
      </c>
      <c r="F2006" t="s">
        <v>6</v>
      </c>
      <c r="G2006">
        <f t="shared" si="186"/>
        <v>32</v>
      </c>
      <c r="H2006" s="1" t="str">
        <f t="shared" si="187"/>
        <v>Monday</v>
      </c>
      <c r="I2006" t="str">
        <f t="shared" si="188"/>
        <v>No</v>
      </c>
      <c r="J2006">
        <f t="shared" si="189"/>
        <v>0</v>
      </c>
      <c r="K2006">
        <f t="shared" si="190"/>
        <v>1</v>
      </c>
      <c r="L2006">
        <f t="shared" si="191"/>
        <v>32</v>
      </c>
    </row>
    <row r="2007" spans="1:12" x14ac:dyDescent="0.3">
      <c r="A2007">
        <v>214905500</v>
      </c>
      <c r="B2007" s="1">
        <v>45061</v>
      </c>
      <c r="C2007" s="1">
        <v>45160</v>
      </c>
      <c r="D2007" t="s">
        <v>7</v>
      </c>
      <c r="E2007">
        <v>39</v>
      </c>
      <c r="F2007" t="s">
        <v>6</v>
      </c>
      <c r="G2007">
        <f t="shared" si="186"/>
        <v>99</v>
      </c>
      <c r="H2007" s="1" t="str">
        <f t="shared" si="187"/>
        <v>Monday</v>
      </c>
      <c r="I2007" t="str">
        <f t="shared" si="188"/>
        <v>No</v>
      </c>
      <c r="J2007">
        <f t="shared" si="189"/>
        <v>0</v>
      </c>
      <c r="K2007">
        <f t="shared" si="190"/>
        <v>1</v>
      </c>
      <c r="L2007">
        <f t="shared" si="191"/>
        <v>99</v>
      </c>
    </row>
    <row r="2008" spans="1:12" ht="14.4" customHeight="1" x14ac:dyDescent="0.3">
      <c r="A2008">
        <v>215152504</v>
      </c>
      <c r="B2008" s="1">
        <v>45062</v>
      </c>
      <c r="D2008" t="s">
        <v>7</v>
      </c>
      <c r="E2008">
        <v>39</v>
      </c>
      <c r="F2008" t="s">
        <v>6</v>
      </c>
      <c r="G2008" t="str">
        <f t="shared" si="186"/>
        <v/>
      </c>
      <c r="H2008" s="1" t="str">
        <f t="shared" si="187"/>
        <v>Tuesday</v>
      </c>
      <c r="I2008" t="str">
        <f t="shared" si="188"/>
        <v>No</v>
      </c>
      <c r="J2008">
        <f t="shared" si="189"/>
        <v>0</v>
      </c>
      <c r="K2008">
        <f t="shared" si="190"/>
        <v>0</v>
      </c>
      <c r="L2008" t="str">
        <f t="shared" si="191"/>
        <v/>
      </c>
    </row>
    <row r="2009" spans="1:12" ht="14.4" customHeight="1" x14ac:dyDescent="0.3">
      <c r="A2009">
        <v>215336639</v>
      </c>
      <c r="B2009" s="1">
        <v>45062</v>
      </c>
      <c r="D2009" t="s">
        <v>7</v>
      </c>
      <c r="E2009">
        <v>39</v>
      </c>
      <c r="F2009" t="s">
        <v>6</v>
      </c>
      <c r="G2009" t="str">
        <f t="shared" si="186"/>
        <v/>
      </c>
      <c r="H2009" s="1" t="str">
        <f t="shared" si="187"/>
        <v>Tuesday</v>
      </c>
      <c r="I2009" t="str">
        <f t="shared" si="188"/>
        <v>No</v>
      </c>
      <c r="J2009">
        <f t="shared" si="189"/>
        <v>0</v>
      </c>
      <c r="K2009">
        <f t="shared" si="190"/>
        <v>0</v>
      </c>
      <c r="L2009" t="str">
        <f t="shared" si="191"/>
        <v/>
      </c>
    </row>
    <row r="2010" spans="1:12" ht="14.4" customHeight="1" x14ac:dyDescent="0.3">
      <c r="A2010">
        <v>215220026</v>
      </c>
      <c r="B2010" s="1">
        <v>45062</v>
      </c>
      <c r="D2010" t="s">
        <v>7</v>
      </c>
      <c r="E2010">
        <v>39</v>
      </c>
      <c r="F2010" t="s">
        <v>6</v>
      </c>
      <c r="G2010" t="str">
        <f t="shared" si="186"/>
        <v/>
      </c>
      <c r="H2010" s="1" t="str">
        <f t="shared" si="187"/>
        <v>Tuesday</v>
      </c>
      <c r="I2010" t="str">
        <f t="shared" si="188"/>
        <v>No</v>
      </c>
      <c r="J2010">
        <f t="shared" si="189"/>
        <v>0</v>
      </c>
      <c r="K2010">
        <f t="shared" si="190"/>
        <v>0</v>
      </c>
      <c r="L2010" t="str">
        <f t="shared" si="191"/>
        <v/>
      </c>
    </row>
    <row r="2011" spans="1:12" ht="14.4" customHeight="1" x14ac:dyDescent="0.3">
      <c r="A2011">
        <v>202395800</v>
      </c>
      <c r="B2011" s="1">
        <v>45062</v>
      </c>
      <c r="D2011" t="s">
        <v>7</v>
      </c>
      <c r="E2011">
        <v>39</v>
      </c>
      <c r="F2011" t="s">
        <v>6</v>
      </c>
      <c r="G2011" t="str">
        <f t="shared" si="186"/>
        <v/>
      </c>
      <c r="H2011" s="1" t="str">
        <f t="shared" si="187"/>
        <v>Tuesday</v>
      </c>
      <c r="I2011" t="str">
        <f t="shared" si="188"/>
        <v>No</v>
      </c>
      <c r="J2011">
        <f t="shared" si="189"/>
        <v>0</v>
      </c>
      <c r="K2011">
        <f t="shared" si="190"/>
        <v>0</v>
      </c>
      <c r="L2011" t="str">
        <f t="shared" si="191"/>
        <v/>
      </c>
    </row>
    <row r="2012" spans="1:12" x14ac:dyDescent="0.3">
      <c r="A2012">
        <v>215289431</v>
      </c>
      <c r="B2012" s="1">
        <v>45062</v>
      </c>
      <c r="C2012" s="1">
        <v>45160</v>
      </c>
      <c r="D2012" t="s">
        <v>7</v>
      </c>
      <c r="E2012">
        <v>39</v>
      </c>
      <c r="F2012" t="s">
        <v>6</v>
      </c>
      <c r="G2012">
        <f t="shared" si="186"/>
        <v>98</v>
      </c>
      <c r="H2012" s="1" t="str">
        <f t="shared" si="187"/>
        <v>Tuesday</v>
      </c>
      <c r="I2012" t="str">
        <f t="shared" si="188"/>
        <v>No</v>
      </c>
      <c r="J2012">
        <f t="shared" si="189"/>
        <v>0</v>
      </c>
      <c r="K2012">
        <f t="shared" si="190"/>
        <v>1</v>
      </c>
      <c r="L2012">
        <f t="shared" si="191"/>
        <v>98</v>
      </c>
    </row>
    <row r="2013" spans="1:12" ht="14.4" customHeight="1" x14ac:dyDescent="0.3">
      <c r="A2013">
        <v>182102820</v>
      </c>
      <c r="B2013" s="1">
        <v>45062</v>
      </c>
      <c r="C2013" s="1">
        <v>45063</v>
      </c>
      <c r="D2013" t="s">
        <v>7</v>
      </c>
      <c r="E2013">
        <v>39</v>
      </c>
      <c r="F2013" t="s">
        <v>6</v>
      </c>
      <c r="G2013">
        <f t="shared" si="186"/>
        <v>1</v>
      </c>
      <c r="H2013" s="1" t="str">
        <f t="shared" si="187"/>
        <v>Tuesday</v>
      </c>
      <c r="I2013" t="str">
        <f t="shared" si="188"/>
        <v>No</v>
      </c>
      <c r="J2013">
        <f t="shared" si="189"/>
        <v>1</v>
      </c>
      <c r="K2013">
        <f t="shared" si="190"/>
        <v>0</v>
      </c>
      <c r="L2013">
        <f t="shared" si="191"/>
        <v>1</v>
      </c>
    </row>
    <row r="2014" spans="1:12" x14ac:dyDescent="0.3">
      <c r="A2014">
        <v>215322558</v>
      </c>
      <c r="B2014" s="1">
        <v>45062</v>
      </c>
      <c r="C2014" s="1">
        <v>45100</v>
      </c>
      <c r="D2014" t="s">
        <v>7</v>
      </c>
      <c r="E2014">
        <v>39</v>
      </c>
      <c r="F2014" t="s">
        <v>6</v>
      </c>
      <c r="G2014">
        <f t="shared" si="186"/>
        <v>38</v>
      </c>
      <c r="H2014" s="1" t="str">
        <f t="shared" si="187"/>
        <v>Tuesday</v>
      </c>
      <c r="I2014" t="str">
        <f t="shared" si="188"/>
        <v>No</v>
      </c>
      <c r="J2014">
        <f t="shared" si="189"/>
        <v>0</v>
      </c>
      <c r="K2014">
        <f t="shared" si="190"/>
        <v>1</v>
      </c>
      <c r="L2014">
        <f t="shared" si="191"/>
        <v>38</v>
      </c>
    </row>
    <row r="2015" spans="1:12" ht="14.4" customHeight="1" x14ac:dyDescent="0.3">
      <c r="A2015">
        <v>215347417</v>
      </c>
      <c r="B2015" s="1">
        <v>45062</v>
      </c>
      <c r="C2015" s="1">
        <v>45071</v>
      </c>
      <c r="D2015" t="s">
        <v>7</v>
      </c>
      <c r="E2015">
        <v>39</v>
      </c>
      <c r="F2015" t="s">
        <v>6</v>
      </c>
      <c r="G2015">
        <f t="shared" si="186"/>
        <v>9</v>
      </c>
      <c r="H2015" s="1" t="str">
        <f t="shared" si="187"/>
        <v>Tuesday</v>
      </c>
      <c r="I2015" t="str">
        <f t="shared" si="188"/>
        <v>No</v>
      </c>
      <c r="J2015">
        <f t="shared" si="189"/>
        <v>0</v>
      </c>
      <c r="K2015">
        <f t="shared" si="190"/>
        <v>0</v>
      </c>
      <c r="L2015">
        <f t="shared" si="191"/>
        <v>9</v>
      </c>
    </row>
    <row r="2016" spans="1:12" x14ac:dyDescent="0.3">
      <c r="A2016">
        <v>215203944</v>
      </c>
      <c r="B2016" s="1">
        <v>45062</v>
      </c>
      <c r="C2016" s="1">
        <v>45118</v>
      </c>
      <c r="D2016" t="s">
        <v>7</v>
      </c>
      <c r="E2016">
        <v>39</v>
      </c>
      <c r="F2016" t="s">
        <v>6</v>
      </c>
      <c r="G2016">
        <f t="shared" si="186"/>
        <v>56</v>
      </c>
      <c r="H2016" s="1" t="str">
        <f t="shared" si="187"/>
        <v>Tuesday</v>
      </c>
      <c r="I2016" t="str">
        <f t="shared" si="188"/>
        <v>No</v>
      </c>
      <c r="J2016">
        <f t="shared" si="189"/>
        <v>0</v>
      </c>
      <c r="K2016">
        <f t="shared" si="190"/>
        <v>1</v>
      </c>
      <c r="L2016">
        <f t="shared" si="191"/>
        <v>56</v>
      </c>
    </row>
    <row r="2017" spans="1:12" x14ac:dyDescent="0.3">
      <c r="A2017">
        <v>215350747</v>
      </c>
      <c r="B2017" s="1">
        <v>45062</v>
      </c>
      <c r="C2017" s="1">
        <v>45141</v>
      </c>
      <c r="D2017" t="s">
        <v>7</v>
      </c>
      <c r="E2017">
        <v>39</v>
      </c>
      <c r="F2017" t="s">
        <v>6</v>
      </c>
      <c r="G2017">
        <f t="shared" si="186"/>
        <v>79</v>
      </c>
      <c r="H2017" s="1" t="str">
        <f t="shared" si="187"/>
        <v>Tuesday</v>
      </c>
      <c r="I2017" t="str">
        <f t="shared" si="188"/>
        <v>No</v>
      </c>
      <c r="J2017">
        <f t="shared" si="189"/>
        <v>0</v>
      </c>
      <c r="K2017">
        <f t="shared" si="190"/>
        <v>1</v>
      </c>
      <c r="L2017">
        <f t="shared" si="191"/>
        <v>79</v>
      </c>
    </row>
    <row r="2018" spans="1:12" x14ac:dyDescent="0.3">
      <c r="A2018">
        <v>215254830</v>
      </c>
      <c r="B2018" s="1">
        <v>45062</v>
      </c>
      <c r="C2018" s="1">
        <v>45140</v>
      </c>
      <c r="D2018" t="s">
        <v>7</v>
      </c>
      <c r="E2018">
        <v>39</v>
      </c>
      <c r="F2018" t="s">
        <v>6</v>
      </c>
      <c r="G2018">
        <f t="shared" si="186"/>
        <v>78</v>
      </c>
      <c r="H2018" s="1" t="str">
        <f t="shared" si="187"/>
        <v>Tuesday</v>
      </c>
      <c r="I2018" t="str">
        <f t="shared" si="188"/>
        <v>No</v>
      </c>
      <c r="J2018">
        <f t="shared" si="189"/>
        <v>0</v>
      </c>
      <c r="K2018">
        <f t="shared" si="190"/>
        <v>1</v>
      </c>
      <c r="L2018">
        <f t="shared" si="191"/>
        <v>78</v>
      </c>
    </row>
    <row r="2019" spans="1:12" x14ac:dyDescent="0.3">
      <c r="A2019">
        <v>192908537</v>
      </c>
      <c r="B2019" s="1">
        <v>45062</v>
      </c>
      <c r="C2019" s="1">
        <v>45093</v>
      </c>
      <c r="D2019" t="s">
        <v>7</v>
      </c>
      <c r="E2019">
        <v>39</v>
      </c>
      <c r="F2019" t="s">
        <v>6</v>
      </c>
      <c r="G2019">
        <f t="shared" si="186"/>
        <v>31</v>
      </c>
      <c r="H2019" s="1" t="str">
        <f t="shared" si="187"/>
        <v>Tuesday</v>
      </c>
      <c r="I2019" t="str">
        <f t="shared" si="188"/>
        <v>No</v>
      </c>
      <c r="J2019">
        <f t="shared" si="189"/>
        <v>0</v>
      </c>
      <c r="K2019">
        <f t="shared" si="190"/>
        <v>1</v>
      </c>
      <c r="L2019">
        <f t="shared" si="191"/>
        <v>31</v>
      </c>
    </row>
    <row r="2020" spans="1:12" ht="14.4" customHeight="1" x14ac:dyDescent="0.3">
      <c r="A2020">
        <v>123007965</v>
      </c>
      <c r="B2020" s="1">
        <v>45063</v>
      </c>
      <c r="D2020" t="s">
        <v>7</v>
      </c>
      <c r="E2020">
        <v>39</v>
      </c>
      <c r="F2020" t="s">
        <v>6</v>
      </c>
      <c r="G2020" t="str">
        <f t="shared" si="186"/>
        <v/>
      </c>
      <c r="H2020" s="1" t="str">
        <f t="shared" si="187"/>
        <v>Wednesday</v>
      </c>
      <c r="I2020" t="str">
        <f t="shared" si="188"/>
        <v>No</v>
      </c>
      <c r="J2020">
        <f t="shared" si="189"/>
        <v>0</v>
      </c>
      <c r="K2020">
        <f t="shared" si="190"/>
        <v>0</v>
      </c>
      <c r="L2020" t="str">
        <f t="shared" si="191"/>
        <v/>
      </c>
    </row>
    <row r="2021" spans="1:12" ht="14.4" customHeight="1" x14ac:dyDescent="0.3">
      <c r="A2021">
        <v>151711223</v>
      </c>
      <c r="B2021" s="1">
        <v>45063</v>
      </c>
      <c r="D2021" t="s">
        <v>7</v>
      </c>
      <c r="E2021">
        <v>39</v>
      </c>
      <c r="F2021" t="s">
        <v>6</v>
      </c>
      <c r="G2021" t="str">
        <f t="shared" si="186"/>
        <v/>
      </c>
      <c r="H2021" s="1" t="str">
        <f t="shared" si="187"/>
        <v>Wednesday</v>
      </c>
      <c r="I2021" t="str">
        <f t="shared" si="188"/>
        <v>No</v>
      </c>
      <c r="J2021">
        <f t="shared" si="189"/>
        <v>0</v>
      </c>
      <c r="K2021">
        <f t="shared" si="190"/>
        <v>0</v>
      </c>
      <c r="L2021" t="str">
        <f t="shared" si="191"/>
        <v/>
      </c>
    </row>
    <row r="2022" spans="1:12" ht="14.4" customHeight="1" x14ac:dyDescent="0.3">
      <c r="A2022">
        <v>130751382</v>
      </c>
      <c r="B2022" s="1">
        <v>45063</v>
      </c>
      <c r="D2022" t="s">
        <v>7</v>
      </c>
      <c r="E2022">
        <v>39</v>
      </c>
      <c r="F2022" t="s">
        <v>6</v>
      </c>
      <c r="G2022" t="str">
        <f t="shared" si="186"/>
        <v/>
      </c>
      <c r="H2022" s="1" t="str">
        <f t="shared" si="187"/>
        <v>Wednesday</v>
      </c>
      <c r="I2022" t="str">
        <f t="shared" si="188"/>
        <v>No</v>
      </c>
      <c r="J2022">
        <f t="shared" si="189"/>
        <v>0</v>
      </c>
      <c r="K2022">
        <f t="shared" si="190"/>
        <v>0</v>
      </c>
      <c r="L2022" t="str">
        <f t="shared" si="191"/>
        <v/>
      </c>
    </row>
    <row r="2023" spans="1:12" ht="14.4" customHeight="1" x14ac:dyDescent="0.3">
      <c r="A2023">
        <v>126037254</v>
      </c>
      <c r="B2023" s="1">
        <v>45063</v>
      </c>
      <c r="D2023" t="s">
        <v>7</v>
      </c>
      <c r="E2023">
        <v>39</v>
      </c>
      <c r="F2023" t="s">
        <v>6</v>
      </c>
      <c r="G2023" t="str">
        <f t="shared" si="186"/>
        <v/>
      </c>
      <c r="H2023" s="1" t="str">
        <f t="shared" si="187"/>
        <v>Wednesday</v>
      </c>
      <c r="I2023" t="str">
        <f t="shared" si="188"/>
        <v>No</v>
      </c>
      <c r="J2023">
        <f t="shared" si="189"/>
        <v>0</v>
      </c>
      <c r="K2023">
        <f t="shared" si="190"/>
        <v>0</v>
      </c>
      <c r="L2023" t="str">
        <f t="shared" si="191"/>
        <v/>
      </c>
    </row>
    <row r="2024" spans="1:12" ht="14.4" customHeight="1" x14ac:dyDescent="0.3">
      <c r="A2024">
        <v>133469770</v>
      </c>
      <c r="B2024" s="1">
        <v>45063</v>
      </c>
      <c r="D2024" t="s">
        <v>7</v>
      </c>
      <c r="E2024">
        <v>39</v>
      </c>
      <c r="F2024" t="s">
        <v>6</v>
      </c>
      <c r="G2024" t="str">
        <f t="shared" si="186"/>
        <v/>
      </c>
      <c r="H2024" s="1" t="str">
        <f t="shared" si="187"/>
        <v>Wednesday</v>
      </c>
      <c r="I2024" t="str">
        <f t="shared" si="188"/>
        <v>No</v>
      </c>
      <c r="J2024">
        <f t="shared" si="189"/>
        <v>0</v>
      </c>
      <c r="K2024">
        <f t="shared" si="190"/>
        <v>0</v>
      </c>
      <c r="L2024" t="str">
        <f t="shared" si="191"/>
        <v/>
      </c>
    </row>
    <row r="2025" spans="1:12" x14ac:dyDescent="0.3">
      <c r="A2025">
        <v>133565657</v>
      </c>
      <c r="B2025" s="1">
        <v>45063</v>
      </c>
      <c r="C2025" s="1">
        <v>45148</v>
      </c>
      <c r="D2025" t="s">
        <v>7</v>
      </c>
      <c r="E2025">
        <v>39</v>
      </c>
      <c r="F2025" t="s">
        <v>6</v>
      </c>
      <c r="G2025">
        <f t="shared" si="186"/>
        <v>85</v>
      </c>
      <c r="H2025" s="1" t="str">
        <f t="shared" si="187"/>
        <v>Wednesday</v>
      </c>
      <c r="I2025" t="str">
        <f t="shared" si="188"/>
        <v>No</v>
      </c>
      <c r="J2025">
        <f t="shared" si="189"/>
        <v>0</v>
      </c>
      <c r="K2025">
        <f t="shared" si="190"/>
        <v>1</v>
      </c>
      <c r="L2025">
        <f t="shared" si="191"/>
        <v>85</v>
      </c>
    </row>
    <row r="2026" spans="1:12" x14ac:dyDescent="0.3">
      <c r="A2026">
        <v>215307979</v>
      </c>
      <c r="B2026" s="1">
        <v>45063</v>
      </c>
      <c r="C2026" s="1">
        <v>45101</v>
      </c>
      <c r="D2026" t="s">
        <v>7</v>
      </c>
      <c r="E2026">
        <v>39</v>
      </c>
      <c r="F2026" t="s">
        <v>6</v>
      </c>
      <c r="G2026">
        <f t="shared" si="186"/>
        <v>38</v>
      </c>
      <c r="H2026" s="1" t="str">
        <f t="shared" si="187"/>
        <v>Wednesday</v>
      </c>
      <c r="I2026" t="str">
        <f t="shared" si="188"/>
        <v>No</v>
      </c>
      <c r="J2026">
        <f t="shared" si="189"/>
        <v>0</v>
      </c>
      <c r="K2026">
        <f t="shared" si="190"/>
        <v>1</v>
      </c>
      <c r="L2026">
        <f t="shared" si="191"/>
        <v>38</v>
      </c>
    </row>
    <row r="2027" spans="1:12" x14ac:dyDescent="0.3">
      <c r="A2027">
        <v>174289942</v>
      </c>
      <c r="B2027" s="1">
        <v>45063</v>
      </c>
      <c r="C2027" s="1">
        <v>45128</v>
      </c>
      <c r="D2027" t="s">
        <v>7</v>
      </c>
      <c r="E2027">
        <v>39</v>
      </c>
      <c r="F2027" t="s">
        <v>6</v>
      </c>
      <c r="G2027">
        <f t="shared" si="186"/>
        <v>65</v>
      </c>
      <c r="H2027" s="1" t="str">
        <f t="shared" si="187"/>
        <v>Wednesday</v>
      </c>
      <c r="I2027" t="str">
        <f t="shared" si="188"/>
        <v>No</v>
      </c>
      <c r="J2027">
        <f t="shared" si="189"/>
        <v>0</v>
      </c>
      <c r="K2027">
        <f t="shared" si="190"/>
        <v>1</v>
      </c>
      <c r="L2027">
        <f t="shared" si="191"/>
        <v>65</v>
      </c>
    </row>
    <row r="2028" spans="1:12" x14ac:dyDescent="0.3">
      <c r="A2028">
        <v>215366550</v>
      </c>
      <c r="B2028" s="1">
        <v>45063</v>
      </c>
      <c r="C2028" s="1">
        <v>45139</v>
      </c>
      <c r="D2028" t="s">
        <v>7</v>
      </c>
      <c r="E2028">
        <v>39</v>
      </c>
      <c r="F2028" t="s">
        <v>6</v>
      </c>
      <c r="G2028">
        <f t="shared" si="186"/>
        <v>76</v>
      </c>
      <c r="H2028" s="1" t="str">
        <f t="shared" si="187"/>
        <v>Wednesday</v>
      </c>
      <c r="I2028" t="str">
        <f t="shared" si="188"/>
        <v>No</v>
      </c>
      <c r="J2028">
        <f t="shared" si="189"/>
        <v>0</v>
      </c>
      <c r="K2028">
        <f t="shared" si="190"/>
        <v>1</v>
      </c>
      <c r="L2028">
        <f t="shared" si="191"/>
        <v>76</v>
      </c>
    </row>
    <row r="2029" spans="1:12" ht="14.4" customHeight="1" x14ac:dyDescent="0.3">
      <c r="A2029">
        <v>210361390</v>
      </c>
      <c r="B2029" s="1">
        <v>45064</v>
      </c>
      <c r="D2029" t="s">
        <v>7</v>
      </c>
      <c r="E2029">
        <v>39</v>
      </c>
      <c r="F2029" t="s">
        <v>6</v>
      </c>
      <c r="G2029" t="str">
        <f t="shared" si="186"/>
        <v/>
      </c>
      <c r="H2029" s="1" t="str">
        <f t="shared" si="187"/>
        <v>Thursday</v>
      </c>
      <c r="I2029" t="str">
        <f t="shared" si="188"/>
        <v>No</v>
      </c>
      <c r="J2029">
        <f t="shared" si="189"/>
        <v>0</v>
      </c>
      <c r="K2029">
        <f t="shared" si="190"/>
        <v>0</v>
      </c>
      <c r="L2029" t="str">
        <f t="shared" si="191"/>
        <v/>
      </c>
    </row>
    <row r="2030" spans="1:12" ht="14.4" customHeight="1" x14ac:dyDescent="0.3">
      <c r="A2030">
        <v>120738319</v>
      </c>
      <c r="B2030" s="1">
        <v>45064</v>
      </c>
      <c r="D2030" t="s">
        <v>7</v>
      </c>
      <c r="E2030">
        <v>39</v>
      </c>
      <c r="F2030" t="s">
        <v>6</v>
      </c>
      <c r="G2030" t="str">
        <f t="shared" si="186"/>
        <v/>
      </c>
      <c r="H2030" s="1" t="str">
        <f t="shared" si="187"/>
        <v>Thursday</v>
      </c>
      <c r="I2030" t="str">
        <f t="shared" si="188"/>
        <v>No</v>
      </c>
      <c r="J2030">
        <f t="shared" si="189"/>
        <v>0</v>
      </c>
      <c r="K2030">
        <f t="shared" si="190"/>
        <v>0</v>
      </c>
      <c r="L2030" t="str">
        <f t="shared" si="191"/>
        <v/>
      </c>
    </row>
    <row r="2031" spans="1:12" ht="14.4" customHeight="1" x14ac:dyDescent="0.3">
      <c r="A2031">
        <v>214122861</v>
      </c>
      <c r="B2031" s="1">
        <v>45064</v>
      </c>
      <c r="D2031" t="s">
        <v>7</v>
      </c>
      <c r="E2031">
        <v>39</v>
      </c>
      <c r="F2031" t="s">
        <v>6</v>
      </c>
      <c r="G2031" t="str">
        <f t="shared" si="186"/>
        <v/>
      </c>
      <c r="H2031" s="1" t="str">
        <f t="shared" si="187"/>
        <v>Thursday</v>
      </c>
      <c r="I2031" t="str">
        <f t="shared" si="188"/>
        <v>No</v>
      </c>
      <c r="J2031">
        <f t="shared" si="189"/>
        <v>0</v>
      </c>
      <c r="K2031">
        <f t="shared" si="190"/>
        <v>0</v>
      </c>
      <c r="L2031" t="str">
        <f t="shared" si="191"/>
        <v/>
      </c>
    </row>
    <row r="2032" spans="1:12" ht="14.4" customHeight="1" x14ac:dyDescent="0.3">
      <c r="A2032">
        <v>214793162</v>
      </c>
      <c r="B2032" s="1">
        <v>45064</v>
      </c>
      <c r="D2032" t="s">
        <v>7</v>
      </c>
      <c r="E2032">
        <v>39</v>
      </c>
      <c r="F2032" t="s">
        <v>6</v>
      </c>
      <c r="G2032" t="str">
        <f t="shared" si="186"/>
        <v/>
      </c>
      <c r="H2032" s="1" t="str">
        <f t="shared" si="187"/>
        <v>Thursday</v>
      </c>
      <c r="I2032" t="str">
        <f t="shared" si="188"/>
        <v>No</v>
      </c>
      <c r="J2032">
        <f t="shared" si="189"/>
        <v>0</v>
      </c>
      <c r="K2032">
        <f t="shared" si="190"/>
        <v>0</v>
      </c>
      <c r="L2032" t="str">
        <f t="shared" si="191"/>
        <v/>
      </c>
    </row>
    <row r="2033" spans="1:12" x14ac:dyDescent="0.3">
      <c r="A2033">
        <v>215420480</v>
      </c>
      <c r="B2033" s="1">
        <v>45064</v>
      </c>
      <c r="C2033" s="1">
        <v>45175</v>
      </c>
      <c r="D2033" t="s">
        <v>7</v>
      </c>
      <c r="E2033">
        <v>39</v>
      </c>
      <c r="F2033" t="s">
        <v>6</v>
      </c>
      <c r="G2033">
        <f t="shared" si="186"/>
        <v>111</v>
      </c>
      <c r="H2033" s="1" t="str">
        <f t="shared" si="187"/>
        <v>Thursday</v>
      </c>
      <c r="I2033" t="str">
        <f t="shared" si="188"/>
        <v>No</v>
      </c>
      <c r="J2033">
        <f t="shared" si="189"/>
        <v>0</v>
      </c>
      <c r="K2033">
        <f t="shared" si="190"/>
        <v>1</v>
      </c>
      <c r="L2033">
        <f t="shared" si="191"/>
        <v>111</v>
      </c>
    </row>
    <row r="2034" spans="1:12" ht="14.4" customHeight="1" x14ac:dyDescent="0.3">
      <c r="A2034">
        <v>215415792</v>
      </c>
      <c r="B2034" s="1">
        <v>45064</v>
      </c>
      <c r="C2034" s="1">
        <v>45065</v>
      </c>
      <c r="D2034" t="s">
        <v>8</v>
      </c>
      <c r="E2034">
        <v>39</v>
      </c>
      <c r="F2034" t="s">
        <v>6</v>
      </c>
      <c r="G2034">
        <f t="shared" si="186"/>
        <v>1</v>
      </c>
      <c r="H2034" s="1" t="str">
        <f t="shared" si="187"/>
        <v>Thursday</v>
      </c>
      <c r="I2034" t="str">
        <f t="shared" si="188"/>
        <v>No</v>
      </c>
      <c r="J2034">
        <f t="shared" si="189"/>
        <v>1</v>
      </c>
      <c r="K2034">
        <f t="shared" si="190"/>
        <v>0</v>
      </c>
      <c r="L2034">
        <f t="shared" si="191"/>
        <v>1</v>
      </c>
    </row>
    <row r="2035" spans="1:12" ht="14.4" customHeight="1" x14ac:dyDescent="0.3">
      <c r="A2035">
        <v>152705871</v>
      </c>
      <c r="B2035" s="1">
        <v>45064</v>
      </c>
      <c r="C2035" s="1">
        <v>45071</v>
      </c>
      <c r="D2035" t="s">
        <v>7</v>
      </c>
      <c r="E2035">
        <v>39</v>
      </c>
      <c r="F2035" t="s">
        <v>6</v>
      </c>
      <c r="G2035">
        <f t="shared" si="186"/>
        <v>7</v>
      </c>
      <c r="H2035" s="1" t="str">
        <f t="shared" si="187"/>
        <v>Thursday</v>
      </c>
      <c r="I2035" t="str">
        <f t="shared" si="188"/>
        <v>No</v>
      </c>
      <c r="J2035">
        <f t="shared" si="189"/>
        <v>0</v>
      </c>
      <c r="K2035">
        <f t="shared" si="190"/>
        <v>0</v>
      </c>
      <c r="L2035">
        <f t="shared" si="191"/>
        <v>7</v>
      </c>
    </row>
    <row r="2036" spans="1:12" ht="14.4" customHeight="1" x14ac:dyDescent="0.3">
      <c r="A2036">
        <v>168265029</v>
      </c>
      <c r="B2036" s="1">
        <v>45064</v>
      </c>
      <c r="C2036" s="1">
        <v>45077</v>
      </c>
      <c r="D2036" t="s">
        <v>7</v>
      </c>
      <c r="E2036">
        <v>39</v>
      </c>
      <c r="F2036" t="s">
        <v>6</v>
      </c>
      <c r="G2036">
        <f t="shared" si="186"/>
        <v>13</v>
      </c>
      <c r="H2036" s="1" t="str">
        <f t="shared" si="187"/>
        <v>Thursday</v>
      </c>
      <c r="I2036" t="str">
        <f t="shared" si="188"/>
        <v>No</v>
      </c>
      <c r="J2036">
        <f t="shared" si="189"/>
        <v>0</v>
      </c>
      <c r="K2036">
        <f t="shared" si="190"/>
        <v>0</v>
      </c>
      <c r="L2036">
        <f t="shared" si="191"/>
        <v>13</v>
      </c>
    </row>
    <row r="2037" spans="1:12" x14ac:dyDescent="0.3">
      <c r="A2037">
        <v>215428908</v>
      </c>
      <c r="B2037" s="1">
        <v>45064</v>
      </c>
      <c r="C2037" s="1">
        <v>45096</v>
      </c>
      <c r="D2037" t="s">
        <v>7</v>
      </c>
      <c r="E2037">
        <v>39</v>
      </c>
      <c r="F2037" t="s">
        <v>6</v>
      </c>
      <c r="G2037">
        <f t="shared" si="186"/>
        <v>32</v>
      </c>
      <c r="H2037" s="1" t="str">
        <f t="shared" si="187"/>
        <v>Thursday</v>
      </c>
      <c r="I2037" t="str">
        <f t="shared" si="188"/>
        <v>No</v>
      </c>
      <c r="J2037">
        <f t="shared" si="189"/>
        <v>0</v>
      </c>
      <c r="K2037">
        <f t="shared" si="190"/>
        <v>1</v>
      </c>
      <c r="L2037">
        <f t="shared" si="191"/>
        <v>32</v>
      </c>
    </row>
    <row r="2038" spans="1:12" x14ac:dyDescent="0.3">
      <c r="A2038">
        <v>215189952</v>
      </c>
      <c r="B2038" s="1">
        <v>45064</v>
      </c>
      <c r="C2038" s="1">
        <v>45106</v>
      </c>
      <c r="D2038" t="s">
        <v>7</v>
      </c>
      <c r="E2038">
        <v>39</v>
      </c>
      <c r="F2038" t="s">
        <v>6</v>
      </c>
      <c r="G2038">
        <f t="shared" si="186"/>
        <v>42</v>
      </c>
      <c r="H2038" s="1" t="str">
        <f t="shared" si="187"/>
        <v>Thursday</v>
      </c>
      <c r="I2038" t="str">
        <f t="shared" si="188"/>
        <v>No</v>
      </c>
      <c r="J2038">
        <f t="shared" si="189"/>
        <v>0</v>
      </c>
      <c r="K2038">
        <f t="shared" si="190"/>
        <v>1</v>
      </c>
      <c r="L2038">
        <f t="shared" si="191"/>
        <v>42</v>
      </c>
    </row>
    <row r="2039" spans="1:12" x14ac:dyDescent="0.3">
      <c r="A2039">
        <v>208168256</v>
      </c>
      <c r="B2039" s="1">
        <v>45064</v>
      </c>
      <c r="C2039" s="1">
        <v>45095</v>
      </c>
      <c r="D2039" t="s">
        <v>7</v>
      </c>
      <c r="E2039">
        <v>39</v>
      </c>
      <c r="F2039" t="s">
        <v>6</v>
      </c>
      <c r="G2039">
        <f t="shared" si="186"/>
        <v>31</v>
      </c>
      <c r="H2039" s="1" t="str">
        <f t="shared" si="187"/>
        <v>Thursday</v>
      </c>
      <c r="I2039" t="str">
        <f t="shared" si="188"/>
        <v>No</v>
      </c>
      <c r="J2039">
        <f t="shared" si="189"/>
        <v>0</v>
      </c>
      <c r="K2039">
        <f t="shared" si="190"/>
        <v>1</v>
      </c>
      <c r="L2039">
        <f t="shared" si="191"/>
        <v>31</v>
      </c>
    </row>
    <row r="2040" spans="1:12" ht="14.4" customHeight="1" x14ac:dyDescent="0.3">
      <c r="A2040">
        <v>163193072</v>
      </c>
      <c r="B2040" s="1">
        <v>45065</v>
      </c>
      <c r="D2040" t="s">
        <v>7</v>
      </c>
      <c r="E2040">
        <v>39</v>
      </c>
      <c r="F2040" t="s">
        <v>6</v>
      </c>
      <c r="G2040" t="str">
        <f t="shared" si="186"/>
        <v/>
      </c>
      <c r="H2040" s="1" t="str">
        <f t="shared" si="187"/>
        <v>Friday</v>
      </c>
      <c r="I2040" t="str">
        <f t="shared" si="188"/>
        <v>No</v>
      </c>
      <c r="J2040">
        <f t="shared" si="189"/>
        <v>0</v>
      </c>
      <c r="K2040">
        <f t="shared" si="190"/>
        <v>0</v>
      </c>
      <c r="L2040" t="str">
        <f t="shared" si="191"/>
        <v/>
      </c>
    </row>
    <row r="2041" spans="1:12" ht="14.4" customHeight="1" x14ac:dyDescent="0.3">
      <c r="A2041">
        <v>153449481</v>
      </c>
      <c r="B2041" s="1">
        <v>45065</v>
      </c>
      <c r="C2041" s="1">
        <v>45066</v>
      </c>
      <c r="D2041" t="s">
        <v>7</v>
      </c>
      <c r="E2041">
        <v>39</v>
      </c>
      <c r="F2041" t="s">
        <v>6</v>
      </c>
      <c r="G2041">
        <f t="shared" si="186"/>
        <v>1</v>
      </c>
      <c r="H2041" s="1" t="str">
        <f t="shared" si="187"/>
        <v>Friday</v>
      </c>
      <c r="I2041" t="str">
        <f t="shared" si="188"/>
        <v>No</v>
      </c>
      <c r="J2041">
        <f t="shared" si="189"/>
        <v>1</v>
      </c>
      <c r="K2041">
        <f t="shared" si="190"/>
        <v>0</v>
      </c>
      <c r="L2041">
        <f t="shared" si="191"/>
        <v>1</v>
      </c>
    </row>
    <row r="2042" spans="1:12" ht="14.4" customHeight="1" x14ac:dyDescent="0.3">
      <c r="A2042">
        <v>215384745</v>
      </c>
      <c r="B2042" s="1">
        <v>45065</v>
      </c>
      <c r="C2042" s="1">
        <v>45095</v>
      </c>
      <c r="D2042" t="s">
        <v>7</v>
      </c>
      <c r="E2042">
        <v>39</v>
      </c>
      <c r="F2042" t="s">
        <v>6</v>
      </c>
      <c r="G2042">
        <f t="shared" si="186"/>
        <v>30</v>
      </c>
      <c r="H2042" s="1" t="str">
        <f t="shared" si="187"/>
        <v>Friday</v>
      </c>
      <c r="I2042" t="str">
        <f t="shared" si="188"/>
        <v>No</v>
      </c>
      <c r="J2042">
        <f t="shared" si="189"/>
        <v>0</v>
      </c>
      <c r="K2042">
        <f t="shared" si="190"/>
        <v>0</v>
      </c>
      <c r="L2042">
        <f t="shared" si="191"/>
        <v>30</v>
      </c>
    </row>
    <row r="2043" spans="1:12" x14ac:dyDescent="0.3">
      <c r="A2043">
        <v>160904253</v>
      </c>
      <c r="B2043" s="1">
        <v>45065</v>
      </c>
      <c r="C2043" s="1">
        <v>45103</v>
      </c>
      <c r="D2043" t="s">
        <v>7</v>
      </c>
      <c r="E2043">
        <v>39</v>
      </c>
      <c r="F2043" t="s">
        <v>6</v>
      </c>
      <c r="G2043">
        <f t="shared" si="186"/>
        <v>38</v>
      </c>
      <c r="H2043" s="1" t="str">
        <f t="shared" si="187"/>
        <v>Friday</v>
      </c>
      <c r="I2043" t="str">
        <f t="shared" si="188"/>
        <v>No</v>
      </c>
      <c r="J2043">
        <f t="shared" si="189"/>
        <v>0</v>
      </c>
      <c r="K2043">
        <f t="shared" si="190"/>
        <v>1</v>
      </c>
      <c r="L2043">
        <f t="shared" si="191"/>
        <v>38</v>
      </c>
    </row>
    <row r="2044" spans="1:12" x14ac:dyDescent="0.3">
      <c r="A2044">
        <v>215476119</v>
      </c>
      <c r="B2044" s="1">
        <v>45065</v>
      </c>
      <c r="C2044" s="1">
        <v>45103</v>
      </c>
      <c r="D2044" t="s">
        <v>7</v>
      </c>
      <c r="E2044">
        <v>39</v>
      </c>
      <c r="F2044" t="s">
        <v>6</v>
      </c>
      <c r="G2044">
        <f t="shared" si="186"/>
        <v>38</v>
      </c>
      <c r="H2044" s="1" t="str">
        <f t="shared" si="187"/>
        <v>Friday</v>
      </c>
      <c r="I2044" t="str">
        <f t="shared" si="188"/>
        <v>No</v>
      </c>
      <c r="J2044">
        <f t="shared" si="189"/>
        <v>0</v>
      </c>
      <c r="K2044">
        <f t="shared" si="190"/>
        <v>1</v>
      </c>
      <c r="L2044">
        <f t="shared" si="191"/>
        <v>38</v>
      </c>
    </row>
    <row r="2045" spans="1:12" ht="14.4" customHeight="1" x14ac:dyDescent="0.3">
      <c r="A2045">
        <v>214624328</v>
      </c>
      <c r="B2045" s="1">
        <v>45065</v>
      </c>
      <c r="C2045" s="1">
        <v>45091</v>
      </c>
      <c r="D2045" t="s">
        <v>7</v>
      </c>
      <c r="E2045">
        <v>39</v>
      </c>
      <c r="F2045" t="s">
        <v>6</v>
      </c>
      <c r="G2045">
        <f t="shared" si="186"/>
        <v>26</v>
      </c>
      <c r="H2045" s="1" t="str">
        <f t="shared" si="187"/>
        <v>Friday</v>
      </c>
      <c r="I2045" t="str">
        <f t="shared" si="188"/>
        <v>No</v>
      </c>
      <c r="J2045">
        <f t="shared" si="189"/>
        <v>0</v>
      </c>
      <c r="K2045">
        <f t="shared" si="190"/>
        <v>0</v>
      </c>
      <c r="L2045">
        <f t="shared" si="191"/>
        <v>26</v>
      </c>
    </row>
    <row r="2046" spans="1:12" ht="14.4" customHeight="1" x14ac:dyDescent="0.3">
      <c r="A2046">
        <v>215463105</v>
      </c>
      <c r="B2046" s="1">
        <v>45065</v>
      </c>
      <c r="C2046" s="1">
        <v>45073</v>
      </c>
      <c r="D2046" t="s">
        <v>7</v>
      </c>
      <c r="E2046">
        <v>39</v>
      </c>
      <c r="F2046" t="s">
        <v>6</v>
      </c>
      <c r="G2046">
        <f t="shared" si="186"/>
        <v>8</v>
      </c>
      <c r="H2046" s="1" t="str">
        <f t="shared" si="187"/>
        <v>Friday</v>
      </c>
      <c r="I2046" t="str">
        <f t="shared" si="188"/>
        <v>No</v>
      </c>
      <c r="J2046">
        <f t="shared" si="189"/>
        <v>0</v>
      </c>
      <c r="K2046">
        <f t="shared" si="190"/>
        <v>0</v>
      </c>
      <c r="L2046">
        <f t="shared" si="191"/>
        <v>8</v>
      </c>
    </row>
    <row r="2047" spans="1:12" x14ac:dyDescent="0.3">
      <c r="A2047">
        <v>187368519</v>
      </c>
      <c r="B2047" s="1">
        <v>45065</v>
      </c>
      <c r="C2047" s="1">
        <v>45164</v>
      </c>
      <c r="D2047" t="s">
        <v>7</v>
      </c>
      <c r="E2047">
        <v>39</v>
      </c>
      <c r="F2047" t="s">
        <v>6</v>
      </c>
      <c r="G2047">
        <f t="shared" si="186"/>
        <v>99</v>
      </c>
      <c r="H2047" s="1" t="str">
        <f t="shared" si="187"/>
        <v>Friday</v>
      </c>
      <c r="I2047" t="str">
        <f t="shared" si="188"/>
        <v>No</v>
      </c>
      <c r="J2047">
        <f t="shared" si="189"/>
        <v>0</v>
      </c>
      <c r="K2047">
        <f t="shared" si="190"/>
        <v>1</v>
      </c>
      <c r="L2047">
        <f t="shared" si="191"/>
        <v>99</v>
      </c>
    </row>
    <row r="2048" spans="1:12" x14ac:dyDescent="0.3">
      <c r="A2048">
        <v>206139986</v>
      </c>
      <c r="B2048" s="1">
        <v>45065</v>
      </c>
      <c r="C2048" s="1">
        <v>45125</v>
      </c>
      <c r="D2048" t="s">
        <v>7</v>
      </c>
      <c r="E2048">
        <v>39</v>
      </c>
      <c r="F2048" t="s">
        <v>6</v>
      </c>
      <c r="G2048">
        <f t="shared" si="186"/>
        <v>60</v>
      </c>
      <c r="H2048" s="1" t="str">
        <f t="shared" si="187"/>
        <v>Friday</v>
      </c>
      <c r="I2048" t="str">
        <f t="shared" si="188"/>
        <v>No</v>
      </c>
      <c r="J2048">
        <f t="shared" si="189"/>
        <v>0</v>
      </c>
      <c r="K2048">
        <f t="shared" si="190"/>
        <v>1</v>
      </c>
      <c r="L2048">
        <f t="shared" si="191"/>
        <v>60</v>
      </c>
    </row>
    <row r="2049" spans="1:12" x14ac:dyDescent="0.3">
      <c r="A2049">
        <v>215473481</v>
      </c>
      <c r="B2049" s="1">
        <v>45065</v>
      </c>
      <c r="C2049" s="1">
        <v>45121</v>
      </c>
      <c r="D2049" t="s">
        <v>7</v>
      </c>
      <c r="E2049">
        <v>39</v>
      </c>
      <c r="F2049" t="s">
        <v>6</v>
      </c>
      <c r="G2049">
        <f t="shared" si="186"/>
        <v>56</v>
      </c>
      <c r="H2049" s="1" t="str">
        <f t="shared" si="187"/>
        <v>Friday</v>
      </c>
      <c r="I2049" t="str">
        <f t="shared" si="188"/>
        <v>No</v>
      </c>
      <c r="J2049">
        <f t="shared" si="189"/>
        <v>0</v>
      </c>
      <c r="K2049">
        <f t="shared" si="190"/>
        <v>1</v>
      </c>
      <c r="L2049">
        <f t="shared" si="191"/>
        <v>56</v>
      </c>
    </row>
    <row r="2050" spans="1:12" ht="14.4" customHeight="1" x14ac:dyDescent="0.3">
      <c r="A2050">
        <v>214967111</v>
      </c>
      <c r="B2050" s="1">
        <v>45066</v>
      </c>
      <c r="D2050" t="s">
        <v>7</v>
      </c>
      <c r="E2050">
        <v>39</v>
      </c>
      <c r="F2050" t="s">
        <v>6</v>
      </c>
      <c r="G2050" t="str">
        <f t="shared" ref="G2050:G2113" si="192">IF(C2050="","",C2050-B2050)</f>
        <v/>
      </c>
      <c r="H2050" s="1" t="str">
        <f t="shared" si="187"/>
        <v>Saturday</v>
      </c>
      <c r="I2050" t="str">
        <f t="shared" si="188"/>
        <v>No</v>
      </c>
      <c r="J2050">
        <f t="shared" si="189"/>
        <v>0</v>
      </c>
      <c r="K2050">
        <f t="shared" si="190"/>
        <v>0</v>
      </c>
      <c r="L2050" t="str">
        <f t="shared" si="191"/>
        <v/>
      </c>
    </row>
    <row r="2051" spans="1:12" x14ac:dyDescent="0.3">
      <c r="A2051">
        <v>215472324</v>
      </c>
      <c r="B2051" s="1">
        <v>45066</v>
      </c>
      <c r="C2051" s="1">
        <v>45104</v>
      </c>
      <c r="D2051" t="s">
        <v>7</v>
      </c>
      <c r="E2051">
        <v>39</v>
      </c>
      <c r="F2051" t="s">
        <v>6</v>
      </c>
      <c r="G2051">
        <f t="shared" si="192"/>
        <v>38</v>
      </c>
      <c r="H2051" s="1" t="str">
        <f t="shared" ref="H2051:H2114" si="193">TEXT(B2051,"dddd")</f>
        <v>Saturday</v>
      </c>
      <c r="I2051" t="str">
        <f t="shared" ref="I2051:I2114" si="194">IF(B2051=C2051,"Yes","No")</f>
        <v>No</v>
      </c>
      <c r="J2051">
        <f t="shared" ref="J2051:J2114" si="195">IF(AND(C2051&lt;&gt;"",C2051-B2051&lt;=2),1,0)</f>
        <v>0</v>
      </c>
      <c r="K2051">
        <f t="shared" ref="K2051:K2114" si="196">IF(AND(C2051&lt;&gt;"",C2051-B2051&gt;30),1,0)</f>
        <v>1</v>
      </c>
      <c r="L2051">
        <f t="shared" ref="L2051:L2114" si="197">IF(C2051="","",C2051-B2051)</f>
        <v>38</v>
      </c>
    </row>
    <row r="2052" spans="1:12" x14ac:dyDescent="0.3">
      <c r="A2052">
        <v>146557284</v>
      </c>
      <c r="B2052" s="1">
        <v>45066</v>
      </c>
      <c r="C2052" s="1">
        <v>45098</v>
      </c>
      <c r="D2052" t="s">
        <v>7</v>
      </c>
      <c r="E2052">
        <v>39</v>
      </c>
      <c r="F2052" t="s">
        <v>6</v>
      </c>
      <c r="G2052">
        <f t="shared" si="192"/>
        <v>32</v>
      </c>
      <c r="H2052" s="1" t="str">
        <f t="shared" si="193"/>
        <v>Saturday</v>
      </c>
      <c r="I2052" t="str">
        <f t="shared" si="194"/>
        <v>No</v>
      </c>
      <c r="J2052">
        <f t="shared" si="195"/>
        <v>0</v>
      </c>
      <c r="K2052">
        <f t="shared" si="196"/>
        <v>1</v>
      </c>
      <c r="L2052">
        <f t="shared" si="197"/>
        <v>32</v>
      </c>
    </row>
    <row r="2053" spans="1:12" ht="14.4" customHeight="1" x14ac:dyDescent="0.3">
      <c r="A2053">
        <v>215486098</v>
      </c>
      <c r="B2053" s="1">
        <v>45067</v>
      </c>
      <c r="D2053" t="s">
        <v>7</v>
      </c>
      <c r="E2053">
        <v>39</v>
      </c>
      <c r="F2053" t="s">
        <v>6</v>
      </c>
      <c r="G2053" t="str">
        <f t="shared" si="192"/>
        <v/>
      </c>
      <c r="H2053" s="1" t="str">
        <f t="shared" si="193"/>
        <v>Sunday</v>
      </c>
      <c r="I2053" t="str">
        <f t="shared" si="194"/>
        <v>No</v>
      </c>
      <c r="J2053">
        <f t="shared" si="195"/>
        <v>0</v>
      </c>
      <c r="K2053">
        <f t="shared" si="196"/>
        <v>0</v>
      </c>
      <c r="L2053" t="str">
        <f t="shared" si="197"/>
        <v/>
      </c>
    </row>
    <row r="2054" spans="1:12" ht="14.4" customHeight="1" x14ac:dyDescent="0.3">
      <c r="A2054">
        <v>119436804</v>
      </c>
      <c r="B2054" s="1">
        <v>45067</v>
      </c>
      <c r="D2054" t="s">
        <v>7</v>
      </c>
      <c r="E2054">
        <v>39</v>
      </c>
      <c r="F2054" t="s">
        <v>6</v>
      </c>
      <c r="G2054" t="str">
        <f t="shared" si="192"/>
        <v/>
      </c>
      <c r="H2054" s="1" t="str">
        <f t="shared" si="193"/>
        <v>Sunday</v>
      </c>
      <c r="I2054" t="str">
        <f t="shared" si="194"/>
        <v>No</v>
      </c>
      <c r="J2054">
        <f t="shared" si="195"/>
        <v>0</v>
      </c>
      <c r="K2054">
        <f t="shared" si="196"/>
        <v>0</v>
      </c>
      <c r="L2054" t="str">
        <f t="shared" si="197"/>
        <v/>
      </c>
    </row>
    <row r="2055" spans="1:12" ht="14.4" customHeight="1" x14ac:dyDescent="0.3">
      <c r="A2055">
        <v>127100688</v>
      </c>
      <c r="B2055" s="1">
        <v>45067</v>
      </c>
      <c r="C2055" s="1">
        <v>45068</v>
      </c>
      <c r="D2055" t="s">
        <v>7</v>
      </c>
      <c r="E2055">
        <v>39</v>
      </c>
      <c r="F2055" t="s">
        <v>6</v>
      </c>
      <c r="G2055">
        <f t="shared" si="192"/>
        <v>1</v>
      </c>
      <c r="H2055" s="1" t="str">
        <f t="shared" si="193"/>
        <v>Sunday</v>
      </c>
      <c r="I2055" t="str">
        <f t="shared" si="194"/>
        <v>No</v>
      </c>
      <c r="J2055">
        <f t="shared" si="195"/>
        <v>1</v>
      </c>
      <c r="K2055">
        <f t="shared" si="196"/>
        <v>0</v>
      </c>
      <c r="L2055">
        <f t="shared" si="197"/>
        <v>1</v>
      </c>
    </row>
    <row r="2056" spans="1:12" ht="14.4" customHeight="1" x14ac:dyDescent="0.3">
      <c r="A2056">
        <v>134524378</v>
      </c>
      <c r="B2056" s="1">
        <v>45067</v>
      </c>
      <c r="C2056" s="1">
        <v>45068</v>
      </c>
      <c r="D2056" t="s">
        <v>7</v>
      </c>
      <c r="E2056">
        <v>39</v>
      </c>
      <c r="F2056" t="s">
        <v>6</v>
      </c>
      <c r="G2056">
        <f t="shared" si="192"/>
        <v>1</v>
      </c>
      <c r="H2056" s="1" t="str">
        <f t="shared" si="193"/>
        <v>Sunday</v>
      </c>
      <c r="I2056" t="str">
        <f t="shared" si="194"/>
        <v>No</v>
      </c>
      <c r="J2056">
        <f t="shared" si="195"/>
        <v>1</v>
      </c>
      <c r="K2056">
        <f t="shared" si="196"/>
        <v>0</v>
      </c>
      <c r="L2056">
        <f t="shared" si="197"/>
        <v>1</v>
      </c>
    </row>
    <row r="2057" spans="1:12" ht="14.4" customHeight="1" x14ac:dyDescent="0.3">
      <c r="A2057">
        <v>134652589</v>
      </c>
      <c r="B2057" s="1">
        <v>45067</v>
      </c>
      <c r="C2057" s="1">
        <v>45067</v>
      </c>
      <c r="D2057" t="s">
        <v>7</v>
      </c>
      <c r="E2057">
        <v>39</v>
      </c>
      <c r="F2057" t="s">
        <v>6</v>
      </c>
      <c r="G2057">
        <f t="shared" si="192"/>
        <v>0</v>
      </c>
      <c r="H2057" s="1" t="str">
        <f t="shared" si="193"/>
        <v>Sunday</v>
      </c>
      <c r="I2057" t="str">
        <f t="shared" si="194"/>
        <v>Yes</v>
      </c>
      <c r="J2057">
        <f t="shared" si="195"/>
        <v>1</v>
      </c>
      <c r="K2057">
        <f t="shared" si="196"/>
        <v>0</v>
      </c>
      <c r="L2057">
        <f t="shared" si="197"/>
        <v>0</v>
      </c>
    </row>
    <row r="2058" spans="1:12" ht="14.4" customHeight="1" x14ac:dyDescent="0.3">
      <c r="A2058">
        <v>214134251</v>
      </c>
      <c r="B2058" s="1">
        <v>45067</v>
      </c>
      <c r="C2058" s="1">
        <v>45068</v>
      </c>
      <c r="D2058" t="s">
        <v>8</v>
      </c>
      <c r="E2058">
        <v>39</v>
      </c>
      <c r="F2058" t="s">
        <v>6</v>
      </c>
      <c r="G2058">
        <f t="shared" si="192"/>
        <v>1</v>
      </c>
      <c r="H2058" s="1" t="str">
        <f t="shared" si="193"/>
        <v>Sunday</v>
      </c>
      <c r="I2058" t="str">
        <f t="shared" si="194"/>
        <v>No</v>
      </c>
      <c r="J2058">
        <f t="shared" si="195"/>
        <v>1</v>
      </c>
      <c r="K2058">
        <f t="shared" si="196"/>
        <v>0</v>
      </c>
      <c r="L2058">
        <f t="shared" si="197"/>
        <v>1</v>
      </c>
    </row>
    <row r="2059" spans="1:12" ht="14.4" customHeight="1" x14ac:dyDescent="0.3">
      <c r="A2059">
        <v>215565049</v>
      </c>
      <c r="B2059" s="1">
        <v>45067</v>
      </c>
      <c r="C2059" s="1">
        <v>45067</v>
      </c>
      <c r="D2059" t="s">
        <v>7</v>
      </c>
      <c r="E2059">
        <v>39</v>
      </c>
      <c r="F2059" t="s">
        <v>6</v>
      </c>
      <c r="G2059">
        <f t="shared" si="192"/>
        <v>0</v>
      </c>
      <c r="H2059" s="1" t="str">
        <f t="shared" si="193"/>
        <v>Sunday</v>
      </c>
      <c r="I2059" t="str">
        <f t="shared" si="194"/>
        <v>Yes</v>
      </c>
      <c r="J2059">
        <f t="shared" si="195"/>
        <v>1</v>
      </c>
      <c r="K2059">
        <f t="shared" si="196"/>
        <v>0</v>
      </c>
      <c r="L2059">
        <f t="shared" si="197"/>
        <v>0</v>
      </c>
    </row>
    <row r="2060" spans="1:12" x14ac:dyDescent="0.3">
      <c r="A2060">
        <v>215606026</v>
      </c>
      <c r="B2060" s="1">
        <v>45067</v>
      </c>
      <c r="C2060" s="1">
        <v>45127</v>
      </c>
      <c r="D2060" t="s">
        <v>7</v>
      </c>
      <c r="E2060">
        <v>39</v>
      </c>
      <c r="F2060" t="s">
        <v>6</v>
      </c>
      <c r="G2060">
        <f t="shared" si="192"/>
        <v>60</v>
      </c>
      <c r="H2060" s="1" t="str">
        <f t="shared" si="193"/>
        <v>Sunday</v>
      </c>
      <c r="I2060" t="str">
        <f t="shared" si="194"/>
        <v>No</v>
      </c>
      <c r="J2060">
        <f t="shared" si="195"/>
        <v>0</v>
      </c>
      <c r="K2060">
        <f t="shared" si="196"/>
        <v>1</v>
      </c>
      <c r="L2060">
        <f t="shared" si="197"/>
        <v>60</v>
      </c>
    </row>
    <row r="2061" spans="1:12" ht="14.4" customHeight="1" x14ac:dyDescent="0.3">
      <c r="A2061">
        <v>215678881</v>
      </c>
      <c r="B2061" s="1">
        <v>45068</v>
      </c>
      <c r="D2061" t="s">
        <v>7</v>
      </c>
      <c r="E2061">
        <v>39</v>
      </c>
      <c r="F2061" t="s">
        <v>6</v>
      </c>
      <c r="G2061" t="str">
        <f t="shared" si="192"/>
        <v/>
      </c>
      <c r="H2061" s="1" t="str">
        <f t="shared" si="193"/>
        <v>Monday</v>
      </c>
      <c r="I2061" t="str">
        <f t="shared" si="194"/>
        <v>No</v>
      </c>
      <c r="J2061">
        <f t="shared" si="195"/>
        <v>0</v>
      </c>
      <c r="K2061">
        <f t="shared" si="196"/>
        <v>0</v>
      </c>
      <c r="L2061" t="str">
        <f t="shared" si="197"/>
        <v/>
      </c>
    </row>
    <row r="2062" spans="1:12" ht="14.4" customHeight="1" x14ac:dyDescent="0.3">
      <c r="A2062">
        <v>212356610</v>
      </c>
      <c r="B2062" s="1">
        <v>45068</v>
      </c>
      <c r="D2062" t="s">
        <v>7</v>
      </c>
      <c r="E2062">
        <v>39</v>
      </c>
      <c r="F2062" t="s">
        <v>6</v>
      </c>
      <c r="G2062" t="str">
        <f t="shared" si="192"/>
        <v/>
      </c>
      <c r="H2062" s="1" t="str">
        <f t="shared" si="193"/>
        <v>Monday</v>
      </c>
      <c r="I2062" t="str">
        <f t="shared" si="194"/>
        <v>No</v>
      </c>
      <c r="J2062">
        <f t="shared" si="195"/>
        <v>0</v>
      </c>
      <c r="K2062">
        <f t="shared" si="196"/>
        <v>0</v>
      </c>
      <c r="L2062" t="str">
        <f t="shared" si="197"/>
        <v/>
      </c>
    </row>
    <row r="2063" spans="1:12" ht="14.4" customHeight="1" x14ac:dyDescent="0.3">
      <c r="A2063">
        <v>215336118</v>
      </c>
      <c r="B2063" s="1">
        <v>45068</v>
      </c>
      <c r="D2063" t="s">
        <v>7</v>
      </c>
      <c r="E2063">
        <v>39</v>
      </c>
      <c r="F2063" t="s">
        <v>6</v>
      </c>
      <c r="G2063" t="str">
        <f t="shared" si="192"/>
        <v/>
      </c>
      <c r="H2063" s="1" t="str">
        <f t="shared" si="193"/>
        <v>Monday</v>
      </c>
      <c r="I2063" t="str">
        <f t="shared" si="194"/>
        <v>No</v>
      </c>
      <c r="J2063">
        <f t="shared" si="195"/>
        <v>0</v>
      </c>
      <c r="K2063">
        <f t="shared" si="196"/>
        <v>0</v>
      </c>
      <c r="L2063" t="str">
        <f t="shared" si="197"/>
        <v/>
      </c>
    </row>
    <row r="2064" spans="1:12" ht="14.4" customHeight="1" x14ac:dyDescent="0.3">
      <c r="A2064">
        <v>215664306</v>
      </c>
      <c r="B2064" s="1">
        <v>45068</v>
      </c>
      <c r="D2064" t="s">
        <v>7</v>
      </c>
      <c r="E2064">
        <v>39</v>
      </c>
      <c r="F2064" t="s">
        <v>6</v>
      </c>
      <c r="G2064" t="str">
        <f t="shared" si="192"/>
        <v/>
      </c>
      <c r="H2064" s="1" t="str">
        <f t="shared" si="193"/>
        <v>Monday</v>
      </c>
      <c r="I2064" t="str">
        <f t="shared" si="194"/>
        <v>No</v>
      </c>
      <c r="J2064">
        <f t="shared" si="195"/>
        <v>0</v>
      </c>
      <c r="K2064">
        <f t="shared" si="196"/>
        <v>0</v>
      </c>
      <c r="L2064" t="str">
        <f t="shared" si="197"/>
        <v/>
      </c>
    </row>
    <row r="2065" spans="1:12" ht="14.4" customHeight="1" x14ac:dyDescent="0.3">
      <c r="A2065">
        <v>215643802</v>
      </c>
      <c r="B2065" s="1">
        <v>45068</v>
      </c>
      <c r="D2065" t="s">
        <v>7</v>
      </c>
      <c r="E2065">
        <v>39</v>
      </c>
      <c r="F2065" t="s">
        <v>6</v>
      </c>
      <c r="G2065" t="str">
        <f t="shared" si="192"/>
        <v/>
      </c>
      <c r="H2065" s="1" t="str">
        <f t="shared" si="193"/>
        <v>Monday</v>
      </c>
      <c r="I2065" t="str">
        <f t="shared" si="194"/>
        <v>No</v>
      </c>
      <c r="J2065">
        <f t="shared" si="195"/>
        <v>0</v>
      </c>
      <c r="K2065">
        <f t="shared" si="196"/>
        <v>0</v>
      </c>
      <c r="L2065" t="str">
        <f t="shared" si="197"/>
        <v/>
      </c>
    </row>
    <row r="2066" spans="1:12" ht="14.4" customHeight="1" x14ac:dyDescent="0.3">
      <c r="A2066">
        <v>206177720</v>
      </c>
      <c r="B2066" s="1">
        <v>45068</v>
      </c>
      <c r="C2066" s="1">
        <v>45069</v>
      </c>
      <c r="D2066" t="s">
        <v>8</v>
      </c>
      <c r="E2066">
        <v>39</v>
      </c>
      <c r="F2066" t="s">
        <v>6</v>
      </c>
      <c r="G2066">
        <f t="shared" si="192"/>
        <v>1</v>
      </c>
      <c r="H2066" s="1" t="str">
        <f t="shared" si="193"/>
        <v>Monday</v>
      </c>
      <c r="I2066" t="str">
        <f t="shared" si="194"/>
        <v>No</v>
      </c>
      <c r="J2066">
        <f t="shared" si="195"/>
        <v>1</v>
      </c>
      <c r="K2066">
        <f t="shared" si="196"/>
        <v>0</v>
      </c>
      <c r="L2066">
        <f t="shared" si="197"/>
        <v>1</v>
      </c>
    </row>
    <row r="2067" spans="1:12" x14ac:dyDescent="0.3">
      <c r="A2067">
        <v>215691994</v>
      </c>
      <c r="B2067" s="1">
        <v>45068</v>
      </c>
      <c r="C2067" s="1">
        <v>45159</v>
      </c>
      <c r="D2067" t="s">
        <v>7</v>
      </c>
      <c r="E2067">
        <v>39</v>
      </c>
      <c r="F2067" t="s">
        <v>6</v>
      </c>
      <c r="G2067">
        <f t="shared" si="192"/>
        <v>91</v>
      </c>
      <c r="H2067" s="1" t="str">
        <f t="shared" si="193"/>
        <v>Monday</v>
      </c>
      <c r="I2067" t="str">
        <f t="shared" si="194"/>
        <v>No</v>
      </c>
      <c r="J2067">
        <f t="shared" si="195"/>
        <v>0</v>
      </c>
      <c r="K2067">
        <f t="shared" si="196"/>
        <v>1</v>
      </c>
      <c r="L2067">
        <f t="shared" si="197"/>
        <v>91</v>
      </c>
    </row>
    <row r="2068" spans="1:12" ht="14.4" customHeight="1" x14ac:dyDescent="0.3">
      <c r="A2068">
        <v>215653406</v>
      </c>
      <c r="B2068" s="1">
        <v>45069</v>
      </c>
      <c r="D2068" t="s">
        <v>7</v>
      </c>
      <c r="E2068">
        <v>39</v>
      </c>
      <c r="F2068" t="s">
        <v>6</v>
      </c>
      <c r="G2068" t="str">
        <f t="shared" si="192"/>
        <v/>
      </c>
      <c r="H2068" s="1" t="str">
        <f t="shared" si="193"/>
        <v>Tuesday</v>
      </c>
      <c r="I2068" t="str">
        <f t="shared" si="194"/>
        <v>No</v>
      </c>
      <c r="J2068">
        <f t="shared" si="195"/>
        <v>0</v>
      </c>
      <c r="K2068">
        <f t="shared" si="196"/>
        <v>0</v>
      </c>
      <c r="L2068" t="str">
        <f t="shared" si="197"/>
        <v/>
      </c>
    </row>
    <row r="2069" spans="1:12" ht="14.4" customHeight="1" x14ac:dyDescent="0.3">
      <c r="A2069">
        <v>215534470</v>
      </c>
      <c r="B2069" s="1">
        <v>45069</v>
      </c>
      <c r="C2069" s="1">
        <v>45070</v>
      </c>
      <c r="D2069" t="s">
        <v>7</v>
      </c>
      <c r="E2069">
        <v>39</v>
      </c>
      <c r="F2069" t="s">
        <v>6</v>
      </c>
      <c r="G2069">
        <f t="shared" si="192"/>
        <v>1</v>
      </c>
      <c r="H2069" s="1" t="str">
        <f t="shared" si="193"/>
        <v>Tuesday</v>
      </c>
      <c r="I2069" t="str">
        <f t="shared" si="194"/>
        <v>No</v>
      </c>
      <c r="J2069">
        <f t="shared" si="195"/>
        <v>1</v>
      </c>
      <c r="K2069">
        <f t="shared" si="196"/>
        <v>0</v>
      </c>
      <c r="L2069">
        <f t="shared" si="197"/>
        <v>1</v>
      </c>
    </row>
    <row r="2070" spans="1:12" x14ac:dyDescent="0.3">
      <c r="A2070">
        <v>150751482</v>
      </c>
      <c r="B2070" s="1">
        <v>45069</v>
      </c>
      <c r="C2070" s="1">
        <v>45127</v>
      </c>
      <c r="D2070" t="s">
        <v>7</v>
      </c>
      <c r="E2070">
        <v>39</v>
      </c>
      <c r="F2070" t="s">
        <v>6</v>
      </c>
      <c r="G2070">
        <f t="shared" si="192"/>
        <v>58</v>
      </c>
      <c r="H2070" s="1" t="str">
        <f t="shared" si="193"/>
        <v>Tuesday</v>
      </c>
      <c r="I2070" t="str">
        <f t="shared" si="194"/>
        <v>No</v>
      </c>
      <c r="J2070">
        <f t="shared" si="195"/>
        <v>0</v>
      </c>
      <c r="K2070">
        <f t="shared" si="196"/>
        <v>1</v>
      </c>
      <c r="L2070">
        <f t="shared" si="197"/>
        <v>58</v>
      </c>
    </row>
    <row r="2071" spans="1:12" x14ac:dyDescent="0.3">
      <c r="A2071">
        <v>208601341</v>
      </c>
      <c r="B2071" s="1">
        <v>45069</v>
      </c>
      <c r="C2071" s="1">
        <v>45115</v>
      </c>
      <c r="D2071" t="s">
        <v>7</v>
      </c>
      <c r="E2071">
        <v>39</v>
      </c>
      <c r="F2071" t="s">
        <v>6</v>
      </c>
      <c r="G2071">
        <f t="shared" si="192"/>
        <v>46</v>
      </c>
      <c r="H2071" s="1" t="str">
        <f t="shared" si="193"/>
        <v>Tuesday</v>
      </c>
      <c r="I2071" t="str">
        <f t="shared" si="194"/>
        <v>No</v>
      </c>
      <c r="J2071">
        <f t="shared" si="195"/>
        <v>0</v>
      </c>
      <c r="K2071">
        <f t="shared" si="196"/>
        <v>1</v>
      </c>
      <c r="L2071">
        <f t="shared" si="197"/>
        <v>46</v>
      </c>
    </row>
    <row r="2072" spans="1:12" x14ac:dyDescent="0.3">
      <c r="A2072">
        <v>215473479</v>
      </c>
      <c r="B2072" s="1">
        <v>45069</v>
      </c>
      <c r="C2072" s="1">
        <v>45103</v>
      </c>
      <c r="D2072" t="s">
        <v>7</v>
      </c>
      <c r="E2072">
        <v>39</v>
      </c>
      <c r="F2072" t="s">
        <v>6</v>
      </c>
      <c r="G2072">
        <f t="shared" si="192"/>
        <v>34</v>
      </c>
      <c r="H2072" s="1" t="str">
        <f t="shared" si="193"/>
        <v>Tuesday</v>
      </c>
      <c r="I2072" t="str">
        <f t="shared" si="194"/>
        <v>No</v>
      </c>
      <c r="J2072">
        <f t="shared" si="195"/>
        <v>0</v>
      </c>
      <c r="K2072">
        <f t="shared" si="196"/>
        <v>1</v>
      </c>
      <c r="L2072">
        <f t="shared" si="197"/>
        <v>34</v>
      </c>
    </row>
    <row r="2073" spans="1:12" ht="14.4" customHeight="1" x14ac:dyDescent="0.3">
      <c r="A2073">
        <v>215646044</v>
      </c>
      <c r="B2073" s="1">
        <v>45069</v>
      </c>
      <c r="C2073" s="1">
        <v>45098</v>
      </c>
      <c r="D2073" t="s">
        <v>7</v>
      </c>
      <c r="E2073">
        <v>39</v>
      </c>
      <c r="F2073" t="s">
        <v>6</v>
      </c>
      <c r="G2073">
        <f t="shared" si="192"/>
        <v>29</v>
      </c>
      <c r="H2073" s="1" t="str">
        <f t="shared" si="193"/>
        <v>Tuesday</v>
      </c>
      <c r="I2073" t="str">
        <f t="shared" si="194"/>
        <v>No</v>
      </c>
      <c r="J2073">
        <f t="shared" si="195"/>
        <v>0</v>
      </c>
      <c r="K2073">
        <f t="shared" si="196"/>
        <v>0</v>
      </c>
      <c r="L2073">
        <f t="shared" si="197"/>
        <v>29</v>
      </c>
    </row>
    <row r="2074" spans="1:12" x14ac:dyDescent="0.3">
      <c r="A2074">
        <v>215686983</v>
      </c>
      <c r="B2074" s="1">
        <v>45069</v>
      </c>
      <c r="C2074" s="1">
        <v>45103</v>
      </c>
      <c r="D2074" t="s">
        <v>7</v>
      </c>
      <c r="E2074">
        <v>39</v>
      </c>
      <c r="F2074" t="s">
        <v>6</v>
      </c>
      <c r="G2074">
        <f t="shared" si="192"/>
        <v>34</v>
      </c>
      <c r="H2074" s="1" t="str">
        <f t="shared" si="193"/>
        <v>Tuesday</v>
      </c>
      <c r="I2074" t="str">
        <f t="shared" si="194"/>
        <v>No</v>
      </c>
      <c r="J2074">
        <f t="shared" si="195"/>
        <v>0</v>
      </c>
      <c r="K2074">
        <f t="shared" si="196"/>
        <v>1</v>
      </c>
      <c r="L2074">
        <f t="shared" si="197"/>
        <v>34</v>
      </c>
    </row>
    <row r="2075" spans="1:12" ht="14.4" customHeight="1" x14ac:dyDescent="0.3">
      <c r="A2075">
        <v>215704655</v>
      </c>
      <c r="B2075" s="1">
        <v>45070</v>
      </c>
      <c r="D2075" t="s">
        <v>7</v>
      </c>
      <c r="E2075">
        <v>39</v>
      </c>
      <c r="F2075" t="s">
        <v>6</v>
      </c>
      <c r="G2075" t="str">
        <f t="shared" si="192"/>
        <v/>
      </c>
      <c r="H2075" s="1" t="str">
        <f t="shared" si="193"/>
        <v>Wednesday</v>
      </c>
      <c r="I2075" t="str">
        <f t="shared" si="194"/>
        <v>No</v>
      </c>
      <c r="J2075">
        <f t="shared" si="195"/>
        <v>0</v>
      </c>
      <c r="K2075">
        <f t="shared" si="196"/>
        <v>0</v>
      </c>
      <c r="L2075" t="str">
        <f t="shared" si="197"/>
        <v/>
      </c>
    </row>
    <row r="2076" spans="1:12" x14ac:dyDescent="0.3">
      <c r="A2076">
        <v>131984682</v>
      </c>
      <c r="B2076" s="1">
        <v>45070</v>
      </c>
      <c r="C2076" s="1">
        <v>45116</v>
      </c>
      <c r="D2076" t="s">
        <v>7</v>
      </c>
      <c r="E2076">
        <v>39</v>
      </c>
      <c r="F2076" t="s">
        <v>6</v>
      </c>
      <c r="G2076">
        <f t="shared" si="192"/>
        <v>46</v>
      </c>
      <c r="H2076" s="1" t="str">
        <f t="shared" si="193"/>
        <v>Wednesday</v>
      </c>
      <c r="I2076" t="str">
        <f t="shared" si="194"/>
        <v>No</v>
      </c>
      <c r="J2076">
        <f t="shared" si="195"/>
        <v>0</v>
      </c>
      <c r="K2076">
        <f t="shared" si="196"/>
        <v>1</v>
      </c>
      <c r="L2076">
        <f t="shared" si="197"/>
        <v>46</v>
      </c>
    </row>
    <row r="2077" spans="1:12" x14ac:dyDescent="0.3">
      <c r="A2077">
        <v>214698924</v>
      </c>
      <c r="B2077" s="1">
        <v>45070</v>
      </c>
      <c r="C2077" s="1">
        <v>45104</v>
      </c>
      <c r="D2077" t="s">
        <v>7</v>
      </c>
      <c r="E2077">
        <v>39</v>
      </c>
      <c r="F2077" t="s">
        <v>6</v>
      </c>
      <c r="G2077">
        <f t="shared" si="192"/>
        <v>34</v>
      </c>
      <c r="H2077" s="1" t="str">
        <f t="shared" si="193"/>
        <v>Wednesday</v>
      </c>
      <c r="I2077" t="str">
        <f t="shared" si="194"/>
        <v>No</v>
      </c>
      <c r="J2077">
        <f t="shared" si="195"/>
        <v>0</v>
      </c>
      <c r="K2077">
        <f t="shared" si="196"/>
        <v>1</v>
      </c>
      <c r="L2077">
        <f t="shared" si="197"/>
        <v>34</v>
      </c>
    </row>
    <row r="2078" spans="1:12" ht="14.4" customHeight="1" x14ac:dyDescent="0.3">
      <c r="A2078">
        <v>183886863</v>
      </c>
      <c r="B2078" s="1">
        <v>45070</v>
      </c>
      <c r="C2078" s="1">
        <v>45070</v>
      </c>
      <c r="D2078" t="s">
        <v>7</v>
      </c>
      <c r="E2078">
        <v>39</v>
      </c>
      <c r="F2078" t="s">
        <v>6</v>
      </c>
      <c r="G2078">
        <f t="shared" si="192"/>
        <v>0</v>
      </c>
      <c r="H2078" s="1" t="str">
        <f t="shared" si="193"/>
        <v>Wednesday</v>
      </c>
      <c r="I2078" t="str">
        <f t="shared" si="194"/>
        <v>Yes</v>
      </c>
      <c r="J2078">
        <f t="shared" si="195"/>
        <v>1</v>
      </c>
      <c r="K2078">
        <f t="shared" si="196"/>
        <v>0</v>
      </c>
      <c r="L2078">
        <f t="shared" si="197"/>
        <v>0</v>
      </c>
    </row>
    <row r="2079" spans="1:12" ht="14.4" customHeight="1" x14ac:dyDescent="0.3">
      <c r="A2079">
        <v>215869320</v>
      </c>
      <c r="B2079" s="1">
        <v>45071</v>
      </c>
      <c r="D2079" t="s">
        <v>7</v>
      </c>
      <c r="E2079">
        <v>39</v>
      </c>
      <c r="F2079" t="s">
        <v>6</v>
      </c>
      <c r="G2079" t="str">
        <f t="shared" si="192"/>
        <v/>
      </c>
      <c r="H2079" s="1" t="str">
        <f t="shared" si="193"/>
        <v>Thursday</v>
      </c>
      <c r="I2079" t="str">
        <f t="shared" si="194"/>
        <v>No</v>
      </c>
      <c r="J2079">
        <f t="shared" si="195"/>
        <v>0</v>
      </c>
      <c r="K2079">
        <f t="shared" si="196"/>
        <v>0</v>
      </c>
      <c r="L2079" t="str">
        <f t="shared" si="197"/>
        <v/>
      </c>
    </row>
    <row r="2080" spans="1:12" ht="14.4" customHeight="1" x14ac:dyDescent="0.3">
      <c r="A2080">
        <v>215616284</v>
      </c>
      <c r="B2080" s="1">
        <v>45071</v>
      </c>
      <c r="D2080" t="s">
        <v>7</v>
      </c>
      <c r="E2080">
        <v>39</v>
      </c>
      <c r="F2080" t="s">
        <v>6</v>
      </c>
      <c r="G2080" t="str">
        <f t="shared" si="192"/>
        <v/>
      </c>
      <c r="H2080" s="1" t="str">
        <f t="shared" si="193"/>
        <v>Thursday</v>
      </c>
      <c r="I2080" t="str">
        <f t="shared" si="194"/>
        <v>No</v>
      </c>
      <c r="J2080">
        <f t="shared" si="195"/>
        <v>0</v>
      </c>
      <c r="K2080">
        <f t="shared" si="196"/>
        <v>0</v>
      </c>
      <c r="L2080" t="str">
        <f t="shared" si="197"/>
        <v/>
      </c>
    </row>
    <row r="2081" spans="1:12" ht="14.4" customHeight="1" x14ac:dyDescent="0.3">
      <c r="A2081">
        <v>215896078</v>
      </c>
      <c r="B2081" s="1">
        <v>45071</v>
      </c>
      <c r="D2081" t="s">
        <v>7</v>
      </c>
      <c r="E2081">
        <v>39</v>
      </c>
      <c r="F2081" t="s">
        <v>6</v>
      </c>
      <c r="G2081" t="str">
        <f t="shared" si="192"/>
        <v/>
      </c>
      <c r="H2081" s="1" t="str">
        <f t="shared" si="193"/>
        <v>Thursday</v>
      </c>
      <c r="I2081" t="str">
        <f t="shared" si="194"/>
        <v>No</v>
      </c>
      <c r="J2081">
        <f t="shared" si="195"/>
        <v>0</v>
      </c>
      <c r="K2081">
        <f t="shared" si="196"/>
        <v>0</v>
      </c>
      <c r="L2081" t="str">
        <f t="shared" si="197"/>
        <v/>
      </c>
    </row>
    <row r="2082" spans="1:12" ht="14.4" customHeight="1" x14ac:dyDescent="0.3">
      <c r="A2082">
        <v>215910170</v>
      </c>
      <c r="B2082" s="1">
        <v>45071</v>
      </c>
      <c r="D2082" t="s">
        <v>7</v>
      </c>
      <c r="E2082">
        <v>39</v>
      </c>
      <c r="F2082" t="s">
        <v>6</v>
      </c>
      <c r="G2082" t="str">
        <f t="shared" si="192"/>
        <v/>
      </c>
      <c r="H2082" s="1" t="str">
        <f t="shared" si="193"/>
        <v>Thursday</v>
      </c>
      <c r="I2082" t="str">
        <f t="shared" si="194"/>
        <v>No</v>
      </c>
      <c r="J2082">
        <f t="shared" si="195"/>
        <v>0</v>
      </c>
      <c r="K2082">
        <f t="shared" si="196"/>
        <v>0</v>
      </c>
      <c r="L2082" t="str">
        <f t="shared" si="197"/>
        <v/>
      </c>
    </row>
    <row r="2083" spans="1:12" ht="14.4" customHeight="1" x14ac:dyDescent="0.3">
      <c r="A2083">
        <v>211754109</v>
      </c>
      <c r="B2083" s="1">
        <v>45071</v>
      </c>
      <c r="C2083" s="1">
        <v>45072</v>
      </c>
      <c r="D2083" t="s">
        <v>8</v>
      </c>
      <c r="E2083">
        <v>39</v>
      </c>
      <c r="F2083" t="s">
        <v>6</v>
      </c>
      <c r="G2083">
        <f t="shared" si="192"/>
        <v>1</v>
      </c>
      <c r="H2083" s="1" t="str">
        <f t="shared" si="193"/>
        <v>Thursday</v>
      </c>
      <c r="I2083" t="str">
        <f t="shared" si="194"/>
        <v>No</v>
      </c>
      <c r="J2083">
        <f t="shared" si="195"/>
        <v>1</v>
      </c>
      <c r="K2083">
        <f t="shared" si="196"/>
        <v>0</v>
      </c>
      <c r="L2083">
        <f t="shared" si="197"/>
        <v>1</v>
      </c>
    </row>
    <row r="2084" spans="1:12" ht="14.4" customHeight="1" x14ac:dyDescent="0.3">
      <c r="A2084">
        <v>205682690</v>
      </c>
      <c r="B2084" s="1">
        <v>45071</v>
      </c>
      <c r="C2084" s="1">
        <v>45072</v>
      </c>
      <c r="D2084" t="s">
        <v>7</v>
      </c>
      <c r="E2084">
        <v>39</v>
      </c>
      <c r="F2084" t="s">
        <v>6</v>
      </c>
      <c r="G2084">
        <f t="shared" si="192"/>
        <v>1</v>
      </c>
      <c r="H2084" s="1" t="str">
        <f t="shared" si="193"/>
        <v>Thursday</v>
      </c>
      <c r="I2084" t="str">
        <f t="shared" si="194"/>
        <v>No</v>
      </c>
      <c r="J2084">
        <f t="shared" si="195"/>
        <v>1</v>
      </c>
      <c r="K2084">
        <f t="shared" si="196"/>
        <v>0</v>
      </c>
      <c r="L2084">
        <f t="shared" si="197"/>
        <v>1</v>
      </c>
    </row>
    <row r="2085" spans="1:12" ht="14.4" customHeight="1" x14ac:dyDescent="0.3">
      <c r="A2085">
        <v>151412112</v>
      </c>
      <c r="B2085" s="1">
        <v>45071</v>
      </c>
      <c r="C2085" s="1">
        <v>45096</v>
      </c>
      <c r="D2085" t="s">
        <v>7</v>
      </c>
      <c r="E2085">
        <v>39</v>
      </c>
      <c r="F2085" t="s">
        <v>6</v>
      </c>
      <c r="G2085">
        <f t="shared" si="192"/>
        <v>25</v>
      </c>
      <c r="H2085" s="1" t="str">
        <f t="shared" si="193"/>
        <v>Thursday</v>
      </c>
      <c r="I2085" t="str">
        <f t="shared" si="194"/>
        <v>No</v>
      </c>
      <c r="J2085">
        <f t="shared" si="195"/>
        <v>0</v>
      </c>
      <c r="K2085">
        <f t="shared" si="196"/>
        <v>0</v>
      </c>
      <c r="L2085">
        <f t="shared" si="197"/>
        <v>25</v>
      </c>
    </row>
    <row r="2086" spans="1:12" x14ac:dyDescent="0.3">
      <c r="A2086">
        <v>154467458</v>
      </c>
      <c r="B2086" s="1">
        <v>45071</v>
      </c>
      <c r="C2086" s="1">
        <v>45106</v>
      </c>
      <c r="D2086" t="s">
        <v>7</v>
      </c>
      <c r="E2086">
        <v>39</v>
      </c>
      <c r="F2086" t="s">
        <v>6</v>
      </c>
      <c r="G2086">
        <f t="shared" si="192"/>
        <v>35</v>
      </c>
      <c r="H2086" s="1" t="str">
        <f t="shared" si="193"/>
        <v>Thursday</v>
      </c>
      <c r="I2086" t="str">
        <f t="shared" si="194"/>
        <v>No</v>
      </c>
      <c r="J2086">
        <f t="shared" si="195"/>
        <v>0</v>
      </c>
      <c r="K2086">
        <f t="shared" si="196"/>
        <v>1</v>
      </c>
      <c r="L2086">
        <f t="shared" si="197"/>
        <v>35</v>
      </c>
    </row>
    <row r="2087" spans="1:12" x14ac:dyDescent="0.3">
      <c r="A2087">
        <v>212339137</v>
      </c>
      <c r="B2087" s="1">
        <v>45071</v>
      </c>
      <c r="C2087" s="1">
        <v>45109</v>
      </c>
      <c r="D2087" t="s">
        <v>7</v>
      </c>
      <c r="E2087">
        <v>39</v>
      </c>
      <c r="F2087" t="s">
        <v>6</v>
      </c>
      <c r="G2087">
        <f t="shared" si="192"/>
        <v>38</v>
      </c>
      <c r="H2087" s="1" t="str">
        <f t="shared" si="193"/>
        <v>Thursday</v>
      </c>
      <c r="I2087" t="str">
        <f t="shared" si="194"/>
        <v>No</v>
      </c>
      <c r="J2087">
        <f t="shared" si="195"/>
        <v>0</v>
      </c>
      <c r="K2087">
        <f t="shared" si="196"/>
        <v>1</v>
      </c>
      <c r="L2087">
        <f t="shared" si="197"/>
        <v>38</v>
      </c>
    </row>
    <row r="2088" spans="1:12" ht="14.4" customHeight="1" x14ac:dyDescent="0.3">
      <c r="A2088">
        <v>215894271</v>
      </c>
      <c r="B2088" s="1">
        <v>45071</v>
      </c>
      <c r="C2088" s="1">
        <v>45092</v>
      </c>
      <c r="D2088" t="s">
        <v>7</v>
      </c>
      <c r="E2088">
        <v>39</v>
      </c>
      <c r="F2088" t="s">
        <v>6</v>
      </c>
      <c r="G2088">
        <f t="shared" si="192"/>
        <v>21</v>
      </c>
      <c r="H2088" s="1" t="str">
        <f t="shared" si="193"/>
        <v>Thursday</v>
      </c>
      <c r="I2088" t="str">
        <f t="shared" si="194"/>
        <v>No</v>
      </c>
      <c r="J2088">
        <f t="shared" si="195"/>
        <v>0</v>
      </c>
      <c r="K2088">
        <f t="shared" si="196"/>
        <v>0</v>
      </c>
      <c r="L2088">
        <f t="shared" si="197"/>
        <v>21</v>
      </c>
    </row>
    <row r="2089" spans="1:12" x14ac:dyDescent="0.3">
      <c r="A2089">
        <v>215908442</v>
      </c>
      <c r="B2089" s="1">
        <v>45071</v>
      </c>
      <c r="C2089" s="1">
        <v>45155</v>
      </c>
      <c r="D2089" t="s">
        <v>7</v>
      </c>
      <c r="E2089">
        <v>39</v>
      </c>
      <c r="F2089" t="s">
        <v>6</v>
      </c>
      <c r="G2089">
        <f t="shared" si="192"/>
        <v>84</v>
      </c>
      <c r="H2089" s="1" t="str">
        <f t="shared" si="193"/>
        <v>Thursday</v>
      </c>
      <c r="I2089" t="str">
        <f t="shared" si="194"/>
        <v>No</v>
      </c>
      <c r="J2089">
        <f t="shared" si="195"/>
        <v>0</v>
      </c>
      <c r="K2089">
        <f t="shared" si="196"/>
        <v>1</v>
      </c>
      <c r="L2089">
        <f t="shared" si="197"/>
        <v>84</v>
      </c>
    </row>
    <row r="2090" spans="1:12" x14ac:dyDescent="0.3">
      <c r="A2090">
        <v>136032360</v>
      </c>
      <c r="B2090" s="1">
        <v>45071</v>
      </c>
      <c r="C2090" s="1">
        <v>45163</v>
      </c>
      <c r="D2090" t="s">
        <v>7</v>
      </c>
      <c r="E2090">
        <v>39</v>
      </c>
      <c r="F2090" t="s">
        <v>6</v>
      </c>
      <c r="G2090">
        <f t="shared" si="192"/>
        <v>92</v>
      </c>
      <c r="H2090" s="1" t="str">
        <f t="shared" si="193"/>
        <v>Thursday</v>
      </c>
      <c r="I2090" t="str">
        <f t="shared" si="194"/>
        <v>No</v>
      </c>
      <c r="J2090">
        <f t="shared" si="195"/>
        <v>0</v>
      </c>
      <c r="K2090">
        <f t="shared" si="196"/>
        <v>1</v>
      </c>
      <c r="L2090">
        <f t="shared" si="197"/>
        <v>92</v>
      </c>
    </row>
    <row r="2091" spans="1:12" ht="14.4" customHeight="1" x14ac:dyDescent="0.3">
      <c r="A2091">
        <v>215956542</v>
      </c>
      <c r="B2091" s="1">
        <v>45072</v>
      </c>
      <c r="D2091" t="s">
        <v>7</v>
      </c>
      <c r="E2091">
        <v>39</v>
      </c>
      <c r="F2091" t="s">
        <v>6</v>
      </c>
      <c r="G2091" t="str">
        <f t="shared" si="192"/>
        <v/>
      </c>
      <c r="H2091" s="1" t="str">
        <f t="shared" si="193"/>
        <v>Friday</v>
      </c>
      <c r="I2091" t="str">
        <f t="shared" si="194"/>
        <v>No</v>
      </c>
      <c r="J2091">
        <f t="shared" si="195"/>
        <v>0</v>
      </c>
      <c r="K2091">
        <f t="shared" si="196"/>
        <v>0</v>
      </c>
      <c r="L2091" t="str">
        <f t="shared" si="197"/>
        <v/>
      </c>
    </row>
    <row r="2092" spans="1:12" ht="14.4" customHeight="1" x14ac:dyDescent="0.3">
      <c r="A2092">
        <v>215947247</v>
      </c>
      <c r="B2092" s="1">
        <v>45072</v>
      </c>
      <c r="D2092" t="s">
        <v>7</v>
      </c>
      <c r="E2092">
        <v>39</v>
      </c>
      <c r="F2092" t="s">
        <v>6</v>
      </c>
      <c r="G2092" t="str">
        <f t="shared" si="192"/>
        <v/>
      </c>
      <c r="H2092" s="1" t="str">
        <f t="shared" si="193"/>
        <v>Friday</v>
      </c>
      <c r="I2092" t="str">
        <f t="shared" si="194"/>
        <v>No</v>
      </c>
      <c r="J2092">
        <f t="shared" si="195"/>
        <v>0</v>
      </c>
      <c r="K2092">
        <f t="shared" si="196"/>
        <v>0</v>
      </c>
      <c r="L2092" t="str">
        <f t="shared" si="197"/>
        <v/>
      </c>
    </row>
    <row r="2093" spans="1:12" ht="14.4" customHeight="1" x14ac:dyDescent="0.3">
      <c r="A2093">
        <v>122830574</v>
      </c>
      <c r="B2093" s="1">
        <v>45072</v>
      </c>
      <c r="D2093" t="s">
        <v>7</v>
      </c>
      <c r="E2093">
        <v>39</v>
      </c>
      <c r="F2093" t="s">
        <v>6</v>
      </c>
      <c r="G2093" t="str">
        <f t="shared" si="192"/>
        <v/>
      </c>
      <c r="H2093" s="1" t="str">
        <f t="shared" si="193"/>
        <v>Friday</v>
      </c>
      <c r="I2093" t="str">
        <f t="shared" si="194"/>
        <v>No</v>
      </c>
      <c r="J2093">
        <f t="shared" si="195"/>
        <v>0</v>
      </c>
      <c r="K2093">
        <f t="shared" si="196"/>
        <v>0</v>
      </c>
      <c r="L2093" t="str">
        <f t="shared" si="197"/>
        <v/>
      </c>
    </row>
    <row r="2094" spans="1:12" ht="14.4" customHeight="1" x14ac:dyDescent="0.3">
      <c r="A2094">
        <v>206904025</v>
      </c>
      <c r="B2094" s="1">
        <v>45072</v>
      </c>
      <c r="C2094" s="1">
        <v>45073</v>
      </c>
      <c r="D2094" t="s">
        <v>8</v>
      </c>
      <c r="E2094">
        <v>39</v>
      </c>
      <c r="F2094" t="s">
        <v>6</v>
      </c>
      <c r="G2094">
        <f t="shared" si="192"/>
        <v>1</v>
      </c>
      <c r="H2094" s="1" t="str">
        <f t="shared" si="193"/>
        <v>Friday</v>
      </c>
      <c r="I2094" t="str">
        <f t="shared" si="194"/>
        <v>No</v>
      </c>
      <c r="J2094">
        <f t="shared" si="195"/>
        <v>1</v>
      </c>
      <c r="K2094">
        <f t="shared" si="196"/>
        <v>0</v>
      </c>
      <c r="L2094">
        <f t="shared" si="197"/>
        <v>1</v>
      </c>
    </row>
    <row r="2095" spans="1:12" x14ac:dyDescent="0.3">
      <c r="A2095">
        <v>153396366</v>
      </c>
      <c r="B2095" s="1">
        <v>45072</v>
      </c>
      <c r="C2095" s="1">
        <v>45104</v>
      </c>
      <c r="D2095" t="s">
        <v>7</v>
      </c>
      <c r="E2095">
        <v>39</v>
      </c>
      <c r="F2095" t="s">
        <v>6</v>
      </c>
      <c r="G2095">
        <f t="shared" si="192"/>
        <v>32</v>
      </c>
      <c r="H2095" s="1" t="str">
        <f t="shared" si="193"/>
        <v>Friday</v>
      </c>
      <c r="I2095" t="str">
        <f t="shared" si="194"/>
        <v>No</v>
      </c>
      <c r="J2095">
        <f t="shared" si="195"/>
        <v>0</v>
      </c>
      <c r="K2095">
        <f t="shared" si="196"/>
        <v>1</v>
      </c>
      <c r="L2095">
        <f t="shared" si="197"/>
        <v>32</v>
      </c>
    </row>
    <row r="2096" spans="1:12" ht="14.4" customHeight="1" x14ac:dyDescent="0.3">
      <c r="A2096">
        <v>200304509</v>
      </c>
      <c r="B2096" s="1">
        <v>45072</v>
      </c>
      <c r="C2096" s="1">
        <v>45094</v>
      </c>
      <c r="D2096" t="s">
        <v>7</v>
      </c>
      <c r="E2096">
        <v>39</v>
      </c>
      <c r="F2096" t="s">
        <v>6</v>
      </c>
      <c r="G2096">
        <f t="shared" si="192"/>
        <v>22</v>
      </c>
      <c r="H2096" s="1" t="str">
        <f t="shared" si="193"/>
        <v>Friday</v>
      </c>
      <c r="I2096" t="str">
        <f t="shared" si="194"/>
        <v>No</v>
      </c>
      <c r="J2096">
        <f t="shared" si="195"/>
        <v>0</v>
      </c>
      <c r="K2096">
        <f t="shared" si="196"/>
        <v>0</v>
      </c>
      <c r="L2096">
        <f t="shared" si="197"/>
        <v>22</v>
      </c>
    </row>
    <row r="2097" spans="1:12" ht="14.4" customHeight="1" x14ac:dyDescent="0.3">
      <c r="A2097">
        <v>215867874</v>
      </c>
      <c r="B2097" s="1">
        <v>45072</v>
      </c>
      <c r="C2097" s="1">
        <v>45095</v>
      </c>
      <c r="D2097" t="s">
        <v>7</v>
      </c>
      <c r="E2097">
        <v>39</v>
      </c>
      <c r="F2097" t="s">
        <v>6</v>
      </c>
      <c r="G2097">
        <f t="shared" si="192"/>
        <v>23</v>
      </c>
      <c r="H2097" s="1" t="str">
        <f t="shared" si="193"/>
        <v>Friday</v>
      </c>
      <c r="I2097" t="str">
        <f t="shared" si="194"/>
        <v>No</v>
      </c>
      <c r="J2097">
        <f t="shared" si="195"/>
        <v>0</v>
      </c>
      <c r="K2097">
        <f t="shared" si="196"/>
        <v>0</v>
      </c>
      <c r="L2097">
        <f t="shared" si="197"/>
        <v>23</v>
      </c>
    </row>
    <row r="2098" spans="1:12" ht="14.4" customHeight="1" x14ac:dyDescent="0.3">
      <c r="A2098">
        <v>215869887</v>
      </c>
      <c r="B2098" s="1">
        <v>45072</v>
      </c>
      <c r="C2098" s="1">
        <v>45088</v>
      </c>
      <c r="D2098" t="s">
        <v>7</v>
      </c>
      <c r="E2098">
        <v>39</v>
      </c>
      <c r="F2098" t="s">
        <v>6</v>
      </c>
      <c r="G2098">
        <f t="shared" si="192"/>
        <v>16</v>
      </c>
      <c r="H2098" s="1" t="str">
        <f t="shared" si="193"/>
        <v>Friday</v>
      </c>
      <c r="I2098" t="str">
        <f t="shared" si="194"/>
        <v>No</v>
      </c>
      <c r="J2098">
        <f t="shared" si="195"/>
        <v>0</v>
      </c>
      <c r="K2098">
        <f t="shared" si="196"/>
        <v>0</v>
      </c>
      <c r="L2098">
        <f t="shared" si="197"/>
        <v>16</v>
      </c>
    </row>
    <row r="2099" spans="1:12" ht="14.4" customHeight="1" x14ac:dyDescent="0.3">
      <c r="A2099">
        <v>134652589</v>
      </c>
      <c r="B2099" s="1">
        <v>45072</v>
      </c>
      <c r="C2099" s="1">
        <v>45087</v>
      </c>
      <c r="D2099" t="s">
        <v>7</v>
      </c>
      <c r="E2099">
        <v>39</v>
      </c>
      <c r="F2099" t="s">
        <v>6</v>
      </c>
      <c r="G2099">
        <f t="shared" si="192"/>
        <v>15</v>
      </c>
      <c r="H2099" s="1" t="str">
        <f t="shared" si="193"/>
        <v>Friday</v>
      </c>
      <c r="I2099" t="str">
        <f t="shared" si="194"/>
        <v>No</v>
      </c>
      <c r="J2099">
        <f t="shared" si="195"/>
        <v>0</v>
      </c>
      <c r="K2099">
        <f t="shared" si="196"/>
        <v>0</v>
      </c>
      <c r="L2099">
        <f t="shared" si="197"/>
        <v>15</v>
      </c>
    </row>
    <row r="2100" spans="1:12" x14ac:dyDescent="0.3">
      <c r="A2100">
        <v>215759517</v>
      </c>
      <c r="B2100" s="1">
        <v>45072</v>
      </c>
      <c r="C2100" s="1">
        <v>45171</v>
      </c>
      <c r="D2100" t="s">
        <v>7</v>
      </c>
      <c r="E2100">
        <v>39</v>
      </c>
      <c r="F2100" t="s">
        <v>6</v>
      </c>
      <c r="G2100">
        <f t="shared" si="192"/>
        <v>99</v>
      </c>
      <c r="H2100" s="1" t="str">
        <f t="shared" si="193"/>
        <v>Friday</v>
      </c>
      <c r="I2100" t="str">
        <f t="shared" si="194"/>
        <v>No</v>
      </c>
      <c r="J2100">
        <f t="shared" si="195"/>
        <v>0</v>
      </c>
      <c r="K2100">
        <f t="shared" si="196"/>
        <v>1</v>
      </c>
      <c r="L2100">
        <f t="shared" si="197"/>
        <v>99</v>
      </c>
    </row>
    <row r="2101" spans="1:12" x14ac:dyDescent="0.3">
      <c r="A2101">
        <v>152004313</v>
      </c>
      <c r="B2101" s="1">
        <v>45072</v>
      </c>
      <c r="C2101" s="1">
        <v>45111</v>
      </c>
      <c r="D2101" t="s">
        <v>7</v>
      </c>
      <c r="E2101">
        <v>39</v>
      </c>
      <c r="F2101" t="s">
        <v>6</v>
      </c>
      <c r="G2101">
        <f t="shared" si="192"/>
        <v>39</v>
      </c>
      <c r="H2101" s="1" t="str">
        <f t="shared" si="193"/>
        <v>Friday</v>
      </c>
      <c r="I2101" t="str">
        <f t="shared" si="194"/>
        <v>No</v>
      </c>
      <c r="J2101">
        <f t="shared" si="195"/>
        <v>0</v>
      </c>
      <c r="K2101">
        <f t="shared" si="196"/>
        <v>1</v>
      </c>
      <c r="L2101">
        <f t="shared" si="197"/>
        <v>39</v>
      </c>
    </row>
    <row r="2102" spans="1:12" x14ac:dyDescent="0.3">
      <c r="A2102">
        <v>215931788</v>
      </c>
      <c r="B2102" s="1">
        <v>45072</v>
      </c>
      <c r="C2102" s="1">
        <v>45104</v>
      </c>
      <c r="D2102" t="s">
        <v>7</v>
      </c>
      <c r="E2102">
        <v>39</v>
      </c>
      <c r="F2102" t="s">
        <v>6</v>
      </c>
      <c r="G2102">
        <f t="shared" si="192"/>
        <v>32</v>
      </c>
      <c r="H2102" s="1" t="str">
        <f t="shared" si="193"/>
        <v>Friday</v>
      </c>
      <c r="I2102" t="str">
        <f t="shared" si="194"/>
        <v>No</v>
      </c>
      <c r="J2102">
        <f t="shared" si="195"/>
        <v>0</v>
      </c>
      <c r="K2102">
        <f t="shared" si="196"/>
        <v>1</v>
      </c>
      <c r="L2102">
        <f t="shared" si="197"/>
        <v>32</v>
      </c>
    </row>
    <row r="2103" spans="1:12" x14ac:dyDescent="0.3">
      <c r="A2103">
        <v>215792692</v>
      </c>
      <c r="B2103" s="1">
        <v>45072</v>
      </c>
      <c r="C2103" s="1">
        <v>45132</v>
      </c>
      <c r="D2103" t="s">
        <v>7</v>
      </c>
      <c r="E2103">
        <v>39</v>
      </c>
      <c r="F2103" t="s">
        <v>6</v>
      </c>
      <c r="G2103">
        <f t="shared" si="192"/>
        <v>60</v>
      </c>
      <c r="H2103" s="1" t="str">
        <f t="shared" si="193"/>
        <v>Friday</v>
      </c>
      <c r="I2103" t="str">
        <f t="shared" si="194"/>
        <v>No</v>
      </c>
      <c r="J2103">
        <f t="shared" si="195"/>
        <v>0</v>
      </c>
      <c r="K2103">
        <f t="shared" si="196"/>
        <v>1</v>
      </c>
      <c r="L2103">
        <f t="shared" si="197"/>
        <v>60</v>
      </c>
    </row>
    <row r="2104" spans="1:12" x14ac:dyDescent="0.3">
      <c r="A2104">
        <v>205507364</v>
      </c>
      <c r="B2104" s="1">
        <v>45072</v>
      </c>
      <c r="C2104" s="1">
        <v>45133</v>
      </c>
      <c r="D2104" t="s">
        <v>7</v>
      </c>
      <c r="E2104">
        <v>39</v>
      </c>
      <c r="F2104" t="s">
        <v>6</v>
      </c>
      <c r="G2104">
        <f t="shared" si="192"/>
        <v>61</v>
      </c>
      <c r="H2104" s="1" t="str">
        <f t="shared" si="193"/>
        <v>Friday</v>
      </c>
      <c r="I2104" t="str">
        <f t="shared" si="194"/>
        <v>No</v>
      </c>
      <c r="J2104">
        <f t="shared" si="195"/>
        <v>0</v>
      </c>
      <c r="K2104">
        <f t="shared" si="196"/>
        <v>1</v>
      </c>
      <c r="L2104">
        <f t="shared" si="197"/>
        <v>61</v>
      </c>
    </row>
    <row r="2105" spans="1:12" x14ac:dyDescent="0.3">
      <c r="A2105">
        <v>130016916</v>
      </c>
      <c r="B2105" s="1">
        <v>45072</v>
      </c>
      <c r="C2105" s="1">
        <v>45133</v>
      </c>
      <c r="D2105" t="s">
        <v>7</v>
      </c>
      <c r="E2105">
        <v>39</v>
      </c>
      <c r="F2105" t="s">
        <v>6</v>
      </c>
      <c r="G2105">
        <f t="shared" si="192"/>
        <v>61</v>
      </c>
      <c r="H2105" s="1" t="str">
        <f t="shared" si="193"/>
        <v>Friday</v>
      </c>
      <c r="I2105" t="str">
        <f t="shared" si="194"/>
        <v>No</v>
      </c>
      <c r="J2105">
        <f t="shared" si="195"/>
        <v>0</v>
      </c>
      <c r="K2105">
        <f t="shared" si="196"/>
        <v>1</v>
      </c>
      <c r="L2105">
        <f t="shared" si="197"/>
        <v>61</v>
      </c>
    </row>
    <row r="2106" spans="1:12" ht="14.4" customHeight="1" x14ac:dyDescent="0.3">
      <c r="A2106">
        <v>174991614</v>
      </c>
      <c r="B2106" s="1">
        <v>45073</v>
      </c>
      <c r="D2106" t="s">
        <v>7</v>
      </c>
      <c r="E2106">
        <v>39</v>
      </c>
      <c r="F2106" t="s">
        <v>6</v>
      </c>
      <c r="G2106" t="str">
        <f t="shared" si="192"/>
        <v/>
      </c>
      <c r="H2106" s="1" t="str">
        <f t="shared" si="193"/>
        <v>Saturday</v>
      </c>
      <c r="I2106" t="str">
        <f t="shared" si="194"/>
        <v>No</v>
      </c>
      <c r="J2106">
        <f t="shared" si="195"/>
        <v>0</v>
      </c>
      <c r="K2106">
        <f t="shared" si="196"/>
        <v>0</v>
      </c>
      <c r="L2106" t="str">
        <f t="shared" si="197"/>
        <v/>
      </c>
    </row>
    <row r="2107" spans="1:12" ht="14.4" customHeight="1" x14ac:dyDescent="0.3">
      <c r="A2107">
        <v>118197872</v>
      </c>
      <c r="B2107" s="1">
        <v>45073</v>
      </c>
      <c r="D2107" t="s">
        <v>7</v>
      </c>
      <c r="E2107">
        <v>39</v>
      </c>
      <c r="F2107" t="s">
        <v>6</v>
      </c>
      <c r="G2107" t="str">
        <f t="shared" si="192"/>
        <v/>
      </c>
      <c r="H2107" s="1" t="str">
        <f t="shared" si="193"/>
        <v>Saturday</v>
      </c>
      <c r="I2107" t="str">
        <f t="shared" si="194"/>
        <v>No</v>
      </c>
      <c r="J2107">
        <f t="shared" si="195"/>
        <v>0</v>
      </c>
      <c r="K2107">
        <f t="shared" si="196"/>
        <v>0</v>
      </c>
      <c r="L2107" t="str">
        <f t="shared" si="197"/>
        <v/>
      </c>
    </row>
    <row r="2108" spans="1:12" ht="14.4" customHeight="1" x14ac:dyDescent="0.3">
      <c r="A2108">
        <v>215906516</v>
      </c>
      <c r="B2108" s="1">
        <v>45073</v>
      </c>
      <c r="D2108" t="s">
        <v>7</v>
      </c>
      <c r="E2108">
        <v>39</v>
      </c>
      <c r="F2108" t="s">
        <v>6</v>
      </c>
      <c r="G2108" t="str">
        <f t="shared" si="192"/>
        <v/>
      </c>
      <c r="H2108" s="1" t="str">
        <f t="shared" si="193"/>
        <v>Saturday</v>
      </c>
      <c r="I2108" t="str">
        <f t="shared" si="194"/>
        <v>No</v>
      </c>
      <c r="J2108">
        <f t="shared" si="195"/>
        <v>0</v>
      </c>
      <c r="K2108">
        <f t="shared" si="196"/>
        <v>0</v>
      </c>
      <c r="L2108" t="str">
        <f t="shared" si="197"/>
        <v/>
      </c>
    </row>
    <row r="2109" spans="1:12" x14ac:dyDescent="0.3">
      <c r="A2109">
        <v>116197941</v>
      </c>
      <c r="B2109" s="1">
        <v>45073</v>
      </c>
      <c r="C2109" s="1">
        <v>45141</v>
      </c>
      <c r="D2109" t="s">
        <v>7</v>
      </c>
      <c r="E2109">
        <v>39</v>
      </c>
      <c r="F2109" t="s">
        <v>6</v>
      </c>
      <c r="G2109">
        <f t="shared" si="192"/>
        <v>68</v>
      </c>
      <c r="H2109" s="1" t="str">
        <f t="shared" si="193"/>
        <v>Saturday</v>
      </c>
      <c r="I2109" t="str">
        <f t="shared" si="194"/>
        <v>No</v>
      </c>
      <c r="J2109">
        <f t="shared" si="195"/>
        <v>0</v>
      </c>
      <c r="K2109">
        <f t="shared" si="196"/>
        <v>1</v>
      </c>
      <c r="L2109">
        <f t="shared" si="197"/>
        <v>68</v>
      </c>
    </row>
    <row r="2110" spans="1:12" ht="14.4" customHeight="1" x14ac:dyDescent="0.3">
      <c r="A2110">
        <v>215973039</v>
      </c>
      <c r="B2110" s="1">
        <v>45073</v>
      </c>
      <c r="C2110" s="1">
        <v>45080</v>
      </c>
      <c r="D2110" t="s">
        <v>7</v>
      </c>
      <c r="E2110">
        <v>39</v>
      </c>
      <c r="F2110" t="s">
        <v>6</v>
      </c>
      <c r="G2110">
        <f t="shared" si="192"/>
        <v>7</v>
      </c>
      <c r="H2110" s="1" t="str">
        <f t="shared" si="193"/>
        <v>Saturday</v>
      </c>
      <c r="I2110" t="str">
        <f t="shared" si="194"/>
        <v>No</v>
      </c>
      <c r="J2110">
        <f t="shared" si="195"/>
        <v>0</v>
      </c>
      <c r="K2110">
        <f t="shared" si="196"/>
        <v>0</v>
      </c>
      <c r="L2110">
        <f t="shared" si="197"/>
        <v>7</v>
      </c>
    </row>
    <row r="2111" spans="1:12" ht="14.4" customHeight="1" x14ac:dyDescent="0.3">
      <c r="A2111">
        <v>147761700</v>
      </c>
      <c r="B2111" s="1">
        <v>45073</v>
      </c>
      <c r="C2111" s="1">
        <v>45085</v>
      </c>
      <c r="D2111" t="s">
        <v>7</v>
      </c>
      <c r="E2111">
        <v>39</v>
      </c>
      <c r="F2111" t="s">
        <v>6</v>
      </c>
      <c r="G2111">
        <f t="shared" si="192"/>
        <v>12</v>
      </c>
      <c r="H2111" s="1" t="str">
        <f t="shared" si="193"/>
        <v>Saturday</v>
      </c>
      <c r="I2111" t="str">
        <f t="shared" si="194"/>
        <v>No</v>
      </c>
      <c r="J2111">
        <f t="shared" si="195"/>
        <v>0</v>
      </c>
      <c r="K2111">
        <f t="shared" si="196"/>
        <v>0</v>
      </c>
      <c r="L2111">
        <f t="shared" si="197"/>
        <v>12</v>
      </c>
    </row>
    <row r="2112" spans="1:12" x14ac:dyDescent="0.3">
      <c r="A2112">
        <v>215943650</v>
      </c>
      <c r="B2112" s="1">
        <v>45073</v>
      </c>
      <c r="C2112" s="1">
        <v>45111</v>
      </c>
      <c r="D2112" t="s">
        <v>7</v>
      </c>
      <c r="E2112">
        <v>39</v>
      </c>
      <c r="F2112" t="s">
        <v>6</v>
      </c>
      <c r="G2112">
        <f t="shared" si="192"/>
        <v>38</v>
      </c>
      <c r="H2112" s="1" t="str">
        <f t="shared" si="193"/>
        <v>Saturday</v>
      </c>
      <c r="I2112" t="str">
        <f t="shared" si="194"/>
        <v>No</v>
      </c>
      <c r="J2112">
        <f t="shared" si="195"/>
        <v>0</v>
      </c>
      <c r="K2112">
        <f t="shared" si="196"/>
        <v>1</v>
      </c>
      <c r="L2112">
        <f t="shared" si="197"/>
        <v>38</v>
      </c>
    </row>
    <row r="2113" spans="1:12" x14ac:dyDescent="0.3">
      <c r="A2113">
        <v>157259062</v>
      </c>
      <c r="B2113" s="1">
        <v>45073</v>
      </c>
      <c r="C2113" s="1">
        <v>45111</v>
      </c>
      <c r="D2113" t="s">
        <v>7</v>
      </c>
      <c r="E2113">
        <v>39</v>
      </c>
      <c r="F2113" t="s">
        <v>6</v>
      </c>
      <c r="G2113">
        <f t="shared" si="192"/>
        <v>38</v>
      </c>
      <c r="H2113" s="1" t="str">
        <f t="shared" si="193"/>
        <v>Saturday</v>
      </c>
      <c r="I2113" t="str">
        <f t="shared" si="194"/>
        <v>No</v>
      </c>
      <c r="J2113">
        <f t="shared" si="195"/>
        <v>0</v>
      </c>
      <c r="K2113">
        <f t="shared" si="196"/>
        <v>1</v>
      </c>
      <c r="L2113">
        <f t="shared" si="197"/>
        <v>38</v>
      </c>
    </row>
    <row r="2114" spans="1:12" x14ac:dyDescent="0.3">
      <c r="A2114">
        <v>216001506</v>
      </c>
      <c r="B2114" s="1">
        <v>45073</v>
      </c>
      <c r="C2114" s="1">
        <v>45133</v>
      </c>
      <c r="D2114" t="s">
        <v>7</v>
      </c>
      <c r="E2114">
        <v>39</v>
      </c>
      <c r="F2114" t="s">
        <v>6</v>
      </c>
      <c r="G2114">
        <f t="shared" ref="G2114:G2177" si="198">IF(C2114="","",C2114-B2114)</f>
        <v>60</v>
      </c>
      <c r="H2114" s="1" t="str">
        <f t="shared" si="193"/>
        <v>Saturday</v>
      </c>
      <c r="I2114" t="str">
        <f t="shared" si="194"/>
        <v>No</v>
      </c>
      <c r="J2114">
        <f t="shared" si="195"/>
        <v>0</v>
      </c>
      <c r="K2114">
        <f t="shared" si="196"/>
        <v>1</v>
      </c>
      <c r="L2114">
        <f t="shared" si="197"/>
        <v>60</v>
      </c>
    </row>
    <row r="2115" spans="1:12" x14ac:dyDescent="0.3">
      <c r="A2115">
        <v>199306900</v>
      </c>
      <c r="B2115" s="1">
        <v>45073</v>
      </c>
      <c r="C2115" s="1">
        <v>45172</v>
      </c>
      <c r="D2115" t="s">
        <v>7</v>
      </c>
      <c r="E2115">
        <v>39</v>
      </c>
      <c r="F2115" t="s">
        <v>6</v>
      </c>
      <c r="G2115">
        <f t="shared" si="198"/>
        <v>99</v>
      </c>
      <c r="H2115" s="1" t="str">
        <f t="shared" ref="H2115:H2178" si="199">TEXT(B2115,"dddd")</f>
        <v>Saturday</v>
      </c>
      <c r="I2115" t="str">
        <f t="shared" ref="I2115:I2178" si="200">IF(B2115=C2115,"Yes","No")</f>
        <v>No</v>
      </c>
      <c r="J2115">
        <f t="shared" ref="J2115:J2178" si="201">IF(AND(C2115&lt;&gt;"",C2115-B2115&lt;=2),1,0)</f>
        <v>0</v>
      </c>
      <c r="K2115">
        <f t="shared" ref="K2115:K2178" si="202">IF(AND(C2115&lt;&gt;"",C2115-B2115&gt;30),1,0)</f>
        <v>1</v>
      </c>
      <c r="L2115">
        <f t="shared" ref="L2115:L2178" si="203">IF(C2115="","",C2115-B2115)</f>
        <v>99</v>
      </c>
    </row>
    <row r="2116" spans="1:12" ht="14.4" customHeight="1" x14ac:dyDescent="0.3">
      <c r="A2116">
        <v>156245288</v>
      </c>
      <c r="B2116" s="1">
        <v>45074</v>
      </c>
      <c r="D2116" t="s">
        <v>7</v>
      </c>
      <c r="E2116">
        <v>39</v>
      </c>
      <c r="F2116" t="s">
        <v>6</v>
      </c>
      <c r="G2116" t="str">
        <f t="shared" si="198"/>
        <v/>
      </c>
      <c r="H2116" s="1" t="str">
        <f t="shared" si="199"/>
        <v>Sunday</v>
      </c>
      <c r="I2116" t="str">
        <f t="shared" si="200"/>
        <v>No</v>
      </c>
      <c r="J2116">
        <f t="shared" si="201"/>
        <v>0</v>
      </c>
      <c r="K2116">
        <f t="shared" si="202"/>
        <v>0</v>
      </c>
      <c r="L2116" t="str">
        <f t="shared" si="203"/>
        <v/>
      </c>
    </row>
    <row r="2117" spans="1:12" ht="14.4" customHeight="1" x14ac:dyDescent="0.3">
      <c r="A2117">
        <v>211904765</v>
      </c>
      <c r="B2117" s="1">
        <v>45074</v>
      </c>
      <c r="D2117" t="s">
        <v>7</v>
      </c>
      <c r="E2117">
        <v>39</v>
      </c>
      <c r="F2117" t="s">
        <v>6</v>
      </c>
      <c r="G2117" t="str">
        <f t="shared" si="198"/>
        <v/>
      </c>
      <c r="H2117" s="1" t="str">
        <f t="shared" si="199"/>
        <v>Sunday</v>
      </c>
      <c r="I2117" t="str">
        <f t="shared" si="200"/>
        <v>No</v>
      </c>
      <c r="J2117">
        <f t="shared" si="201"/>
        <v>0</v>
      </c>
      <c r="K2117">
        <f t="shared" si="202"/>
        <v>0</v>
      </c>
      <c r="L2117" t="str">
        <f t="shared" si="203"/>
        <v/>
      </c>
    </row>
    <row r="2118" spans="1:12" ht="14.4" customHeight="1" x14ac:dyDescent="0.3">
      <c r="A2118">
        <v>215832805</v>
      </c>
      <c r="B2118" s="1">
        <v>45074</v>
      </c>
      <c r="D2118" t="s">
        <v>7</v>
      </c>
      <c r="E2118">
        <v>39</v>
      </c>
      <c r="F2118" t="s">
        <v>6</v>
      </c>
      <c r="G2118" t="str">
        <f t="shared" si="198"/>
        <v/>
      </c>
      <c r="H2118" s="1" t="str">
        <f t="shared" si="199"/>
        <v>Sunday</v>
      </c>
      <c r="I2118" t="str">
        <f t="shared" si="200"/>
        <v>No</v>
      </c>
      <c r="J2118">
        <f t="shared" si="201"/>
        <v>0</v>
      </c>
      <c r="K2118">
        <f t="shared" si="202"/>
        <v>0</v>
      </c>
      <c r="L2118" t="str">
        <f t="shared" si="203"/>
        <v/>
      </c>
    </row>
    <row r="2119" spans="1:12" ht="14.4" customHeight="1" x14ac:dyDescent="0.3">
      <c r="A2119">
        <v>156403612</v>
      </c>
      <c r="B2119" s="1">
        <v>45075</v>
      </c>
      <c r="D2119" t="s">
        <v>7</v>
      </c>
      <c r="E2119">
        <v>39</v>
      </c>
      <c r="F2119" t="s">
        <v>6</v>
      </c>
      <c r="G2119" t="str">
        <f t="shared" si="198"/>
        <v/>
      </c>
      <c r="H2119" s="1" t="str">
        <f t="shared" si="199"/>
        <v>Monday</v>
      </c>
      <c r="I2119" t="str">
        <f t="shared" si="200"/>
        <v>No</v>
      </c>
      <c r="J2119">
        <f t="shared" si="201"/>
        <v>0</v>
      </c>
      <c r="K2119">
        <f t="shared" si="202"/>
        <v>0</v>
      </c>
      <c r="L2119" t="str">
        <f t="shared" si="203"/>
        <v/>
      </c>
    </row>
    <row r="2120" spans="1:12" ht="14.4" customHeight="1" x14ac:dyDescent="0.3">
      <c r="A2120">
        <v>216062001</v>
      </c>
      <c r="B2120" s="1">
        <v>45075</v>
      </c>
      <c r="D2120" t="s">
        <v>7</v>
      </c>
      <c r="E2120">
        <v>39</v>
      </c>
      <c r="F2120" t="s">
        <v>6</v>
      </c>
      <c r="G2120" t="str">
        <f t="shared" si="198"/>
        <v/>
      </c>
      <c r="H2120" s="1" t="str">
        <f t="shared" si="199"/>
        <v>Monday</v>
      </c>
      <c r="I2120" t="str">
        <f t="shared" si="200"/>
        <v>No</v>
      </c>
      <c r="J2120">
        <f t="shared" si="201"/>
        <v>0</v>
      </c>
      <c r="K2120">
        <f t="shared" si="202"/>
        <v>0</v>
      </c>
      <c r="L2120" t="str">
        <f t="shared" si="203"/>
        <v/>
      </c>
    </row>
    <row r="2121" spans="1:12" ht="14.4" customHeight="1" x14ac:dyDescent="0.3">
      <c r="A2121">
        <v>216083936</v>
      </c>
      <c r="B2121" s="1">
        <v>45075</v>
      </c>
      <c r="D2121" t="s">
        <v>7</v>
      </c>
      <c r="E2121">
        <v>39</v>
      </c>
      <c r="F2121" t="s">
        <v>6</v>
      </c>
      <c r="G2121" t="str">
        <f t="shared" si="198"/>
        <v/>
      </c>
      <c r="H2121" s="1" t="str">
        <f t="shared" si="199"/>
        <v>Monday</v>
      </c>
      <c r="I2121" t="str">
        <f t="shared" si="200"/>
        <v>No</v>
      </c>
      <c r="J2121">
        <f t="shared" si="201"/>
        <v>0</v>
      </c>
      <c r="K2121">
        <f t="shared" si="202"/>
        <v>0</v>
      </c>
      <c r="L2121" t="str">
        <f t="shared" si="203"/>
        <v/>
      </c>
    </row>
    <row r="2122" spans="1:12" x14ac:dyDescent="0.3">
      <c r="A2122">
        <v>215568210</v>
      </c>
      <c r="B2122" s="1">
        <v>45075</v>
      </c>
      <c r="C2122" s="1">
        <v>45166</v>
      </c>
      <c r="D2122" t="s">
        <v>7</v>
      </c>
      <c r="E2122">
        <v>39</v>
      </c>
      <c r="F2122" t="s">
        <v>6</v>
      </c>
      <c r="G2122">
        <f t="shared" si="198"/>
        <v>91</v>
      </c>
      <c r="H2122" s="1" t="str">
        <f t="shared" si="199"/>
        <v>Monday</v>
      </c>
      <c r="I2122" t="str">
        <f t="shared" si="200"/>
        <v>No</v>
      </c>
      <c r="J2122">
        <f t="shared" si="201"/>
        <v>0</v>
      </c>
      <c r="K2122">
        <f t="shared" si="202"/>
        <v>1</v>
      </c>
      <c r="L2122">
        <f t="shared" si="203"/>
        <v>91</v>
      </c>
    </row>
    <row r="2123" spans="1:12" x14ac:dyDescent="0.3">
      <c r="A2123">
        <v>181480437</v>
      </c>
      <c r="B2123" s="1">
        <v>45075</v>
      </c>
      <c r="C2123" s="1">
        <v>45110</v>
      </c>
      <c r="D2123" t="s">
        <v>7</v>
      </c>
      <c r="E2123">
        <v>39</v>
      </c>
      <c r="F2123" t="s">
        <v>6</v>
      </c>
      <c r="G2123">
        <f t="shared" si="198"/>
        <v>35</v>
      </c>
      <c r="H2123" s="1" t="str">
        <f t="shared" si="199"/>
        <v>Monday</v>
      </c>
      <c r="I2123" t="str">
        <f t="shared" si="200"/>
        <v>No</v>
      </c>
      <c r="J2123">
        <f t="shared" si="201"/>
        <v>0</v>
      </c>
      <c r="K2123">
        <f t="shared" si="202"/>
        <v>1</v>
      </c>
      <c r="L2123">
        <f t="shared" si="203"/>
        <v>35</v>
      </c>
    </row>
    <row r="2124" spans="1:12" ht="14.4" customHeight="1" x14ac:dyDescent="0.3">
      <c r="A2124">
        <v>147197398</v>
      </c>
      <c r="B2124" s="1">
        <v>45076</v>
      </c>
      <c r="D2124" t="s">
        <v>7</v>
      </c>
      <c r="E2124">
        <v>39</v>
      </c>
      <c r="F2124" t="s">
        <v>6</v>
      </c>
      <c r="G2124" t="str">
        <f t="shared" si="198"/>
        <v/>
      </c>
      <c r="H2124" s="1" t="str">
        <f t="shared" si="199"/>
        <v>Tuesday</v>
      </c>
      <c r="I2124" t="str">
        <f t="shared" si="200"/>
        <v>No</v>
      </c>
      <c r="J2124">
        <f t="shared" si="201"/>
        <v>0</v>
      </c>
      <c r="K2124">
        <f t="shared" si="202"/>
        <v>0</v>
      </c>
      <c r="L2124" t="str">
        <f t="shared" si="203"/>
        <v/>
      </c>
    </row>
    <row r="2125" spans="1:12" ht="14.4" customHeight="1" x14ac:dyDescent="0.3">
      <c r="A2125">
        <v>212051648</v>
      </c>
      <c r="B2125" s="1">
        <v>45076</v>
      </c>
      <c r="D2125" t="s">
        <v>7</v>
      </c>
      <c r="E2125">
        <v>39</v>
      </c>
      <c r="F2125" t="s">
        <v>6</v>
      </c>
      <c r="G2125" t="str">
        <f t="shared" si="198"/>
        <v/>
      </c>
      <c r="H2125" s="1" t="str">
        <f t="shared" si="199"/>
        <v>Tuesday</v>
      </c>
      <c r="I2125" t="str">
        <f t="shared" si="200"/>
        <v>No</v>
      </c>
      <c r="J2125">
        <f t="shared" si="201"/>
        <v>0</v>
      </c>
      <c r="K2125">
        <f t="shared" si="202"/>
        <v>0</v>
      </c>
      <c r="L2125" t="str">
        <f t="shared" si="203"/>
        <v/>
      </c>
    </row>
    <row r="2126" spans="1:12" ht="14.4" customHeight="1" x14ac:dyDescent="0.3">
      <c r="A2126">
        <v>216141502</v>
      </c>
      <c r="B2126" s="1">
        <v>45076</v>
      </c>
      <c r="D2126" t="s">
        <v>7</v>
      </c>
      <c r="E2126">
        <v>39</v>
      </c>
      <c r="F2126" t="s">
        <v>6</v>
      </c>
      <c r="G2126" t="str">
        <f t="shared" si="198"/>
        <v/>
      </c>
      <c r="H2126" s="1" t="str">
        <f t="shared" si="199"/>
        <v>Tuesday</v>
      </c>
      <c r="I2126" t="str">
        <f t="shared" si="200"/>
        <v>No</v>
      </c>
      <c r="J2126">
        <f t="shared" si="201"/>
        <v>0</v>
      </c>
      <c r="K2126">
        <f t="shared" si="202"/>
        <v>0</v>
      </c>
      <c r="L2126" t="str">
        <f t="shared" si="203"/>
        <v/>
      </c>
    </row>
    <row r="2127" spans="1:12" ht="14.4" customHeight="1" x14ac:dyDescent="0.3">
      <c r="A2127">
        <v>216136975</v>
      </c>
      <c r="B2127" s="1">
        <v>45076</v>
      </c>
      <c r="D2127" t="s">
        <v>7</v>
      </c>
      <c r="E2127">
        <v>39</v>
      </c>
      <c r="F2127" t="s">
        <v>6</v>
      </c>
      <c r="G2127" t="str">
        <f t="shared" si="198"/>
        <v/>
      </c>
      <c r="H2127" s="1" t="str">
        <f t="shared" si="199"/>
        <v>Tuesday</v>
      </c>
      <c r="I2127" t="str">
        <f t="shared" si="200"/>
        <v>No</v>
      </c>
      <c r="J2127">
        <f t="shared" si="201"/>
        <v>0</v>
      </c>
      <c r="K2127">
        <f t="shared" si="202"/>
        <v>0</v>
      </c>
      <c r="L2127" t="str">
        <f t="shared" si="203"/>
        <v/>
      </c>
    </row>
    <row r="2128" spans="1:12" ht="14.4" customHeight="1" x14ac:dyDescent="0.3">
      <c r="A2128">
        <v>213240907</v>
      </c>
      <c r="B2128" s="1">
        <v>45076</v>
      </c>
      <c r="D2128" t="s">
        <v>7</v>
      </c>
      <c r="E2128">
        <v>39</v>
      </c>
      <c r="F2128" t="s">
        <v>6</v>
      </c>
      <c r="G2128" t="str">
        <f t="shared" si="198"/>
        <v/>
      </c>
      <c r="H2128" s="1" t="str">
        <f t="shared" si="199"/>
        <v>Tuesday</v>
      </c>
      <c r="I2128" t="str">
        <f t="shared" si="200"/>
        <v>No</v>
      </c>
      <c r="J2128">
        <f t="shared" si="201"/>
        <v>0</v>
      </c>
      <c r="K2128">
        <f t="shared" si="202"/>
        <v>0</v>
      </c>
      <c r="L2128" t="str">
        <f t="shared" si="203"/>
        <v/>
      </c>
    </row>
    <row r="2129" spans="1:12" x14ac:dyDescent="0.3">
      <c r="A2129">
        <v>204739496</v>
      </c>
      <c r="B2129" s="1">
        <v>45076</v>
      </c>
      <c r="C2129" s="1">
        <v>45172</v>
      </c>
      <c r="D2129" t="s">
        <v>7</v>
      </c>
      <c r="E2129">
        <v>39</v>
      </c>
      <c r="F2129" t="s">
        <v>6</v>
      </c>
      <c r="G2129">
        <f t="shared" si="198"/>
        <v>96</v>
      </c>
      <c r="H2129" s="1" t="str">
        <f t="shared" si="199"/>
        <v>Tuesday</v>
      </c>
      <c r="I2129" t="str">
        <f t="shared" si="200"/>
        <v>No</v>
      </c>
      <c r="J2129">
        <f t="shared" si="201"/>
        <v>0</v>
      </c>
      <c r="K2129">
        <f t="shared" si="202"/>
        <v>1</v>
      </c>
      <c r="L2129">
        <f t="shared" si="203"/>
        <v>96</v>
      </c>
    </row>
    <row r="2130" spans="1:12" ht="14.4" customHeight="1" x14ac:dyDescent="0.3">
      <c r="A2130">
        <v>203366396</v>
      </c>
      <c r="B2130" s="1">
        <v>45076</v>
      </c>
      <c r="C2130" s="1">
        <v>45077</v>
      </c>
      <c r="D2130" t="s">
        <v>7</v>
      </c>
      <c r="E2130">
        <v>39</v>
      </c>
      <c r="F2130" t="s">
        <v>6</v>
      </c>
      <c r="G2130">
        <f t="shared" si="198"/>
        <v>1</v>
      </c>
      <c r="H2130" s="1" t="str">
        <f t="shared" si="199"/>
        <v>Tuesday</v>
      </c>
      <c r="I2130" t="str">
        <f t="shared" si="200"/>
        <v>No</v>
      </c>
      <c r="J2130">
        <f t="shared" si="201"/>
        <v>1</v>
      </c>
      <c r="K2130">
        <f t="shared" si="202"/>
        <v>0</v>
      </c>
      <c r="L2130">
        <f t="shared" si="203"/>
        <v>1</v>
      </c>
    </row>
    <row r="2131" spans="1:12" ht="14.4" customHeight="1" x14ac:dyDescent="0.3">
      <c r="A2131">
        <v>216136446</v>
      </c>
      <c r="B2131" s="1">
        <v>45076</v>
      </c>
      <c r="C2131" s="1">
        <v>45105</v>
      </c>
      <c r="D2131" t="s">
        <v>7</v>
      </c>
      <c r="E2131">
        <v>39</v>
      </c>
      <c r="F2131" t="s">
        <v>6</v>
      </c>
      <c r="G2131">
        <f t="shared" si="198"/>
        <v>29</v>
      </c>
      <c r="H2131" s="1" t="str">
        <f t="shared" si="199"/>
        <v>Tuesday</v>
      </c>
      <c r="I2131" t="str">
        <f t="shared" si="200"/>
        <v>No</v>
      </c>
      <c r="J2131">
        <f t="shared" si="201"/>
        <v>0</v>
      </c>
      <c r="K2131">
        <f t="shared" si="202"/>
        <v>0</v>
      </c>
      <c r="L2131">
        <f t="shared" si="203"/>
        <v>29</v>
      </c>
    </row>
    <row r="2132" spans="1:12" x14ac:dyDescent="0.3">
      <c r="A2132">
        <v>216139586</v>
      </c>
      <c r="B2132" s="1">
        <v>45076</v>
      </c>
      <c r="C2132" s="1">
        <v>45107</v>
      </c>
      <c r="D2132" t="s">
        <v>7</v>
      </c>
      <c r="E2132">
        <v>39</v>
      </c>
      <c r="F2132" t="s">
        <v>6</v>
      </c>
      <c r="G2132">
        <f t="shared" si="198"/>
        <v>31</v>
      </c>
      <c r="H2132" s="1" t="str">
        <f t="shared" si="199"/>
        <v>Tuesday</v>
      </c>
      <c r="I2132" t="str">
        <f t="shared" si="200"/>
        <v>No</v>
      </c>
      <c r="J2132">
        <f t="shared" si="201"/>
        <v>0</v>
      </c>
      <c r="K2132">
        <f t="shared" si="202"/>
        <v>1</v>
      </c>
      <c r="L2132">
        <f t="shared" si="203"/>
        <v>31</v>
      </c>
    </row>
    <row r="2133" spans="1:12" ht="14.4" customHeight="1" x14ac:dyDescent="0.3">
      <c r="A2133">
        <v>216126416</v>
      </c>
      <c r="B2133" s="1">
        <v>45076</v>
      </c>
      <c r="C2133" s="1">
        <v>45081</v>
      </c>
      <c r="D2133" t="s">
        <v>7</v>
      </c>
      <c r="E2133">
        <v>39</v>
      </c>
      <c r="F2133" t="s">
        <v>6</v>
      </c>
      <c r="G2133">
        <f t="shared" si="198"/>
        <v>5</v>
      </c>
      <c r="H2133" s="1" t="str">
        <f t="shared" si="199"/>
        <v>Tuesday</v>
      </c>
      <c r="I2133" t="str">
        <f t="shared" si="200"/>
        <v>No</v>
      </c>
      <c r="J2133">
        <f t="shared" si="201"/>
        <v>0</v>
      </c>
      <c r="K2133">
        <f t="shared" si="202"/>
        <v>0</v>
      </c>
      <c r="L2133">
        <f t="shared" si="203"/>
        <v>5</v>
      </c>
    </row>
    <row r="2134" spans="1:12" x14ac:dyDescent="0.3">
      <c r="A2134">
        <v>216181144</v>
      </c>
      <c r="B2134" s="1">
        <v>45076</v>
      </c>
      <c r="C2134" s="1">
        <v>45114</v>
      </c>
      <c r="D2134" t="s">
        <v>7</v>
      </c>
      <c r="E2134">
        <v>39</v>
      </c>
      <c r="F2134" t="s">
        <v>6</v>
      </c>
      <c r="G2134">
        <f t="shared" si="198"/>
        <v>38</v>
      </c>
      <c r="H2134" s="1" t="str">
        <f t="shared" si="199"/>
        <v>Tuesday</v>
      </c>
      <c r="I2134" t="str">
        <f t="shared" si="200"/>
        <v>No</v>
      </c>
      <c r="J2134">
        <f t="shared" si="201"/>
        <v>0</v>
      </c>
      <c r="K2134">
        <f t="shared" si="202"/>
        <v>1</v>
      </c>
      <c r="L2134">
        <f t="shared" si="203"/>
        <v>38</v>
      </c>
    </row>
    <row r="2135" spans="1:12" x14ac:dyDescent="0.3">
      <c r="A2135">
        <v>216100714</v>
      </c>
      <c r="B2135" s="1">
        <v>45076</v>
      </c>
      <c r="C2135" s="1">
        <v>45140</v>
      </c>
      <c r="D2135" t="s">
        <v>7</v>
      </c>
      <c r="E2135">
        <v>39</v>
      </c>
      <c r="F2135" t="s">
        <v>6</v>
      </c>
      <c r="G2135">
        <f t="shared" si="198"/>
        <v>64</v>
      </c>
      <c r="H2135" s="1" t="str">
        <f t="shared" si="199"/>
        <v>Tuesday</v>
      </c>
      <c r="I2135" t="str">
        <f t="shared" si="200"/>
        <v>No</v>
      </c>
      <c r="J2135">
        <f t="shared" si="201"/>
        <v>0</v>
      </c>
      <c r="K2135">
        <f t="shared" si="202"/>
        <v>1</v>
      </c>
      <c r="L2135">
        <f t="shared" si="203"/>
        <v>64</v>
      </c>
    </row>
    <row r="2136" spans="1:12" x14ac:dyDescent="0.3">
      <c r="A2136">
        <v>216155144</v>
      </c>
      <c r="B2136" s="1">
        <v>45076</v>
      </c>
      <c r="C2136" s="1">
        <v>45137</v>
      </c>
      <c r="D2136" t="s">
        <v>7</v>
      </c>
      <c r="E2136">
        <v>39</v>
      </c>
      <c r="F2136" t="s">
        <v>6</v>
      </c>
      <c r="G2136">
        <f t="shared" si="198"/>
        <v>61</v>
      </c>
      <c r="H2136" s="1" t="str">
        <f t="shared" si="199"/>
        <v>Tuesday</v>
      </c>
      <c r="I2136" t="str">
        <f t="shared" si="200"/>
        <v>No</v>
      </c>
      <c r="J2136">
        <f t="shared" si="201"/>
        <v>0</v>
      </c>
      <c r="K2136">
        <f t="shared" si="202"/>
        <v>1</v>
      </c>
      <c r="L2136">
        <f t="shared" si="203"/>
        <v>61</v>
      </c>
    </row>
    <row r="2137" spans="1:12" x14ac:dyDescent="0.3">
      <c r="A2137">
        <v>190978347</v>
      </c>
      <c r="B2137" s="1">
        <v>45076</v>
      </c>
      <c r="C2137" s="1">
        <v>45146</v>
      </c>
      <c r="D2137" t="s">
        <v>7</v>
      </c>
      <c r="E2137">
        <v>39</v>
      </c>
      <c r="F2137" t="s">
        <v>6</v>
      </c>
      <c r="G2137">
        <f t="shared" si="198"/>
        <v>70</v>
      </c>
      <c r="H2137" s="1" t="str">
        <f t="shared" si="199"/>
        <v>Tuesday</v>
      </c>
      <c r="I2137" t="str">
        <f t="shared" si="200"/>
        <v>No</v>
      </c>
      <c r="J2137">
        <f t="shared" si="201"/>
        <v>0</v>
      </c>
      <c r="K2137">
        <f t="shared" si="202"/>
        <v>1</v>
      </c>
      <c r="L2137">
        <f t="shared" si="203"/>
        <v>70</v>
      </c>
    </row>
    <row r="2138" spans="1:12" x14ac:dyDescent="0.3">
      <c r="A2138">
        <v>215653713</v>
      </c>
      <c r="B2138" s="1">
        <v>45076</v>
      </c>
      <c r="C2138" s="1">
        <v>45118</v>
      </c>
      <c r="D2138" t="s">
        <v>7</v>
      </c>
      <c r="E2138">
        <v>39</v>
      </c>
      <c r="F2138" t="s">
        <v>6</v>
      </c>
      <c r="G2138">
        <f t="shared" si="198"/>
        <v>42</v>
      </c>
      <c r="H2138" s="1" t="str">
        <f t="shared" si="199"/>
        <v>Tuesday</v>
      </c>
      <c r="I2138" t="str">
        <f t="shared" si="200"/>
        <v>No</v>
      </c>
      <c r="J2138">
        <f t="shared" si="201"/>
        <v>0</v>
      </c>
      <c r="K2138">
        <f t="shared" si="202"/>
        <v>1</v>
      </c>
      <c r="L2138">
        <f t="shared" si="203"/>
        <v>42</v>
      </c>
    </row>
    <row r="2139" spans="1:12" x14ac:dyDescent="0.3">
      <c r="A2139">
        <v>215185569</v>
      </c>
      <c r="B2139" s="1">
        <v>45076</v>
      </c>
      <c r="C2139" s="1">
        <v>45167</v>
      </c>
      <c r="D2139" t="s">
        <v>7</v>
      </c>
      <c r="E2139">
        <v>39</v>
      </c>
      <c r="F2139" t="s">
        <v>6</v>
      </c>
      <c r="G2139">
        <f t="shared" si="198"/>
        <v>91</v>
      </c>
      <c r="H2139" s="1" t="str">
        <f t="shared" si="199"/>
        <v>Tuesday</v>
      </c>
      <c r="I2139" t="str">
        <f t="shared" si="200"/>
        <v>No</v>
      </c>
      <c r="J2139">
        <f t="shared" si="201"/>
        <v>0</v>
      </c>
      <c r="K2139">
        <f t="shared" si="202"/>
        <v>1</v>
      </c>
      <c r="L2139">
        <f t="shared" si="203"/>
        <v>91</v>
      </c>
    </row>
    <row r="2140" spans="1:12" ht="14.4" customHeight="1" x14ac:dyDescent="0.3">
      <c r="A2140">
        <v>215488799</v>
      </c>
      <c r="B2140" s="1">
        <v>45077</v>
      </c>
      <c r="D2140" t="s">
        <v>7</v>
      </c>
      <c r="E2140">
        <v>39</v>
      </c>
      <c r="F2140" t="s">
        <v>6</v>
      </c>
      <c r="G2140" t="str">
        <f t="shared" si="198"/>
        <v/>
      </c>
      <c r="H2140" s="1" t="str">
        <f t="shared" si="199"/>
        <v>Wednesday</v>
      </c>
      <c r="I2140" t="str">
        <f t="shared" si="200"/>
        <v>No</v>
      </c>
      <c r="J2140">
        <f t="shared" si="201"/>
        <v>0</v>
      </c>
      <c r="K2140">
        <f t="shared" si="202"/>
        <v>0</v>
      </c>
      <c r="L2140" t="str">
        <f t="shared" si="203"/>
        <v/>
      </c>
    </row>
    <row r="2141" spans="1:12" ht="14.4" customHeight="1" x14ac:dyDescent="0.3">
      <c r="A2141">
        <v>216170130</v>
      </c>
      <c r="B2141" s="1">
        <v>45077</v>
      </c>
      <c r="D2141" t="s">
        <v>7</v>
      </c>
      <c r="E2141">
        <v>39</v>
      </c>
      <c r="F2141" t="s">
        <v>6</v>
      </c>
      <c r="G2141" t="str">
        <f t="shared" si="198"/>
        <v/>
      </c>
      <c r="H2141" s="1" t="str">
        <f t="shared" si="199"/>
        <v>Wednesday</v>
      </c>
      <c r="I2141" t="str">
        <f t="shared" si="200"/>
        <v>No</v>
      </c>
      <c r="J2141">
        <f t="shared" si="201"/>
        <v>0</v>
      </c>
      <c r="K2141">
        <f t="shared" si="202"/>
        <v>0</v>
      </c>
      <c r="L2141" t="str">
        <f t="shared" si="203"/>
        <v/>
      </c>
    </row>
    <row r="2142" spans="1:12" ht="14.4" customHeight="1" x14ac:dyDescent="0.3">
      <c r="A2142">
        <v>215723337</v>
      </c>
      <c r="B2142" s="1">
        <v>45077</v>
      </c>
      <c r="D2142" t="s">
        <v>7</v>
      </c>
      <c r="E2142">
        <v>39</v>
      </c>
      <c r="F2142" t="s">
        <v>6</v>
      </c>
      <c r="G2142" t="str">
        <f t="shared" si="198"/>
        <v/>
      </c>
      <c r="H2142" s="1" t="str">
        <f t="shared" si="199"/>
        <v>Wednesday</v>
      </c>
      <c r="I2142" t="str">
        <f t="shared" si="200"/>
        <v>No</v>
      </c>
      <c r="J2142">
        <f t="shared" si="201"/>
        <v>0</v>
      </c>
      <c r="K2142">
        <f t="shared" si="202"/>
        <v>0</v>
      </c>
      <c r="L2142" t="str">
        <f t="shared" si="203"/>
        <v/>
      </c>
    </row>
    <row r="2143" spans="1:12" ht="14.4" customHeight="1" x14ac:dyDescent="0.3">
      <c r="A2143">
        <v>148568942</v>
      </c>
      <c r="B2143" s="1">
        <v>45077</v>
      </c>
      <c r="D2143" t="s">
        <v>7</v>
      </c>
      <c r="E2143">
        <v>39</v>
      </c>
      <c r="F2143" t="s">
        <v>6</v>
      </c>
      <c r="G2143" t="str">
        <f t="shared" si="198"/>
        <v/>
      </c>
      <c r="H2143" s="1" t="str">
        <f t="shared" si="199"/>
        <v>Wednesday</v>
      </c>
      <c r="I2143" t="str">
        <f t="shared" si="200"/>
        <v>No</v>
      </c>
      <c r="J2143">
        <f t="shared" si="201"/>
        <v>0</v>
      </c>
      <c r="K2143">
        <f t="shared" si="202"/>
        <v>0</v>
      </c>
      <c r="L2143" t="str">
        <f t="shared" si="203"/>
        <v/>
      </c>
    </row>
    <row r="2144" spans="1:12" ht="14.4" customHeight="1" x14ac:dyDescent="0.3">
      <c r="A2144">
        <v>215102456</v>
      </c>
      <c r="B2144" s="1">
        <v>45077</v>
      </c>
      <c r="D2144" t="s">
        <v>7</v>
      </c>
      <c r="E2144">
        <v>39</v>
      </c>
      <c r="F2144" t="s">
        <v>6</v>
      </c>
      <c r="G2144" t="str">
        <f t="shared" si="198"/>
        <v/>
      </c>
      <c r="H2144" s="1" t="str">
        <f t="shared" si="199"/>
        <v>Wednesday</v>
      </c>
      <c r="I2144" t="str">
        <f t="shared" si="200"/>
        <v>No</v>
      </c>
      <c r="J2144">
        <f t="shared" si="201"/>
        <v>0</v>
      </c>
      <c r="K2144">
        <f t="shared" si="202"/>
        <v>0</v>
      </c>
      <c r="L2144" t="str">
        <f t="shared" si="203"/>
        <v/>
      </c>
    </row>
    <row r="2145" spans="1:12" ht="14.4" customHeight="1" x14ac:dyDescent="0.3">
      <c r="A2145">
        <v>216017581</v>
      </c>
      <c r="B2145" s="1">
        <v>45077</v>
      </c>
      <c r="D2145" t="s">
        <v>7</v>
      </c>
      <c r="E2145">
        <v>39</v>
      </c>
      <c r="F2145" t="s">
        <v>6</v>
      </c>
      <c r="G2145" t="str">
        <f t="shared" si="198"/>
        <v/>
      </c>
      <c r="H2145" s="1" t="str">
        <f t="shared" si="199"/>
        <v>Wednesday</v>
      </c>
      <c r="I2145" t="str">
        <f t="shared" si="200"/>
        <v>No</v>
      </c>
      <c r="J2145">
        <f t="shared" si="201"/>
        <v>0</v>
      </c>
      <c r="K2145">
        <f t="shared" si="202"/>
        <v>0</v>
      </c>
      <c r="L2145" t="str">
        <f t="shared" si="203"/>
        <v/>
      </c>
    </row>
    <row r="2146" spans="1:12" ht="14.4" customHeight="1" x14ac:dyDescent="0.3">
      <c r="A2146">
        <v>153438676</v>
      </c>
      <c r="B2146" s="1">
        <v>45077</v>
      </c>
      <c r="D2146" t="s">
        <v>7</v>
      </c>
      <c r="E2146">
        <v>39</v>
      </c>
      <c r="F2146" t="s">
        <v>6</v>
      </c>
      <c r="G2146" t="str">
        <f t="shared" si="198"/>
        <v/>
      </c>
      <c r="H2146" s="1" t="str">
        <f t="shared" si="199"/>
        <v>Wednesday</v>
      </c>
      <c r="I2146" t="str">
        <f t="shared" si="200"/>
        <v>No</v>
      </c>
      <c r="J2146">
        <f t="shared" si="201"/>
        <v>0</v>
      </c>
      <c r="K2146">
        <f t="shared" si="202"/>
        <v>0</v>
      </c>
      <c r="L2146" t="str">
        <f t="shared" si="203"/>
        <v/>
      </c>
    </row>
    <row r="2147" spans="1:12" ht="14.4" customHeight="1" x14ac:dyDescent="0.3">
      <c r="A2147">
        <v>213190132</v>
      </c>
      <c r="B2147" s="1">
        <v>45077</v>
      </c>
      <c r="D2147" t="s">
        <v>7</v>
      </c>
      <c r="E2147">
        <v>39</v>
      </c>
      <c r="F2147" t="s">
        <v>6</v>
      </c>
      <c r="G2147" t="str">
        <f t="shared" si="198"/>
        <v/>
      </c>
      <c r="H2147" s="1" t="str">
        <f t="shared" si="199"/>
        <v>Wednesday</v>
      </c>
      <c r="I2147" t="str">
        <f t="shared" si="200"/>
        <v>No</v>
      </c>
      <c r="J2147">
        <f t="shared" si="201"/>
        <v>0</v>
      </c>
      <c r="K2147">
        <f t="shared" si="202"/>
        <v>0</v>
      </c>
      <c r="L2147" t="str">
        <f t="shared" si="203"/>
        <v/>
      </c>
    </row>
    <row r="2148" spans="1:12" x14ac:dyDescent="0.3">
      <c r="A2148">
        <v>216218992</v>
      </c>
      <c r="B2148" s="1">
        <v>45077</v>
      </c>
      <c r="C2148" s="1">
        <v>45169</v>
      </c>
      <c r="D2148" t="s">
        <v>7</v>
      </c>
      <c r="E2148">
        <v>39</v>
      </c>
      <c r="F2148" t="s">
        <v>6</v>
      </c>
      <c r="G2148">
        <f t="shared" si="198"/>
        <v>92</v>
      </c>
      <c r="H2148" s="1" t="str">
        <f t="shared" si="199"/>
        <v>Wednesday</v>
      </c>
      <c r="I2148" t="str">
        <f t="shared" si="200"/>
        <v>No</v>
      </c>
      <c r="J2148">
        <f t="shared" si="201"/>
        <v>0</v>
      </c>
      <c r="K2148">
        <f t="shared" si="202"/>
        <v>1</v>
      </c>
      <c r="L2148">
        <f t="shared" si="203"/>
        <v>92</v>
      </c>
    </row>
    <row r="2149" spans="1:12" ht="14.4" customHeight="1" x14ac:dyDescent="0.3">
      <c r="A2149">
        <v>216210442</v>
      </c>
      <c r="B2149" s="1">
        <v>45077</v>
      </c>
      <c r="C2149" s="1">
        <v>45092</v>
      </c>
      <c r="D2149" t="s">
        <v>7</v>
      </c>
      <c r="E2149">
        <v>39</v>
      </c>
      <c r="F2149" t="s">
        <v>6</v>
      </c>
      <c r="G2149">
        <f t="shared" si="198"/>
        <v>15</v>
      </c>
      <c r="H2149" s="1" t="str">
        <f t="shared" si="199"/>
        <v>Wednesday</v>
      </c>
      <c r="I2149" t="str">
        <f t="shared" si="200"/>
        <v>No</v>
      </c>
      <c r="J2149">
        <f t="shared" si="201"/>
        <v>0</v>
      </c>
      <c r="K2149">
        <f t="shared" si="202"/>
        <v>0</v>
      </c>
      <c r="L2149">
        <f t="shared" si="203"/>
        <v>15</v>
      </c>
    </row>
    <row r="2150" spans="1:12" x14ac:dyDescent="0.3">
      <c r="A2150">
        <v>129447970</v>
      </c>
      <c r="B2150" s="1">
        <v>45077</v>
      </c>
      <c r="C2150" s="1">
        <v>45172</v>
      </c>
      <c r="D2150" t="s">
        <v>7</v>
      </c>
      <c r="E2150">
        <v>39</v>
      </c>
      <c r="F2150" t="s">
        <v>6</v>
      </c>
      <c r="G2150">
        <f t="shared" si="198"/>
        <v>95</v>
      </c>
      <c r="H2150" s="1" t="str">
        <f t="shared" si="199"/>
        <v>Wednesday</v>
      </c>
      <c r="I2150" t="str">
        <f t="shared" si="200"/>
        <v>No</v>
      </c>
      <c r="J2150">
        <f t="shared" si="201"/>
        <v>0</v>
      </c>
      <c r="K2150">
        <f t="shared" si="202"/>
        <v>1</v>
      </c>
      <c r="L2150">
        <f t="shared" si="203"/>
        <v>95</v>
      </c>
    </row>
    <row r="2151" spans="1:12" x14ac:dyDescent="0.3">
      <c r="A2151">
        <v>216221115</v>
      </c>
      <c r="B2151" s="1">
        <v>45077</v>
      </c>
      <c r="C2151" s="1">
        <v>45109</v>
      </c>
      <c r="D2151" t="s">
        <v>7</v>
      </c>
      <c r="E2151">
        <v>39</v>
      </c>
      <c r="F2151" t="s">
        <v>6</v>
      </c>
      <c r="G2151">
        <f t="shared" si="198"/>
        <v>32</v>
      </c>
      <c r="H2151" s="1" t="str">
        <f t="shared" si="199"/>
        <v>Wednesday</v>
      </c>
      <c r="I2151" t="str">
        <f t="shared" si="200"/>
        <v>No</v>
      </c>
      <c r="J2151">
        <f t="shared" si="201"/>
        <v>0</v>
      </c>
      <c r="K2151">
        <f t="shared" si="202"/>
        <v>1</v>
      </c>
      <c r="L2151">
        <f t="shared" si="203"/>
        <v>32</v>
      </c>
    </row>
    <row r="2152" spans="1:12" x14ac:dyDescent="0.3">
      <c r="A2152">
        <v>215911675</v>
      </c>
      <c r="B2152" s="1">
        <v>45077</v>
      </c>
      <c r="C2152" s="1">
        <v>45114</v>
      </c>
      <c r="D2152" t="s">
        <v>7</v>
      </c>
      <c r="E2152">
        <v>39</v>
      </c>
      <c r="F2152" t="s">
        <v>6</v>
      </c>
      <c r="G2152">
        <f t="shared" si="198"/>
        <v>37</v>
      </c>
      <c r="H2152" s="1" t="str">
        <f t="shared" si="199"/>
        <v>Wednesday</v>
      </c>
      <c r="I2152" t="str">
        <f t="shared" si="200"/>
        <v>No</v>
      </c>
      <c r="J2152">
        <f t="shared" si="201"/>
        <v>0</v>
      </c>
      <c r="K2152">
        <f t="shared" si="202"/>
        <v>1</v>
      </c>
      <c r="L2152">
        <f t="shared" si="203"/>
        <v>37</v>
      </c>
    </row>
    <row r="2153" spans="1:12" ht="14.4" customHeight="1" x14ac:dyDescent="0.3">
      <c r="A2153">
        <v>215908254</v>
      </c>
      <c r="B2153" s="1">
        <v>45077</v>
      </c>
      <c r="C2153" s="1">
        <v>45098</v>
      </c>
      <c r="D2153" t="s">
        <v>7</v>
      </c>
      <c r="E2153">
        <v>39</v>
      </c>
      <c r="F2153" t="s">
        <v>6</v>
      </c>
      <c r="G2153">
        <f t="shared" si="198"/>
        <v>21</v>
      </c>
      <c r="H2153" s="1" t="str">
        <f t="shared" si="199"/>
        <v>Wednesday</v>
      </c>
      <c r="I2153" t="str">
        <f t="shared" si="200"/>
        <v>No</v>
      </c>
      <c r="J2153">
        <f t="shared" si="201"/>
        <v>0</v>
      </c>
      <c r="K2153">
        <f t="shared" si="202"/>
        <v>0</v>
      </c>
      <c r="L2153">
        <f t="shared" si="203"/>
        <v>21</v>
      </c>
    </row>
    <row r="2154" spans="1:12" ht="14.4" customHeight="1" x14ac:dyDescent="0.3">
      <c r="A2154">
        <v>214610994</v>
      </c>
      <c r="B2154" s="1">
        <v>45077</v>
      </c>
      <c r="C2154" s="1">
        <v>45106</v>
      </c>
      <c r="D2154" t="s">
        <v>7</v>
      </c>
      <c r="E2154">
        <v>39</v>
      </c>
      <c r="F2154" t="s">
        <v>6</v>
      </c>
      <c r="G2154">
        <f t="shared" si="198"/>
        <v>29</v>
      </c>
      <c r="H2154" s="1" t="str">
        <f t="shared" si="199"/>
        <v>Wednesday</v>
      </c>
      <c r="I2154" t="str">
        <f t="shared" si="200"/>
        <v>No</v>
      </c>
      <c r="J2154">
        <f t="shared" si="201"/>
        <v>0</v>
      </c>
      <c r="K2154">
        <f t="shared" si="202"/>
        <v>0</v>
      </c>
      <c r="L2154">
        <f t="shared" si="203"/>
        <v>29</v>
      </c>
    </row>
    <row r="2155" spans="1:12" x14ac:dyDescent="0.3">
      <c r="A2155">
        <v>143272167</v>
      </c>
      <c r="B2155" s="1">
        <v>45077</v>
      </c>
      <c r="C2155" s="1">
        <v>45176</v>
      </c>
      <c r="D2155" t="s">
        <v>7</v>
      </c>
      <c r="E2155">
        <v>39</v>
      </c>
      <c r="F2155" t="s">
        <v>6</v>
      </c>
      <c r="G2155">
        <f t="shared" si="198"/>
        <v>99</v>
      </c>
      <c r="H2155" s="1" t="str">
        <f t="shared" si="199"/>
        <v>Wednesday</v>
      </c>
      <c r="I2155" t="str">
        <f t="shared" si="200"/>
        <v>No</v>
      </c>
      <c r="J2155">
        <f t="shared" si="201"/>
        <v>0</v>
      </c>
      <c r="K2155">
        <f t="shared" si="202"/>
        <v>1</v>
      </c>
      <c r="L2155">
        <f t="shared" si="203"/>
        <v>99</v>
      </c>
    </row>
    <row r="2156" spans="1:12" ht="14.4" customHeight="1" x14ac:dyDescent="0.3">
      <c r="A2156">
        <v>216340651</v>
      </c>
      <c r="B2156" s="1">
        <v>45078</v>
      </c>
      <c r="D2156" t="s">
        <v>7</v>
      </c>
      <c r="E2156">
        <v>39</v>
      </c>
      <c r="F2156" t="s">
        <v>6</v>
      </c>
      <c r="G2156" t="str">
        <f t="shared" si="198"/>
        <v/>
      </c>
      <c r="H2156" s="1" t="str">
        <f t="shared" si="199"/>
        <v>Thursday</v>
      </c>
      <c r="I2156" t="str">
        <f t="shared" si="200"/>
        <v>No</v>
      </c>
      <c r="J2156">
        <f t="shared" si="201"/>
        <v>0</v>
      </c>
      <c r="K2156">
        <f t="shared" si="202"/>
        <v>0</v>
      </c>
      <c r="L2156" t="str">
        <f t="shared" si="203"/>
        <v/>
      </c>
    </row>
    <row r="2157" spans="1:12" ht="14.4" customHeight="1" x14ac:dyDescent="0.3">
      <c r="A2157">
        <v>153573832</v>
      </c>
      <c r="B2157" s="1">
        <v>45078</v>
      </c>
      <c r="D2157" t="s">
        <v>7</v>
      </c>
      <c r="E2157">
        <v>39</v>
      </c>
      <c r="F2157" t="s">
        <v>6</v>
      </c>
      <c r="G2157" t="str">
        <f t="shared" si="198"/>
        <v/>
      </c>
      <c r="H2157" s="1" t="str">
        <f t="shared" si="199"/>
        <v>Thursday</v>
      </c>
      <c r="I2157" t="str">
        <f t="shared" si="200"/>
        <v>No</v>
      </c>
      <c r="J2157">
        <f t="shared" si="201"/>
        <v>0</v>
      </c>
      <c r="K2157">
        <f t="shared" si="202"/>
        <v>0</v>
      </c>
      <c r="L2157" t="str">
        <f t="shared" si="203"/>
        <v/>
      </c>
    </row>
    <row r="2158" spans="1:12" ht="14.4" customHeight="1" x14ac:dyDescent="0.3">
      <c r="A2158">
        <v>138312982</v>
      </c>
      <c r="B2158" s="1">
        <v>45078</v>
      </c>
      <c r="D2158" t="s">
        <v>7</v>
      </c>
      <c r="E2158">
        <v>39</v>
      </c>
      <c r="F2158" t="s">
        <v>6</v>
      </c>
      <c r="G2158" t="str">
        <f t="shared" si="198"/>
        <v/>
      </c>
      <c r="H2158" s="1" t="str">
        <f t="shared" si="199"/>
        <v>Thursday</v>
      </c>
      <c r="I2158" t="str">
        <f t="shared" si="200"/>
        <v>No</v>
      </c>
      <c r="J2158">
        <f t="shared" si="201"/>
        <v>0</v>
      </c>
      <c r="K2158">
        <f t="shared" si="202"/>
        <v>0</v>
      </c>
      <c r="L2158" t="str">
        <f t="shared" si="203"/>
        <v/>
      </c>
    </row>
    <row r="2159" spans="1:12" ht="14.4" customHeight="1" x14ac:dyDescent="0.3">
      <c r="A2159">
        <v>216365777</v>
      </c>
      <c r="B2159" s="1">
        <v>45078</v>
      </c>
      <c r="D2159" t="s">
        <v>7</v>
      </c>
      <c r="E2159">
        <v>39</v>
      </c>
      <c r="F2159" t="s">
        <v>6</v>
      </c>
      <c r="G2159" t="str">
        <f t="shared" si="198"/>
        <v/>
      </c>
      <c r="H2159" s="1" t="str">
        <f t="shared" si="199"/>
        <v>Thursday</v>
      </c>
      <c r="I2159" t="str">
        <f t="shared" si="200"/>
        <v>No</v>
      </c>
      <c r="J2159">
        <f t="shared" si="201"/>
        <v>0</v>
      </c>
      <c r="K2159">
        <f t="shared" si="202"/>
        <v>0</v>
      </c>
      <c r="L2159" t="str">
        <f t="shared" si="203"/>
        <v/>
      </c>
    </row>
    <row r="2160" spans="1:12" x14ac:dyDescent="0.3">
      <c r="A2160">
        <v>216272792</v>
      </c>
      <c r="B2160" s="1">
        <v>45078</v>
      </c>
      <c r="C2160" s="1">
        <v>45175</v>
      </c>
      <c r="D2160" t="s">
        <v>7</v>
      </c>
      <c r="E2160">
        <v>39</v>
      </c>
      <c r="F2160" t="s">
        <v>6</v>
      </c>
      <c r="G2160">
        <f t="shared" si="198"/>
        <v>97</v>
      </c>
      <c r="H2160" s="1" t="str">
        <f t="shared" si="199"/>
        <v>Thursday</v>
      </c>
      <c r="I2160" t="str">
        <f t="shared" si="200"/>
        <v>No</v>
      </c>
      <c r="J2160">
        <f t="shared" si="201"/>
        <v>0</v>
      </c>
      <c r="K2160">
        <f t="shared" si="202"/>
        <v>1</v>
      </c>
      <c r="L2160">
        <f t="shared" si="203"/>
        <v>97</v>
      </c>
    </row>
    <row r="2161" spans="1:12" ht="14.4" customHeight="1" x14ac:dyDescent="0.3">
      <c r="A2161">
        <v>167174814</v>
      </c>
      <c r="B2161" s="1">
        <v>45078</v>
      </c>
      <c r="C2161" s="1">
        <v>45088</v>
      </c>
      <c r="D2161" t="s">
        <v>7</v>
      </c>
      <c r="E2161">
        <v>39</v>
      </c>
      <c r="F2161" t="s">
        <v>6</v>
      </c>
      <c r="G2161">
        <f t="shared" si="198"/>
        <v>10</v>
      </c>
      <c r="H2161" s="1" t="str">
        <f t="shared" si="199"/>
        <v>Thursday</v>
      </c>
      <c r="I2161" t="str">
        <f t="shared" si="200"/>
        <v>No</v>
      </c>
      <c r="J2161">
        <f t="shared" si="201"/>
        <v>0</v>
      </c>
      <c r="K2161">
        <f t="shared" si="202"/>
        <v>0</v>
      </c>
      <c r="L2161">
        <f t="shared" si="203"/>
        <v>10</v>
      </c>
    </row>
    <row r="2162" spans="1:12" x14ac:dyDescent="0.3">
      <c r="A2162">
        <v>216329176</v>
      </c>
      <c r="B2162" s="1">
        <v>45078</v>
      </c>
      <c r="C2162" s="1">
        <v>45115</v>
      </c>
      <c r="D2162" t="s">
        <v>7</v>
      </c>
      <c r="E2162">
        <v>39</v>
      </c>
      <c r="F2162" t="s">
        <v>6</v>
      </c>
      <c r="G2162">
        <f t="shared" si="198"/>
        <v>37</v>
      </c>
      <c r="H2162" s="1" t="str">
        <f t="shared" si="199"/>
        <v>Thursday</v>
      </c>
      <c r="I2162" t="str">
        <f t="shared" si="200"/>
        <v>No</v>
      </c>
      <c r="J2162">
        <f t="shared" si="201"/>
        <v>0</v>
      </c>
      <c r="K2162">
        <f t="shared" si="202"/>
        <v>1</v>
      </c>
      <c r="L2162">
        <f t="shared" si="203"/>
        <v>37</v>
      </c>
    </row>
    <row r="2163" spans="1:12" x14ac:dyDescent="0.3">
      <c r="A2163">
        <v>147320092</v>
      </c>
      <c r="B2163" s="1">
        <v>45078</v>
      </c>
      <c r="C2163" s="1">
        <v>45111</v>
      </c>
      <c r="D2163" t="s">
        <v>7</v>
      </c>
      <c r="E2163">
        <v>39</v>
      </c>
      <c r="F2163" t="s">
        <v>6</v>
      </c>
      <c r="G2163">
        <f t="shared" si="198"/>
        <v>33</v>
      </c>
      <c r="H2163" s="1" t="str">
        <f t="shared" si="199"/>
        <v>Thursday</v>
      </c>
      <c r="I2163" t="str">
        <f t="shared" si="200"/>
        <v>No</v>
      </c>
      <c r="J2163">
        <f t="shared" si="201"/>
        <v>0</v>
      </c>
      <c r="K2163">
        <f t="shared" si="202"/>
        <v>1</v>
      </c>
      <c r="L2163">
        <f t="shared" si="203"/>
        <v>33</v>
      </c>
    </row>
    <row r="2164" spans="1:12" ht="14.4" customHeight="1" x14ac:dyDescent="0.3">
      <c r="A2164">
        <v>157974600</v>
      </c>
      <c r="B2164" s="1">
        <v>45078</v>
      </c>
      <c r="C2164" s="1">
        <v>45091</v>
      </c>
      <c r="D2164" t="s">
        <v>7</v>
      </c>
      <c r="E2164">
        <v>39</v>
      </c>
      <c r="F2164" t="s">
        <v>6</v>
      </c>
      <c r="G2164">
        <f t="shared" si="198"/>
        <v>13</v>
      </c>
      <c r="H2164" s="1" t="str">
        <f t="shared" si="199"/>
        <v>Thursday</v>
      </c>
      <c r="I2164" t="str">
        <f t="shared" si="200"/>
        <v>No</v>
      </c>
      <c r="J2164">
        <f t="shared" si="201"/>
        <v>0</v>
      </c>
      <c r="K2164">
        <f t="shared" si="202"/>
        <v>0</v>
      </c>
      <c r="L2164">
        <f t="shared" si="203"/>
        <v>13</v>
      </c>
    </row>
    <row r="2165" spans="1:12" ht="14.4" customHeight="1" x14ac:dyDescent="0.3">
      <c r="A2165">
        <v>200955808</v>
      </c>
      <c r="B2165" s="1">
        <v>45078</v>
      </c>
      <c r="C2165" s="1">
        <v>45108</v>
      </c>
      <c r="D2165" t="s">
        <v>7</v>
      </c>
      <c r="E2165">
        <v>39</v>
      </c>
      <c r="F2165" t="s">
        <v>6</v>
      </c>
      <c r="G2165">
        <f t="shared" si="198"/>
        <v>30</v>
      </c>
      <c r="H2165" s="1" t="str">
        <f t="shared" si="199"/>
        <v>Thursday</v>
      </c>
      <c r="I2165" t="str">
        <f t="shared" si="200"/>
        <v>No</v>
      </c>
      <c r="J2165">
        <f t="shared" si="201"/>
        <v>0</v>
      </c>
      <c r="K2165">
        <f t="shared" si="202"/>
        <v>0</v>
      </c>
      <c r="L2165">
        <f t="shared" si="203"/>
        <v>30</v>
      </c>
    </row>
    <row r="2166" spans="1:12" x14ac:dyDescent="0.3">
      <c r="A2166">
        <v>216332850</v>
      </c>
      <c r="B2166" s="1">
        <v>45078</v>
      </c>
      <c r="C2166" s="1">
        <v>45139</v>
      </c>
      <c r="D2166" t="s">
        <v>7</v>
      </c>
      <c r="E2166">
        <v>39</v>
      </c>
      <c r="F2166" t="s">
        <v>6</v>
      </c>
      <c r="G2166">
        <f t="shared" si="198"/>
        <v>61</v>
      </c>
      <c r="H2166" s="1" t="str">
        <f t="shared" si="199"/>
        <v>Thursday</v>
      </c>
      <c r="I2166" t="str">
        <f t="shared" si="200"/>
        <v>No</v>
      </c>
      <c r="J2166">
        <f t="shared" si="201"/>
        <v>0</v>
      </c>
      <c r="K2166">
        <f t="shared" si="202"/>
        <v>1</v>
      </c>
      <c r="L2166">
        <f t="shared" si="203"/>
        <v>61</v>
      </c>
    </row>
    <row r="2167" spans="1:12" ht="14.4" customHeight="1" x14ac:dyDescent="0.3">
      <c r="A2167">
        <v>149986818</v>
      </c>
      <c r="B2167" s="1">
        <v>45079</v>
      </c>
      <c r="D2167" t="s">
        <v>7</v>
      </c>
      <c r="E2167">
        <v>39</v>
      </c>
      <c r="F2167" t="s">
        <v>6</v>
      </c>
      <c r="G2167" t="str">
        <f t="shared" si="198"/>
        <v/>
      </c>
      <c r="H2167" s="1" t="str">
        <f t="shared" si="199"/>
        <v>Friday</v>
      </c>
      <c r="I2167" t="str">
        <f t="shared" si="200"/>
        <v>No</v>
      </c>
      <c r="J2167">
        <f t="shared" si="201"/>
        <v>0</v>
      </c>
      <c r="K2167">
        <f t="shared" si="202"/>
        <v>0</v>
      </c>
      <c r="L2167" t="str">
        <f t="shared" si="203"/>
        <v/>
      </c>
    </row>
    <row r="2168" spans="1:12" ht="14.4" customHeight="1" x14ac:dyDescent="0.3">
      <c r="A2168">
        <v>132579012</v>
      </c>
      <c r="B2168" s="1">
        <v>45079</v>
      </c>
      <c r="D2168" t="s">
        <v>7</v>
      </c>
      <c r="E2168">
        <v>39</v>
      </c>
      <c r="F2168" t="s">
        <v>6</v>
      </c>
      <c r="G2168" t="str">
        <f t="shared" si="198"/>
        <v/>
      </c>
      <c r="H2168" s="1" t="str">
        <f t="shared" si="199"/>
        <v>Friday</v>
      </c>
      <c r="I2168" t="str">
        <f t="shared" si="200"/>
        <v>No</v>
      </c>
      <c r="J2168">
        <f t="shared" si="201"/>
        <v>0</v>
      </c>
      <c r="K2168">
        <f t="shared" si="202"/>
        <v>0</v>
      </c>
      <c r="L2168" t="str">
        <f t="shared" si="203"/>
        <v/>
      </c>
    </row>
    <row r="2169" spans="1:12" x14ac:dyDescent="0.3">
      <c r="A2169">
        <v>155529346</v>
      </c>
      <c r="B2169" s="1">
        <v>45079</v>
      </c>
      <c r="C2169" s="1">
        <v>45173</v>
      </c>
      <c r="D2169" t="s">
        <v>7</v>
      </c>
      <c r="E2169">
        <v>39</v>
      </c>
      <c r="F2169" t="s">
        <v>6</v>
      </c>
      <c r="G2169">
        <f t="shared" si="198"/>
        <v>94</v>
      </c>
      <c r="H2169" s="1" t="str">
        <f t="shared" si="199"/>
        <v>Friday</v>
      </c>
      <c r="I2169" t="str">
        <f t="shared" si="200"/>
        <v>No</v>
      </c>
      <c r="J2169">
        <f t="shared" si="201"/>
        <v>0</v>
      </c>
      <c r="K2169">
        <f t="shared" si="202"/>
        <v>1</v>
      </c>
      <c r="L2169">
        <f t="shared" si="203"/>
        <v>94</v>
      </c>
    </row>
    <row r="2170" spans="1:12" ht="14.4" customHeight="1" x14ac:dyDescent="0.3">
      <c r="A2170">
        <v>153085868</v>
      </c>
      <c r="B2170" s="1">
        <v>45079</v>
      </c>
      <c r="C2170" s="1">
        <v>45106</v>
      </c>
      <c r="D2170" t="s">
        <v>7</v>
      </c>
      <c r="E2170">
        <v>39</v>
      </c>
      <c r="F2170" t="s">
        <v>6</v>
      </c>
      <c r="G2170">
        <f t="shared" si="198"/>
        <v>27</v>
      </c>
      <c r="H2170" s="1" t="str">
        <f t="shared" si="199"/>
        <v>Friday</v>
      </c>
      <c r="I2170" t="str">
        <f t="shared" si="200"/>
        <v>No</v>
      </c>
      <c r="J2170">
        <f t="shared" si="201"/>
        <v>0</v>
      </c>
      <c r="K2170">
        <f t="shared" si="202"/>
        <v>0</v>
      </c>
      <c r="L2170">
        <f t="shared" si="203"/>
        <v>27</v>
      </c>
    </row>
    <row r="2171" spans="1:12" ht="14.4" customHeight="1" x14ac:dyDescent="0.3">
      <c r="A2171">
        <v>156702204</v>
      </c>
      <c r="B2171" s="1">
        <v>45079</v>
      </c>
      <c r="C2171" s="1">
        <v>45109</v>
      </c>
      <c r="D2171" t="s">
        <v>7</v>
      </c>
      <c r="E2171">
        <v>39</v>
      </c>
      <c r="F2171" t="s">
        <v>6</v>
      </c>
      <c r="G2171">
        <f t="shared" si="198"/>
        <v>30</v>
      </c>
      <c r="H2171" s="1" t="str">
        <f t="shared" si="199"/>
        <v>Friday</v>
      </c>
      <c r="I2171" t="str">
        <f t="shared" si="200"/>
        <v>No</v>
      </c>
      <c r="J2171">
        <f t="shared" si="201"/>
        <v>0</v>
      </c>
      <c r="K2171">
        <f t="shared" si="202"/>
        <v>0</v>
      </c>
      <c r="L2171">
        <f t="shared" si="203"/>
        <v>30</v>
      </c>
    </row>
    <row r="2172" spans="1:12" ht="14.4" customHeight="1" x14ac:dyDescent="0.3">
      <c r="A2172">
        <v>158177676</v>
      </c>
      <c r="B2172" s="1">
        <v>45079</v>
      </c>
      <c r="C2172" s="1">
        <v>45104</v>
      </c>
      <c r="D2172" t="s">
        <v>7</v>
      </c>
      <c r="E2172">
        <v>39</v>
      </c>
      <c r="F2172" t="s">
        <v>6</v>
      </c>
      <c r="G2172">
        <f t="shared" si="198"/>
        <v>25</v>
      </c>
      <c r="H2172" s="1" t="str">
        <f t="shared" si="199"/>
        <v>Friday</v>
      </c>
      <c r="I2172" t="str">
        <f t="shared" si="200"/>
        <v>No</v>
      </c>
      <c r="J2172">
        <f t="shared" si="201"/>
        <v>0</v>
      </c>
      <c r="K2172">
        <f t="shared" si="202"/>
        <v>0</v>
      </c>
      <c r="L2172">
        <f t="shared" si="203"/>
        <v>25</v>
      </c>
    </row>
    <row r="2173" spans="1:12" x14ac:dyDescent="0.3">
      <c r="A2173">
        <v>216423972</v>
      </c>
      <c r="B2173" s="1">
        <v>45079</v>
      </c>
      <c r="C2173" s="1">
        <v>45121</v>
      </c>
      <c r="D2173" t="s">
        <v>7</v>
      </c>
      <c r="E2173">
        <v>39</v>
      </c>
      <c r="F2173" t="s">
        <v>6</v>
      </c>
      <c r="G2173">
        <f t="shared" si="198"/>
        <v>42</v>
      </c>
      <c r="H2173" s="1" t="str">
        <f t="shared" si="199"/>
        <v>Friday</v>
      </c>
      <c r="I2173" t="str">
        <f t="shared" si="200"/>
        <v>No</v>
      </c>
      <c r="J2173">
        <f t="shared" si="201"/>
        <v>0</v>
      </c>
      <c r="K2173">
        <f t="shared" si="202"/>
        <v>1</v>
      </c>
      <c r="L2173">
        <f t="shared" si="203"/>
        <v>42</v>
      </c>
    </row>
    <row r="2174" spans="1:12" ht="14.4" customHeight="1" x14ac:dyDescent="0.3">
      <c r="A2174">
        <v>216533259</v>
      </c>
      <c r="B2174" s="1">
        <v>45080</v>
      </c>
      <c r="D2174" t="s">
        <v>7</v>
      </c>
      <c r="E2174">
        <v>39</v>
      </c>
      <c r="F2174" t="s">
        <v>6</v>
      </c>
      <c r="G2174" t="str">
        <f t="shared" si="198"/>
        <v/>
      </c>
      <c r="H2174" s="1" t="str">
        <f t="shared" si="199"/>
        <v>Saturday</v>
      </c>
      <c r="I2174" t="str">
        <f t="shared" si="200"/>
        <v>No</v>
      </c>
      <c r="J2174">
        <f t="shared" si="201"/>
        <v>0</v>
      </c>
      <c r="K2174">
        <f t="shared" si="202"/>
        <v>0</v>
      </c>
      <c r="L2174" t="str">
        <f t="shared" si="203"/>
        <v/>
      </c>
    </row>
    <row r="2175" spans="1:12" ht="14.4" customHeight="1" x14ac:dyDescent="0.3">
      <c r="A2175">
        <v>204953211</v>
      </c>
      <c r="B2175" s="1">
        <v>45080</v>
      </c>
      <c r="D2175" t="s">
        <v>7</v>
      </c>
      <c r="E2175">
        <v>39</v>
      </c>
      <c r="F2175" t="s">
        <v>6</v>
      </c>
      <c r="G2175" t="str">
        <f t="shared" si="198"/>
        <v/>
      </c>
      <c r="H2175" s="1" t="str">
        <f t="shared" si="199"/>
        <v>Saturday</v>
      </c>
      <c r="I2175" t="str">
        <f t="shared" si="200"/>
        <v>No</v>
      </c>
      <c r="J2175">
        <f t="shared" si="201"/>
        <v>0</v>
      </c>
      <c r="K2175">
        <f t="shared" si="202"/>
        <v>0</v>
      </c>
      <c r="L2175" t="str">
        <f t="shared" si="203"/>
        <v/>
      </c>
    </row>
    <row r="2176" spans="1:12" ht="14.4" customHeight="1" x14ac:dyDescent="0.3">
      <c r="A2176">
        <v>149112756</v>
      </c>
      <c r="B2176" s="1">
        <v>45080</v>
      </c>
      <c r="D2176" t="s">
        <v>7</v>
      </c>
      <c r="E2176">
        <v>39</v>
      </c>
      <c r="F2176" t="s">
        <v>6</v>
      </c>
      <c r="G2176" t="str">
        <f t="shared" si="198"/>
        <v/>
      </c>
      <c r="H2176" s="1" t="str">
        <f t="shared" si="199"/>
        <v>Saturday</v>
      </c>
      <c r="I2176" t="str">
        <f t="shared" si="200"/>
        <v>No</v>
      </c>
      <c r="J2176">
        <f t="shared" si="201"/>
        <v>0</v>
      </c>
      <c r="K2176">
        <f t="shared" si="202"/>
        <v>0</v>
      </c>
      <c r="L2176" t="str">
        <f t="shared" si="203"/>
        <v/>
      </c>
    </row>
    <row r="2177" spans="1:12" ht="14.4" customHeight="1" x14ac:dyDescent="0.3">
      <c r="A2177">
        <v>216674420</v>
      </c>
      <c r="B2177" s="1">
        <v>45080</v>
      </c>
      <c r="C2177" s="1">
        <v>45081</v>
      </c>
      <c r="D2177" t="s">
        <v>8</v>
      </c>
      <c r="E2177">
        <v>39</v>
      </c>
      <c r="F2177" t="s">
        <v>6</v>
      </c>
      <c r="G2177">
        <f t="shared" si="198"/>
        <v>1</v>
      </c>
      <c r="H2177" s="1" t="str">
        <f t="shared" si="199"/>
        <v>Saturday</v>
      </c>
      <c r="I2177" t="str">
        <f t="shared" si="200"/>
        <v>No</v>
      </c>
      <c r="J2177">
        <f t="shared" si="201"/>
        <v>1</v>
      </c>
      <c r="K2177">
        <f t="shared" si="202"/>
        <v>0</v>
      </c>
      <c r="L2177">
        <f t="shared" si="203"/>
        <v>1</v>
      </c>
    </row>
    <row r="2178" spans="1:12" ht="14.4" customHeight="1" x14ac:dyDescent="0.3">
      <c r="A2178">
        <v>148225450</v>
      </c>
      <c r="B2178" s="1">
        <v>45080</v>
      </c>
      <c r="C2178" s="1">
        <v>45106</v>
      </c>
      <c r="D2178" t="s">
        <v>7</v>
      </c>
      <c r="E2178">
        <v>39</v>
      </c>
      <c r="F2178" t="s">
        <v>6</v>
      </c>
      <c r="G2178">
        <f t="shared" ref="G2178:G2241" si="204">IF(C2178="","",C2178-B2178)</f>
        <v>26</v>
      </c>
      <c r="H2178" s="1" t="str">
        <f t="shared" si="199"/>
        <v>Saturday</v>
      </c>
      <c r="I2178" t="str">
        <f t="shared" si="200"/>
        <v>No</v>
      </c>
      <c r="J2178">
        <f t="shared" si="201"/>
        <v>0</v>
      </c>
      <c r="K2178">
        <f t="shared" si="202"/>
        <v>0</v>
      </c>
      <c r="L2178">
        <f t="shared" si="203"/>
        <v>26</v>
      </c>
    </row>
    <row r="2179" spans="1:12" ht="14.4" customHeight="1" x14ac:dyDescent="0.3">
      <c r="A2179">
        <v>216720172</v>
      </c>
      <c r="B2179" s="1">
        <v>45080</v>
      </c>
      <c r="C2179" s="1">
        <v>45097</v>
      </c>
      <c r="D2179" t="s">
        <v>7</v>
      </c>
      <c r="E2179">
        <v>39</v>
      </c>
      <c r="F2179" t="s">
        <v>6</v>
      </c>
      <c r="G2179">
        <f t="shared" si="204"/>
        <v>17</v>
      </c>
      <c r="H2179" s="1" t="str">
        <f t="shared" ref="H2179:H2242" si="205">TEXT(B2179,"dddd")</f>
        <v>Saturday</v>
      </c>
      <c r="I2179" t="str">
        <f t="shared" ref="I2179:I2242" si="206">IF(B2179=C2179,"Yes","No")</f>
        <v>No</v>
      </c>
      <c r="J2179">
        <f t="shared" ref="J2179:J2242" si="207">IF(AND(C2179&lt;&gt;"",C2179-B2179&lt;=2),1,0)</f>
        <v>0</v>
      </c>
      <c r="K2179">
        <f t="shared" ref="K2179:K2242" si="208">IF(AND(C2179&lt;&gt;"",C2179-B2179&gt;30),1,0)</f>
        <v>0</v>
      </c>
      <c r="L2179">
        <f t="shared" ref="L2179:L2242" si="209">IF(C2179="","",C2179-B2179)</f>
        <v>17</v>
      </c>
    </row>
    <row r="2180" spans="1:12" ht="14.4" customHeight="1" x14ac:dyDescent="0.3">
      <c r="A2180">
        <v>204750804</v>
      </c>
      <c r="B2180" s="1">
        <v>45080</v>
      </c>
      <c r="C2180" s="1">
        <v>45104</v>
      </c>
      <c r="D2180" t="s">
        <v>7</v>
      </c>
      <c r="E2180">
        <v>39</v>
      </c>
      <c r="F2180" t="s">
        <v>6</v>
      </c>
      <c r="G2180">
        <f t="shared" si="204"/>
        <v>24</v>
      </c>
      <c r="H2180" s="1" t="str">
        <f t="shared" si="205"/>
        <v>Saturday</v>
      </c>
      <c r="I2180" t="str">
        <f t="shared" si="206"/>
        <v>No</v>
      </c>
      <c r="J2180">
        <f t="shared" si="207"/>
        <v>0</v>
      </c>
      <c r="K2180">
        <f t="shared" si="208"/>
        <v>0</v>
      </c>
      <c r="L2180">
        <f t="shared" si="209"/>
        <v>24</v>
      </c>
    </row>
    <row r="2181" spans="1:12" ht="14.4" customHeight="1" x14ac:dyDescent="0.3">
      <c r="A2181">
        <v>147798395</v>
      </c>
      <c r="B2181" s="1">
        <v>45081</v>
      </c>
      <c r="D2181" t="s">
        <v>7</v>
      </c>
      <c r="E2181">
        <v>39</v>
      </c>
      <c r="F2181" t="s">
        <v>6</v>
      </c>
      <c r="G2181" t="str">
        <f t="shared" si="204"/>
        <v/>
      </c>
      <c r="H2181" s="1" t="str">
        <f t="shared" si="205"/>
        <v>Sunday</v>
      </c>
      <c r="I2181" t="str">
        <f t="shared" si="206"/>
        <v>No</v>
      </c>
      <c r="J2181">
        <f t="shared" si="207"/>
        <v>0</v>
      </c>
      <c r="K2181">
        <f t="shared" si="208"/>
        <v>0</v>
      </c>
      <c r="L2181" t="str">
        <f t="shared" si="209"/>
        <v/>
      </c>
    </row>
    <row r="2182" spans="1:12" x14ac:dyDescent="0.3">
      <c r="A2182">
        <v>216560949</v>
      </c>
      <c r="B2182" s="1">
        <v>45081</v>
      </c>
      <c r="C2182" s="1">
        <v>45112</v>
      </c>
      <c r="D2182" t="s">
        <v>7</v>
      </c>
      <c r="E2182">
        <v>39</v>
      </c>
      <c r="F2182" t="s">
        <v>6</v>
      </c>
      <c r="G2182">
        <f t="shared" si="204"/>
        <v>31</v>
      </c>
      <c r="H2182" s="1" t="str">
        <f t="shared" si="205"/>
        <v>Sunday</v>
      </c>
      <c r="I2182" t="str">
        <f t="shared" si="206"/>
        <v>No</v>
      </c>
      <c r="J2182">
        <f t="shared" si="207"/>
        <v>0</v>
      </c>
      <c r="K2182">
        <f t="shared" si="208"/>
        <v>1</v>
      </c>
      <c r="L2182">
        <f t="shared" si="209"/>
        <v>31</v>
      </c>
    </row>
    <row r="2183" spans="1:12" x14ac:dyDescent="0.3">
      <c r="A2183">
        <v>216743053</v>
      </c>
      <c r="B2183" s="1">
        <v>45081</v>
      </c>
      <c r="C2183" s="1">
        <v>45121</v>
      </c>
      <c r="D2183" t="s">
        <v>7</v>
      </c>
      <c r="E2183">
        <v>39</v>
      </c>
      <c r="F2183" t="s">
        <v>6</v>
      </c>
      <c r="G2183">
        <f t="shared" si="204"/>
        <v>40</v>
      </c>
      <c r="H2183" s="1" t="str">
        <f t="shared" si="205"/>
        <v>Sunday</v>
      </c>
      <c r="I2183" t="str">
        <f t="shared" si="206"/>
        <v>No</v>
      </c>
      <c r="J2183">
        <f t="shared" si="207"/>
        <v>0</v>
      </c>
      <c r="K2183">
        <f t="shared" si="208"/>
        <v>1</v>
      </c>
      <c r="L2183">
        <f t="shared" si="209"/>
        <v>40</v>
      </c>
    </row>
    <row r="2184" spans="1:12" ht="14.4" customHeight="1" x14ac:dyDescent="0.3">
      <c r="A2184">
        <v>149040748</v>
      </c>
      <c r="B2184" s="1">
        <v>45082</v>
      </c>
      <c r="D2184" t="s">
        <v>7</v>
      </c>
      <c r="E2184">
        <v>39</v>
      </c>
      <c r="F2184" t="s">
        <v>6</v>
      </c>
      <c r="G2184" t="str">
        <f t="shared" si="204"/>
        <v/>
      </c>
      <c r="H2184" s="1" t="str">
        <f t="shared" si="205"/>
        <v>Monday</v>
      </c>
      <c r="I2184" t="str">
        <f t="shared" si="206"/>
        <v>No</v>
      </c>
      <c r="J2184">
        <f t="shared" si="207"/>
        <v>0</v>
      </c>
      <c r="K2184">
        <f t="shared" si="208"/>
        <v>0</v>
      </c>
      <c r="L2184" t="str">
        <f t="shared" si="209"/>
        <v/>
      </c>
    </row>
    <row r="2185" spans="1:12" ht="14.4" customHeight="1" x14ac:dyDescent="0.3">
      <c r="A2185">
        <v>206939746</v>
      </c>
      <c r="B2185" s="1">
        <v>45082</v>
      </c>
      <c r="D2185" t="s">
        <v>7</v>
      </c>
      <c r="E2185">
        <v>39</v>
      </c>
      <c r="F2185" t="s">
        <v>6</v>
      </c>
      <c r="G2185" t="str">
        <f t="shared" si="204"/>
        <v/>
      </c>
      <c r="H2185" s="1" t="str">
        <f t="shared" si="205"/>
        <v>Monday</v>
      </c>
      <c r="I2185" t="str">
        <f t="shared" si="206"/>
        <v>No</v>
      </c>
      <c r="J2185">
        <f t="shared" si="207"/>
        <v>0</v>
      </c>
      <c r="K2185">
        <f t="shared" si="208"/>
        <v>0</v>
      </c>
      <c r="L2185" t="str">
        <f t="shared" si="209"/>
        <v/>
      </c>
    </row>
    <row r="2186" spans="1:12" ht="14.4" customHeight="1" x14ac:dyDescent="0.3">
      <c r="A2186">
        <v>216845223</v>
      </c>
      <c r="B2186" s="1">
        <v>45082</v>
      </c>
      <c r="D2186" t="s">
        <v>7</v>
      </c>
      <c r="E2186">
        <v>39</v>
      </c>
      <c r="F2186" t="s">
        <v>6</v>
      </c>
      <c r="G2186" t="str">
        <f t="shared" si="204"/>
        <v/>
      </c>
      <c r="H2186" s="1" t="str">
        <f t="shared" si="205"/>
        <v>Monday</v>
      </c>
      <c r="I2186" t="str">
        <f t="shared" si="206"/>
        <v>No</v>
      </c>
      <c r="J2186">
        <f t="shared" si="207"/>
        <v>0</v>
      </c>
      <c r="K2186">
        <f t="shared" si="208"/>
        <v>0</v>
      </c>
      <c r="L2186" t="str">
        <f t="shared" si="209"/>
        <v/>
      </c>
    </row>
    <row r="2187" spans="1:12" x14ac:dyDescent="0.3">
      <c r="A2187">
        <v>124876382</v>
      </c>
      <c r="B2187" s="1">
        <v>45082</v>
      </c>
      <c r="C2187" s="1">
        <v>45150</v>
      </c>
      <c r="D2187" t="s">
        <v>7</v>
      </c>
      <c r="E2187">
        <v>39</v>
      </c>
      <c r="F2187" t="s">
        <v>6</v>
      </c>
      <c r="G2187">
        <f t="shared" si="204"/>
        <v>68</v>
      </c>
      <c r="H2187" s="1" t="str">
        <f t="shared" si="205"/>
        <v>Monday</v>
      </c>
      <c r="I2187" t="str">
        <f t="shared" si="206"/>
        <v>No</v>
      </c>
      <c r="J2187">
        <f t="shared" si="207"/>
        <v>0</v>
      </c>
      <c r="K2187">
        <f t="shared" si="208"/>
        <v>1</v>
      </c>
      <c r="L2187">
        <f t="shared" si="209"/>
        <v>68</v>
      </c>
    </row>
    <row r="2188" spans="1:12" x14ac:dyDescent="0.3">
      <c r="A2188">
        <v>168485609</v>
      </c>
      <c r="B2188" s="1">
        <v>45082</v>
      </c>
      <c r="C2188" s="1">
        <v>45158</v>
      </c>
      <c r="D2188" t="s">
        <v>7</v>
      </c>
      <c r="E2188">
        <v>39</v>
      </c>
      <c r="F2188" t="s">
        <v>6</v>
      </c>
      <c r="G2188">
        <f t="shared" si="204"/>
        <v>76</v>
      </c>
      <c r="H2188" s="1" t="str">
        <f t="shared" si="205"/>
        <v>Monday</v>
      </c>
      <c r="I2188" t="str">
        <f t="shared" si="206"/>
        <v>No</v>
      </c>
      <c r="J2188">
        <f t="shared" si="207"/>
        <v>0</v>
      </c>
      <c r="K2188">
        <f t="shared" si="208"/>
        <v>1</v>
      </c>
      <c r="L2188">
        <f t="shared" si="209"/>
        <v>76</v>
      </c>
    </row>
    <row r="2189" spans="1:12" x14ac:dyDescent="0.3">
      <c r="A2189">
        <v>216888206</v>
      </c>
      <c r="B2189" s="1">
        <v>45082</v>
      </c>
      <c r="C2189" s="1">
        <v>45172</v>
      </c>
      <c r="D2189" t="s">
        <v>7</v>
      </c>
      <c r="E2189">
        <v>39</v>
      </c>
      <c r="F2189" t="s">
        <v>6</v>
      </c>
      <c r="G2189">
        <f t="shared" si="204"/>
        <v>90</v>
      </c>
      <c r="H2189" s="1" t="str">
        <f t="shared" si="205"/>
        <v>Monday</v>
      </c>
      <c r="I2189" t="str">
        <f t="shared" si="206"/>
        <v>No</v>
      </c>
      <c r="J2189">
        <f t="shared" si="207"/>
        <v>0</v>
      </c>
      <c r="K2189">
        <f t="shared" si="208"/>
        <v>1</v>
      </c>
      <c r="L2189">
        <f t="shared" si="209"/>
        <v>90</v>
      </c>
    </row>
    <row r="2190" spans="1:12" ht="14.4" customHeight="1" x14ac:dyDescent="0.3">
      <c r="A2190">
        <v>216957502</v>
      </c>
      <c r="B2190" s="1">
        <v>45083</v>
      </c>
      <c r="D2190" t="s">
        <v>7</v>
      </c>
      <c r="E2190">
        <v>39</v>
      </c>
      <c r="F2190" t="s">
        <v>6</v>
      </c>
      <c r="G2190" t="str">
        <f t="shared" si="204"/>
        <v/>
      </c>
      <c r="H2190" s="1" t="str">
        <f t="shared" si="205"/>
        <v>Tuesday</v>
      </c>
      <c r="I2190" t="str">
        <f t="shared" si="206"/>
        <v>No</v>
      </c>
      <c r="J2190">
        <f t="shared" si="207"/>
        <v>0</v>
      </c>
      <c r="K2190">
        <f t="shared" si="208"/>
        <v>0</v>
      </c>
      <c r="L2190" t="str">
        <f t="shared" si="209"/>
        <v/>
      </c>
    </row>
    <row r="2191" spans="1:12" ht="14.4" customHeight="1" x14ac:dyDescent="0.3">
      <c r="A2191">
        <v>215840282</v>
      </c>
      <c r="B2191" s="1">
        <v>45083</v>
      </c>
      <c r="D2191" t="s">
        <v>7</v>
      </c>
      <c r="E2191">
        <v>39</v>
      </c>
      <c r="F2191" t="s">
        <v>6</v>
      </c>
      <c r="G2191" t="str">
        <f t="shared" si="204"/>
        <v/>
      </c>
      <c r="H2191" s="1" t="str">
        <f t="shared" si="205"/>
        <v>Tuesday</v>
      </c>
      <c r="I2191" t="str">
        <f t="shared" si="206"/>
        <v>No</v>
      </c>
      <c r="J2191">
        <f t="shared" si="207"/>
        <v>0</v>
      </c>
      <c r="K2191">
        <f t="shared" si="208"/>
        <v>0</v>
      </c>
      <c r="L2191" t="str">
        <f t="shared" si="209"/>
        <v/>
      </c>
    </row>
    <row r="2192" spans="1:12" ht="14.4" customHeight="1" x14ac:dyDescent="0.3">
      <c r="A2192">
        <v>216311456</v>
      </c>
      <c r="B2192" s="1">
        <v>45083</v>
      </c>
      <c r="D2192" t="s">
        <v>7</v>
      </c>
      <c r="E2192">
        <v>39</v>
      </c>
      <c r="F2192" t="s">
        <v>6</v>
      </c>
      <c r="G2192" t="str">
        <f t="shared" si="204"/>
        <v/>
      </c>
      <c r="H2192" s="1" t="str">
        <f t="shared" si="205"/>
        <v>Tuesday</v>
      </c>
      <c r="I2192" t="str">
        <f t="shared" si="206"/>
        <v>No</v>
      </c>
      <c r="J2192">
        <f t="shared" si="207"/>
        <v>0</v>
      </c>
      <c r="K2192">
        <f t="shared" si="208"/>
        <v>0</v>
      </c>
      <c r="L2192" t="str">
        <f t="shared" si="209"/>
        <v/>
      </c>
    </row>
    <row r="2193" spans="1:12" ht="14.4" customHeight="1" x14ac:dyDescent="0.3">
      <c r="A2193">
        <v>155088727</v>
      </c>
      <c r="B2193" s="1">
        <v>45083</v>
      </c>
      <c r="D2193" t="s">
        <v>7</v>
      </c>
      <c r="E2193">
        <v>39</v>
      </c>
      <c r="F2193" t="s">
        <v>6</v>
      </c>
      <c r="G2193" t="str">
        <f t="shared" si="204"/>
        <v/>
      </c>
      <c r="H2193" s="1" t="str">
        <f t="shared" si="205"/>
        <v>Tuesday</v>
      </c>
      <c r="I2193" t="str">
        <f t="shared" si="206"/>
        <v>No</v>
      </c>
      <c r="J2193">
        <f t="shared" si="207"/>
        <v>0</v>
      </c>
      <c r="K2193">
        <f t="shared" si="208"/>
        <v>0</v>
      </c>
      <c r="L2193" t="str">
        <f t="shared" si="209"/>
        <v/>
      </c>
    </row>
    <row r="2194" spans="1:12" ht="14.4" customHeight="1" x14ac:dyDescent="0.3">
      <c r="A2194">
        <v>216925191</v>
      </c>
      <c r="B2194" s="1">
        <v>45083</v>
      </c>
      <c r="C2194" s="1">
        <v>45090</v>
      </c>
      <c r="D2194" t="s">
        <v>7</v>
      </c>
      <c r="E2194">
        <v>39</v>
      </c>
      <c r="F2194" t="s">
        <v>6</v>
      </c>
      <c r="G2194">
        <f t="shared" si="204"/>
        <v>7</v>
      </c>
      <c r="H2194" s="1" t="str">
        <f t="shared" si="205"/>
        <v>Tuesday</v>
      </c>
      <c r="I2194" t="str">
        <f t="shared" si="206"/>
        <v>No</v>
      </c>
      <c r="J2194">
        <f t="shared" si="207"/>
        <v>0</v>
      </c>
      <c r="K2194">
        <f t="shared" si="208"/>
        <v>0</v>
      </c>
      <c r="L2194">
        <f t="shared" si="209"/>
        <v>7</v>
      </c>
    </row>
    <row r="2195" spans="1:12" x14ac:dyDescent="0.3">
      <c r="A2195">
        <v>216924741</v>
      </c>
      <c r="B2195" s="1">
        <v>45083</v>
      </c>
      <c r="C2195" s="1">
        <v>45160</v>
      </c>
      <c r="D2195" t="s">
        <v>7</v>
      </c>
      <c r="E2195">
        <v>39</v>
      </c>
      <c r="F2195" t="s">
        <v>6</v>
      </c>
      <c r="G2195">
        <f t="shared" si="204"/>
        <v>77</v>
      </c>
      <c r="H2195" s="1" t="str">
        <f t="shared" si="205"/>
        <v>Tuesday</v>
      </c>
      <c r="I2195" t="str">
        <f t="shared" si="206"/>
        <v>No</v>
      </c>
      <c r="J2195">
        <f t="shared" si="207"/>
        <v>0</v>
      </c>
      <c r="K2195">
        <f t="shared" si="208"/>
        <v>1</v>
      </c>
      <c r="L2195">
        <f t="shared" si="209"/>
        <v>77</v>
      </c>
    </row>
    <row r="2196" spans="1:12" x14ac:dyDescent="0.3">
      <c r="A2196">
        <v>194347007</v>
      </c>
      <c r="B2196" s="1">
        <v>45083</v>
      </c>
      <c r="C2196" s="1">
        <v>45120</v>
      </c>
      <c r="D2196" t="s">
        <v>7</v>
      </c>
      <c r="E2196">
        <v>39</v>
      </c>
      <c r="F2196" t="s">
        <v>6</v>
      </c>
      <c r="G2196">
        <f t="shared" si="204"/>
        <v>37</v>
      </c>
      <c r="H2196" s="1" t="str">
        <f t="shared" si="205"/>
        <v>Tuesday</v>
      </c>
      <c r="I2196" t="str">
        <f t="shared" si="206"/>
        <v>No</v>
      </c>
      <c r="J2196">
        <f t="shared" si="207"/>
        <v>0</v>
      </c>
      <c r="K2196">
        <f t="shared" si="208"/>
        <v>1</v>
      </c>
      <c r="L2196">
        <f t="shared" si="209"/>
        <v>37</v>
      </c>
    </row>
    <row r="2197" spans="1:12" ht="14.4" customHeight="1" x14ac:dyDescent="0.3">
      <c r="A2197">
        <v>217067696</v>
      </c>
      <c r="B2197" s="1">
        <v>45084</v>
      </c>
      <c r="D2197" t="s">
        <v>7</v>
      </c>
      <c r="E2197">
        <v>39</v>
      </c>
      <c r="F2197" t="s">
        <v>6</v>
      </c>
      <c r="G2197" t="str">
        <f t="shared" si="204"/>
        <v/>
      </c>
      <c r="H2197" s="1" t="str">
        <f t="shared" si="205"/>
        <v>Wednesday</v>
      </c>
      <c r="I2197" t="str">
        <f t="shared" si="206"/>
        <v>No</v>
      </c>
      <c r="J2197">
        <f t="shared" si="207"/>
        <v>0</v>
      </c>
      <c r="K2197">
        <f t="shared" si="208"/>
        <v>0</v>
      </c>
      <c r="L2197" t="str">
        <f t="shared" si="209"/>
        <v/>
      </c>
    </row>
    <row r="2198" spans="1:12" ht="14.4" customHeight="1" x14ac:dyDescent="0.3">
      <c r="A2198">
        <v>217012406</v>
      </c>
      <c r="B2198" s="1">
        <v>45084</v>
      </c>
      <c r="D2198" t="s">
        <v>7</v>
      </c>
      <c r="E2198">
        <v>39</v>
      </c>
      <c r="F2198" t="s">
        <v>6</v>
      </c>
      <c r="G2198" t="str">
        <f t="shared" si="204"/>
        <v/>
      </c>
      <c r="H2198" s="1" t="str">
        <f t="shared" si="205"/>
        <v>Wednesday</v>
      </c>
      <c r="I2198" t="str">
        <f t="shared" si="206"/>
        <v>No</v>
      </c>
      <c r="J2198">
        <f t="shared" si="207"/>
        <v>0</v>
      </c>
      <c r="K2198">
        <f t="shared" si="208"/>
        <v>0</v>
      </c>
      <c r="L2198" t="str">
        <f t="shared" si="209"/>
        <v/>
      </c>
    </row>
    <row r="2199" spans="1:12" ht="14.4" customHeight="1" x14ac:dyDescent="0.3">
      <c r="A2199">
        <v>216345770</v>
      </c>
      <c r="B2199" s="1">
        <v>45084</v>
      </c>
      <c r="D2199" t="s">
        <v>7</v>
      </c>
      <c r="E2199">
        <v>39</v>
      </c>
      <c r="F2199" t="s">
        <v>6</v>
      </c>
      <c r="G2199" t="str">
        <f t="shared" si="204"/>
        <v/>
      </c>
      <c r="H2199" s="1" t="str">
        <f t="shared" si="205"/>
        <v>Wednesday</v>
      </c>
      <c r="I2199" t="str">
        <f t="shared" si="206"/>
        <v>No</v>
      </c>
      <c r="J2199">
        <f t="shared" si="207"/>
        <v>0</v>
      </c>
      <c r="K2199">
        <f t="shared" si="208"/>
        <v>0</v>
      </c>
      <c r="L2199" t="str">
        <f t="shared" si="209"/>
        <v/>
      </c>
    </row>
    <row r="2200" spans="1:12" ht="14.4" customHeight="1" x14ac:dyDescent="0.3">
      <c r="A2200">
        <v>215654770</v>
      </c>
      <c r="B2200" s="1">
        <v>45084</v>
      </c>
      <c r="D2200" t="s">
        <v>7</v>
      </c>
      <c r="E2200">
        <v>39</v>
      </c>
      <c r="F2200" t="s">
        <v>6</v>
      </c>
      <c r="G2200" t="str">
        <f t="shared" si="204"/>
        <v/>
      </c>
      <c r="H2200" s="1" t="str">
        <f t="shared" si="205"/>
        <v>Wednesday</v>
      </c>
      <c r="I2200" t="str">
        <f t="shared" si="206"/>
        <v>No</v>
      </c>
      <c r="J2200">
        <f t="shared" si="207"/>
        <v>0</v>
      </c>
      <c r="K2200">
        <f t="shared" si="208"/>
        <v>0</v>
      </c>
      <c r="L2200" t="str">
        <f t="shared" si="209"/>
        <v/>
      </c>
    </row>
    <row r="2201" spans="1:12" ht="14.4" customHeight="1" x14ac:dyDescent="0.3">
      <c r="A2201">
        <v>217044528</v>
      </c>
      <c r="B2201" s="1">
        <v>45084</v>
      </c>
      <c r="D2201" t="s">
        <v>7</v>
      </c>
      <c r="E2201">
        <v>39</v>
      </c>
      <c r="F2201" t="s">
        <v>6</v>
      </c>
      <c r="G2201" t="str">
        <f t="shared" si="204"/>
        <v/>
      </c>
      <c r="H2201" s="1" t="str">
        <f t="shared" si="205"/>
        <v>Wednesday</v>
      </c>
      <c r="I2201" t="str">
        <f t="shared" si="206"/>
        <v>No</v>
      </c>
      <c r="J2201">
        <f t="shared" si="207"/>
        <v>0</v>
      </c>
      <c r="K2201">
        <f t="shared" si="208"/>
        <v>0</v>
      </c>
      <c r="L2201" t="str">
        <f t="shared" si="209"/>
        <v/>
      </c>
    </row>
    <row r="2202" spans="1:12" ht="14.4" customHeight="1" x14ac:dyDescent="0.3">
      <c r="A2202">
        <v>217031352</v>
      </c>
      <c r="B2202" s="1">
        <v>45084</v>
      </c>
      <c r="D2202" t="s">
        <v>7</v>
      </c>
      <c r="E2202">
        <v>39</v>
      </c>
      <c r="F2202" t="s">
        <v>6</v>
      </c>
      <c r="G2202" t="str">
        <f t="shared" si="204"/>
        <v/>
      </c>
      <c r="H2202" s="1" t="str">
        <f t="shared" si="205"/>
        <v>Wednesday</v>
      </c>
      <c r="I2202" t="str">
        <f t="shared" si="206"/>
        <v>No</v>
      </c>
      <c r="J2202">
        <f t="shared" si="207"/>
        <v>0</v>
      </c>
      <c r="K2202">
        <f t="shared" si="208"/>
        <v>0</v>
      </c>
      <c r="L2202" t="str">
        <f t="shared" si="209"/>
        <v/>
      </c>
    </row>
    <row r="2203" spans="1:12" ht="14.4" customHeight="1" x14ac:dyDescent="0.3">
      <c r="A2203">
        <v>146450388</v>
      </c>
      <c r="B2203" s="1">
        <v>45084</v>
      </c>
      <c r="D2203" t="s">
        <v>7</v>
      </c>
      <c r="E2203">
        <v>39</v>
      </c>
      <c r="F2203" t="s">
        <v>6</v>
      </c>
      <c r="G2203" t="str">
        <f t="shared" si="204"/>
        <v/>
      </c>
      <c r="H2203" s="1" t="str">
        <f t="shared" si="205"/>
        <v>Wednesday</v>
      </c>
      <c r="I2203" t="str">
        <f t="shared" si="206"/>
        <v>No</v>
      </c>
      <c r="J2203">
        <f t="shared" si="207"/>
        <v>0</v>
      </c>
      <c r="K2203">
        <f t="shared" si="208"/>
        <v>0</v>
      </c>
      <c r="L2203" t="str">
        <f t="shared" si="209"/>
        <v/>
      </c>
    </row>
    <row r="2204" spans="1:12" x14ac:dyDescent="0.3">
      <c r="A2204">
        <v>153374748</v>
      </c>
      <c r="B2204" s="1">
        <v>45084</v>
      </c>
      <c r="C2204" s="1">
        <v>45169</v>
      </c>
      <c r="D2204" t="s">
        <v>7</v>
      </c>
      <c r="E2204">
        <v>39</v>
      </c>
      <c r="F2204" t="s">
        <v>6</v>
      </c>
      <c r="G2204">
        <f t="shared" si="204"/>
        <v>85</v>
      </c>
      <c r="H2204" s="1" t="str">
        <f t="shared" si="205"/>
        <v>Wednesday</v>
      </c>
      <c r="I2204" t="str">
        <f t="shared" si="206"/>
        <v>No</v>
      </c>
      <c r="J2204">
        <f t="shared" si="207"/>
        <v>0</v>
      </c>
      <c r="K2204">
        <f t="shared" si="208"/>
        <v>1</v>
      </c>
      <c r="L2204">
        <f t="shared" si="209"/>
        <v>85</v>
      </c>
    </row>
    <row r="2205" spans="1:12" ht="14.4" customHeight="1" x14ac:dyDescent="0.3">
      <c r="A2205">
        <v>217065874</v>
      </c>
      <c r="B2205" s="1">
        <v>45084</v>
      </c>
      <c r="C2205" s="1">
        <v>45106</v>
      </c>
      <c r="D2205" t="s">
        <v>7</v>
      </c>
      <c r="E2205">
        <v>39</v>
      </c>
      <c r="F2205" t="s">
        <v>6</v>
      </c>
      <c r="G2205">
        <f t="shared" si="204"/>
        <v>22</v>
      </c>
      <c r="H2205" s="1" t="str">
        <f t="shared" si="205"/>
        <v>Wednesday</v>
      </c>
      <c r="I2205" t="str">
        <f t="shared" si="206"/>
        <v>No</v>
      </c>
      <c r="J2205">
        <f t="shared" si="207"/>
        <v>0</v>
      </c>
      <c r="K2205">
        <f t="shared" si="208"/>
        <v>0</v>
      </c>
      <c r="L2205">
        <f t="shared" si="209"/>
        <v>22</v>
      </c>
    </row>
    <row r="2206" spans="1:12" x14ac:dyDescent="0.3">
      <c r="A2206">
        <v>216622895</v>
      </c>
      <c r="B2206" s="1">
        <v>45084</v>
      </c>
      <c r="C2206" s="1">
        <v>45152</v>
      </c>
      <c r="D2206" t="s">
        <v>7</v>
      </c>
      <c r="E2206">
        <v>39</v>
      </c>
      <c r="F2206" t="s">
        <v>6</v>
      </c>
      <c r="G2206">
        <f t="shared" si="204"/>
        <v>68</v>
      </c>
      <c r="H2206" s="1" t="str">
        <f t="shared" si="205"/>
        <v>Wednesday</v>
      </c>
      <c r="I2206" t="str">
        <f t="shared" si="206"/>
        <v>No</v>
      </c>
      <c r="J2206">
        <f t="shared" si="207"/>
        <v>0</v>
      </c>
      <c r="K2206">
        <f t="shared" si="208"/>
        <v>1</v>
      </c>
      <c r="L2206">
        <f t="shared" si="209"/>
        <v>68</v>
      </c>
    </row>
    <row r="2207" spans="1:12" x14ac:dyDescent="0.3">
      <c r="A2207">
        <v>216907852</v>
      </c>
      <c r="B2207" s="1">
        <v>45084</v>
      </c>
      <c r="C2207" s="1">
        <v>45116</v>
      </c>
      <c r="D2207" t="s">
        <v>7</v>
      </c>
      <c r="E2207">
        <v>39</v>
      </c>
      <c r="F2207" t="s">
        <v>6</v>
      </c>
      <c r="G2207">
        <f t="shared" si="204"/>
        <v>32</v>
      </c>
      <c r="H2207" s="1" t="str">
        <f t="shared" si="205"/>
        <v>Wednesday</v>
      </c>
      <c r="I2207" t="str">
        <f t="shared" si="206"/>
        <v>No</v>
      </c>
      <c r="J2207">
        <f t="shared" si="207"/>
        <v>0</v>
      </c>
      <c r="K2207">
        <f t="shared" si="208"/>
        <v>1</v>
      </c>
      <c r="L2207">
        <f t="shared" si="209"/>
        <v>32</v>
      </c>
    </row>
    <row r="2208" spans="1:12" ht="14.4" customHeight="1" x14ac:dyDescent="0.3">
      <c r="A2208">
        <v>217054126</v>
      </c>
      <c r="B2208" s="1">
        <v>45085</v>
      </c>
      <c r="D2208" t="s">
        <v>7</v>
      </c>
      <c r="E2208">
        <v>39</v>
      </c>
      <c r="F2208" t="s">
        <v>6</v>
      </c>
      <c r="G2208" t="str">
        <f t="shared" si="204"/>
        <v/>
      </c>
      <c r="H2208" s="1" t="str">
        <f t="shared" si="205"/>
        <v>Thursday</v>
      </c>
      <c r="I2208" t="str">
        <f t="shared" si="206"/>
        <v>No</v>
      </c>
      <c r="J2208">
        <f t="shared" si="207"/>
        <v>0</v>
      </c>
      <c r="K2208">
        <f t="shared" si="208"/>
        <v>0</v>
      </c>
      <c r="L2208" t="str">
        <f t="shared" si="209"/>
        <v/>
      </c>
    </row>
    <row r="2209" spans="1:12" ht="14.4" customHeight="1" x14ac:dyDescent="0.3">
      <c r="A2209">
        <v>206001231</v>
      </c>
      <c r="B2209" s="1">
        <v>45085</v>
      </c>
      <c r="D2209" t="s">
        <v>7</v>
      </c>
      <c r="E2209">
        <v>39</v>
      </c>
      <c r="F2209" t="s">
        <v>6</v>
      </c>
      <c r="G2209" t="str">
        <f t="shared" si="204"/>
        <v/>
      </c>
      <c r="H2209" s="1" t="str">
        <f t="shared" si="205"/>
        <v>Thursday</v>
      </c>
      <c r="I2209" t="str">
        <f t="shared" si="206"/>
        <v>No</v>
      </c>
      <c r="J2209">
        <f t="shared" si="207"/>
        <v>0</v>
      </c>
      <c r="K2209">
        <f t="shared" si="208"/>
        <v>0</v>
      </c>
      <c r="L2209" t="str">
        <f t="shared" si="209"/>
        <v/>
      </c>
    </row>
    <row r="2210" spans="1:12" ht="14.4" customHeight="1" x14ac:dyDescent="0.3">
      <c r="A2210">
        <v>216925136</v>
      </c>
      <c r="B2210" s="1">
        <v>45085</v>
      </c>
      <c r="D2210" t="s">
        <v>7</v>
      </c>
      <c r="E2210">
        <v>39</v>
      </c>
      <c r="F2210" t="s">
        <v>6</v>
      </c>
      <c r="G2210" t="str">
        <f t="shared" si="204"/>
        <v/>
      </c>
      <c r="H2210" s="1" t="str">
        <f t="shared" si="205"/>
        <v>Thursday</v>
      </c>
      <c r="I2210" t="str">
        <f t="shared" si="206"/>
        <v>No</v>
      </c>
      <c r="J2210">
        <f t="shared" si="207"/>
        <v>0</v>
      </c>
      <c r="K2210">
        <f t="shared" si="208"/>
        <v>0</v>
      </c>
      <c r="L2210" t="str">
        <f t="shared" si="209"/>
        <v/>
      </c>
    </row>
    <row r="2211" spans="1:12" ht="14.4" customHeight="1" x14ac:dyDescent="0.3">
      <c r="A2211">
        <v>217094352</v>
      </c>
      <c r="B2211" s="1">
        <v>45085</v>
      </c>
      <c r="C2211" s="1">
        <v>45109</v>
      </c>
      <c r="D2211" t="s">
        <v>7</v>
      </c>
      <c r="E2211">
        <v>39</v>
      </c>
      <c r="F2211" t="s">
        <v>6</v>
      </c>
      <c r="G2211">
        <f t="shared" si="204"/>
        <v>24</v>
      </c>
      <c r="H2211" s="1" t="str">
        <f t="shared" si="205"/>
        <v>Thursday</v>
      </c>
      <c r="I2211" t="str">
        <f t="shared" si="206"/>
        <v>No</v>
      </c>
      <c r="J2211">
        <f t="shared" si="207"/>
        <v>0</v>
      </c>
      <c r="K2211">
        <f t="shared" si="208"/>
        <v>0</v>
      </c>
      <c r="L2211">
        <f t="shared" si="209"/>
        <v>24</v>
      </c>
    </row>
    <row r="2212" spans="1:12" ht="14.4" customHeight="1" x14ac:dyDescent="0.3">
      <c r="A2212">
        <v>206891818</v>
      </c>
      <c r="B2212" s="1">
        <v>45085</v>
      </c>
      <c r="C2212" s="1">
        <v>45105</v>
      </c>
      <c r="D2212" t="s">
        <v>7</v>
      </c>
      <c r="E2212">
        <v>39</v>
      </c>
      <c r="F2212" t="s">
        <v>6</v>
      </c>
      <c r="G2212">
        <f t="shared" si="204"/>
        <v>20</v>
      </c>
      <c r="H2212" s="1" t="str">
        <f t="shared" si="205"/>
        <v>Thursday</v>
      </c>
      <c r="I2212" t="str">
        <f t="shared" si="206"/>
        <v>No</v>
      </c>
      <c r="J2212">
        <f t="shared" si="207"/>
        <v>0</v>
      </c>
      <c r="K2212">
        <f t="shared" si="208"/>
        <v>0</v>
      </c>
      <c r="L2212">
        <f t="shared" si="209"/>
        <v>20</v>
      </c>
    </row>
    <row r="2213" spans="1:12" ht="14.4" customHeight="1" x14ac:dyDescent="0.3">
      <c r="A2213">
        <v>217084888</v>
      </c>
      <c r="B2213" s="1">
        <v>45085</v>
      </c>
      <c r="C2213" s="1">
        <v>45085</v>
      </c>
      <c r="D2213" t="s">
        <v>7</v>
      </c>
      <c r="E2213">
        <v>39</v>
      </c>
      <c r="F2213" t="s">
        <v>6</v>
      </c>
      <c r="G2213">
        <f t="shared" si="204"/>
        <v>0</v>
      </c>
      <c r="H2213" s="1" t="str">
        <f t="shared" si="205"/>
        <v>Thursday</v>
      </c>
      <c r="I2213" t="str">
        <f t="shared" si="206"/>
        <v>Yes</v>
      </c>
      <c r="J2213">
        <f t="shared" si="207"/>
        <v>1</v>
      </c>
      <c r="K2213">
        <f t="shared" si="208"/>
        <v>0</v>
      </c>
      <c r="L2213">
        <f t="shared" si="209"/>
        <v>0</v>
      </c>
    </row>
    <row r="2214" spans="1:12" ht="14.4" customHeight="1" x14ac:dyDescent="0.3">
      <c r="A2214">
        <v>216624401</v>
      </c>
      <c r="B2214" s="1">
        <v>45085</v>
      </c>
      <c r="C2214" s="1">
        <v>45105</v>
      </c>
      <c r="D2214" t="s">
        <v>7</v>
      </c>
      <c r="E2214">
        <v>39</v>
      </c>
      <c r="F2214" t="s">
        <v>6</v>
      </c>
      <c r="G2214">
        <f t="shared" si="204"/>
        <v>20</v>
      </c>
      <c r="H2214" s="1" t="str">
        <f t="shared" si="205"/>
        <v>Thursday</v>
      </c>
      <c r="I2214" t="str">
        <f t="shared" si="206"/>
        <v>No</v>
      </c>
      <c r="J2214">
        <f t="shared" si="207"/>
        <v>0</v>
      </c>
      <c r="K2214">
        <f t="shared" si="208"/>
        <v>0</v>
      </c>
      <c r="L2214">
        <f t="shared" si="209"/>
        <v>20</v>
      </c>
    </row>
    <row r="2215" spans="1:12" x14ac:dyDescent="0.3">
      <c r="A2215">
        <v>216795282</v>
      </c>
      <c r="B2215" s="1">
        <v>45085</v>
      </c>
      <c r="C2215" s="1">
        <v>45130</v>
      </c>
      <c r="D2215" t="s">
        <v>7</v>
      </c>
      <c r="E2215">
        <v>39</v>
      </c>
      <c r="F2215" t="s">
        <v>6</v>
      </c>
      <c r="G2215">
        <f t="shared" si="204"/>
        <v>45</v>
      </c>
      <c r="H2215" s="1" t="str">
        <f t="shared" si="205"/>
        <v>Thursday</v>
      </c>
      <c r="I2215" t="str">
        <f t="shared" si="206"/>
        <v>No</v>
      </c>
      <c r="J2215">
        <f t="shared" si="207"/>
        <v>0</v>
      </c>
      <c r="K2215">
        <f t="shared" si="208"/>
        <v>1</v>
      </c>
      <c r="L2215">
        <f t="shared" si="209"/>
        <v>45</v>
      </c>
    </row>
    <row r="2216" spans="1:12" ht="14.4" customHeight="1" x14ac:dyDescent="0.3">
      <c r="A2216">
        <v>174646924</v>
      </c>
      <c r="B2216" s="1">
        <v>45086</v>
      </c>
      <c r="D2216" t="s">
        <v>7</v>
      </c>
      <c r="E2216">
        <v>39</v>
      </c>
      <c r="F2216" t="s">
        <v>6</v>
      </c>
      <c r="G2216" t="str">
        <f t="shared" si="204"/>
        <v/>
      </c>
      <c r="H2216" s="1" t="str">
        <f t="shared" si="205"/>
        <v>Friday</v>
      </c>
      <c r="I2216" t="str">
        <f t="shared" si="206"/>
        <v>No</v>
      </c>
      <c r="J2216">
        <f t="shared" si="207"/>
        <v>0</v>
      </c>
      <c r="K2216">
        <f t="shared" si="208"/>
        <v>0</v>
      </c>
      <c r="L2216" t="str">
        <f t="shared" si="209"/>
        <v/>
      </c>
    </row>
    <row r="2217" spans="1:12" ht="14.4" customHeight="1" x14ac:dyDescent="0.3">
      <c r="A2217">
        <v>217123644</v>
      </c>
      <c r="B2217" s="1">
        <v>45086</v>
      </c>
      <c r="D2217" t="s">
        <v>7</v>
      </c>
      <c r="E2217">
        <v>39</v>
      </c>
      <c r="F2217" t="s">
        <v>6</v>
      </c>
      <c r="G2217" t="str">
        <f t="shared" si="204"/>
        <v/>
      </c>
      <c r="H2217" s="1" t="str">
        <f t="shared" si="205"/>
        <v>Friday</v>
      </c>
      <c r="I2217" t="str">
        <f t="shared" si="206"/>
        <v>No</v>
      </c>
      <c r="J2217">
        <f t="shared" si="207"/>
        <v>0</v>
      </c>
      <c r="K2217">
        <f t="shared" si="208"/>
        <v>0</v>
      </c>
      <c r="L2217" t="str">
        <f t="shared" si="209"/>
        <v/>
      </c>
    </row>
    <row r="2218" spans="1:12" ht="14.4" customHeight="1" x14ac:dyDescent="0.3">
      <c r="A2218">
        <v>217104490</v>
      </c>
      <c r="B2218" s="1">
        <v>45086</v>
      </c>
      <c r="D2218" t="s">
        <v>7</v>
      </c>
      <c r="E2218">
        <v>39</v>
      </c>
      <c r="F2218" t="s">
        <v>6</v>
      </c>
      <c r="G2218" t="str">
        <f t="shared" si="204"/>
        <v/>
      </c>
      <c r="H2218" s="1" t="str">
        <f t="shared" si="205"/>
        <v>Friday</v>
      </c>
      <c r="I2218" t="str">
        <f t="shared" si="206"/>
        <v>No</v>
      </c>
      <c r="J2218">
        <f t="shared" si="207"/>
        <v>0</v>
      </c>
      <c r="K2218">
        <f t="shared" si="208"/>
        <v>0</v>
      </c>
      <c r="L2218" t="str">
        <f t="shared" si="209"/>
        <v/>
      </c>
    </row>
    <row r="2219" spans="1:12" ht="14.4" customHeight="1" x14ac:dyDescent="0.3">
      <c r="A2219">
        <v>153349708</v>
      </c>
      <c r="B2219" s="1">
        <v>45086</v>
      </c>
      <c r="D2219" t="s">
        <v>7</v>
      </c>
      <c r="E2219">
        <v>39</v>
      </c>
      <c r="F2219" t="s">
        <v>6</v>
      </c>
      <c r="G2219" t="str">
        <f t="shared" si="204"/>
        <v/>
      </c>
      <c r="H2219" s="1" t="str">
        <f t="shared" si="205"/>
        <v>Friday</v>
      </c>
      <c r="I2219" t="str">
        <f t="shared" si="206"/>
        <v>No</v>
      </c>
      <c r="J2219">
        <f t="shared" si="207"/>
        <v>0</v>
      </c>
      <c r="K2219">
        <f t="shared" si="208"/>
        <v>0</v>
      </c>
      <c r="L2219" t="str">
        <f t="shared" si="209"/>
        <v/>
      </c>
    </row>
    <row r="2220" spans="1:12" ht="14.4" customHeight="1" x14ac:dyDescent="0.3">
      <c r="A2220">
        <v>153876204</v>
      </c>
      <c r="B2220" s="1">
        <v>45086</v>
      </c>
      <c r="C2220" s="1">
        <v>45087</v>
      </c>
      <c r="D2220" t="s">
        <v>7</v>
      </c>
      <c r="E2220">
        <v>39</v>
      </c>
      <c r="F2220" t="s">
        <v>6</v>
      </c>
      <c r="G2220">
        <f t="shared" si="204"/>
        <v>1</v>
      </c>
      <c r="H2220" s="1" t="str">
        <f t="shared" si="205"/>
        <v>Friday</v>
      </c>
      <c r="I2220" t="str">
        <f t="shared" si="206"/>
        <v>No</v>
      </c>
      <c r="J2220">
        <f t="shared" si="207"/>
        <v>1</v>
      </c>
      <c r="K2220">
        <f t="shared" si="208"/>
        <v>0</v>
      </c>
      <c r="L2220">
        <f t="shared" si="209"/>
        <v>1</v>
      </c>
    </row>
    <row r="2221" spans="1:12" x14ac:dyDescent="0.3">
      <c r="A2221">
        <v>132442956</v>
      </c>
      <c r="B2221" s="1">
        <v>45086</v>
      </c>
      <c r="C2221" s="1">
        <v>45135</v>
      </c>
      <c r="D2221" t="s">
        <v>7</v>
      </c>
      <c r="E2221">
        <v>39</v>
      </c>
      <c r="F2221" t="s">
        <v>6</v>
      </c>
      <c r="G2221">
        <f t="shared" si="204"/>
        <v>49</v>
      </c>
      <c r="H2221" s="1" t="str">
        <f t="shared" si="205"/>
        <v>Friday</v>
      </c>
      <c r="I2221" t="str">
        <f t="shared" si="206"/>
        <v>No</v>
      </c>
      <c r="J2221">
        <f t="shared" si="207"/>
        <v>0</v>
      </c>
      <c r="K2221">
        <f t="shared" si="208"/>
        <v>1</v>
      </c>
      <c r="L2221">
        <f t="shared" si="209"/>
        <v>49</v>
      </c>
    </row>
    <row r="2222" spans="1:12" ht="14.4" customHeight="1" x14ac:dyDescent="0.3">
      <c r="A2222">
        <v>130331160</v>
      </c>
      <c r="B2222" s="1">
        <v>45086</v>
      </c>
      <c r="C2222" s="1">
        <v>45109</v>
      </c>
      <c r="D2222" t="s">
        <v>7</v>
      </c>
      <c r="E2222">
        <v>39</v>
      </c>
      <c r="F2222" t="s">
        <v>6</v>
      </c>
      <c r="G2222">
        <f t="shared" si="204"/>
        <v>23</v>
      </c>
      <c r="H2222" s="1" t="str">
        <f t="shared" si="205"/>
        <v>Friday</v>
      </c>
      <c r="I2222" t="str">
        <f t="shared" si="206"/>
        <v>No</v>
      </c>
      <c r="J2222">
        <f t="shared" si="207"/>
        <v>0</v>
      </c>
      <c r="K2222">
        <f t="shared" si="208"/>
        <v>0</v>
      </c>
      <c r="L2222">
        <f t="shared" si="209"/>
        <v>23</v>
      </c>
    </row>
    <row r="2223" spans="1:12" ht="14.4" customHeight="1" x14ac:dyDescent="0.3">
      <c r="A2223">
        <v>216225148</v>
      </c>
      <c r="B2223" s="1">
        <v>45086</v>
      </c>
      <c r="C2223" s="1">
        <v>45086</v>
      </c>
      <c r="D2223" t="s">
        <v>7</v>
      </c>
      <c r="E2223">
        <v>39</v>
      </c>
      <c r="F2223" t="s">
        <v>6</v>
      </c>
      <c r="G2223">
        <f t="shared" si="204"/>
        <v>0</v>
      </c>
      <c r="H2223" s="1" t="str">
        <f t="shared" si="205"/>
        <v>Friday</v>
      </c>
      <c r="I2223" t="str">
        <f t="shared" si="206"/>
        <v>Yes</v>
      </c>
      <c r="J2223">
        <f t="shared" si="207"/>
        <v>1</v>
      </c>
      <c r="K2223">
        <f t="shared" si="208"/>
        <v>0</v>
      </c>
      <c r="L2223">
        <f t="shared" si="209"/>
        <v>0</v>
      </c>
    </row>
    <row r="2224" spans="1:12" x14ac:dyDescent="0.3">
      <c r="A2224">
        <v>161187748</v>
      </c>
      <c r="B2224" s="1">
        <v>45086</v>
      </c>
      <c r="C2224" s="1">
        <v>45131</v>
      </c>
      <c r="D2224" t="s">
        <v>7</v>
      </c>
      <c r="E2224">
        <v>39</v>
      </c>
      <c r="F2224" t="s">
        <v>6</v>
      </c>
      <c r="G2224">
        <f t="shared" si="204"/>
        <v>45</v>
      </c>
      <c r="H2224" s="1" t="str">
        <f t="shared" si="205"/>
        <v>Friday</v>
      </c>
      <c r="I2224" t="str">
        <f t="shared" si="206"/>
        <v>No</v>
      </c>
      <c r="J2224">
        <f t="shared" si="207"/>
        <v>0</v>
      </c>
      <c r="K2224">
        <f t="shared" si="208"/>
        <v>1</v>
      </c>
      <c r="L2224">
        <f t="shared" si="209"/>
        <v>45</v>
      </c>
    </row>
    <row r="2225" spans="1:12" x14ac:dyDescent="0.3">
      <c r="A2225">
        <v>217137211</v>
      </c>
      <c r="B2225" s="1">
        <v>45086</v>
      </c>
      <c r="C2225" s="1">
        <v>45123</v>
      </c>
      <c r="D2225" t="s">
        <v>7</v>
      </c>
      <c r="E2225">
        <v>39</v>
      </c>
      <c r="F2225" t="s">
        <v>6</v>
      </c>
      <c r="G2225">
        <f t="shared" si="204"/>
        <v>37</v>
      </c>
      <c r="H2225" s="1" t="str">
        <f t="shared" si="205"/>
        <v>Friday</v>
      </c>
      <c r="I2225" t="str">
        <f t="shared" si="206"/>
        <v>No</v>
      </c>
      <c r="J2225">
        <f t="shared" si="207"/>
        <v>0</v>
      </c>
      <c r="K2225">
        <f t="shared" si="208"/>
        <v>1</v>
      </c>
      <c r="L2225">
        <f t="shared" si="209"/>
        <v>37</v>
      </c>
    </row>
    <row r="2226" spans="1:12" x14ac:dyDescent="0.3">
      <c r="A2226">
        <v>180796559</v>
      </c>
      <c r="B2226" s="1">
        <v>45086</v>
      </c>
      <c r="C2226" s="1">
        <v>45123</v>
      </c>
      <c r="D2226" t="s">
        <v>7</v>
      </c>
      <c r="E2226">
        <v>39</v>
      </c>
      <c r="F2226" t="s">
        <v>6</v>
      </c>
      <c r="G2226">
        <f t="shared" si="204"/>
        <v>37</v>
      </c>
      <c r="H2226" s="1" t="str">
        <f t="shared" si="205"/>
        <v>Friday</v>
      </c>
      <c r="I2226" t="str">
        <f t="shared" si="206"/>
        <v>No</v>
      </c>
      <c r="J2226">
        <f t="shared" si="207"/>
        <v>0</v>
      </c>
      <c r="K2226">
        <f t="shared" si="208"/>
        <v>1</v>
      </c>
      <c r="L2226">
        <f t="shared" si="209"/>
        <v>37</v>
      </c>
    </row>
    <row r="2227" spans="1:12" ht="14.4" customHeight="1" x14ac:dyDescent="0.3">
      <c r="A2227">
        <v>168200039</v>
      </c>
      <c r="B2227" s="1">
        <v>45087</v>
      </c>
      <c r="C2227" s="1">
        <v>45088</v>
      </c>
      <c r="D2227" t="s">
        <v>7</v>
      </c>
      <c r="E2227">
        <v>39</v>
      </c>
      <c r="F2227" t="s">
        <v>6</v>
      </c>
      <c r="G2227">
        <f t="shared" si="204"/>
        <v>1</v>
      </c>
      <c r="H2227" s="1" t="str">
        <f t="shared" si="205"/>
        <v>Saturday</v>
      </c>
      <c r="I2227" t="str">
        <f t="shared" si="206"/>
        <v>No</v>
      </c>
      <c r="J2227">
        <f t="shared" si="207"/>
        <v>1</v>
      </c>
      <c r="K2227">
        <f t="shared" si="208"/>
        <v>0</v>
      </c>
      <c r="L2227">
        <f t="shared" si="209"/>
        <v>1</v>
      </c>
    </row>
    <row r="2228" spans="1:12" ht="14.4" customHeight="1" x14ac:dyDescent="0.3">
      <c r="A2228">
        <v>217110396</v>
      </c>
      <c r="B2228" s="1">
        <v>45087</v>
      </c>
      <c r="C2228" s="1">
        <v>45101</v>
      </c>
      <c r="D2228" t="s">
        <v>7</v>
      </c>
      <c r="E2228">
        <v>39</v>
      </c>
      <c r="F2228" t="s">
        <v>6</v>
      </c>
      <c r="G2228">
        <f t="shared" si="204"/>
        <v>14</v>
      </c>
      <c r="H2228" s="1" t="str">
        <f t="shared" si="205"/>
        <v>Saturday</v>
      </c>
      <c r="I2228" t="str">
        <f t="shared" si="206"/>
        <v>No</v>
      </c>
      <c r="J2228">
        <f t="shared" si="207"/>
        <v>0</v>
      </c>
      <c r="K2228">
        <f t="shared" si="208"/>
        <v>0</v>
      </c>
      <c r="L2228">
        <f t="shared" si="209"/>
        <v>14</v>
      </c>
    </row>
    <row r="2229" spans="1:12" x14ac:dyDescent="0.3">
      <c r="A2229">
        <v>217159016</v>
      </c>
      <c r="B2229" s="1">
        <v>45087</v>
      </c>
      <c r="C2229" s="1">
        <v>45149</v>
      </c>
      <c r="D2229" t="s">
        <v>7</v>
      </c>
      <c r="E2229">
        <v>39</v>
      </c>
      <c r="F2229" t="s">
        <v>6</v>
      </c>
      <c r="G2229">
        <f t="shared" si="204"/>
        <v>62</v>
      </c>
      <c r="H2229" s="1" t="str">
        <f t="shared" si="205"/>
        <v>Saturday</v>
      </c>
      <c r="I2229" t="str">
        <f t="shared" si="206"/>
        <v>No</v>
      </c>
      <c r="J2229">
        <f t="shared" si="207"/>
        <v>0</v>
      </c>
      <c r="K2229">
        <f t="shared" si="208"/>
        <v>1</v>
      </c>
      <c r="L2229">
        <f t="shared" si="209"/>
        <v>62</v>
      </c>
    </row>
    <row r="2230" spans="1:12" ht="14.4" customHeight="1" x14ac:dyDescent="0.3">
      <c r="A2230">
        <v>217215106</v>
      </c>
      <c r="B2230" s="1">
        <v>45088</v>
      </c>
      <c r="D2230" t="s">
        <v>7</v>
      </c>
      <c r="E2230">
        <v>39</v>
      </c>
      <c r="F2230" t="s">
        <v>6</v>
      </c>
      <c r="G2230" t="str">
        <f t="shared" si="204"/>
        <v/>
      </c>
      <c r="H2230" s="1" t="str">
        <f t="shared" si="205"/>
        <v>Sunday</v>
      </c>
      <c r="I2230" t="str">
        <f t="shared" si="206"/>
        <v>No</v>
      </c>
      <c r="J2230">
        <f t="shared" si="207"/>
        <v>0</v>
      </c>
      <c r="K2230">
        <f t="shared" si="208"/>
        <v>0</v>
      </c>
      <c r="L2230" t="str">
        <f t="shared" si="209"/>
        <v/>
      </c>
    </row>
    <row r="2231" spans="1:12" x14ac:dyDescent="0.3">
      <c r="A2231">
        <v>129819604</v>
      </c>
      <c r="B2231" s="1">
        <v>45088</v>
      </c>
      <c r="C2231" s="1">
        <v>45125</v>
      </c>
      <c r="D2231" t="s">
        <v>7</v>
      </c>
      <c r="E2231">
        <v>39</v>
      </c>
      <c r="F2231" t="s">
        <v>6</v>
      </c>
      <c r="G2231">
        <f t="shared" si="204"/>
        <v>37</v>
      </c>
      <c r="H2231" s="1" t="str">
        <f t="shared" si="205"/>
        <v>Sunday</v>
      </c>
      <c r="I2231" t="str">
        <f t="shared" si="206"/>
        <v>No</v>
      </c>
      <c r="J2231">
        <f t="shared" si="207"/>
        <v>0</v>
      </c>
      <c r="K2231">
        <f t="shared" si="208"/>
        <v>1</v>
      </c>
      <c r="L2231">
        <f t="shared" si="209"/>
        <v>37</v>
      </c>
    </row>
    <row r="2232" spans="1:12" x14ac:dyDescent="0.3">
      <c r="A2232">
        <v>217208086</v>
      </c>
      <c r="B2232" s="1">
        <v>45088</v>
      </c>
      <c r="C2232" s="1">
        <v>45133</v>
      </c>
      <c r="D2232" t="s">
        <v>7</v>
      </c>
      <c r="E2232">
        <v>39</v>
      </c>
      <c r="F2232" t="s">
        <v>6</v>
      </c>
      <c r="G2232">
        <f t="shared" si="204"/>
        <v>45</v>
      </c>
      <c r="H2232" s="1" t="str">
        <f t="shared" si="205"/>
        <v>Sunday</v>
      </c>
      <c r="I2232" t="str">
        <f t="shared" si="206"/>
        <v>No</v>
      </c>
      <c r="J2232">
        <f t="shared" si="207"/>
        <v>0</v>
      </c>
      <c r="K2232">
        <f t="shared" si="208"/>
        <v>1</v>
      </c>
      <c r="L2232">
        <f t="shared" si="209"/>
        <v>45</v>
      </c>
    </row>
    <row r="2233" spans="1:12" x14ac:dyDescent="0.3">
      <c r="A2233">
        <v>215534470</v>
      </c>
      <c r="B2233" s="1">
        <v>45088</v>
      </c>
      <c r="C2233" s="1">
        <v>45125</v>
      </c>
      <c r="D2233" t="s">
        <v>7</v>
      </c>
      <c r="E2233">
        <v>39</v>
      </c>
      <c r="F2233" t="s">
        <v>6</v>
      </c>
      <c r="G2233">
        <f t="shared" si="204"/>
        <v>37</v>
      </c>
      <c r="H2233" s="1" t="str">
        <f t="shared" si="205"/>
        <v>Sunday</v>
      </c>
      <c r="I2233" t="str">
        <f t="shared" si="206"/>
        <v>No</v>
      </c>
      <c r="J2233">
        <f t="shared" si="207"/>
        <v>0</v>
      </c>
      <c r="K2233">
        <f t="shared" si="208"/>
        <v>1</v>
      </c>
      <c r="L2233">
        <f t="shared" si="209"/>
        <v>37</v>
      </c>
    </row>
    <row r="2234" spans="1:12" ht="14.4" customHeight="1" x14ac:dyDescent="0.3">
      <c r="A2234">
        <v>217277033</v>
      </c>
      <c r="B2234" s="1">
        <v>45089</v>
      </c>
      <c r="D2234" t="s">
        <v>7</v>
      </c>
      <c r="E2234">
        <v>39</v>
      </c>
      <c r="F2234" t="s">
        <v>6</v>
      </c>
      <c r="G2234" t="str">
        <f t="shared" si="204"/>
        <v/>
      </c>
      <c r="H2234" s="1" t="str">
        <f t="shared" si="205"/>
        <v>Monday</v>
      </c>
      <c r="I2234" t="str">
        <f t="shared" si="206"/>
        <v>No</v>
      </c>
      <c r="J2234">
        <f t="shared" si="207"/>
        <v>0</v>
      </c>
      <c r="K2234">
        <f t="shared" si="208"/>
        <v>0</v>
      </c>
      <c r="L2234" t="str">
        <f t="shared" si="209"/>
        <v/>
      </c>
    </row>
    <row r="2235" spans="1:12" ht="14.4" customHeight="1" x14ac:dyDescent="0.3">
      <c r="A2235">
        <v>136199071</v>
      </c>
      <c r="B2235" s="1">
        <v>45089</v>
      </c>
      <c r="D2235" t="s">
        <v>7</v>
      </c>
      <c r="E2235">
        <v>39</v>
      </c>
      <c r="F2235" t="s">
        <v>6</v>
      </c>
      <c r="G2235" t="str">
        <f t="shared" si="204"/>
        <v/>
      </c>
      <c r="H2235" s="1" t="str">
        <f t="shared" si="205"/>
        <v>Monday</v>
      </c>
      <c r="I2235" t="str">
        <f t="shared" si="206"/>
        <v>No</v>
      </c>
      <c r="J2235">
        <f t="shared" si="207"/>
        <v>0</v>
      </c>
      <c r="K2235">
        <f t="shared" si="208"/>
        <v>0</v>
      </c>
      <c r="L2235" t="str">
        <f t="shared" si="209"/>
        <v/>
      </c>
    </row>
    <row r="2236" spans="1:12" ht="14.4" customHeight="1" x14ac:dyDescent="0.3">
      <c r="A2236">
        <v>217102618</v>
      </c>
      <c r="B2236" s="1">
        <v>45089</v>
      </c>
      <c r="D2236" t="s">
        <v>7</v>
      </c>
      <c r="E2236">
        <v>39</v>
      </c>
      <c r="F2236" t="s">
        <v>6</v>
      </c>
      <c r="G2236" t="str">
        <f t="shared" si="204"/>
        <v/>
      </c>
      <c r="H2236" s="1" t="str">
        <f t="shared" si="205"/>
        <v>Monday</v>
      </c>
      <c r="I2236" t="str">
        <f t="shared" si="206"/>
        <v>No</v>
      </c>
      <c r="J2236">
        <f t="shared" si="207"/>
        <v>0</v>
      </c>
      <c r="K2236">
        <f t="shared" si="208"/>
        <v>0</v>
      </c>
      <c r="L2236" t="str">
        <f t="shared" si="209"/>
        <v/>
      </c>
    </row>
    <row r="2237" spans="1:12" ht="14.4" customHeight="1" x14ac:dyDescent="0.3">
      <c r="A2237">
        <v>217252136</v>
      </c>
      <c r="B2237" s="1">
        <v>45089</v>
      </c>
      <c r="D2237" t="s">
        <v>7</v>
      </c>
      <c r="E2237">
        <v>39</v>
      </c>
      <c r="F2237" t="s">
        <v>6</v>
      </c>
      <c r="G2237" t="str">
        <f t="shared" si="204"/>
        <v/>
      </c>
      <c r="H2237" s="1" t="str">
        <f t="shared" si="205"/>
        <v>Monday</v>
      </c>
      <c r="I2237" t="str">
        <f t="shared" si="206"/>
        <v>No</v>
      </c>
      <c r="J2237">
        <f t="shared" si="207"/>
        <v>0</v>
      </c>
      <c r="K2237">
        <f t="shared" si="208"/>
        <v>0</v>
      </c>
      <c r="L2237" t="str">
        <f t="shared" si="209"/>
        <v/>
      </c>
    </row>
    <row r="2238" spans="1:12" ht="14.4" customHeight="1" x14ac:dyDescent="0.3">
      <c r="A2238">
        <v>215856743</v>
      </c>
      <c r="B2238" s="1">
        <v>45089</v>
      </c>
      <c r="D2238" t="s">
        <v>7</v>
      </c>
      <c r="E2238">
        <v>39</v>
      </c>
      <c r="F2238" t="s">
        <v>6</v>
      </c>
      <c r="G2238" t="str">
        <f t="shared" si="204"/>
        <v/>
      </c>
      <c r="H2238" s="1" t="str">
        <f t="shared" si="205"/>
        <v>Monday</v>
      </c>
      <c r="I2238" t="str">
        <f t="shared" si="206"/>
        <v>No</v>
      </c>
      <c r="J2238">
        <f t="shared" si="207"/>
        <v>0</v>
      </c>
      <c r="K2238">
        <f t="shared" si="208"/>
        <v>0</v>
      </c>
      <c r="L2238" t="str">
        <f t="shared" si="209"/>
        <v/>
      </c>
    </row>
    <row r="2239" spans="1:12" ht="14.4" customHeight="1" x14ac:dyDescent="0.3">
      <c r="A2239">
        <v>217260184</v>
      </c>
      <c r="B2239" s="1">
        <v>45089</v>
      </c>
      <c r="C2239" s="1">
        <v>45090</v>
      </c>
      <c r="D2239" t="s">
        <v>8</v>
      </c>
      <c r="E2239">
        <v>39</v>
      </c>
      <c r="F2239" t="s">
        <v>6</v>
      </c>
      <c r="G2239">
        <f t="shared" si="204"/>
        <v>1</v>
      </c>
      <c r="H2239" s="1" t="str">
        <f t="shared" si="205"/>
        <v>Monday</v>
      </c>
      <c r="I2239" t="str">
        <f t="shared" si="206"/>
        <v>No</v>
      </c>
      <c r="J2239">
        <f t="shared" si="207"/>
        <v>1</v>
      </c>
      <c r="K2239">
        <f t="shared" si="208"/>
        <v>0</v>
      </c>
      <c r="L2239">
        <f t="shared" si="209"/>
        <v>1</v>
      </c>
    </row>
    <row r="2240" spans="1:12" ht="14.4" customHeight="1" x14ac:dyDescent="0.3">
      <c r="A2240">
        <v>140371292</v>
      </c>
      <c r="B2240" s="1">
        <v>45089</v>
      </c>
      <c r="C2240" s="1">
        <v>45117</v>
      </c>
      <c r="D2240" t="s">
        <v>7</v>
      </c>
      <c r="E2240">
        <v>39</v>
      </c>
      <c r="F2240" t="s">
        <v>6</v>
      </c>
      <c r="G2240">
        <f t="shared" si="204"/>
        <v>28</v>
      </c>
      <c r="H2240" s="1" t="str">
        <f t="shared" si="205"/>
        <v>Monday</v>
      </c>
      <c r="I2240" t="str">
        <f t="shared" si="206"/>
        <v>No</v>
      </c>
      <c r="J2240">
        <f t="shared" si="207"/>
        <v>0</v>
      </c>
      <c r="K2240">
        <f t="shared" si="208"/>
        <v>0</v>
      </c>
      <c r="L2240">
        <f t="shared" si="209"/>
        <v>28</v>
      </c>
    </row>
    <row r="2241" spans="1:12" x14ac:dyDescent="0.3">
      <c r="A2241">
        <v>164903790</v>
      </c>
      <c r="B2241" s="1">
        <v>45089</v>
      </c>
      <c r="C2241" s="1">
        <v>45127</v>
      </c>
      <c r="D2241" t="s">
        <v>7</v>
      </c>
      <c r="E2241">
        <v>39</v>
      </c>
      <c r="F2241" t="s">
        <v>6</v>
      </c>
      <c r="G2241">
        <f t="shared" si="204"/>
        <v>38</v>
      </c>
      <c r="H2241" s="1" t="str">
        <f t="shared" si="205"/>
        <v>Monday</v>
      </c>
      <c r="I2241" t="str">
        <f t="shared" si="206"/>
        <v>No</v>
      </c>
      <c r="J2241">
        <f t="shared" si="207"/>
        <v>0</v>
      </c>
      <c r="K2241">
        <f t="shared" si="208"/>
        <v>1</v>
      </c>
      <c r="L2241">
        <f t="shared" si="209"/>
        <v>38</v>
      </c>
    </row>
    <row r="2242" spans="1:12" x14ac:dyDescent="0.3">
      <c r="A2242">
        <v>217206158</v>
      </c>
      <c r="B2242" s="1">
        <v>45089</v>
      </c>
      <c r="C2242" s="1">
        <v>45149</v>
      </c>
      <c r="D2242" t="s">
        <v>7</v>
      </c>
      <c r="E2242">
        <v>39</v>
      </c>
      <c r="F2242" t="s">
        <v>6</v>
      </c>
      <c r="G2242">
        <f t="shared" ref="G2242:G2305" si="210">IF(C2242="","",C2242-B2242)</f>
        <v>60</v>
      </c>
      <c r="H2242" s="1" t="str">
        <f t="shared" si="205"/>
        <v>Monday</v>
      </c>
      <c r="I2242" t="str">
        <f t="shared" si="206"/>
        <v>No</v>
      </c>
      <c r="J2242">
        <f t="shared" si="207"/>
        <v>0</v>
      </c>
      <c r="K2242">
        <f t="shared" si="208"/>
        <v>1</v>
      </c>
      <c r="L2242">
        <f t="shared" si="209"/>
        <v>60</v>
      </c>
    </row>
    <row r="2243" spans="1:12" x14ac:dyDescent="0.3">
      <c r="A2243">
        <v>215180470</v>
      </c>
      <c r="B2243" s="1">
        <v>45089</v>
      </c>
      <c r="C2243" s="1">
        <v>45144</v>
      </c>
      <c r="D2243" t="s">
        <v>7</v>
      </c>
      <c r="E2243">
        <v>39</v>
      </c>
      <c r="F2243" t="s">
        <v>6</v>
      </c>
      <c r="G2243">
        <f t="shared" si="210"/>
        <v>55</v>
      </c>
      <c r="H2243" s="1" t="str">
        <f t="shared" ref="H2243:H2306" si="211">TEXT(B2243,"dddd")</f>
        <v>Monday</v>
      </c>
      <c r="I2243" t="str">
        <f t="shared" ref="I2243:I2306" si="212">IF(B2243=C2243,"Yes","No")</f>
        <v>No</v>
      </c>
      <c r="J2243">
        <f t="shared" ref="J2243:J2306" si="213">IF(AND(C2243&lt;&gt;"",C2243-B2243&lt;=2),1,0)</f>
        <v>0</v>
      </c>
      <c r="K2243">
        <f t="shared" ref="K2243:K2306" si="214">IF(AND(C2243&lt;&gt;"",C2243-B2243&gt;30),1,0)</f>
        <v>1</v>
      </c>
      <c r="L2243">
        <f t="shared" ref="L2243:L2306" si="215">IF(C2243="","",C2243-B2243)</f>
        <v>55</v>
      </c>
    </row>
    <row r="2244" spans="1:12" ht="14.4" customHeight="1" x14ac:dyDescent="0.3">
      <c r="A2244">
        <v>217246611</v>
      </c>
      <c r="B2244" s="1">
        <v>45089</v>
      </c>
      <c r="C2244" s="1">
        <v>45113</v>
      </c>
      <c r="D2244" t="s">
        <v>7</v>
      </c>
      <c r="E2244">
        <v>39</v>
      </c>
      <c r="F2244" t="s">
        <v>6</v>
      </c>
      <c r="G2244">
        <f t="shared" si="210"/>
        <v>24</v>
      </c>
      <c r="H2244" s="1" t="str">
        <f t="shared" si="211"/>
        <v>Monday</v>
      </c>
      <c r="I2244" t="str">
        <f t="shared" si="212"/>
        <v>No</v>
      </c>
      <c r="J2244">
        <f t="shared" si="213"/>
        <v>0</v>
      </c>
      <c r="K2244">
        <f t="shared" si="214"/>
        <v>0</v>
      </c>
      <c r="L2244">
        <f t="shared" si="215"/>
        <v>24</v>
      </c>
    </row>
    <row r="2245" spans="1:12" ht="14.4" customHeight="1" x14ac:dyDescent="0.3">
      <c r="A2245">
        <v>217080066</v>
      </c>
      <c r="B2245" s="1">
        <v>45089</v>
      </c>
      <c r="C2245" s="1">
        <v>45119</v>
      </c>
      <c r="D2245" t="s">
        <v>7</v>
      </c>
      <c r="E2245">
        <v>39</v>
      </c>
      <c r="F2245" t="s">
        <v>6</v>
      </c>
      <c r="G2245">
        <f t="shared" si="210"/>
        <v>30</v>
      </c>
      <c r="H2245" s="1" t="str">
        <f t="shared" si="211"/>
        <v>Monday</v>
      </c>
      <c r="I2245" t="str">
        <f t="shared" si="212"/>
        <v>No</v>
      </c>
      <c r="J2245">
        <f t="shared" si="213"/>
        <v>0</v>
      </c>
      <c r="K2245">
        <f t="shared" si="214"/>
        <v>0</v>
      </c>
      <c r="L2245">
        <f t="shared" si="215"/>
        <v>30</v>
      </c>
    </row>
    <row r="2246" spans="1:12" ht="14.4" customHeight="1" x14ac:dyDescent="0.3">
      <c r="A2246">
        <v>214510838</v>
      </c>
      <c r="B2246" s="1">
        <v>45090</v>
      </c>
      <c r="D2246" t="s">
        <v>7</v>
      </c>
      <c r="E2246">
        <v>39</v>
      </c>
      <c r="F2246" t="s">
        <v>6</v>
      </c>
      <c r="G2246" t="str">
        <f t="shared" si="210"/>
        <v/>
      </c>
      <c r="H2246" s="1" t="str">
        <f t="shared" si="211"/>
        <v>Tuesday</v>
      </c>
      <c r="I2246" t="str">
        <f t="shared" si="212"/>
        <v>No</v>
      </c>
      <c r="J2246">
        <f t="shared" si="213"/>
        <v>0</v>
      </c>
      <c r="K2246">
        <f t="shared" si="214"/>
        <v>0</v>
      </c>
      <c r="L2246" t="str">
        <f t="shared" si="215"/>
        <v/>
      </c>
    </row>
    <row r="2247" spans="1:12" ht="14.4" customHeight="1" x14ac:dyDescent="0.3">
      <c r="A2247">
        <v>217241338</v>
      </c>
      <c r="B2247" s="1">
        <v>45090</v>
      </c>
      <c r="D2247" t="s">
        <v>7</v>
      </c>
      <c r="E2247">
        <v>39</v>
      </c>
      <c r="F2247" t="s">
        <v>6</v>
      </c>
      <c r="G2247" t="str">
        <f t="shared" si="210"/>
        <v/>
      </c>
      <c r="H2247" s="1" t="str">
        <f t="shared" si="211"/>
        <v>Tuesday</v>
      </c>
      <c r="I2247" t="str">
        <f t="shared" si="212"/>
        <v>No</v>
      </c>
      <c r="J2247">
        <f t="shared" si="213"/>
        <v>0</v>
      </c>
      <c r="K2247">
        <f t="shared" si="214"/>
        <v>0</v>
      </c>
      <c r="L2247" t="str">
        <f t="shared" si="215"/>
        <v/>
      </c>
    </row>
    <row r="2248" spans="1:12" ht="14.4" customHeight="1" x14ac:dyDescent="0.3">
      <c r="A2248">
        <v>215447681</v>
      </c>
      <c r="B2248" s="1">
        <v>45090</v>
      </c>
      <c r="D2248" t="s">
        <v>7</v>
      </c>
      <c r="E2248">
        <v>39</v>
      </c>
      <c r="F2248" t="s">
        <v>6</v>
      </c>
      <c r="G2248" t="str">
        <f t="shared" si="210"/>
        <v/>
      </c>
      <c r="H2248" s="1" t="str">
        <f t="shared" si="211"/>
        <v>Tuesday</v>
      </c>
      <c r="I2248" t="str">
        <f t="shared" si="212"/>
        <v>No</v>
      </c>
      <c r="J2248">
        <f t="shared" si="213"/>
        <v>0</v>
      </c>
      <c r="K2248">
        <f t="shared" si="214"/>
        <v>0</v>
      </c>
      <c r="L2248" t="str">
        <f t="shared" si="215"/>
        <v/>
      </c>
    </row>
    <row r="2249" spans="1:12" ht="14.4" customHeight="1" x14ac:dyDescent="0.3">
      <c r="A2249">
        <v>214746385</v>
      </c>
      <c r="B2249" s="1">
        <v>45090</v>
      </c>
      <c r="D2249" t="s">
        <v>7</v>
      </c>
      <c r="E2249">
        <v>39</v>
      </c>
      <c r="F2249" t="s">
        <v>6</v>
      </c>
      <c r="G2249" t="str">
        <f t="shared" si="210"/>
        <v/>
      </c>
      <c r="H2249" s="1" t="str">
        <f t="shared" si="211"/>
        <v>Tuesday</v>
      </c>
      <c r="I2249" t="str">
        <f t="shared" si="212"/>
        <v>No</v>
      </c>
      <c r="J2249">
        <f t="shared" si="213"/>
        <v>0</v>
      </c>
      <c r="K2249">
        <f t="shared" si="214"/>
        <v>0</v>
      </c>
      <c r="L2249" t="str">
        <f t="shared" si="215"/>
        <v/>
      </c>
    </row>
    <row r="2250" spans="1:12" ht="14.4" customHeight="1" x14ac:dyDescent="0.3">
      <c r="A2250">
        <v>217279595</v>
      </c>
      <c r="B2250" s="1">
        <v>45090</v>
      </c>
      <c r="D2250" t="s">
        <v>7</v>
      </c>
      <c r="E2250">
        <v>39</v>
      </c>
      <c r="F2250" t="s">
        <v>6</v>
      </c>
      <c r="G2250" t="str">
        <f t="shared" si="210"/>
        <v/>
      </c>
      <c r="H2250" s="1" t="str">
        <f t="shared" si="211"/>
        <v>Tuesday</v>
      </c>
      <c r="I2250" t="str">
        <f t="shared" si="212"/>
        <v>No</v>
      </c>
      <c r="J2250">
        <f t="shared" si="213"/>
        <v>0</v>
      </c>
      <c r="K2250">
        <f t="shared" si="214"/>
        <v>0</v>
      </c>
      <c r="L2250" t="str">
        <f t="shared" si="215"/>
        <v/>
      </c>
    </row>
    <row r="2251" spans="1:12" ht="14.4" customHeight="1" x14ac:dyDescent="0.3">
      <c r="A2251">
        <v>138725699</v>
      </c>
      <c r="B2251" s="1">
        <v>45090</v>
      </c>
      <c r="C2251" s="1">
        <v>45091</v>
      </c>
      <c r="D2251" t="s">
        <v>7</v>
      </c>
      <c r="E2251">
        <v>39</v>
      </c>
      <c r="F2251" t="s">
        <v>6</v>
      </c>
      <c r="G2251">
        <f t="shared" si="210"/>
        <v>1</v>
      </c>
      <c r="H2251" s="1" t="str">
        <f t="shared" si="211"/>
        <v>Tuesday</v>
      </c>
      <c r="I2251" t="str">
        <f t="shared" si="212"/>
        <v>No</v>
      </c>
      <c r="J2251">
        <f t="shared" si="213"/>
        <v>1</v>
      </c>
      <c r="K2251">
        <f t="shared" si="214"/>
        <v>0</v>
      </c>
      <c r="L2251">
        <f t="shared" si="215"/>
        <v>1</v>
      </c>
    </row>
    <row r="2252" spans="1:12" x14ac:dyDescent="0.3">
      <c r="A2252">
        <v>199464176</v>
      </c>
      <c r="B2252" s="1">
        <v>45090</v>
      </c>
      <c r="C2252" s="1">
        <v>45138</v>
      </c>
      <c r="D2252" t="s">
        <v>7</v>
      </c>
      <c r="E2252">
        <v>39</v>
      </c>
      <c r="F2252" t="s">
        <v>6</v>
      </c>
      <c r="G2252">
        <f t="shared" si="210"/>
        <v>48</v>
      </c>
      <c r="H2252" s="1" t="str">
        <f t="shared" si="211"/>
        <v>Tuesday</v>
      </c>
      <c r="I2252" t="str">
        <f t="shared" si="212"/>
        <v>No</v>
      </c>
      <c r="J2252">
        <f t="shared" si="213"/>
        <v>0</v>
      </c>
      <c r="K2252">
        <f t="shared" si="214"/>
        <v>1</v>
      </c>
      <c r="L2252">
        <f t="shared" si="215"/>
        <v>48</v>
      </c>
    </row>
    <row r="2253" spans="1:12" x14ac:dyDescent="0.3">
      <c r="A2253">
        <v>217269788</v>
      </c>
      <c r="B2253" s="1">
        <v>45090</v>
      </c>
      <c r="C2253" s="1">
        <v>45128</v>
      </c>
      <c r="D2253" t="s">
        <v>7</v>
      </c>
      <c r="E2253">
        <v>39</v>
      </c>
      <c r="F2253" t="s">
        <v>6</v>
      </c>
      <c r="G2253">
        <f t="shared" si="210"/>
        <v>38</v>
      </c>
      <c r="H2253" s="1" t="str">
        <f t="shared" si="211"/>
        <v>Tuesday</v>
      </c>
      <c r="I2253" t="str">
        <f t="shared" si="212"/>
        <v>No</v>
      </c>
      <c r="J2253">
        <f t="shared" si="213"/>
        <v>0</v>
      </c>
      <c r="K2253">
        <f t="shared" si="214"/>
        <v>1</v>
      </c>
      <c r="L2253">
        <f t="shared" si="215"/>
        <v>38</v>
      </c>
    </row>
    <row r="2254" spans="1:12" ht="14.4" customHeight="1" x14ac:dyDescent="0.3">
      <c r="A2254">
        <v>217210206</v>
      </c>
      <c r="B2254" s="1">
        <v>45090</v>
      </c>
      <c r="C2254" s="1">
        <v>45112</v>
      </c>
      <c r="D2254" t="s">
        <v>7</v>
      </c>
      <c r="E2254">
        <v>39</v>
      </c>
      <c r="F2254" t="s">
        <v>6</v>
      </c>
      <c r="G2254">
        <f t="shared" si="210"/>
        <v>22</v>
      </c>
      <c r="H2254" s="1" t="str">
        <f t="shared" si="211"/>
        <v>Tuesday</v>
      </c>
      <c r="I2254" t="str">
        <f t="shared" si="212"/>
        <v>No</v>
      </c>
      <c r="J2254">
        <f t="shared" si="213"/>
        <v>0</v>
      </c>
      <c r="K2254">
        <f t="shared" si="214"/>
        <v>0</v>
      </c>
      <c r="L2254">
        <f t="shared" si="215"/>
        <v>22</v>
      </c>
    </row>
    <row r="2255" spans="1:12" ht="14.4" customHeight="1" x14ac:dyDescent="0.3">
      <c r="A2255">
        <v>217276264</v>
      </c>
      <c r="B2255" s="1">
        <v>45091</v>
      </c>
      <c r="D2255" t="s">
        <v>7</v>
      </c>
      <c r="E2255">
        <v>39</v>
      </c>
      <c r="F2255" t="s">
        <v>6</v>
      </c>
      <c r="G2255" t="str">
        <f t="shared" si="210"/>
        <v/>
      </c>
      <c r="H2255" s="1" t="str">
        <f t="shared" si="211"/>
        <v>Wednesday</v>
      </c>
      <c r="I2255" t="str">
        <f t="shared" si="212"/>
        <v>No</v>
      </c>
      <c r="J2255">
        <f t="shared" si="213"/>
        <v>0</v>
      </c>
      <c r="K2255">
        <f t="shared" si="214"/>
        <v>0</v>
      </c>
      <c r="L2255" t="str">
        <f t="shared" si="215"/>
        <v/>
      </c>
    </row>
    <row r="2256" spans="1:12" ht="14.4" customHeight="1" x14ac:dyDescent="0.3">
      <c r="A2256">
        <v>217242854</v>
      </c>
      <c r="B2256" s="1">
        <v>45091</v>
      </c>
      <c r="D2256" t="s">
        <v>7</v>
      </c>
      <c r="E2256">
        <v>39</v>
      </c>
      <c r="F2256" t="s">
        <v>6</v>
      </c>
      <c r="G2256" t="str">
        <f t="shared" si="210"/>
        <v/>
      </c>
      <c r="H2256" s="1" t="str">
        <f t="shared" si="211"/>
        <v>Wednesday</v>
      </c>
      <c r="I2256" t="str">
        <f t="shared" si="212"/>
        <v>No</v>
      </c>
      <c r="J2256">
        <f t="shared" si="213"/>
        <v>0</v>
      </c>
      <c r="K2256">
        <f t="shared" si="214"/>
        <v>0</v>
      </c>
      <c r="L2256" t="str">
        <f t="shared" si="215"/>
        <v/>
      </c>
    </row>
    <row r="2257" spans="1:12" ht="14.4" customHeight="1" x14ac:dyDescent="0.3">
      <c r="A2257">
        <v>140062581</v>
      </c>
      <c r="B2257" s="1">
        <v>45091</v>
      </c>
      <c r="C2257" s="1">
        <v>45092</v>
      </c>
      <c r="D2257" t="s">
        <v>7</v>
      </c>
      <c r="E2257">
        <v>39</v>
      </c>
      <c r="F2257" t="s">
        <v>6</v>
      </c>
      <c r="G2257">
        <f t="shared" si="210"/>
        <v>1</v>
      </c>
      <c r="H2257" s="1" t="str">
        <f t="shared" si="211"/>
        <v>Wednesday</v>
      </c>
      <c r="I2257" t="str">
        <f t="shared" si="212"/>
        <v>No</v>
      </c>
      <c r="J2257">
        <f t="shared" si="213"/>
        <v>1</v>
      </c>
      <c r="K2257">
        <f t="shared" si="214"/>
        <v>0</v>
      </c>
      <c r="L2257">
        <f t="shared" si="215"/>
        <v>1</v>
      </c>
    </row>
    <row r="2258" spans="1:12" ht="14.4" customHeight="1" x14ac:dyDescent="0.3">
      <c r="A2258">
        <v>217340338</v>
      </c>
      <c r="B2258" s="1">
        <v>45091</v>
      </c>
      <c r="C2258" s="1">
        <v>45091</v>
      </c>
      <c r="D2258" t="s">
        <v>8</v>
      </c>
      <c r="E2258">
        <v>39</v>
      </c>
      <c r="F2258" t="s">
        <v>6</v>
      </c>
      <c r="G2258">
        <f t="shared" si="210"/>
        <v>0</v>
      </c>
      <c r="H2258" s="1" t="str">
        <f t="shared" si="211"/>
        <v>Wednesday</v>
      </c>
      <c r="I2258" t="str">
        <f t="shared" si="212"/>
        <v>Yes</v>
      </c>
      <c r="J2258">
        <f t="shared" si="213"/>
        <v>1</v>
      </c>
      <c r="K2258">
        <f t="shared" si="214"/>
        <v>0</v>
      </c>
      <c r="L2258">
        <f t="shared" si="215"/>
        <v>0</v>
      </c>
    </row>
    <row r="2259" spans="1:12" ht="14.4" customHeight="1" x14ac:dyDescent="0.3">
      <c r="A2259">
        <v>157435806</v>
      </c>
      <c r="B2259" s="1">
        <v>45091</v>
      </c>
      <c r="C2259" s="1">
        <v>45121</v>
      </c>
      <c r="D2259" t="s">
        <v>7</v>
      </c>
      <c r="E2259">
        <v>39</v>
      </c>
      <c r="F2259" t="s">
        <v>6</v>
      </c>
      <c r="G2259">
        <f t="shared" si="210"/>
        <v>30</v>
      </c>
      <c r="H2259" s="1" t="str">
        <f t="shared" si="211"/>
        <v>Wednesday</v>
      </c>
      <c r="I2259" t="str">
        <f t="shared" si="212"/>
        <v>No</v>
      </c>
      <c r="J2259">
        <f t="shared" si="213"/>
        <v>0</v>
      </c>
      <c r="K2259">
        <f t="shared" si="214"/>
        <v>0</v>
      </c>
      <c r="L2259">
        <f t="shared" si="215"/>
        <v>30</v>
      </c>
    </row>
    <row r="2260" spans="1:12" x14ac:dyDescent="0.3">
      <c r="A2260">
        <v>217358299</v>
      </c>
      <c r="B2260" s="1">
        <v>45091</v>
      </c>
      <c r="C2260" s="1">
        <v>45149</v>
      </c>
      <c r="D2260" t="s">
        <v>7</v>
      </c>
      <c r="E2260">
        <v>39</v>
      </c>
      <c r="F2260" t="s">
        <v>6</v>
      </c>
      <c r="G2260">
        <f t="shared" si="210"/>
        <v>58</v>
      </c>
      <c r="H2260" s="1" t="str">
        <f t="shared" si="211"/>
        <v>Wednesday</v>
      </c>
      <c r="I2260" t="str">
        <f t="shared" si="212"/>
        <v>No</v>
      </c>
      <c r="J2260">
        <f t="shared" si="213"/>
        <v>0</v>
      </c>
      <c r="K2260">
        <f t="shared" si="214"/>
        <v>1</v>
      </c>
      <c r="L2260">
        <f t="shared" si="215"/>
        <v>58</v>
      </c>
    </row>
    <row r="2261" spans="1:12" ht="14.4" customHeight="1" x14ac:dyDescent="0.3">
      <c r="A2261">
        <v>217330046</v>
      </c>
      <c r="B2261" s="1">
        <v>45091</v>
      </c>
      <c r="C2261" s="1">
        <v>45108</v>
      </c>
      <c r="D2261" t="s">
        <v>7</v>
      </c>
      <c r="E2261">
        <v>39</v>
      </c>
      <c r="F2261" t="s">
        <v>6</v>
      </c>
      <c r="G2261">
        <f t="shared" si="210"/>
        <v>17</v>
      </c>
      <c r="H2261" s="1" t="str">
        <f t="shared" si="211"/>
        <v>Wednesday</v>
      </c>
      <c r="I2261" t="str">
        <f t="shared" si="212"/>
        <v>No</v>
      </c>
      <c r="J2261">
        <f t="shared" si="213"/>
        <v>0</v>
      </c>
      <c r="K2261">
        <f t="shared" si="214"/>
        <v>0</v>
      </c>
      <c r="L2261">
        <f t="shared" si="215"/>
        <v>17</v>
      </c>
    </row>
    <row r="2262" spans="1:12" ht="14.4" customHeight="1" x14ac:dyDescent="0.3">
      <c r="A2262">
        <v>216945894</v>
      </c>
      <c r="B2262" s="1">
        <v>45092</v>
      </c>
      <c r="D2262" t="s">
        <v>7</v>
      </c>
      <c r="E2262">
        <v>39</v>
      </c>
      <c r="F2262" t="s">
        <v>6</v>
      </c>
      <c r="G2262" t="str">
        <f t="shared" si="210"/>
        <v/>
      </c>
      <c r="H2262" s="1" t="str">
        <f t="shared" si="211"/>
        <v>Thursday</v>
      </c>
      <c r="I2262" t="str">
        <f t="shared" si="212"/>
        <v>No</v>
      </c>
      <c r="J2262">
        <f t="shared" si="213"/>
        <v>0</v>
      </c>
      <c r="K2262">
        <f t="shared" si="214"/>
        <v>0</v>
      </c>
      <c r="L2262" t="str">
        <f t="shared" si="215"/>
        <v/>
      </c>
    </row>
    <row r="2263" spans="1:12" ht="14.4" customHeight="1" x14ac:dyDescent="0.3">
      <c r="A2263">
        <v>150178354</v>
      </c>
      <c r="B2263" s="1">
        <v>45092</v>
      </c>
      <c r="D2263" t="s">
        <v>7</v>
      </c>
      <c r="E2263">
        <v>39</v>
      </c>
      <c r="F2263" t="s">
        <v>6</v>
      </c>
      <c r="G2263" t="str">
        <f t="shared" si="210"/>
        <v/>
      </c>
      <c r="H2263" s="1" t="str">
        <f t="shared" si="211"/>
        <v>Thursday</v>
      </c>
      <c r="I2263" t="str">
        <f t="shared" si="212"/>
        <v>No</v>
      </c>
      <c r="J2263">
        <f t="shared" si="213"/>
        <v>0</v>
      </c>
      <c r="K2263">
        <f t="shared" si="214"/>
        <v>0</v>
      </c>
      <c r="L2263" t="str">
        <f t="shared" si="215"/>
        <v/>
      </c>
    </row>
    <row r="2264" spans="1:12" ht="14.4" customHeight="1" x14ac:dyDescent="0.3">
      <c r="A2264">
        <v>153942818</v>
      </c>
      <c r="B2264" s="1">
        <v>45092</v>
      </c>
      <c r="D2264" t="s">
        <v>7</v>
      </c>
      <c r="E2264">
        <v>39</v>
      </c>
      <c r="F2264" t="s">
        <v>6</v>
      </c>
      <c r="G2264" t="str">
        <f t="shared" si="210"/>
        <v/>
      </c>
      <c r="H2264" s="1" t="str">
        <f t="shared" si="211"/>
        <v>Thursday</v>
      </c>
      <c r="I2264" t="str">
        <f t="shared" si="212"/>
        <v>No</v>
      </c>
      <c r="J2264">
        <f t="shared" si="213"/>
        <v>0</v>
      </c>
      <c r="K2264">
        <f t="shared" si="214"/>
        <v>0</v>
      </c>
      <c r="L2264" t="str">
        <f t="shared" si="215"/>
        <v/>
      </c>
    </row>
    <row r="2265" spans="1:12" ht="14.4" customHeight="1" x14ac:dyDescent="0.3">
      <c r="A2265">
        <v>150728848</v>
      </c>
      <c r="B2265" s="1">
        <v>45092</v>
      </c>
      <c r="D2265" t="s">
        <v>7</v>
      </c>
      <c r="E2265">
        <v>39</v>
      </c>
      <c r="F2265" t="s">
        <v>6</v>
      </c>
      <c r="G2265" t="str">
        <f t="shared" si="210"/>
        <v/>
      </c>
      <c r="H2265" s="1" t="str">
        <f t="shared" si="211"/>
        <v>Thursday</v>
      </c>
      <c r="I2265" t="str">
        <f t="shared" si="212"/>
        <v>No</v>
      </c>
      <c r="J2265">
        <f t="shared" si="213"/>
        <v>0</v>
      </c>
      <c r="K2265">
        <f t="shared" si="214"/>
        <v>0</v>
      </c>
      <c r="L2265" t="str">
        <f t="shared" si="215"/>
        <v/>
      </c>
    </row>
    <row r="2266" spans="1:12" ht="14.4" customHeight="1" x14ac:dyDescent="0.3">
      <c r="A2266">
        <v>138725699</v>
      </c>
      <c r="B2266" s="1">
        <v>45092</v>
      </c>
      <c r="D2266" t="s">
        <v>7</v>
      </c>
      <c r="E2266">
        <v>39</v>
      </c>
      <c r="F2266" t="s">
        <v>6</v>
      </c>
      <c r="G2266" t="str">
        <f t="shared" si="210"/>
        <v/>
      </c>
      <c r="H2266" s="1" t="str">
        <f t="shared" si="211"/>
        <v>Thursday</v>
      </c>
      <c r="I2266" t="str">
        <f t="shared" si="212"/>
        <v>No</v>
      </c>
      <c r="J2266">
        <f t="shared" si="213"/>
        <v>0</v>
      </c>
      <c r="K2266">
        <f t="shared" si="214"/>
        <v>0</v>
      </c>
      <c r="L2266" t="str">
        <f t="shared" si="215"/>
        <v/>
      </c>
    </row>
    <row r="2267" spans="1:12" ht="14.4" customHeight="1" x14ac:dyDescent="0.3">
      <c r="A2267">
        <v>217207926</v>
      </c>
      <c r="B2267" s="1">
        <v>45092</v>
      </c>
      <c r="D2267" t="s">
        <v>7</v>
      </c>
      <c r="E2267">
        <v>39</v>
      </c>
      <c r="F2267" t="s">
        <v>6</v>
      </c>
      <c r="G2267" t="str">
        <f t="shared" si="210"/>
        <v/>
      </c>
      <c r="H2267" s="1" t="str">
        <f t="shared" si="211"/>
        <v>Thursday</v>
      </c>
      <c r="I2267" t="str">
        <f t="shared" si="212"/>
        <v>No</v>
      </c>
      <c r="J2267">
        <f t="shared" si="213"/>
        <v>0</v>
      </c>
      <c r="K2267">
        <f t="shared" si="214"/>
        <v>0</v>
      </c>
      <c r="L2267" t="str">
        <f t="shared" si="215"/>
        <v/>
      </c>
    </row>
    <row r="2268" spans="1:12" ht="14.4" customHeight="1" x14ac:dyDescent="0.3">
      <c r="A2268">
        <v>217370233</v>
      </c>
      <c r="B2268" s="1">
        <v>45092</v>
      </c>
      <c r="D2268" t="s">
        <v>7</v>
      </c>
      <c r="E2268">
        <v>39</v>
      </c>
      <c r="F2268" t="s">
        <v>6</v>
      </c>
      <c r="G2268" t="str">
        <f t="shared" si="210"/>
        <v/>
      </c>
      <c r="H2268" s="1" t="str">
        <f t="shared" si="211"/>
        <v>Thursday</v>
      </c>
      <c r="I2268" t="str">
        <f t="shared" si="212"/>
        <v>No</v>
      </c>
      <c r="J2268">
        <f t="shared" si="213"/>
        <v>0</v>
      </c>
      <c r="K2268">
        <f t="shared" si="214"/>
        <v>0</v>
      </c>
      <c r="L2268" t="str">
        <f t="shared" si="215"/>
        <v/>
      </c>
    </row>
    <row r="2269" spans="1:12" x14ac:dyDescent="0.3">
      <c r="A2269">
        <v>205464540</v>
      </c>
      <c r="B2269" s="1">
        <v>45092</v>
      </c>
      <c r="C2269" s="1">
        <v>45129</v>
      </c>
      <c r="D2269" t="s">
        <v>7</v>
      </c>
      <c r="E2269">
        <v>39</v>
      </c>
      <c r="F2269" t="s">
        <v>6</v>
      </c>
      <c r="G2269">
        <f t="shared" si="210"/>
        <v>37</v>
      </c>
      <c r="H2269" s="1" t="str">
        <f t="shared" si="211"/>
        <v>Thursday</v>
      </c>
      <c r="I2269" t="str">
        <f t="shared" si="212"/>
        <v>No</v>
      </c>
      <c r="J2269">
        <f t="shared" si="213"/>
        <v>0</v>
      </c>
      <c r="K2269">
        <f t="shared" si="214"/>
        <v>1</v>
      </c>
      <c r="L2269">
        <f t="shared" si="215"/>
        <v>37</v>
      </c>
    </row>
    <row r="2270" spans="1:12" x14ac:dyDescent="0.3">
      <c r="A2270">
        <v>167403892</v>
      </c>
      <c r="B2270" s="1">
        <v>45092</v>
      </c>
      <c r="C2270" s="1">
        <v>45160</v>
      </c>
      <c r="D2270" t="s">
        <v>7</v>
      </c>
      <c r="E2270">
        <v>39</v>
      </c>
      <c r="F2270" t="s">
        <v>6</v>
      </c>
      <c r="G2270">
        <f t="shared" si="210"/>
        <v>68</v>
      </c>
      <c r="H2270" s="1" t="str">
        <f t="shared" si="211"/>
        <v>Thursday</v>
      </c>
      <c r="I2270" t="str">
        <f t="shared" si="212"/>
        <v>No</v>
      </c>
      <c r="J2270">
        <f t="shared" si="213"/>
        <v>0</v>
      </c>
      <c r="K2270">
        <f t="shared" si="214"/>
        <v>1</v>
      </c>
      <c r="L2270">
        <f t="shared" si="215"/>
        <v>68</v>
      </c>
    </row>
    <row r="2271" spans="1:12" x14ac:dyDescent="0.3">
      <c r="A2271">
        <v>217326821</v>
      </c>
      <c r="B2271" s="1">
        <v>45092</v>
      </c>
      <c r="C2271" s="1">
        <v>45160</v>
      </c>
      <c r="D2271" t="s">
        <v>7</v>
      </c>
      <c r="E2271">
        <v>39</v>
      </c>
      <c r="F2271" t="s">
        <v>6</v>
      </c>
      <c r="G2271">
        <f t="shared" si="210"/>
        <v>68</v>
      </c>
      <c r="H2271" s="1" t="str">
        <f t="shared" si="211"/>
        <v>Thursday</v>
      </c>
      <c r="I2271" t="str">
        <f t="shared" si="212"/>
        <v>No</v>
      </c>
      <c r="J2271">
        <f t="shared" si="213"/>
        <v>0</v>
      </c>
      <c r="K2271">
        <f t="shared" si="214"/>
        <v>1</v>
      </c>
      <c r="L2271">
        <f t="shared" si="215"/>
        <v>68</v>
      </c>
    </row>
    <row r="2272" spans="1:12" x14ac:dyDescent="0.3">
      <c r="A2272">
        <v>214918906</v>
      </c>
      <c r="B2272" s="1">
        <v>45092</v>
      </c>
      <c r="C2272" s="1">
        <v>45129</v>
      </c>
      <c r="D2272" t="s">
        <v>7</v>
      </c>
      <c r="E2272">
        <v>39</v>
      </c>
      <c r="F2272" t="s">
        <v>6</v>
      </c>
      <c r="G2272">
        <f t="shared" si="210"/>
        <v>37</v>
      </c>
      <c r="H2272" s="1" t="str">
        <f t="shared" si="211"/>
        <v>Thursday</v>
      </c>
      <c r="I2272" t="str">
        <f t="shared" si="212"/>
        <v>No</v>
      </c>
      <c r="J2272">
        <f t="shared" si="213"/>
        <v>0</v>
      </c>
      <c r="K2272">
        <f t="shared" si="214"/>
        <v>1</v>
      </c>
      <c r="L2272">
        <f t="shared" si="215"/>
        <v>37</v>
      </c>
    </row>
    <row r="2273" spans="1:12" ht="14.4" customHeight="1" x14ac:dyDescent="0.3">
      <c r="A2273">
        <v>216983668</v>
      </c>
      <c r="B2273" s="1">
        <v>45092</v>
      </c>
      <c r="C2273" s="1">
        <v>45122</v>
      </c>
      <c r="D2273" t="s">
        <v>7</v>
      </c>
      <c r="E2273">
        <v>39</v>
      </c>
      <c r="F2273" t="s">
        <v>6</v>
      </c>
      <c r="G2273">
        <f t="shared" si="210"/>
        <v>30</v>
      </c>
      <c r="H2273" s="1" t="str">
        <f t="shared" si="211"/>
        <v>Thursday</v>
      </c>
      <c r="I2273" t="str">
        <f t="shared" si="212"/>
        <v>No</v>
      </c>
      <c r="J2273">
        <f t="shared" si="213"/>
        <v>0</v>
      </c>
      <c r="K2273">
        <f t="shared" si="214"/>
        <v>0</v>
      </c>
      <c r="L2273">
        <f t="shared" si="215"/>
        <v>30</v>
      </c>
    </row>
    <row r="2274" spans="1:12" ht="14.4" customHeight="1" x14ac:dyDescent="0.3">
      <c r="A2274">
        <v>217454204</v>
      </c>
      <c r="B2274" s="1">
        <v>45093</v>
      </c>
      <c r="D2274" t="s">
        <v>7</v>
      </c>
      <c r="E2274">
        <v>39</v>
      </c>
      <c r="F2274" t="s">
        <v>6</v>
      </c>
      <c r="G2274" t="str">
        <f t="shared" si="210"/>
        <v/>
      </c>
      <c r="H2274" s="1" t="str">
        <f t="shared" si="211"/>
        <v>Friday</v>
      </c>
      <c r="I2274" t="str">
        <f t="shared" si="212"/>
        <v>No</v>
      </c>
      <c r="J2274">
        <f t="shared" si="213"/>
        <v>0</v>
      </c>
      <c r="K2274">
        <f t="shared" si="214"/>
        <v>0</v>
      </c>
      <c r="L2274" t="str">
        <f t="shared" si="215"/>
        <v/>
      </c>
    </row>
    <row r="2275" spans="1:12" ht="14.4" customHeight="1" x14ac:dyDescent="0.3">
      <c r="A2275">
        <v>206049284</v>
      </c>
      <c r="B2275" s="1">
        <v>45093</v>
      </c>
      <c r="D2275" t="s">
        <v>7</v>
      </c>
      <c r="E2275">
        <v>39</v>
      </c>
      <c r="F2275" t="s">
        <v>6</v>
      </c>
      <c r="G2275" t="str">
        <f t="shared" si="210"/>
        <v/>
      </c>
      <c r="H2275" s="1" t="str">
        <f t="shared" si="211"/>
        <v>Friday</v>
      </c>
      <c r="I2275" t="str">
        <f t="shared" si="212"/>
        <v>No</v>
      </c>
      <c r="J2275">
        <f t="shared" si="213"/>
        <v>0</v>
      </c>
      <c r="K2275">
        <f t="shared" si="214"/>
        <v>0</v>
      </c>
      <c r="L2275" t="str">
        <f t="shared" si="215"/>
        <v/>
      </c>
    </row>
    <row r="2276" spans="1:12" ht="14.4" customHeight="1" x14ac:dyDescent="0.3">
      <c r="A2276">
        <v>132852439</v>
      </c>
      <c r="B2276" s="1">
        <v>45093</v>
      </c>
      <c r="D2276" t="s">
        <v>7</v>
      </c>
      <c r="E2276">
        <v>39</v>
      </c>
      <c r="F2276" t="s">
        <v>6</v>
      </c>
      <c r="G2276" t="str">
        <f t="shared" si="210"/>
        <v/>
      </c>
      <c r="H2276" s="1" t="str">
        <f t="shared" si="211"/>
        <v>Friday</v>
      </c>
      <c r="I2276" t="str">
        <f t="shared" si="212"/>
        <v>No</v>
      </c>
      <c r="J2276">
        <f t="shared" si="213"/>
        <v>0</v>
      </c>
      <c r="K2276">
        <f t="shared" si="214"/>
        <v>0</v>
      </c>
      <c r="L2276" t="str">
        <f t="shared" si="215"/>
        <v/>
      </c>
    </row>
    <row r="2277" spans="1:12" ht="14.4" customHeight="1" x14ac:dyDescent="0.3">
      <c r="A2277">
        <v>217233198</v>
      </c>
      <c r="B2277" s="1">
        <v>45093</v>
      </c>
      <c r="D2277" t="s">
        <v>7</v>
      </c>
      <c r="E2277">
        <v>39</v>
      </c>
      <c r="F2277" t="s">
        <v>6</v>
      </c>
      <c r="G2277" t="str">
        <f t="shared" si="210"/>
        <v/>
      </c>
      <c r="H2277" s="1" t="str">
        <f t="shared" si="211"/>
        <v>Friday</v>
      </c>
      <c r="I2277" t="str">
        <f t="shared" si="212"/>
        <v>No</v>
      </c>
      <c r="J2277">
        <f t="shared" si="213"/>
        <v>0</v>
      </c>
      <c r="K2277">
        <f t="shared" si="214"/>
        <v>0</v>
      </c>
      <c r="L2277" t="str">
        <f t="shared" si="215"/>
        <v/>
      </c>
    </row>
    <row r="2278" spans="1:12" ht="14.4" customHeight="1" x14ac:dyDescent="0.3">
      <c r="A2278">
        <v>188197564</v>
      </c>
      <c r="B2278" s="1">
        <v>45093</v>
      </c>
      <c r="C2278" s="1">
        <v>45094</v>
      </c>
      <c r="D2278" t="s">
        <v>7</v>
      </c>
      <c r="E2278">
        <v>39</v>
      </c>
      <c r="F2278" t="s">
        <v>6</v>
      </c>
      <c r="G2278">
        <f t="shared" si="210"/>
        <v>1</v>
      </c>
      <c r="H2278" s="1" t="str">
        <f t="shared" si="211"/>
        <v>Friday</v>
      </c>
      <c r="I2278" t="str">
        <f t="shared" si="212"/>
        <v>No</v>
      </c>
      <c r="J2278">
        <f t="shared" si="213"/>
        <v>1</v>
      </c>
      <c r="K2278">
        <f t="shared" si="214"/>
        <v>0</v>
      </c>
      <c r="L2278">
        <f t="shared" si="215"/>
        <v>1</v>
      </c>
    </row>
    <row r="2279" spans="1:12" ht="14.4" customHeight="1" x14ac:dyDescent="0.3">
      <c r="A2279">
        <v>146952862</v>
      </c>
      <c r="B2279" s="1">
        <v>45093</v>
      </c>
      <c r="C2279" s="1">
        <v>45119</v>
      </c>
      <c r="D2279" t="s">
        <v>7</v>
      </c>
      <c r="E2279">
        <v>39</v>
      </c>
      <c r="F2279" t="s">
        <v>6</v>
      </c>
      <c r="G2279">
        <f t="shared" si="210"/>
        <v>26</v>
      </c>
      <c r="H2279" s="1" t="str">
        <f t="shared" si="211"/>
        <v>Friday</v>
      </c>
      <c r="I2279" t="str">
        <f t="shared" si="212"/>
        <v>No</v>
      </c>
      <c r="J2279">
        <f t="shared" si="213"/>
        <v>0</v>
      </c>
      <c r="K2279">
        <f t="shared" si="214"/>
        <v>0</v>
      </c>
      <c r="L2279">
        <f t="shared" si="215"/>
        <v>26</v>
      </c>
    </row>
    <row r="2280" spans="1:12" x14ac:dyDescent="0.3">
      <c r="A2280">
        <v>152846561</v>
      </c>
      <c r="B2280" s="1">
        <v>45093</v>
      </c>
      <c r="C2280" s="1">
        <v>45130</v>
      </c>
      <c r="D2280" t="s">
        <v>7</v>
      </c>
      <c r="E2280">
        <v>39</v>
      </c>
      <c r="F2280" t="s">
        <v>6</v>
      </c>
      <c r="G2280">
        <f t="shared" si="210"/>
        <v>37</v>
      </c>
      <c r="H2280" s="1" t="str">
        <f t="shared" si="211"/>
        <v>Friday</v>
      </c>
      <c r="I2280" t="str">
        <f t="shared" si="212"/>
        <v>No</v>
      </c>
      <c r="J2280">
        <f t="shared" si="213"/>
        <v>0</v>
      </c>
      <c r="K2280">
        <f t="shared" si="214"/>
        <v>1</v>
      </c>
      <c r="L2280">
        <f t="shared" si="215"/>
        <v>37</v>
      </c>
    </row>
    <row r="2281" spans="1:12" x14ac:dyDescent="0.3">
      <c r="A2281">
        <v>132867770</v>
      </c>
      <c r="B2281" s="1">
        <v>45093</v>
      </c>
      <c r="C2281" s="1">
        <v>45131</v>
      </c>
      <c r="D2281" t="s">
        <v>7</v>
      </c>
      <c r="E2281">
        <v>39</v>
      </c>
      <c r="F2281" t="s">
        <v>6</v>
      </c>
      <c r="G2281">
        <f t="shared" si="210"/>
        <v>38</v>
      </c>
      <c r="H2281" s="1" t="str">
        <f t="shared" si="211"/>
        <v>Friday</v>
      </c>
      <c r="I2281" t="str">
        <f t="shared" si="212"/>
        <v>No</v>
      </c>
      <c r="J2281">
        <f t="shared" si="213"/>
        <v>0</v>
      </c>
      <c r="K2281">
        <f t="shared" si="214"/>
        <v>1</v>
      </c>
      <c r="L2281">
        <f t="shared" si="215"/>
        <v>38</v>
      </c>
    </row>
    <row r="2282" spans="1:12" x14ac:dyDescent="0.3">
      <c r="A2282">
        <v>206370330</v>
      </c>
      <c r="B2282" s="1">
        <v>45093</v>
      </c>
      <c r="C2282" s="1">
        <v>45153</v>
      </c>
      <c r="D2282" t="s">
        <v>7</v>
      </c>
      <c r="E2282">
        <v>39</v>
      </c>
      <c r="F2282" t="s">
        <v>6</v>
      </c>
      <c r="G2282">
        <f t="shared" si="210"/>
        <v>60</v>
      </c>
      <c r="H2282" s="1" t="str">
        <f t="shared" si="211"/>
        <v>Friday</v>
      </c>
      <c r="I2282" t="str">
        <f t="shared" si="212"/>
        <v>No</v>
      </c>
      <c r="J2282">
        <f t="shared" si="213"/>
        <v>0</v>
      </c>
      <c r="K2282">
        <f t="shared" si="214"/>
        <v>1</v>
      </c>
      <c r="L2282">
        <f t="shared" si="215"/>
        <v>60</v>
      </c>
    </row>
    <row r="2283" spans="1:12" ht="14.4" customHeight="1" x14ac:dyDescent="0.3">
      <c r="A2283">
        <v>217438230</v>
      </c>
      <c r="B2283" s="1">
        <v>45093</v>
      </c>
      <c r="C2283" s="1">
        <v>45120</v>
      </c>
      <c r="D2283" t="s">
        <v>7</v>
      </c>
      <c r="E2283">
        <v>39</v>
      </c>
      <c r="F2283" t="s">
        <v>6</v>
      </c>
      <c r="G2283">
        <f t="shared" si="210"/>
        <v>27</v>
      </c>
      <c r="H2283" s="1" t="str">
        <f t="shared" si="211"/>
        <v>Friday</v>
      </c>
      <c r="I2283" t="str">
        <f t="shared" si="212"/>
        <v>No</v>
      </c>
      <c r="J2283">
        <f t="shared" si="213"/>
        <v>0</v>
      </c>
      <c r="K2283">
        <f t="shared" si="214"/>
        <v>0</v>
      </c>
      <c r="L2283">
        <f t="shared" si="215"/>
        <v>27</v>
      </c>
    </row>
    <row r="2284" spans="1:12" ht="14.4" customHeight="1" x14ac:dyDescent="0.3">
      <c r="A2284">
        <v>217426939</v>
      </c>
      <c r="B2284" s="1">
        <v>45093</v>
      </c>
      <c r="C2284" s="1">
        <v>45123</v>
      </c>
      <c r="D2284" t="s">
        <v>7</v>
      </c>
      <c r="E2284">
        <v>39</v>
      </c>
      <c r="F2284" t="s">
        <v>6</v>
      </c>
      <c r="G2284">
        <f t="shared" si="210"/>
        <v>30</v>
      </c>
      <c r="H2284" s="1" t="str">
        <f t="shared" si="211"/>
        <v>Friday</v>
      </c>
      <c r="I2284" t="str">
        <f t="shared" si="212"/>
        <v>No</v>
      </c>
      <c r="J2284">
        <f t="shared" si="213"/>
        <v>0</v>
      </c>
      <c r="K2284">
        <f t="shared" si="214"/>
        <v>0</v>
      </c>
      <c r="L2284">
        <f t="shared" si="215"/>
        <v>30</v>
      </c>
    </row>
    <row r="2285" spans="1:12" ht="14.4" customHeight="1" x14ac:dyDescent="0.3">
      <c r="A2285">
        <v>205785520</v>
      </c>
      <c r="B2285" s="1">
        <v>45094</v>
      </c>
      <c r="D2285" t="s">
        <v>7</v>
      </c>
      <c r="E2285">
        <v>39</v>
      </c>
      <c r="F2285" t="s">
        <v>6</v>
      </c>
      <c r="G2285" t="str">
        <f t="shared" si="210"/>
        <v/>
      </c>
      <c r="H2285" s="1" t="str">
        <f t="shared" si="211"/>
        <v>Saturday</v>
      </c>
      <c r="I2285" t="str">
        <f t="shared" si="212"/>
        <v>No</v>
      </c>
      <c r="J2285">
        <f t="shared" si="213"/>
        <v>0</v>
      </c>
      <c r="K2285">
        <f t="shared" si="214"/>
        <v>0</v>
      </c>
      <c r="L2285" t="str">
        <f t="shared" si="215"/>
        <v/>
      </c>
    </row>
    <row r="2286" spans="1:12" x14ac:dyDescent="0.3">
      <c r="A2286">
        <v>154284527</v>
      </c>
      <c r="B2286" s="1">
        <v>45094</v>
      </c>
      <c r="C2286" s="1">
        <v>45131</v>
      </c>
      <c r="D2286" t="s">
        <v>7</v>
      </c>
      <c r="E2286">
        <v>39</v>
      </c>
      <c r="F2286" t="s">
        <v>6</v>
      </c>
      <c r="G2286">
        <f t="shared" si="210"/>
        <v>37</v>
      </c>
      <c r="H2286" s="1" t="str">
        <f t="shared" si="211"/>
        <v>Saturday</v>
      </c>
      <c r="I2286" t="str">
        <f t="shared" si="212"/>
        <v>No</v>
      </c>
      <c r="J2286">
        <f t="shared" si="213"/>
        <v>0</v>
      </c>
      <c r="K2286">
        <f t="shared" si="214"/>
        <v>1</v>
      </c>
      <c r="L2286">
        <f t="shared" si="215"/>
        <v>37</v>
      </c>
    </row>
    <row r="2287" spans="1:12" x14ac:dyDescent="0.3">
      <c r="A2287">
        <v>214105912</v>
      </c>
      <c r="B2287" s="1">
        <v>45094</v>
      </c>
      <c r="C2287" s="1">
        <v>45131</v>
      </c>
      <c r="D2287" t="s">
        <v>7</v>
      </c>
      <c r="E2287">
        <v>39</v>
      </c>
      <c r="F2287" t="s">
        <v>6</v>
      </c>
      <c r="G2287">
        <f t="shared" si="210"/>
        <v>37</v>
      </c>
      <c r="H2287" s="1" t="str">
        <f t="shared" si="211"/>
        <v>Saturday</v>
      </c>
      <c r="I2287" t="str">
        <f t="shared" si="212"/>
        <v>No</v>
      </c>
      <c r="J2287">
        <f t="shared" si="213"/>
        <v>0</v>
      </c>
      <c r="K2287">
        <f t="shared" si="214"/>
        <v>1</v>
      </c>
      <c r="L2287">
        <f t="shared" si="215"/>
        <v>37</v>
      </c>
    </row>
    <row r="2288" spans="1:12" x14ac:dyDescent="0.3">
      <c r="A2288">
        <v>200909190</v>
      </c>
      <c r="B2288" s="1">
        <v>45094</v>
      </c>
      <c r="C2288" s="1">
        <v>45162</v>
      </c>
      <c r="D2288" t="s">
        <v>7</v>
      </c>
      <c r="E2288">
        <v>39</v>
      </c>
      <c r="F2288" t="s">
        <v>6</v>
      </c>
      <c r="G2288">
        <f t="shared" si="210"/>
        <v>68</v>
      </c>
      <c r="H2288" s="1" t="str">
        <f t="shared" si="211"/>
        <v>Saturday</v>
      </c>
      <c r="I2288" t="str">
        <f t="shared" si="212"/>
        <v>No</v>
      </c>
      <c r="J2288">
        <f t="shared" si="213"/>
        <v>0</v>
      </c>
      <c r="K2288">
        <f t="shared" si="214"/>
        <v>1</v>
      </c>
      <c r="L2288">
        <f t="shared" si="215"/>
        <v>68</v>
      </c>
    </row>
    <row r="2289" spans="1:12" x14ac:dyDescent="0.3">
      <c r="A2289">
        <v>151633468</v>
      </c>
      <c r="B2289" s="1">
        <v>45094</v>
      </c>
      <c r="C2289" s="1">
        <v>45139</v>
      </c>
      <c r="D2289" t="s">
        <v>7</v>
      </c>
      <c r="E2289">
        <v>39</v>
      </c>
      <c r="F2289" t="s">
        <v>6</v>
      </c>
      <c r="G2289">
        <f t="shared" si="210"/>
        <v>45</v>
      </c>
      <c r="H2289" s="1" t="str">
        <f t="shared" si="211"/>
        <v>Saturday</v>
      </c>
      <c r="I2289" t="str">
        <f t="shared" si="212"/>
        <v>No</v>
      </c>
      <c r="J2289">
        <f t="shared" si="213"/>
        <v>0</v>
      </c>
      <c r="K2289">
        <f t="shared" si="214"/>
        <v>1</v>
      </c>
      <c r="L2289">
        <f t="shared" si="215"/>
        <v>45</v>
      </c>
    </row>
    <row r="2290" spans="1:12" x14ac:dyDescent="0.3">
      <c r="A2290">
        <v>207010976</v>
      </c>
      <c r="B2290" s="1">
        <v>45094</v>
      </c>
      <c r="C2290" s="1">
        <v>45162</v>
      </c>
      <c r="D2290" t="s">
        <v>7</v>
      </c>
      <c r="E2290">
        <v>39</v>
      </c>
      <c r="F2290" t="s">
        <v>6</v>
      </c>
      <c r="G2290">
        <f t="shared" si="210"/>
        <v>68</v>
      </c>
      <c r="H2290" s="1" t="str">
        <f t="shared" si="211"/>
        <v>Saturday</v>
      </c>
      <c r="I2290" t="str">
        <f t="shared" si="212"/>
        <v>No</v>
      </c>
      <c r="J2290">
        <f t="shared" si="213"/>
        <v>0</v>
      </c>
      <c r="K2290">
        <f t="shared" si="214"/>
        <v>1</v>
      </c>
      <c r="L2290">
        <f t="shared" si="215"/>
        <v>68</v>
      </c>
    </row>
    <row r="2291" spans="1:12" x14ac:dyDescent="0.3">
      <c r="A2291">
        <v>217487776</v>
      </c>
      <c r="B2291" s="1">
        <v>45094</v>
      </c>
      <c r="C2291" s="1">
        <v>45127</v>
      </c>
      <c r="D2291" t="s">
        <v>7</v>
      </c>
      <c r="E2291">
        <v>39</v>
      </c>
      <c r="F2291" t="s">
        <v>6</v>
      </c>
      <c r="G2291">
        <f t="shared" si="210"/>
        <v>33</v>
      </c>
      <c r="H2291" s="1" t="str">
        <f t="shared" si="211"/>
        <v>Saturday</v>
      </c>
      <c r="I2291" t="str">
        <f t="shared" si="212"/>
        <v>No</v>
      </c>
      <c r="J2291">
        <f t="shared" si="213"/>
        <v>0</v>
      </c>
      <c r="K2291">
        <f t="shared" si="214"/>
        <v>1</v>
      </c>
      <c r="L2291">
        <f t="shared" si="215"/>
        <v>33</v>
      </c>
    </row>
    <row r="2292" spans="1:12" x14ac:dyDescent="0.3">
      <c r="A2292">
        <v>217484551</v>
      </c>
      <c r="B2292" s="1">
        <v>45094</v>
      </c>
      <c r="C2292" s="1">
        <v>45131</v>
      </c>
      <c r="D2292" t="s">
        <v>7</v>
      </c>
      <c r="E2292">
        <v>39</v>
      </c>
      <c r="F2292" t="s">
        <v>6</v>
      </c>
      <c r="G2292">
        <f t="shared" si="210"/>
        <v>37</v>
      </c>
      <c r="H2292" s="1" t="str">
        <f t="shared" si="211"/>
        <v>Saturday</v>
      </c>
      <c r="I2292" t="str">
        <f t="shared" si="212"/>
        <v>No</v>
      </c>
      <c r="J2292">
        <f t="shared" si="213"/>
        <v>0</v>
      </c>
      <c r="K2292">
        <f t="shared" si="214"/>
        <v>1</v>
      </c>
      <c r="L2292">
        <f t="shared" si="215"/>
        <v>37</v>
      </c>
    </row>
    <row r="2293" spans="1:12" ht="14.4" customHeight="1" x14ac:dyDescent="0.3">
      <c r="A2293">
        <v>217498202</v>
      </c>
      <c r="B2293" s="1">
        <v>45095</v>
      </c>
      <c r="D2293" t="s">
        <v>7</v>
      </c>
      <c r="E2293">
        <v>39</v>
      </c>
      <c r="F2293" t="s">
        <v>6</v>
      </c>
      <c r="G2293" t="str">
        <f t="shared" si="210"/>
        <v/>
      </c>
      <c r="H2293" s="1" t="str">
        <f t="shared" si="211"/>
        <v>Sunday</v>
      </c>
      <c r="I2293" t="str">
        <f t="shared" si="212"/>
        <v>No</v>
      </c>
      <c r="J2293">
        <f t="shared" si="213"/>
        <v>0</v>
      </c>
      <c r="K2293">
        <f t="shared" si="214"/>
        <v>0</v>
      </c>
      <c r="L2293" t="str">
        <f t="shared" si="215"/>
        <v/>
      </c>
    </row>
    <row r="2294" spans="1:12" ht="14.4" customHeight="1" x14ac:dyDescent="0.3">
      <c r="A2294">
        <v>217234603</v>
      </c>
      <c r="B2294" s="1">
        <v>45095</v>
      </c>
      <c r="D2294" t="s">
        <v>7</v>
      </c>
      <c r="E2294">
        <v>39</v>
      </c>
      <c r="F2294" t="s">
        <v>6</v>
      </c>
      <c r="G2294" t="str">
        <f t="shared" si="210"/>
        <v/>
      </c>
      <c r="H2294" s="1" t="str">
        <f t="shared" si="211"/>
        <v>Sunday</v>
      </c>
      <c r="I2294" t="str">
        <f t="shared" si="212"/>
        <v>No</v>
      </c>
      <c r="J2294">
        <f t="shared" si="213"/>
        <v>0</v>
      </c>
      <c r="K2294">
        <f t="shared" si="214"/>
        <v>0</v>
      </c>
      <c r="L2294" t="str">
        <f t="shared" si="215"/>
        <v/>
      </c>
    </row>
    <row r="2295" spans="1:12" ht="14.4" customHeight="1" x14ac:dyDescent="0.3">
      <c r="A2295">
        <v>217264148</v>
      </c>
      <c r="B2295" s="1">
        <v>45095</v>
      </c>
      <c r="D2295" t="s">
        <v>7</v>
      </c>
      <c r="E2295">
        <v>39</v>
      </c>
      <c r="F2295" t="s">
        <v>6</v>
      </c>
      <c r="G2295" t="str">
        <f t="shared" si="210"/>
        <v/>
      </c>
      <c r="H2295" s="1" t="str">
        <f t="shared" si="211"/>
        <v>Sunday</v>
      </c>
      <c r="I2295" t="str">
        <f t="shared" si="212"/>
        <v>No</v>
      </c>
      <c r="J2295">
        <f t="shared" si="213"/>
        <v>0</v>
      </c>
      <c r="K2295">
        <f t="shared" si="214"/>
        <v>0</v>
      </c>
      <c r="L2295" t="str">
        <f t="shared" si="215"/>
        <v/>
      </c>
    </row>
    <row r="2296" spans="1:12" ht="14.4" customHeight="1" x14ac:dyDescent="0.3">
      <c r="A2296">
        <v>217513366</v>
      </c>
      <c r="B2296" s="1">
        <v>45095</v>
      </c>
      <c r="D2296" t="s">
        <v>7</v>
      </c>
      <c r="E2296">
        <v>39</v>
      </c>
      <c r="F2296" t="s">
        <v>6</v>
      </c>
      <c r="G2296" t="str">
        <f t="shared" si="210"/>
        <v/>
      </c>
      <c r="H2296" s="1" t="str">
        <f t="shared" si="211"/>
        <v>Sunday</v>
      </c>
      <c r="I2296" t="str">
        <f t="shared" si="212"/>
        <v>No</v>
      </c>
      <c r="J2296">
        <f t="shared" si="213"/>
        <v>0</v>
      </c>
      <c r="K2296">
        <f t="shared" si="214"/>
        <v>0</v>
      </c>
      <c r="L2296" t="str">
        <f t="shared" si="215"/>
        <v/>
      </c>
    </row>
    <row r="2297" spans="1:12" ht="14.4" customHeight="1" x14ac:dyDescent="0.3">
      <c r="A2297">
        <v>217503737</v>
      </c>
      <c r="B2297" s="1">
        <v>45095</v>
      </c>
      <c r="D2297" t="s">
        <v>7</v>
      </c>
      <c r="E2297">
        <v>39</v>
      </c>
      <c r="F2297" t="s">
        <v>6</v>
      </c>
      <c r="G2297" t="str">
        <f t="shared" si="210"/>
        <v/>
      </c>
      <c r="H2297" s="1" t="str">
        <f t="shared" si="211"/>
        <v>Sunday</v>
      </c>
      <c r="I2297" t="str">
        <f t="shared" si="212"/>
        <v>No</v>
      </c>
      <c r="J2297">
        <f t="shared" si="213"/>
        <v>0</v>
      </c>
      <c r="K2297">
        <f t="shared" si="214"/>
        <v>0</v>
      </c>
      <c r="L2297" t="str">
        <f t="shared" si="215"/>
        <v/>
      </c>
    </row>
    <row r="2298" spans="1:12" ht="14.4" customHeight="1" x14ac:dyDescent="0.3">
      <c r="A2298">
        <v>151540809</v>
      </c>
      <c r="B2298" s="1">
        <v>45095</v>
      </c>
      <c r="D2298" t="s">
        <v>7</v>
      </c>
      <c r="E2298">
        <v>39</v>
      </c>
      <c r="F2298" t="s">
        <v>6</v>
      </c>
      <c r="G2298" t="str">
        <f t="shared" si="210"/>
        <v/>
      </c>
      <c r="H2298" s="1" t="str">
        <f t="shared" si="211"/>
        <v>Sunday</v>
      </c>
      <c r="I2298" t="str">
        <f t="shared" si="212"/>
        <v>No</v>
      </c>
      <c r="J2298">
        <f t="shared" si="213"/>
        <v>0</v>
      </c>
      <c r="K2298">
        <f t="shared" si="214"/>
        <v>0</v>
      </c>
      <c r="L2298" t="str">
        <f t="shared" si="215"/>
        <v/>
      </c>
    </row>
    <row r="2299" spans="1:12" x14ac:dyDescent="0.3">
      <c r="A2299">
        <v>217526421</v>
      </c>
      <c r="B2299" s="1">
        <v>45095</v>
      </c>
      <c r="C2299" s="1">
        <v>45164</v>
      </c>
      <c r="D2299" t="s">
        <v>7</v>
      </c>
      <c r="E2299">
        <v>39</v>
      </c>
      <c r="F2299" t="s">
        <v>6</v>
      </c>
      <c r="G2299">
        <f t="shared" si="210"/>
        <v>69</v>
      </c>
      <c r="H2299" s="1" t="str">
        <f t="shared" si="211"/>
        <v>Sunday</v>
      </c>
      <c r="I2299" t="str">
        <f t="shared" si="212"/>
        <v>No</v>
      </c>
      <c r="J2299">
        <f t="shared" si="213"/>
        <v>0</v>
      </c>
      <c r="K2299">
        <f t="shared" si="214"/>
        <v>1</v>
      </c>
      <c r="L2299">
        <f t="shared" si="215"/>
        <v>69</v>
      </c>
    </row>
    <row r="2300" spans="1:12" ht="14.4" customHeight="1" x14ac:dyDescent="0.3">
      <c r="A2300">
        <v>217418580</v>
      </c>
      <c r="B2300" s="1">
        <v>45095</v>
      </c>
      <c r="C2300" s="1">
        <v>45121</v>
      </c>
      <c r="D2300" t="s">
        <v>7</v>
      </c>
      <c r="E2300">
        <v>39</v>
      </c>
      <c r="F2300" t="s">
        <v>6</v>
      </c>
      <c r="G2300">
        <f t="shared" si="210"/>
        <v>26</v>
      </c>
      <c r="H2300" s="1" t="str">
        <f t="shared" si="211"/>
        <v>Sunday</v>
      </c>
      <c r="I2300" t="str">
        <f t="shared" si="212"/>
        <v>No</v>
      </c>
      <c r="J2300">
        <f t="shared" si="213"/>
        <v>0</v>
      </c>
      <c r="K2300">
        <f t="shared" si="214"/>
        <v>0</v>
      </c>
      <c r="L2300">
        <f t="shared" si="215"/>
        <v>26</v>
      </c>
    </row>
    <row r="2301" spans="1:12" ht="14.4" customHeight="1" x14ac:dyDescent="0.3">
      <c r="A2301">
        <v>217426015</v>
      </c>
      <c r="B2301" s="1">
        <v>45096</v>
      </c>
      <c r="D2301" t="s">
        <v>7</v>
      </c>
      <c r="E2301">
        <v>39</v>
      </c>
      <c r="F2301" t="s">
        <v>6</v>
      </c>
      <c r="G2301" t="str">
        <f t="shared" si="210"/>
        <v/>
      </c>
      <c r="H2301" s="1" t="str">
        <f t="shared" si="211"/>
        <v>Monday</v>
      </c>
      <c r="I2301" t="str">
        <f t="shared" si="212"/>
        <v>No</v>
      </c>
      <c r="J2301">
        <f t="shared" si="213"/>
        <v>0</v>
      </c>
      <c r="K2301">
        <f t="shared" si="214"/>
        <v>0</v>
      </c>
      <c r="L2301" t="str">
        <f t="shared" si="215"/>
        <v/>
      </c>
    </row>
    <row r="2302" spans="1:12" ht="14.4" customHeight="1" x14ac:dyDescent="0.3">
      <c r="A2302">
        <v>217557584</v>
      </c>
      <c r="B2302" s="1">
        <v>45096</v>
      </c>
      <c r="D2302" t="s">
        <v>7</v>
      </c>
      <c r="E2302">
        <v>39</v>
      </c>
      <c r="F2302" t="s">
        <v>6</v>
      </c>
      <c r="G2302" t="str">
        <f t="shared" si="210"/>
        <v/>
      </c>
      <c r="H2302" s="1" t="str">
        <f t="shared" si="211"/>
        <v>Monday</v>
      </c>
      <c r="I2302" t="str">
        <f t="shared" si="212"/>
        <v>No</v>
      </c>
      <c r="J2302">
        <f t="shared" si="213"/>
        <v>0</v>
      </c>
      <c r="K2302">
        <f t="shared" si="214"/>
        <v>0</v>
      </c>
      <c r="L2302" t="str">
        <f t="shared" si="215"/>
        <v/>
      </c>
    </row>
    <row r="2303" spans="1:12" ht="14.4" customHeight="1" x14ac:dyDescent="0.3">
      <c r="A2303">
        <v>217406489</v>
      </c>
      <c r="B2303" s="1">
        <v>45096</v>
      </c>
      <c r="D2303" t="s">
        <v>7</v>
      </c>
      <c r="E2303">
        <v>39</v>
      </c>
      <c r="F2303" t="s">
        <v>6</v>
      </c>
      <c r="G2303" t="str">
        <f t="shared" si="210"/>
        <v/>
      </c>
      <c r="H2303" s="1" t="str">
        <f t="shared" si="211"/>
        <v>Monday</v>
      </c>
      <c r="I2303" t="str">
        <f t="shared" si="212"/>
        <v>No</v>
      </c>
      <c r="J2303">
        <f t="shared" si="213"/>
        <v>0</v>
      </c>
      <c r="K2303">
        <f t="shared" si="214"/>
        <v>0</v>
      </c>
      <c r="L2303" t="str">
        <f t="shared" si="215"/>
        <v/>
      </c>
    </row>
    <row r="2304" spans="1:12" ht="14.4" customHeight="1" x14ac:dyDescent="0.3">
      <c r="A2304">
        <v>217536534</v>
      </c>
      <c r="B2304" s="1">
        <v>45096</v>
      </c>
      <c r="D2304" t="s">
        <v>7</v>
      </c>
      <c r="E2304">
        <v>39</v>
      </c>
      <c r="F2304" t="s">
        <v>6</v>
      </c>
      <c r="G2304" t="str">
        <f t="shared" si="210"/>
        <v/>
      </c>
      <c r="H2304" s="1" t="str">
        <f t="shared" si="211"/>
        <v>Monday</v>
      </c>
      <c r="I2304" t="str">
        <f t="shared" si="212"/>
        <v>No</v>
      </c>
      <c r="J2304">
        <f t="shared" si="213"/>
        <v>0</v>
      </c>
      <c r="K2304">
        <f t="shared" si="214"/>
        <v>0</v>
      </c>
      <c r="L2304" t="str">
        <f t="shared" si="215"/>
        <v/>
      </c>
    </row>
    <row r="2305" spans="1:12" ht="14.4" customHeight="1" x14ac:dyDescent="0.3">
      <c r="A2305">
        <v>217557082</v>
      </c>
      <c r="B2305" s="1">
        <v>45096</v>
      </c>
      <c r="D2305" t="s">
        <v>7</v>
      </c>
      <c r="E2305">
        <v>39</v>
      </c>
      <c r="F2305" t="s">
        <v>6</v>
      </c>
      <c r="G2305" t="str">
        <f t="shared" si="210"/>
        <v/>
      </c>
      <c r="H2305" s="1" t="str">
        <f t="shared" si="211"/>
        <v>Monday</v>
      </c>
      <c r="I2305" t="str">
        <f t="shared" si="212"/>
        <v>No</v>
      </c>
      <c r="J2305">
        <f t="shared" si="213"/>
        <v>0</v>
      </c>
      <c r="K2305">
        <f t="shared" si="214"/>
        <v>0</v>
      </c>
      <c r="L2305" t="str">
        <f t="shared" si="215"/>
        <v/>
      </c>
    </row>
    <row r="2306" spans="1:12" x14ac:dyDescent="0.3">
      <c r="A2306">
        <v>176024207</v>
      </c>
      <c r="B2306" s="1">
        <v>45096</v>
      </c>
      <c r="C2306" s="1">
        <v>45145</v>
      </c>
      <c r="D2306" t="s">
        <v>7</v>
      </c>
      <c r="E2306">
        <v>39</v>
      </c>
      <c r="F2306" t="s">
        <v>6</v>
      </c>
      <c r="G2306">
        <f t="shared" ref="G2306:G2369" si="216">IF(C2306="","",C2306-B2306)</f>
        <v>49</v>
      </c>
      <c r="H2306" s="1" t="str">
        <f t="shared" si="211"/>
        <v>Monday</v>
      </c>
      <c r="I2306" t="str">
        <f t="shared" si="212"/>
        <v>No</v>
      </c>
      <c r="J2306">
        <f t="shared" si="213"/>
        <v>0</v>
      </c>
      <c r="K2306">
        <f t="shared" si="214"/>
        <v>1</v>
      </c>
      <c r="L2306">
        <f t="shared" si="215"/>
        <v>49</v>
      </c>
    </row>
    <row r="2307" spans="1:12" x14ac:dyDescent="0.3">
      <c r="A2307">
        <v>160598122</v>
      </c>
      <c r="B2307" s="1">
        <v>45096</v>
      </c>
      <c r="C2307" s="1">
        <v>45133</v>
      </c>
      <c r="D2307" t="s">
        <v>7</v>
      </c>
      <c r="E2307">
        <v>39</v>
      </c>
      <c r="F2307" t="s">
        <v>6</v>
      </c>
      <c r="G2307">
        <f t="shared" si="216"/>
        <v>37</v>
      </c>
      <c r="H2307" s="1" t="str">
        <f t="shared" ref="H2307:H2370" si="217">TEXT(B2307,"dddd")</f>
        <v>Monday</v>
      </c>
      <c r="I2307" t="str">
        <f t="shared" ref="I2307:I2370" si="218">IF(B2307=C2307,"Yes","No")</f>
        <v>No</v>
      </c>
      <c r="J2307">
        <f t="shared" ref="J2307:J2370" si="219">IF(AND(C2307&lt;&gt;"",C2307-B2307&lt;=2),1,0)</f>
        <v>0</v>
      </c>
      <c r="K2307">
        <f t="shared" ref="K2307:K2370" si="220">IF(AND(C2307&lt;&gt;"",C2307-B2307&gt;30),1,0)</f>
        <v>1</v>
      </c>
      <c r="L2307">
        <f t="shared" ref="L2307:L2370" si="221">IF(C2307="","",C2307-B2307)</f>
        <v>37</v>
      </c>
    </row>
    <row r="2308" spans="1:12" x14ac:dyDescent="0.3">
      <c r="A2308">
        <v>217378430</v>
      </c>
      <c r="B2308" s="1">
        <v>45096</v>
      </c>
      <c r="C2308" s="1">
        <v>45144</v>
      </c>
      <c r="D2308" t="s">
        <v>7</v>
      </c>
      <c r="E2308">
        <v>39</v>
      </c>
      <c r="F2308" t="s">
        <v>6</v>
      </c>
      <c r="G2308">
        <f t="shared" si="216"/>
        <v>48</v>
      </c>
      <c r="H2308" s="1" t="str">
        <f t="shared" si="217"/>
        <v>Monday</v>
      </c>
      <c r="I2308" t="str">
        <f t="shared" si="218"/>
        <v>No</v>
      </c>
      <c r="J2308">
        <f t="shared" si="219"/>
        <v>0</v>
      </c>
      <c r="K2308">
        <f t="shared" si="220"/>
        <v>1</v>
      </c>
      <c r="L2308">
        <f t="shared" si="221"/>
        <v>48</v>
      </c>
    </row>
    <row r="2309" spans="1:12" ht="14.4" customHeight="1" x14ac:dyDescent="0.3">
      <c r="A2309">
        <v>193680187</v>
      </c>
      <c r="B2309" s="1">
        <v>45096</v>
      </c>
      <c r="C2309" s="1">
        <v>45097</v>
      </c>
      <c r="D2309" t="s">
        <v>7</v>
      </c>
      <c r="E2309">
        <v>39</v>
      </c>
      <c r="F2309" t="s">
        <v>6</v>
      </c>
      <c r="G2309">
        <f t="shared" si="216"/>
        <v>1</v>
      </c>
      <c r="H2309" s="1" t="str">
        <f t="shared" si="217"/>
        <v>Monday</v>
      </c>
      <c r="I2309" t="str">
        <f t="shared" si="218"/>
        <v>No</v>
      </c>
      <c r="J2309">
        <f t="shared" si="219"/>
        <v>1</v>
      </c>
      <c r="K2309">
        <f t="shared" si="220"/>
        <v>0</v>
      </c>
      <c r="L2309">
        <f t="shared" si="221"/>
        <v>1</v>
      </c>
    </row>
    <row r="2310" spans="1:12" x14ac:dyDescent="0.3">
      <c r="A2310">
        <v>180424442</v>
      </c>
      <c r="B2310" s="1">
        <v>45096</v>
      </c>
      <c r="C2310" s="1">
        <v>45133</v>
      </c>
      <c r="D2310" t="s">
        <v>7</v>
      </c>
      <c r="E2310">
        <v>39</v>
      </c>
      <c r="F2310" t="s">
        <v>6</v>
      </c>
      <c r="G2310">
        <f t="shared" si="216"/>
        <v>37</v>
      </c>
      <c r="H2310" s="1" t="str">
        <f t="shared" si="217"/>
        <v>Monday</v>
      </c>
      <c r="I2310" t="str">
        <f t="shared" si="218"/>
        <v>No</v>
      </c>
      <c r="J2310">
        <f t="shared" si="219"/>
        <v>0</v>
      </c>
      <c r="K2310">
        <f t="shared" si="220"/>
        <v>1</v>
      </c>
      <c r="L2310">
        <f t="shared" si="221"/>
        <v>37</v>
      </c>
    </row>
    <row r="2311" spans="1:12" ht="14.4" customHeight="1" x14ac:dyDescent="0.3">
      <c r="A2311">
        <v>217612796</v>
      </c>
      <c r="B2311" s="1">
        <v>45097</v>
      </c>
      <c r="D2311" t="s">
        <v>7</v>
      </c>
      <c r="E2311">
        <v>39</v>
      </c>
      <c r="F2311" t="s">
        <v>6</v>
      </c>
      <c r="G2311" t="str">
        <f t="shared" si="216"/>
        <v/>
      </c>
      <c r="H2311" s="1" t="str">
        <f t="shared" si="217"/>
        <v>Tuesday</v>
      </c>
      <c r="I2311" t="str">
        <f t="shared" si="218"/>
        <v>No</v>
      </c>
      <c r="J2311">
        <f t="shared" si="219"/>
        <v>0</v>
      </c>
      <c r="K2311">
        <f t="shared" si="220"/>
        <v>0</v>
      </c>
      <c r="L2311" t="str">
        <f t="shared" si="221"/>
        <v/>
      </c>
    </row>
    <row r="2312" spans="1:12" ht="14.4" customHeight="1" x14ac:dyDescent="0.3">
      <c r="A2312">
        <v>217601263</v>
      </c>
      <c r="B2312" s="1">
        <v>45097</v>
      </c>
      <c r="D2312" t="s">
        <v>7</v>
      </c>
      <c r="E2312">
        <v>39</v>
      </c>
      <c r="F2312" t="s">
        <v>6</v>
      </c>
      <c r="G2312" t="str">
        <f t="shared" si="216"/>
        <v/>
      </c>
      <c r="H2312" s="1" t="str">
        <f t="shared" si="217"/>
        <v>Tuesday</v>
      </c>
      <c r="I2312" t="str">
        <f t="shared" si="218"/>
        <v>No</v>
      </c>
      <c r="J2312">
        <f t="shared" si="219"/>
        <v>0</v>
      </c>
      <c r="K2312">
        <f t="shared" si="220"/>
        <v>0</v>
      </c>
      <c r="L2312" t="str">
        <f t="shared" si="221"/>
        <v/>
      </c>
    </row>
    <row r="2313" spans="1:12" ht="14.4" customHeight="1" x14ac:dyDescent="0.3">
      <c r="A2313">
        <v>217594148</v>
      </c>
      <c r="B2313" s="1">
        <v>45097</v>
      </c>
      <c r="D2313" t="s">
        <v>7</v>
      </c>
      <c r="E2313">
        <v>39</v>
      </c>
      <c r="F2313" t="s">
        <v>6</v>
      </c>
      <c r="G2313" t="str">
        <f t="shared" si="216"/>
        <v/>
      </c>
      <c r="H2313" s="1" t="str">
        <f t="shared" si="217"/>
        <v>Tuesday</v>
      </c>
      <c r="I2313" t="str">
        <f t="shared" si="218"/>
        <v>No</v>
      </c>
      <c r="J2313">
        <f t="shared" si="219"/>
        <v>0</v>
      </c>
      <c r="K2313">
        <f t="shared" si="220"/>
        <v>0</v>
      </c>
      <c r="L2313" t="str">
        <f t="shared" si="221"/>
        <v/>
      </c>
    </row>
    <row r="2314" spans="1:12" ht="14.4" customHeight="1" x14ac:dyDescent="0.3">
      <c r="A2314">
        <v>217598396</v>
      </c>
      <c r="B2314" s="1">
        <v>45097</v>
      </c>
      <c r="D2314" t="s">
        <v>7</v>
      </c>
      <c r="E2314">
        <v>39</v>
      </c>
      <c r="F2314" t="s">
        <v>6</v>
      </c>
      <c r="G2314" t="str">
        <f t="shared" si="216"/>
        <v/>
      </c>
      <c r="H2314" s="1" t="str">
        <f t="shared" si="217"/>
        <v>Tuesday</v>
      </c>
      <c r="I2314" t="str">
        <f t="shared" si="218"/>
        <v>No</v>
      </c>
      <c r="J2314">
        <f t="shared" si="219"/>
        <v>0</v>
      </c>
      <c r="K2314">
        <f t="shared" si="220"/>
        <v>0</v>
      </c>
      <c r="L2314" t="str">
        <f t="shared" si="221"/>
        <v/>
      </c>
    </row>
    <row r="2315" spans="1:12" ht="14.4" customHeight="1" x14ac:dyDescent="0.3">
      <c r="A2315">
        <v>206647130</v>
      </c>
      <c r="B2315" s="1">
        <v>45097</v>
      </c>
      <c r="D2315" t="s">
        <v>7</v>
      </c>
      <c r="E2315">
        <v>39</v>
      </c>
      <c r="F2315" t="s">
        <v>6</v>
      </c>
      <c r="G2315" t="str">
        <f t="shared" si="216"/>
        <v/>
      </c>
      <c r="H2315" s="1" t="str">
        <f t="shared" si="217"/>
        <v>Tuesday</v>
      </c>
      <c r="I2315" t="str">
        <f t="shared" si="218"/>
        <v>No</v>
      </c>
      <c r="J2315">
        <f t="shared" si="219"/>
        <v>0</v>
      </c>
      <c r="K2315">
        <f t="shared" si="220"/>
        <v>0</v>
      </c>
      <c r="L2315" t="str">
        <f t="shared" si="221"/>
        <v/>
      </c>
    </row>
    <row r="2316" spans="1:12" ht="14.4" customHeight="1" x14ac:dyDescent="0.3">
      <c r="A2316">
        <v>207099222</v>
      </c>
      <c r="B2316" s="1">
        <v>45097</v>
      </c>
      <c r="D2316" t="s">
        <v>7</v>
      </c>
      <c r="E2316">
        <v>39</v>
      </c>
      <c r="F2316" t="s">
        <v>6</v>
      </c>
      <c r="G2316" t="str">
        <f t="shared" si="216"/>
        <v/>
      </c>
      <c r="H2316" s="1" t="str">
        <f t="shared" si="217"/>
        <v>Tuesday</v>
      </c>
      <c r="I2316" t="str">
        <f t="shared" si="218"/>
        <v>No</v>
      </c>
      <c r="J2316">
        <f t="shared" si="219"/>
        <v>0</v>
      </c>
      <c r="K2316">
        <f t="shared" si="220"/>
        <v>0</v>
      </c>
      <c r="L2316" t="str">
        <f t="shared" si="221"/>
        <v/>
      </c>
    </row>
    <row r="2317" spans="1:12" ht="14.4" customHeight="1" x14ac:dyDescent="0.3">
      <c r="A2317">
        <v>207079318</v>
      </c>
      <c r="B2317" s="1">
        <v>45097</v>
      </c>
      <c r="D2317" t="s">
        <v>7</v>
      </c>
      <c r="E2317">
        <v>39</v>
      </c>
      <c r="F2317" t="s">
        <v>6</v>
      </c>
      <c r="G2317" t="str">
        <f t="shared" si="216"/>
        <v/>
      </c>
      <c r="H2317" s="1" t="str">
        <f t="shared" si="217"/>
        <v>Tuesday</v>
      </c>
      <c r="I2317" t="str">
        <f t="shared" si="218"/>
        <v>No</v>
      </c>
      <c r="J2317">
        <f t="shared" si="219"/>
        <v>0</v>
      </c>
      <c r="K2317">
        <f t="shared" si="220"/>
        <v>0</v>
      </c>
      <c r="L2317" t="str">
        <f t="shared" si="221"/>
        <v/>
      </c>
    </row>
    <row r="2318" spans="1:12" ht="14.4" customHeight="1" x14ac:dyDescent="0.3">
      <c r="A2318">
        <v>217580362</v>
      </c>
      <c r="B2318" s="1">
        <v>45097</v>
      </c>
      <c r="D2318" t="s">
        <v>7</v>
      </c>
      <c r="E2318">
        <v>39</v>
      </c>
      <c r="F2318" t="s">
        <v>6</v>
      </c>
      <c r="G2318" t="str">
        <f t="shared" si="216"/>
        <v/>
      </c>
      <c r="H2318" s="1" t="str">
        <f t="shared" si="217"/>
        <v>Tuesday</v>
      </c>
      <c r="I2318" t="str">
        <f t="shared" si="218"/>
        <v>No</v>
      </c>
      <c r="J2318">
        <f t="shared" si="219"/>
        <v>0</v>
      </c>
      <c r="K2318">
        <f t="shared" si="220"/>
        <v>0</v>
      </c>
      <c r="L2318" t="str">
        <f t="shared" si="221"/>
        <v/>
      </c>
    </row>
    <row r="2319" spans="1:12" ht="14.4" customHeight="1" x14ac:dyDescent="0.3">
      <c r="A2319">
        <v>217438678</v>
      </c>
      <c r="B2319" s="1">
        <v>45097</v>
      </c>
      <c r="D2319" t="s">
        <v>7</v>
      </c>
      <c r="E2319">
        <v>39</v>
      </c>
      <c r="F2319" t="s">
        <v>6</v>
      </c>
      <c r="G2319" t="str">
        <f t="shared" si="216"/>
        <v/>
      </c>
      <c r="H2319" s="1" t="str">
        <f t="shared" si="217"/>
        <v>Tuesday</v>
      </c>
      <c r="I2319" t="str">
        <f t="shared" si="218"/>
        <v>No</v>
      </c>
      <c r="J2319">
        <f t="shared" si="219"/>
        <v>0</v>
      </c>
      <c r="K2319">
        <f t="shared" si="220"/>
        <v>0</v>
      </c>
      <c r="L2319" t="str">
        <f t="shared" si="221"/>
        <v/>
      </c>
    </row>
    <row r="2320" spans="1:12" ht="14.4" customHeight="1" x14ac:dyDescent="0.3">
      <c r="A2320">
        <v>215963364</v>
      </c>
      <c r="B2320" s="1">
        <v>45097</v>
      </c>
      <c r="C2320" s="1">
        <v>45098</v>
      </c>
      <c r="D2320" t="s">
        <v>7</v>
      </c>
      <c r="E2320">
        <v>39</v>
      </c>
      <c r="F2320" t="s">
        <v>6</v>
      </c>
      <c r="G2320">
        <f t="shared" si="216"/>
        <v>1</v>
      </c>
      <c r="H2320" s="1" t="str">
        <f t="shared" si="217"/>
        <v>Tuesday</v>
      </c>
      <c r="I2320" t="str">
        <f t="shared" si="218"/>
        <v>No</v>
      </c>
      <c r="J2320">
        <f t="shared" si="219"/>
        <v>1</v>
      </c>
      <c r="K2320">
        <f t="shared" si="220"/>
        <v>0</v>
      </c>
      <c r="L2320">
        <f t="shared" si="221"/>
        <v>1</v>
      </c>
    </row>
    <row r="2321" spans="1:12" x14ac:dyDescent="0.3">
      <c r="A2321">
        <v>153876204</v>
      </c>
      <c r="B2321" s="1">
        <v>45097</v>
      </c>
      <c r="C2321" s="1">
        <v>45130</v>
      </c>
      <c r="D2321" t="s">
        <v>7</v>
      </c>
      <c r="E2321">
        <v>39</v>
      </c>
      <c r="F2321" t="s">
        <v>6</v>
      </c>
      <c r="G2321">
        <f t="shared" si="216"/>
        <v>33</v>
      </c>
      <c r="H2321" s="1" t="str">
        <f t="shared" si="217"/>
        <v>Tuesday</v>
      </c>
      <c r="I2321" t="str">
        <f t="shared" si="218"/>
        <v>No</v>
      </c>
      <c r="J2321">
        <f t="shared" si="219"/>
        <v>0</v>
      </c>
      <c r="K2321">
        <f t="shared" si="220"/>
        <v>1</v>
      </c>
      <c r="L2321">
        <f t="shared" si="221"/>
        <v>33</v>
      </c>
    </row>
    <row r="2322" spans="1:12" ht="14.4" customHeight="1" x14ac:dyDescent="0.3">
      <c r="A2322">
        <v>153828803</v>
      </c>
      <c r="B2322" s="1">
        <v>45097</v>
      </c>
      <c r="C2322" s="1">
        <v>45099</v>
      </c>
      <c r="D2322" t="s">
        <v>7</v>
      </c>
      <c r="E2322">
        <v>39</v>
      </c>
      <c r="F2322" t="s">
        <v>6</v>
      </c>
      <c r="G2322">
        <f t="shared" si="216"/>
        <v>2</v>
      </c>
      <c r="H2322" s="1" t="str">
        <f t="shared" si="217"/>
        <v>Tuesday</v>
      </c>
      <c r="I2322" t="str">
        <f t="shared" si="218"/>
        <v>No</v>
      </c>
      <c r="J2322">
        <f t="shared" si="219"/>
        <v>1</v>
      </c>
      <c r="K2322">
        <f t="shared" si="220"/>
        <v>0</v>
      </c>
      <c r="L2322">
        <f t="shared" si="221"/>
        <v>2</v>
      </c>
    </row>
    <row r="2323" spans="1:12" x14ac:dyDescent="0.3">
      <c r="A2323">
        <v>217595865</v>
      </c>
      <c r="B2323" s="1">
        <v>45097</v>
      </c>
      <c r="C2323" s="1">
        <v>45134</v>
      </c>
      <c r="D2323" t="s">
        <v>7</v>
      </c>
      <c r="E2323">
        <v>39</v>
      </c>
      <c r="F2323" t="s">
        <v>6</v>
      </c>
      <c r="G2323">
        <f t="shared" si="216"/>
        <v>37</v>
      </c>
      <c r="H2323" s="1" t="str">
        <f t="shared" si="217"/>
        <v>Tuesday</v>
      </c>
      <c r="I2323" t="str">
        <f t="shared" si="218"/>
        <v>No</v>
      </c>
      <c r="J2323">
        <f t="shared" si="219"/>
        <v>0</v>
      </c>
      <c r="K2323">
        <f t="shared" si="220"/>
        <v>1</v>
      </c>
      <c r="L2323">
        <f t="shared" si="221"/>
        <v>37</v>
      </c>
    </row>
    <row r="2324" spans="1:12" x14ac:dyDescent="0.3">
      <c r="A2324">
        <v>216158153</v>
      </c>
      <c r="B2324" s="1">
        <v>45097</v>
      </c>
      <c r="C2324" s="1">
        <v>45131</v>
      </c>
      <c r="D2324" t="s">
        <v>7</v>
      </c>
      <c r="E2324">
        <v>39</v>
      </c>
      <c r="F2324" t="s">
        <v>6</v>
      </c>
      <c r="G2324">
        <f t="shared" si="216"/>
        <v>34</v>
      </c>
      <c r="H2324" s="1" t="str">
        <f t="shared" si="217"/>
        <v>Tuesday</v>
      </c>
      <c r="I2324" t="str">
        <f t="shared" si="218"/>
        <v>No</v>
      </c>
      <c r="J2324">
        <f t="shared" si="219"/>
        <v>0</v>
      </c>
      <c r="K2324">
        <f t="shared" si="220"/>
        <v>1</v>
      </c>
      <c r="L2324">
        <f t="shared" si="221"/>
        <v>34</v>
      </c>
    </row>
    <row r="2325" spans="1:12" ht="14.4" customHeight="1" x14ac:dyDescent="0.3">
      <c r="A2325">
        <v>217548173</v>
      </c>
      <c r="B2325" s="1">
        <v>45097</v>
      </c>
      <c r="C2325" s="1">
        <v>45126</v>
      </c>
      <c r="D2325" t="s">
        <v>7</v>
      </c>
      <c r="E2325">
        <v>39</v>
      </c>
      <c r="F2325" t="s">
        <v>6</v>
      </c>
      <c r="G2325">
        <f t="shared" si="216"/>
        <v>29</v>
      </c>
      <c r="H2325" s="1" t="str">
        <f t="shared" si="217"/>
        <v>Tuesday</v>
      </c>
      <c r="I2325" t="str">
        <f t="shared" si="218"/>
        <v>No</v>
      </c>
      <c r="J2325">
        <f t="shared" si="219"/>
        <v>0</v>
      </c>
      <c r="K2325">
        <f t="shared" si="220"/>
        <v>0</v>
      </c>
      <c r="L2325">
        <f t="shared" si="221"/>
        <v>29</v>
      </c>
    </row>
    <row r="2326" spans="1:12" ht="14.4" customHeight="1" x14ac:dyDescent="0.3">
      <c r="A2326">
        <v>217533118</v>
      </c>
      <c r="B2326" s="1">
        <v>45098</v>
      </c>
      <c r="D2326" t="s">
        <v>7</v>
      </c>
      <c r="E2326">
        <v>39</v>
      </c>
      <c r="F2326" t="s">
        <v>6</v>
      </c>
      <c r="G2326" t="str">
        <f t="shared" si="216"/>
        <v/>
      </c>
      <c r="H2326" s="1" t="str">
        <f t="shared" si="217"/>
        <v>Wednesday</v>
      </c>
      <c r="I2326" t="str">
        <f t="shared" si="218"/>
        <v>No</v>
      </c>
      <c r="J2326">
        <f t="shared" si="219"/>
        <v>0</v>
      </c>
      <c r="K2326">
        <f t="shared" si="220"/>
        <v>0</v>
      </c>
      <c r="L2326" t="str">
        <f t="shared" si="221"/>
        <v/>
      </c>
    </row>
    <row r="2327" spans="1:12" ht="14.4" customHeight="1" x14ac:dyDescent="0.3">
      <c r="A2327">
        <v>205128906</v>
      </c>
      <c r="B2327" s="1">
        <v>45098</v>
      </c>
      <c r="D2327" t="s">
        <v>7</v>
      </c>
      <c r="E2327">
        <v>39</v>
      </c>
      <c r="F2327" t="s">
        <v>6</v>
      </c>
      <c r="G2327" t="str">
        <f t="shared" si="216"/>
        <v/>
      </c>
      <c r="H2327" s="1" t="str">
        <f t="shared" si="217"/>
        <v>Wednesday</v>
      </c>
      <c r="I2327" t="str">
        <f t="shared" si="218"/>
        <v>No</v>
      </c>
      <c r="J2327">
        <f t="shared" si="219"/>
        <v>0</v>
      </c>
      <c r="K2327">
        <f t="shared" si="220"/>
        <v>0</v>
      </c>
      <c r="L2327" t="str">
        <f t="shared" si="221"/>
        <v/>
      </c>
    </row>
    <row r="2328" spans="1:12" ht="14.4" customHeight="1" x14ac:dyDescent="0.3">
      <c r="A2328">
        <v>205812132</v>
      </c>
      <c r="B2328" s="1">
        <v>45098</v>
      </c>
      <c r="D2328" t="s">
        <v>7</v>
      </c>
      <c r="E2328">
        <v>39</v>
      </c>
      <c r="F2328" t="s">
        <v>6</v>
      </c>
      <c r="G2328" t="str">
        <f t="shared" si="216"/>
        <v/>
      </c>
      <c r="H2328" s="1" t="str">
        <f t="shared" si="217"/>
        <v>Wednesday</v>
      </c>
      <c r="I2328" t="str">
        <f t="shared" si="218"/>
        <v>No</v>
      </c>
      <c r="J2328">
        <f t="shared" si="219"/>
        <v>0</v>
      </c>
      <c r="K2328">
        <f t="shared" si="220"/>
        <v>0</v>
      </c>
      <c r="L2328" t="str">
        <f t="shared" si="221"/>
        <v/>
      </c>
    </row>
    <row r="2329" spans="1:12" ht="14.4" customHeight="1" x14ac:dyDescent="0.3">
      <c r="A2329">
        <v>216907554</v>
      </c>
      <c r="B2329" s="1">
        <v>45098</v>
      </c>
      <c r="D2329" t="s">
        <v>7</v>
      </c>
      <c r="E2329">
        <v>39</v>
      </c>
      <c r="F2329" t="s">
        <v>6</v>
      </c>
      <c r="G2329" t="str">
        <f t="shared" si="216"/>
        <v/>
      </c>
      <c r="H2329" s="1" t="str">
        <f t="shared" si="217"/>
        <v>Wednesday</v>
      </c>
      <c r="I2329" t="str">
        <f t="shared" si="218"/>
        <v>No</v>
      </c>
      <c r="J2329">
        <f t="shared" si="219"/>
        <v>0</v>
      </c>
      <c r="K2329">
        <f t="shared" si="220"/>
        <v>0</v>
      </c>
      <c r="L2329" t="str">
        <f t="shared" si="221"/>
        <v/>
      </c>
    </row>
    <row r="2330" spans="1:12" ht="14.4" customHeight="1" x14ac:dyDescent="0.3">
      <c r="A2330">
        <v>215113542</v>
      </c>
      <c r="B2330" s="1">
        <v>45098</v>
      </c>
      <c r="D2330" t="s">
        <v>7</v>
      </c>
      <c r="E2330">
        <v>39</v>
      </c>
      <c r="F2330" t="s">
        <v>6</v>
      </c>
      <c r="G2330" t="str">
        <f t="shared" si="216"/>
        <v/>
      </c>
      <c r="H2330" s="1" t="str">
        <f t="shared" si="217"/>
        <v>Wednesday</v>
      </c>
      <c r="I2330" t="str">
        <f t="shared" si="218"/>
        <v>No</v>
      </c>
      <c r="J2330">
        <f t="shared" si="219"/>
        <v>0</v>
      </c>
      <c r="K2330">
        <f t="shared" si="220"/>
        <v>0</v>
      </c>
      <c r="L2330" t="str">
        <f t="shared" si="221"/>
        <v/>
      </c>
    </row>
    <row r="2331" spans="1:12" ht="14.4" customHeight="1" x14ac:dyDescent="0.3">
      <c r="A2331">
        <v>204772797</v>
      </c>
      <c r="B2331" s="1">
        <v>45098</v>
      </c>
      <c r="D2331" t="s">
        <v>7</v>
      </c>
      <c r="E2331">
        <v>39</v>
      </c>
      <c r="F2331" t="s">
        <v>6</v>
      </c>
      <c r="G2331" t="str">
        <f t="shared" si="216"/>
        <v/>
      </c>
      <c r="H2331" s="1" t="str">
        <f t="shared" si="217"/>
        <v>Wednesday</v>
      </c>
      <c r="I2331" t="str">
        <f t="shared" si="218"/>
        <v>No</v>
      </c>
      <c r="J2331">
        <f t="shared" si="219"/>
        <v>0</v>
      </c>
      <c r="K2331">
        <f t="shared" si="220"/>
        <v>0</v>
      </c>
      <c r="L2331" t="str">
        <f t="shared" si="221"/>
        <v/>
      </c>
    </row>
    <row r="2332" spans="1:12" ht="14.4" customHeight="1" x14ac:dyDescent="0.3">
      <c r="A2332">
        <v>217627630</v>
      </c>
      <c r="B2332" s="1">
        <v>45098</v>
      </c>
      <c r="D2332" t="s">
        <v>7</v>
      </c>
      <c r="E2332">
        <v>39</v>
      </c>
      <c r="F2332" t="s">
        <v>6</v>
      </c>
      <c r="G2332" t="str">
        <f t="shared" si="216"/>
        <v/>
      </c>
      <c r="H2332" s="1" t="str">
        <f t="shared" si="217"/>
        <v>Wednesday</v>
      </c>
      <c r="I2332" t="str">
        <f t="shared" si="218"/>
        <v>No</v>
      </c>
      <c r="J2332">
        <f t="shared" si="219"/>
        <v>0</v>
      </c>
      <c r="K2332">
        <f t="shared" si="220"/>
        <v>0</v>
      </c>
      <c r="L2332" t="str">
        <f t="shared" si="221"/>
        <v/>
      </c>
    </row>
    <row r="2333" spans="1:12" ht="14.4" customHeight="1" x14ac:dyDescent="0.3">
      <c r="A2333">
        <v>217635272</v>
      </c>
      <c r="B2333" s="1">
        <v>45098</v>
      </c>
      <c r="D2333" t="s">
        <v>7</v>
      </c>
      <c r="E2333">
        <v>39</v>
      </c>
      <c r="F2333" t="s">
        <v>6</v>
      </c>
      <c r="G2333" t="str">
        <f t="shared" si="216"/>
        <v/>
      </c>
      <c r="H2333" s="1" t="str">
        <f t="shared" si="217"/>
        <v>Wednesday</v>
      </c>
      <c r="I2333" t="str">
        <f t="shared" si="218"/>
        <v>No</v>
      </c>
      <c r="J2333">
        <f t="shared" si="219"/>
        <v>0</v>
      </c>
      <c r="K2333">
        <f t="shared" si="220"/>
        <v>0</v>
      </c>
      <c r="L2333" t="str">
        <f t="shared" si="221"/>
        <v/>
      </c>
    </row>
    <row r="2334" spans="1:12" ht="14.4" customHeight="1" x14ac:dyDescent="0.3">
      <c r="A2334">
        <v>217543308</v>
      </c>
      <c r="B2334" s="1">
        <v>45098</v>
      </c>
      <c r="C2334" s="1">
        <v>45099</v>
      </c>
      <c r="D2334" t="s">
        <v>7</v>
      </c>
      <c r="E2334">
        <v>39</v>
      </c>
      <c r="F2334" t="s">
        <v>6</v>
      </c>
      <c r="G2334">
        <f t="shared" si="216"/>
        <v>1</v>
      </c>
      <c r="H2334" s="1" t="str">
        <f t="shared" si="217"/>
        <v>Wednesday</v>
      </c>
      <c r="I2334" t="str">
        <f t="shared" si="218"/>
        <v>No</v>
      </c>
      <c r="J2334">
        <f t="shared" si="219"/>
        <v>1</v>
      </c>
      <c r="K2334">
        <f t="shared" si="220"/>
        <v>0</v>
      </c>
      <c r="L2334">
        <f t="shared" si="221"/>
        <v>1</v>
      </c>
    </row>
    <row r="2335" spans="1:12" ht="14.4" customHeight="1" x14ac:dyDescent="0.3">
      <c r="A2335">
        <v>217626870</v>
      </c>
      <c r="B2335" s="1">
        <v>45098</v>
      </c>
      <c r="C2335" s="1">
        <v>45099</v>
      </c>
      <c r="D2335" t="s">
        <v>8</v>
      </c>
      <c r="E2335">
        <v>39</v>
      </c>
      <c r="F2335" t="s">
        <v>6</v>
      </c>
      <c r="G2335">
        <f t="shared" si="216"/>
        <v>1</v>
      </c>
      <c r="H2335" s="1" t="str">
        <f t="shared" si="217"/>
        <v>Wednesday</v>
      </c>
      <c r="I2335" t="str">
        <f t="shared" si="218"/>
        <v>No</v>
      </c>
      <c r="J2335">
        <f t="shared" si="219"/>
        <v>1</v>
      </c>
      <c r="K2335">
        <f t="shared" si="220"/>
        <v>0</v>
      </c>
      <c r="L2335">
        <f t="shared" si="221"/>
        <v>1</v>
      </c>
    </row>
    <row r="2336" spans="1:12" ht="14.4" customHeight="1" x14ac:dyDescent="0.3">
      <c r="A2336">
        <v>217246912</v>
      </c>
      <c r="B2336" s="1">
        <v>45098</v>
      </c>
      <c r="C2336" s="1">
        <v>45099</v>
      </c>
      <c r="D2336" t="s">
        <v>8</v>
      </c>
      <c r="E2336">
        <v>39</v>
      </c>
      <c r="F2336" t="s">
        <v>6</v>
      </c>
      <c r="G2336">
        <f t="shared" si="216"/>
        <v>1</v>
      </c>
      <c r="H2336" s="1" t="str">
        <f t="shared" si="217"/>
        <v>Wednesday</v>
      </c>
      <c r="I2336" t="str">
        <f t="shared" si="218"/>
        <v>No</v>
      </c>
      <c r="J2336">
        <f t="shared" si="219"/>
        <v>1</v>
      </c>
      <c r="K2336">
        <f t="shared" si="220"/>
        <v>0</v>
      </c>
      <c r="L2336">
        <f t="shared" si="221"/>
        <v>1</v>
      </c>
    </row>
    <row r="2337" spans="1:12" x14ac:dyDescent="0.3">
      <c r="A2337">
        <v>217223132</v>
      </c>
      <c r="B2337" s="1">
        <v>45098</v>
      </c>
      <c r="C2337" s="1">
        <v>45156</v>
      </c>
      <c r="D2337" t="s">
        <v>7</v>
      </c>
      <c r="E2337">
        <v>39</v>
      </c>
      <c r="F2337" t="s">
        <v>6</v>
      </c>
      <c r="G2337">
        <f t="shared" si="216"/>
        <v>58</v>
      </c>
      <c r="H2337" s="1" t="str">
        <f t="shared" si="217"/>
        <v>Wednesday</v>
      </c>
      <c r="I2337" t="str">
        <f t="shared" si="218"/>
        <v>No</v>
      </c>
      <c r="J2337">
        <f t="shared" si="219"/>
        <v>0</v>
      </c>
      <c r="K2337">
        <f t="shared" si="220"/>
        <v>1</v>
      </c>
      <c r="L2337">
        <f t="shared" si="221"/>
        <v>58</v>
      </c>
    </row>
    <row r="2338" spans="1:12" x14ac:dyDescent="0.3">
      <c r="A2338">
        <v>217650160</v>
      </c>
      <c r="B2338" s="1">
        <v>45098</v>
      </c>
      <c r="C2338" s="1">
        <v>45148</v>
      </c>
      <c r="D2338" t="s">
        <v>7</v>
      </c>
      <c r="E2338">
        <v>39</v>
      </c>
      <c r="F2338" t="s">
        <v>6</v>
      </c>
      <c r="G2338">
        <f t="shared" si="216"/>
        <v>50</v>
      </c>
      <c r="H2338" s="1" t="str">
        <f t="shared" si="217"/>
        <v>Wednesday</v>
      </c>
      <c r="I2338" t="str">
        <f t="shared" si="218"/>
        <v>No</v>
      </c>
      <c r="J2338">
        <f t="shared" si="219"/>
        <v>0</v>
      </c>
      <c r="K2338">
        <f t="shared" si="220"/>
        <v>1</v>
      </c>
      <c r="L2338">
        <f t="shared" si="221"/>
        <v>50</v>
      </c>
    </row>
    <row r="2339" spans="1:12" ht="14.4" customHeight="1" x14ac:dyDescent="0.3">
      <c r="A2339">
        <v>149856123</v>
      </c>
      <c r="B2339" s="1">
        <v>45098</v>
      </c>
      <c r="C2339" s="1">
        <v>45124</v>
      </c>
      <c r="D2339" t="s">
        <v>7</v>
      </c>
      <c r="E2339">
        <v>39</v>
      </c>
      <c r="F2339" t="s">
        <v>6</v>
      </c>
      <c r="G2339">
        <f t="shared" si="216"/>
        <v>26</v>
      </c>
      <c r="H2339" s="1" t="str">
        <f t="shared" si="217"/>
        <v>Wednesday</v>
      </c>
      <c r="I2339" t="str">
        <f t="shared" si="218"/>
        <v>No</v>
      </c>
      <c r="J2339">
        <f t="shared" si="219"/>
        <v>0</v>
      </c>
      <c r="K2339">
        <f t="shared" si="220"/>
        <v>0</v>
      </c>
      <c r="L2339">
        <f t="shared" si="221"/>
        <v>26</v>
      </c>
    </row>
    <row r="2340" spans="1:12" ht="14.4" customHeight="1" x14ac:dyDescent="0.3">
      <c r="A2340">
        <v>217657148</v>
      </c>
      <c r="B2340" s="1">
        <v>45098</v>
      </c>
      <c r="C2340" s="1">
        <v>45107</v>
      </c>
      <c r="D2340" t="s">
        <v>7</v>
      </c>
      <c r="E2340">
        <v>39</v>
      </c>
      <c r="F2340" t="s">
        <v>6</v>
      </c>
      <c r="G2340">
        <f t="shared" si="216"/>
        <v>9</v>
      </c>
      <c r="H2340" s="1" t="str">
        <f t="shared" si="217"/>
        <v>Wednesday</v>
      </c>
      <c r="I2340" t="str">
        <f t="shared" si="218"/>
        <v>No</v>
      </c>
      <c r="J2340">
        <f t="shared" si="219"/>
        <v>0</v>
      </c>
      <c r="K2340">
        <f t="shared" si="220"/>
        <v>0</v>
      </c>
      <c r="L2340">
        <f t="shared" si="221"/>
        <v>9</v>
      </c>
    </row>
    <row r="2341" spans="1:12" x14ac:dyDescent="0.3">
      <c r="A2341">
        <v>217386658</v>
      </c>
      <c r="B2341" s="1">
        <v>45098</v>
      </c>
      <c r="C2341" s="1">
        <v>45132</v>
      </c>
      <c r="D2341" t="s">
        <v>7</v>
      </c>
      <c r="E2341">
        <v>39</v>
      </c>
      <c r="F2341" t="s">
        <v>6</v>
      </c>
      <c r="G2341">
        <f t="shared" si="216"/>
        <v>34</v>
      </c>
      <c r="H2341" s="1" t="str">
        <f t="shared" si="217"/>
        <v>Wednesday</v>
      </c>
      <c r="I2341" t="str">
        <f t="shared" si="218"/>
        <v>No</v>
      </c>
      <c r="J2341">
        <f t="shared" si="219"/>
        <v>0</v>
      </c>
      <c r="K2341">
        <f t="shared" si="220"/>
        <v>1</v>
      </c>
      <c r="L2341">
        <f t="shared" si="221"/>
        <v>34</v>
      </c>
    </row>
    <row r="2342" spans="1:12" ht="14.4" customHeight="1" x14ac:dyDescent="0.3">
      <c r="A2342">
        <v>202563999</v>
      </c>
      <c r="B2342" s="1">
        <v>45099</v>
      </c>
      <c r="D2342" t="s">
        <v>7</v>
      </c>
      <c r="E2342">
        <v>39</v>
      </c>
      <c r="F2342" t="s">
        <v>6</v>
      </c>
      <c r="G2342" t="str">
        <f t="shared" si="216"/>
        <v/>
      </c>
      <c r="H2342" s="1" t="str">
        <f t="shared" si="217"/>
        <v>Thursday</v>
      </c>
      <c r="I2342" t="str">
        <f t="shared" si="218"/>
        <v>No</v>
      </c>
      <c r="J2342">
        <f t="shared" si="219"/>
        <v>0</v>
      </c>
      <c r="K2342">
        <f t="shared" si="220"/>
        <v>0</v>
      </c>
      <c r="L2342" t="str">
        <f t="shared" si="221"/>
        <v/>
      </c>
    </row>
    <row r="2343" spans="1:12" ht="14.4" customHeight="1" x14ac:dyDescent="0.3">
      <c r="A2343">
        <v>137195650</v>
      </c>
      <c r="B2343" s="1">
        <v>45099</v>
      </c>
      <c r="D2343" t="s">
        <v>7</v>
      </c>
      <c r="E2343">
        <v>39</v>
      </c>
      <c r="F2343" t="s">
        <v>6</v>
      </c>
      <c r="G2343" t="str">
        <f t="shared" si="216"/>
        <v/>
      </c>
      <c r="H2343" s="1" t="str">
        <f t="shared" si="217"/>
        <v>Thursday</v>
      </c>
      <c r="I2343" t="str">
        <f t="shared" si="218"/>
        <v>No</v>
      </c>
      <c r="J2343">
        <f t="shared" si="219"/>
        <v>0</v>
      </c>
      <c r="K2343">
        <f t="shared" si="220"/>
        <v>0</v>
      </c>
      <c r="L2343" t="str">
        <f t="shared" si="221"/>
        <v/>
      </c>
    </row>
    <row r="2344" spans="1:12" ht="14.4" customHeight="1" x14ac:dyDescent="0.3">
      <c r="A2344">
        <v>138372112</v>
      </c>
      <c r="B2344" s="1">
        <v>45099</v>
      </c>
      <c r="D2344" t="s">
        <v>7</v>
      </c>
      <c r="E2344">
        <v>39</v>
      </c>
      <c r="F2344" t="s">
        <v>6</v>
      </c>
      <c r="G2344" t="str">
        <f t="shared" si="216"/>
        <v/>
      </c>
      <c r="H2344" s="1" t="str">
        <f t="shared" si="217"/>
        <v>Thursday</v>
      </c>
      <c r="I2344" t="str">
        <f t="shared" si="218"/>
        <v>No</v>
      </c>
      <c r="J2344">
        <f t="shared" si="219"/>
        <v>0</v>
      </c>
      <c r="K2344">
        <f t="shared" si="220"/>
        <v>0</v>
      </c>
      <c r="L2344" t="str">
        <f t="shared" si="221"/>
        <v/>
      </c>
    </row>
    <row r="2345" spans="1:12" ht="14.4" customHeight="1" x14ac:dyDescent="0.3">
      <c r="A2345">
        <v>217692419</v>
      </c>
      <c r="B2345" s="1">
        <v>45099</v>
      </c>
      <c r="D2345" t="s">
        <v>7</v>
      </c>
      <c r="E2345">
        <v>39</v>
      </c>
      <c r="F2345" t="s">
        <v>6</v>
      </c>
      <c r="G2345" t="str">
        <f t="shared" si="216"/>
        <v/>
      </c>
      <c r="H2345" s="1" t="str">
        <f t="shared" si="217"/>
        <v>Thursday</v>
      </c>
      <c r="I2345" t="str">
        <f t="shared" si="218"/>
        <v>No</v>
      </c>
      <c r="J2345">
        <f t="shared" si="219"/>
        <v>0</v>
      </c>
      <c r="K2345">
        <f t="shared" si="220"/>
        <v>0</v>
      </c>
      <c r="L2345" t="str">
        <f t="shared" si="221"/>
        <v/>
      </c>
    </row>
    <row r="2346" spans="1:12" ht="14.4" customHeight="1" x14ac:dyDescent="0.3">
      <c r="A2346">
        <v>217610905</v>
      </c>
      <c r="B2346" s="1">
        <v>45099</v>
      </c>
      <c r="D2346" t="s">
        <v>7</v>
      </c>
      <c r="E2346">
        <v>39</v>
      </c>
      <c r="F2346" t="s">
        <v>6</v>
      </c>
      <c r="G2346" t="str">
        <f t="shared" si="216"/>
        <v/>
      </c>
      <c r="H2346" s="1" t="str">
        <f t="shared" si="217"/>
        <v>Thursday</v>
      </c>
      <c r="I2346" t="str">
        <f t="shared" si="218"/>
        <v>No</v>
      </c>
      <c r="J2346">
        <f t="shared" si="219"/>
        <v>0</v>
      </c>
      <c r="K2346">
        <f t="shared" si="220"/>
        <v>0</v>
      </c>
      <c r="L2346" t="str">
        <f t="shared" si="221"/>
        <v/>
      </c>
    </row>
    <row r="2347" spans="1:12" ht="14.4" customHeight="1" x14ac:dyDescent="0.3">
      <c r="A2347">
        <v>217618558</v>
      </c>
      <c r="B2347" s="1">
        <v>45099</v>
      </c>
      <c r="D2347" t="s">
        <v>7</v>
      </c>
      <c r="E2347">
        <v>39</v>
      </c>
      <c r="F2347" t="s">
        <v>6</v>
      </c>
      <c r="G2347" t="str">
        <f t="shared" si="216"/>
        <v/>
      </c>
      <c r="H2347" s="1" t="str">
        <f t="shared" si="217"/>
        <v>Thursday</v>
      </c>
      <c r="I2347" t="str">
        <f t="shared" si="218"/>
        <v>No</v>
      </c>
      <c r="J2347">
        <f t="shared" si="219"/>
        <v>0</v>
      </c>
      <c r="K2347">
        <f t="shared" si="220"/>
        <v>0</v>
      </c>
      <c r="L2347" t="str">
        <f t="shared" si="221"/>
        <v/>
      </c>
    </row>
    <row r="2348" spans="1:12" ht="14.4" customHeight="1" x14ac:dyDescent="0.3">
      <c r="A2348">
        <v>190490555</v>
      </c>
      <c r="B2348" s="1">
        <v>45099</v>
      </c>
      <c r="D2348" t="s">
        <v>7</v>
      </c>
      <c r="E2348">
        <v>39</v>
      </c>
      <c r="F2348" t="s">
        <v>6</v>
      </c>
      <c r="G2348" t="str">
        <f t="shared" si="216"/>
        <v/>
      </c>
      <c r="H2348" s="1" t="str">
        <f t="shared" si="217"/>
        <v>Thursday</v>
      </c>
      <c r="I2348" t="str">
        <f t="shared" si="218"/>
        <v>No</v>
      </c>
      <c r="J2348">
        <f t="shared" si="219"/>
        <v>0</v>
      </c>
      <c r="K2348">
        <f t="shared" si="220"/>
        <v>0</v>
      </c>
      <c r="L2348" t="str">
        <f t="shared" si="221"/>
        <v/>
      </c>
    </row>
    <row r="2349" spans="1:12" ht="14.4" customHeight="1" x14ac:dyDescent="0.3">
      <c r="A2349">
        <v>122169020</v>
      </c>
      <c r="B2349" s="1">
        <v>45099</v>
      </c>
      <c r="C2349" s="1">
        <v>45100</v>
      </c>
      <c r="D2349" t="s">
        <v>7</v>
      </c>
      <c r="E2349">
        <v>39</v>
      </c>
      <c r="F2349" t="s">
        <v>6</v>
      </c>
      <c r="G2349">
        <f t="shared" si="216"/>
        <v>1</v>
      </c>
      <c r="H2349" s="1" t="str">
        <f t="shared" si="217"/>
        <v>Thursday</v>
      </c>
      <c r="I2349" t="str">
        <f t="shared" si="218"/>
        <v>No</v>
      </c>
      <c r="J2349">
        <f t="shared" si="219"/>
        <v>1</v>
      </c>
      <c r="K2349">
        <f t="shared" si="220"/>
        <v>0</v>
      </c>
      <c r="L2349">
        <f t="shared" si="221"/>
        <v>1</v>
      </c>
    </row>
    <row r="2350" spans="1:12" ht="14.4" customHeight="1" x14ac:dyDescent="0.3">
      <c r="A2350">
        <v>217628239</v>
      </c>
      <c r="B2350" s="1">
        <v>45099</v>
      </c>
      <c r="C2350" s="1">
        <v>45100</v>
      </c>
      <c r="D2350" t="s">
        <v>8</v>
      </c>
      <c r="E2350">
        <v>39</v>
      </c>
      <c r="F2350" t="s">
        <v>6</v>
      </c>
      <c r="G2350">
        <f t="shared" si="216"/>
        <v>1</v>
      </c>
      <c r="H2350" s="1" t="str">
        <f t="shared" si="217"/>
        <v>Thursday</v>
      </c>
      <c r="I2350" t="str">
        <f t="shared" si="218"/>
        <v>No</v>
      </c>
      <c r="J2350">
        <f t="shared" si="219"/>
        <v>1</v>
      </c>
      <c r="K2350">
        <f t="shared" si="220"/>
        <v>0</v>
      </c>
      <c r="L2350">
        <f t="shared" si="221"/>
        <v>1</v>
      </c>
    </row>
    <row r="2351" spans="1:12" ht="14.4" customHeight="1" x14ac:dyDescent="0.3">
      <c r="A2351">
        <v>148062219</v>
      </c>
      <c r="B2351" s="1">
        <v>45099</v>
      </c>
      <c r="C2351" s="1">
        <v>45126</v>
      </c>
      <c r="D2351" t="s">
        <v>7</v>
      </c>
      <c r="E2351">
        <v>39</v>
      </c>
      <c r="F2351" t="s">
        <v>6</v>
      </c>
      <c r="G2351">
        <f t="shared" si="216"/>
        <v>27</v>
      </c>
      <c r="H2351" s="1" t="str">
        <f t="shared" si="217"/>
        <v>Thursday</v>
      </c>
      <c r="I2351" t="str">
        <f t="shared" si="218"/>
        <v>No</v>
      </c>
      <c r="J2351">
        <f t="shared" si="219"/>
        <v>0</v>
      </c>
      <c r="K2351">
        <f t="shared" si="220"/>
        <v>0</v>
      </c>
      <c r="L2351">
        <f t="shared" si="221"/>
        <v>27</v>
      </c>
    </row>
    <row r="2352" spans="1:12" ht="14.4" customHeight="1" x14ac:dyDescent="0.3">
      <c r="A2352">
        <v>131505988</v>
      </c>
      <c r="B2352" s="1">
        <v>45099</v>
      </c>
      <c r="C2352" s="1">
        <v>45113</v>
      </c>
      <c r="D2352" t="s">
        <v>7</v>
      </c>
      <c r="E2352">
        <v>39</v>
      </c>
      <c r="F2352" t="s">
        <v>6</v>
      </c>
      <c r="G2352">
        <f t="shared" si="216"/>
        <v>14</v>
      </c>
      <c r="H2352" s="1" t="str">
        <f t="shared" si="217"/>
        <v>Thursday</v>
      </c>
      <c r="I2352" t="str">
        <f t="shared" si="218"/>
        <v>No</v>
      </c>
      <c r="J2352">
        <f t="shared" si="219"/>
        <v>0</v>
      </c>
      <c r="K2352">
        <f t="shared" si="220"/>
        <v>0</v>
      </c>
      <c r="L2352">
        <f t="shared" si="221"/>
        <v>14</v>
      </c>
    </row>
    <row r="2353" spans="1:12" ht="14.4" customHeight="1" x14ac:dyDescent="0.3">
      <c r="A2353">
        <v>215489398</v>
      </c>
      <c r="B2353" s="1">
        <v>45099</v>
      </c>
      <c r="C2353" s="1">
        <v>45099</v>
      </c>
      <c r="D2353" t="s">
        <v>7</v>
      </c>
      <c r="E2353">
        <v>39</v>
      </c>
      <c r="F2353" t="s">
        <v>6</v>
      </c>
      <c r="G2353">
        <f t="shared" si="216"/>
        <v>0</v>
      </c>
      <c r="H2353" s="1" t="str">
        <f t="shared" si="217"/>
        <v>Thursday</v>
      </c>
      <c r="I2353" t="str">
        <f t="shared" si="218"/>
        <v>Yes</v>
      </c>
      <c r="J2353">
        <f t="shared" si="219"/>
        <v>1</v>
      </c>
      <c r="K2353">
        <f t="shared" si="220"/>
        <v>0</v>
      </c>
      <c r="L2353">
        <f t="shared" si="221"/>
        <v>0</v>
      </c>
    </row>
    <row r="2354" spans="1:12" x14ac:dyDescent="0.3">
      <c r="A2354">
        <v>195285936</v>
      </c>
      <c r="B2354" s="1">
        <v>45099</v>
      </c>
      <c r="C2354" s="1">
        <v>45156</v>
      </c>
      <c r="D2354" t="s">
        <v>7</v>
      </c>
      <c r="E2354">
        <v>39</v>
      </c>
      <c r="F2354" t="s">
        <v>6</v>
      </c>
      <c r="G2354">
        <f t="shared" si="216"/>
        <v>57</v>
      </c>
      <c r="H2354" s="1" t="str">
        <f t="shared" si="217"/>
        <v>Thursday</v>
      </c>
      <c r="I2354" t="str">
        <f t="shared" si="218"/>
        <v>No</v>
      </c>
      <c r="J2354">
        <f t="shared" si="219"/>
        <v>0</v>
      </c>
      <c r="K2354">
        <f t="shared" si="220"/>
        <v>1</v>
      </c>
      <c r="L2354">
        <f t="shared" si="221"/>
        <v>57</v>
      </c>
    </row>
    <row r="2355" spans="1:12" ht="14.4" customHeight="1" x14ac:dyDescent="0.3">
      <c r="A2355">
        <v>217725764</v>
      </c>
      <c r="B2355" s="1">
        <v>45099</v>
      </c>
      <c r="C2355" s="1">
        <v>45104</v>
      </c>
      <c r="D2355" t="s">
        <v>7</v>
      </c>
      <c r="E2355">
        <v>39</v>
      </c>
      <c r="F2355" t="s">
        <v>6</v>
      </c>
      <c r="G2355">
        <f t="shared" si="216"/>
        <v>5</v>
      </c>
      <c r="H2355" s="1" t="str">
        <f t="shared" si="217"/>
        <v>Thursday</v>
      </c>
      <c r="I2355" t="str">
        <f t="shared" si="218"/>
        <v>No</v>
      </c>
      <c r="J2355">
        <f t="shared" si="219"/>
        <v>0</v>
      </c>
      <c r="K2355">
        <f t="shared" si="220"/>
        <v>0</v>
      </c>
      <c r="L2355">
        <f t="shared" si="221"/>
        <v>5</v>
      </c>
    </row>
    <row r="2356" spans="1:12" ht="14.4" customHeight="1" x14ac:dyDescent="0.3">
      <c r="A2356">
        <v>217730944</v>
      </c>
      <c r="B2356" s="1">
        <v>45099</v>
      </c>
      <c r="C2356" s="1">
        <v>45113</v>
      </c>
      <c r="D2356" t="s">
        <v>7</v>
      </c>
      <c r="E2356">
        <v>39</v>
      </c>
      <c r="F2356" t="s">
        <v>6</v>
      </c>
      <c r="G2356">
        <f t="shared" si="216"/>
        <v>14</v>
      </c>
      <c r="H2356" s="1" t="str">
        <f t="shared" si="217"/>
        <v>Thursday</v>
      </c>
      <c r="I2356" t="str">
        <f t="shared" si="218"/>
        <v>No</v>
      </c>
      <c r="J2356">
        <f t="shared" si="219"/>
        <v>0</v>
      </c>
      <c r="K2356">
        <f t="shared" si="220"/>
        <v>0</v>
      </c>
      <c r="L2356">
        <f t="shared" si="221"/>
        <v>14</v>
      </c>
    </row>
    <row r="2357" spans="1:12" ht="14.4" customHeight="1" x14ac:dyDescent="0.3">
      <c r="A2357">
        <v>205548571</v>
      </c>
      <c r="B2357" s="1">
        <v>45100</v>
      </c>
      <c r="D2357" t="s">
        <v>7</v>
      </c>
      <c r="E2357">
        <v>39</v>
      </c>
      <c r="F2357" t="s">
        <v>6</v>
      </c>
      <c r="G2357" t="str">
        <f t="shared" si="216"/>
        <v/>
      </c>
      <c r="H2357" s="1" t="str">
        <f t="shared" si="217"/>
        <v>Friday</v>
      </c>
      <c r="I2357" t="str">
        <f t="shared" si="218"/>
        <v>No</v>
      </c>
      <c r="J2357">
        <f t="shared" si="219"/>
        <v>0</v>
      </c>
      <c r="K2357">
        <f t="shared" si="220"/>
        <v>0</v>
      </c>
      <c r="L2357" t="str">
        <f t="shared" si="221"/>
        <v/>
      </c>
    </row>
    <row r="2358" spans="1:12" ht="14.4" customHeight="1" x14ac:dyDescent="0.3">
      <c r="A2358">
        <v>188085249</v>
      </c>
      <c r="B2358" s="1">
        <v>45100</v>
      </c>
      <c r="D2358" t="s">
        <v>7</v>
      </c>
      <c r="E2358">
        <v>39</v>
      </c>
      <c r="F2358" t="s">
        <v>6</v>
      </c>
      <c r="G2358" t="str">
        <f t="shared" si="216"/>
        <v/>
      </c>
      <c r="H2358" s="1" t="str">
        <f t="shared" si="217"/>
        <v>Friday</v>
      </c>
      <c r="I2358" t="str">
        <f t="shared" si="218"/>
        <v>No</v>
      </c>
      <c r="J2358">
        <f t="shared" si="219"/>
        <v>0</v>
      </c>
      <c r="K2358">
        <f t="shared" si="220"/>
        <v>0</v>
      </c>
      <c r="L2358" t="str">
        <f t="shared" si="221"/>
        <v/>
      </c>
    </row>
    <row r="2359" spans="1:12" ht="14.4" customHeight="1" x14ac:dyDescent="0.3">
      <c r="A2359">
        <v>206697535</v>
      </c>
      <c r="B2359" s="1">
        <v>45100</v>
      </c>
      <c r="D2359" t="s">
        <v>7</v>
      </c>
      <c r="E2359">
        <v>39</v>
      </c>
      <c r="F2359" t="s">
        <v>6</v>
      </c>
      <c r="G2359" t="str">
        <f t="shared" si="216"/>
        <v/>
      </c>
      <c r="H2359" s="1" t="str">
        <f t="shared" si="217"/>
        <v>Friday</v>
      </c>
      <c r="I2359" t="str">
        <f t="shared" si="218"/>
        <v>No</v>
      </c>
      <c r="J2359">
        <f t="shared" si="219"/>
        <v>0</v>
      </c>
      <c r="K2359">
        <f t="shared" si="220"/>
        <v>0</v>
      </c>
      <c r="L2359" t="str">
        <f t="shared" si="221"/>
        <v/>
      </c>
    </row>
    <row r="2360" spans="1:12" ht="14.4" customHeight="1" x14ac:dyDescent="0.3">
      <c r="A2360">
        <v>152705871</v>
      </c>
      <c r="B2360" s="1">
        <v>45100</v>
      </c>
      <c r="D2360" t="s">
        <v>7</v>
      </c>
      <c r="E2360">
        <v>39</v>
      </c>
      <c r="F2360" t="s">
        <v>6</v>
      </c>
      <c r="G2360" t="str">
        <f t="shared" si="216"/>
        <v/>
      </c>
      <c r="H2360" s="1" t="str">
        <f t="shared" si="217"/>
        <v>Friday</v>
      </c>
      <c r="I2360" t="str">
        <f t="shared" si="218"/>
        <v>No</v>
      </c>
      <c r="J2360">
        <f t="shared" si="219"/>
        <v>0</v>
      </c>
      <c r="K2360">
        <f t="shared" si="220"/>
        <v>0</v>
      </c>
      <c r="L2360" t="str">
        <f t="shared" si="221"/>
        <v/>
      </c>
    </row>
    <row r="2361" spans="1:12" ht="14.4" customHeight="1" x14ac:dyDescent="0.3">
      <c r="A2361">
        <v>216139584</v>
      </c>
      <c r="B2361" s="1">
        <v>45100</v>
      </c>
      <c r="D2361" t="s">
        <v>7</v>
      </c>
      <c r="E2361">
        <v>39</v>
      </c>
      <c r="F2361" t="s">
        <v>6</v>
      </c>
      <c r="G2361" t="str">
        <f t="shared" si="216"/>
        <v/>
      </c>
      <c r="H2361" s="1" t="str">
        <f t="shared" si="217"/>
        <v>Friday</v>
      </c>
      <c r="I2361" t="str">
        <f t="shared" si="218"/>
        <v>No</v>
      </c>
      <c r="J2361">
        <f t="shared" si="219"/>
        <v>0</v>
      </c>
      <c r="K2361">
        <f t="shared" si="220"/>
        <v>0</v>
      </c>
      <c r="L2361" t="str">
        <f t="shared" si="221"/>
        <v/>
      </c>
    </row>
    <row r="2362" spans="1:12" ht="14.4" customHeight="1" x14ac:dyDescent="0.3">
      <c r="A2362">
        <v>127716285</v>
      </c>
      <c r="B2362" s="1">
        <v>45100</v>
      </c>
      <c r="D2362" t="s">
        <v>7</v>
      </c>
      <c r="E2362">
        <v>39</v>
      </c>
      <c r="F2362" t="s">
        <v>6</v>
      </c>
      <c r="G2362" t="str">
        <f t="shared" si="216"/>
        <v/>
      </c>
      <c r="H2362" s="1" t="str">
        <f t="shared" si="217"/>
        <v>Friday</v>
      </c>
      <c r="I2362" t="str">
        <f t="shared" si="218"/>
        <v>No</v>
      </c>
      <c r="J2362">
        <f t="shared" si="219"/>
        <v>0</v>
      </c>
      <c r="K2362">
        <f t="shared" si="220"/>
        <v>0</v>
      </c>
      <c r="L2362" t="str">
        <f t="shared" si="221"/>
        <v/>
      </c>
    </row>
    <row r="2363" spans="1:12" x14ac:dyDescent="0.3">
      <c r="A2363">
        <v>138535334</v>
      </c>
      <c r="B2363" s="1">
        <v>45100</v>
      </c>
      <c r="C2363" s="1">
        <v>45161</v>
      </c>
      <c r="D2363" t="s">
        <v>7</v>
      </c>
      <c r="E2363">
        <v>39</v>
      </c>
      <c r="F2363" t="s">
        <v>6</v>
      </c>
      <c r="G2363">
        <f t="shared" si="216"/>
        <v>61</v>
      </c>
      <c r="H2363" s="1" t="str">
        <f t="shared" si="217"/>
        <v>Friday</v>
      </c>
      <c r="I2363" t="str">
        <f t="shared" si="218"/>
        <v>No</v>
      </c>
      <c r="J2363">
        <f t="shared" si="219"/>
        <v>0</v>
      </c>
      <c r="K2363">
        <f t="shared" si="220"/>
        <v>1</v>
      </c>
      <c r="L2363">
        <f t="shared" si="221"/>
        <v>61</v>
      </c>
    </row>
    <row r="2364" spans="1:12" x14ac:dyDescent="0.3">
      <c r="A2364">
        <v>205869717</v>
      </c>
      <c r="B2364" s="1">
        <v>45100</v>
      </c>
      <c r="C2364" s="1">
        <v>45168</v>
      </c>
      <c r="D2364" t="s">
        <v>7</v>
      </c>
      <c r="E2364">
        <v>39</v>
      </c>
      <c r="F2364" t="s">
        <v>6</v>
      </c>
      <c r="G2364">
        <f t="shared" si="216"/>
        <v>68</v>
      </c>
      <c r="H2364" s="1" t="str">
        <f t="shared" si="217"/>
        <v>Friday</v>
      </c>
      <c r="I2364" t="str">
        <f t="shared" si="218"/>
        <v>No</v>
      </c>
      <c r="J2364">
        <f t="shared" si="219"/>
        <v>0</v>
      </c>
      <c r="K2364">
        <f t="shared" si="220"/>
        <v>1</v>
      </c>
      <c r="L2364">
        <f t="shared" si="221"/>
        <v>68</v>
      </c>
    </row>
    <row r="2365" spans="1:12" x14ac:dyDescent="0.3">
      <c r="A2365">
        <v>204985013</v>
      </c>
      <c r="B2365" s="1">
        <v>45100</v>
      </c>
      <c r="C2365" s="1">
        <v>45150</v>
      </c>
      <c r="D2365" t="s">
        <v>7</v>
      </c>
      <c r="E2365">
        <v>39</v>
      </c>
      <c r="F2365" t="s">
        <v>6</v>
      </c>
      <c r="G2365">
        <f t="shared" si="216"/>
        <v>50</v>
      </c>
      <c r="H2365" s="1" t="str">
        <f t="shared" si="217"/>
        <v>Friday</v>
      </c>
      <c r="I2365" t="str">
        <f t="shared" si="218"/>
        <v>No</v>
      </c>
      <c r="J2365">
        <f t="shared" si="219"/>
        <v>0</v>
      </c>
      <c r="K2365">
        <f t="shared" si="220"/>
        <v>1</v>
      </c>
      <c r="L2365">
        <f t="shared" si="221"/>
        <v>50</v>
      </c>
    </row>
    <row r="2366" spans="1:12" ht="14.4" customHeight="1" x14ac:dyDescent="0.3">
      <c r="A2366">
        <v>217763600</v>
      </c>
      <c r="B2366" s="1">
        <v>45101</v>
      </c>
      <c r="D2366" t="s">
        <v>7</v>
      </c>
      <c r="E2366">
        <v>39</v>
      </c>
      <c r="F2366" t="s">
        <v>6</v>
      </c>
      <c r="G2366" t="str">
        <f t="shared" si="216"/>
        <v/>
      </c>
      <c r="H2366" s="1" t="str">
        <f t="shared" si="217"/>
        <v>Saturday</v>
      </c>
      <c r="I2366" t="str">
        <f t="shared" si="218"/>
        <v>No</v>
      </c>
      <c r="J2366">
        <f t="shared" si="219"/>
        <v>0</v>
      </c>
      <c r="K2366">
        <f t="shared" si="220"/>
        <v>0</v>
      </c>
      <c r="L2366" t="str">
        <f t="shared" si="221"/>
        <v/>
      </c>
    </row>
    <row r="2367" spans="1:12" ht="14.4" customHeight="1" x14ac:dyDescent="0.3">
      <c r="A2367">
        <v>217808731</v>
      </c>
      <c r="B2367" s="1">
        <v>45101</v>
      </c>
      <c r="C2367" s="1">
        <v>45102</v>
      </c>
      <c r="D2367" t="s">
        <v>8</v>
      </c>
      <c r="E2367">
        <v>39</v>
      </c>
      <c r="F2367" t="s">
        <v>6</v>
      </c>
      <c r="G2367">
        <f t="shared" si="216"/>
        <v>1</v>
      </c>
      <c r="H2367" s="1" t="str">
        <f t="shared" si="217"/>
        <v>Saturday</v>
      </c>
      <c r="I2367" t="str">
        <f t="shared" si="218"/>
        <v>No</v>
      </c>
      <c r="J2367">
        <f t="shared" si="219"/>
        <v>1</v>
      </c>
      <c r="K2367">
        <f t="shared" si="220"/>
        <v>0</v>
      </c>
      <c r="L2367">
        <f t="shared" si="221"/>
        <v>1</v>
      </c>
    </row>
    <row r="2368" spans="1:12" x14ac:dyDescent="0.3">
      <c r="A2368">
        <v>217822232</v>
      </c>
      <c r="B2368" s="1">
        <v>45101</v>
      </c>
      <c r="C2368" s="1">
        <v>45143</v>
      </c>
      <c r="D2368" t="s">
        <v>7</v>
      </c>
      <c r="E2368">
        <v>39</v>
      </c>
      <c r="F2368" t="s">
        <v>6</v>
      </c>
      <c r="G2368">
        <f t="shared" si="216"/>
        <v>42</v>
      </c>
      <c r="H2368" s="1" t="str">
        <f t="shared" si="217"/>
        <v>Saturday</v>
      </c>
      <c r="I2368" t="str">
        <f t="shared" si="218"/>
        <v>No</v>
      </c>
      <c r="J2368">
        <f t="shared" si="219"/>
        <v>0</v>
      </c>
      <c r="K2368">
        <f t="shared" si="220"/>
        <v>1</v>
      </c>
      <c r="L2368">
        <f t="shared" si="221"/>
        <v>42</v>
      </c>
    </row>
    <row r="2369" spans="1:12" ht="14.4" customHeight="1" x14ac:dyDescent="0.3">
      <c r="A2369">
        <v>217718093</v>
      </c>
      <c r="B2369" s="1">
        <v>45102</v>
      </c>
      <c r="D2369" t="s">
        <v>7</v>
      </c>
      <c r="E2369">
        <v>39</v>
      </c>
      <c r="F2369" t="s">
        <v>6</v>
      </c>
      <c r="G2369" t="str">
        <f t="shared" si="216"/>
        <v/>
      </c>
      <c r="H2369" s="1" t="str">
        <f t="shared" si="217"/>
        <v>Sunday</v>
      </c>
      <c r="I2369" t="str">
        <f t="shared" si="218"/>
        <v>No</v>
      </c>
      <c r="J2369">
        <f t="shared" si="219"/>
        <v>0</v>
      </c>
      <c r="K2369">
        <f t="shared" si="220"/>
        <v>0</v>
      </c>
      <c r="L2369" t="str">
        <f t="shared" si="221"/>
        <v/>
      </c>
    </row>
    <row r="2370" spans="1:12" ht="14.4" customHeight="1" x14ac:dyDescent="0.3">
      <c r="A2370">
        <v>217555660</v>
      </c>
      <c r="B2370" s="1">
        <v>45102</v>
      </c>
      <c r="D2370" t="s">
        <v>7</v>
      </c>
      <c r="E2370">
        <v>39</v>
      </c>
      <c r="F2370" t="s">
        <v>6</v>
      </c>
      <c r="G2370" t="str">
        <f t="shared" ref="G2370:G2433" si="222">IF(C2370="","",C2370-B2370)</f>
        <v/>
      </c>
      <c r="H2370" s="1" t="str">
        <f t="shared" si="217"/>
        <v>Sunday</v>
      </c>
      <c r="I2370" t="str">
        <f t="shared" si="218"/>
        <v>No</v>
      </c>
      <c r="J2370">
        <f t="shared" si="219"/>
        <v>0</v>
      </c>
      <c r="K2370">
        <f t="shared" si="220"/>
        <v>0</v>
      </c>
      <c r="L2370" t="str">
        <f t="shared" si="221"/>
        <v/>
      </c>
    </row>
    <row r="2371" spans="1:12" ht="14.4" customHeight="1" x14ac:dyDescent="0.3">
      <c r="A2371">
        <v>154535908</v>
      </c>
      <c r="B2371" s="1">
        <v>45102</v>
      </c>
      <c r="D2371" t="s">
        <v>7</v>
      </c>
      <c r="E2371">
        <v>39</v>
      </c>
      <c r="F2371" t="s">
        <v>6</v>
      </c>
      <c r="G2371" t="str">
        <f t="shared" si="222"/>
        <v/>
      </c>
      <c r="H2371" s="1" t="str">
        <f t="shared" ref="H2371:H2434" si="223">TEXT(B2371,"dddd")</f>
        <v>Sunday</v>
      </c>
      <c r="I2371" t="str">
        <f t="shared" ref="I2371:I2434" si="224">IF(B2371=C2371,"Yes","No")</f>
        <v>No</v>
      </c>
      <c r="J2371">
        <f t="shared" ref="J2371:J2434" si="225">IF(AND(C2371&lt;&gt;"",C2371-B2371&lt;=2),1,0)</f>
        <v>0</v>
      </c>
      <c r="K2371">
        <f t="shared" ref="K2371:K2434" si="226">IF(AND(C2371&lt;&gt;"",C2371-B2371&gt;30),1,0)</f>
        <v>0</v>
      </c>
      <c r="L2371" t="str">
        <f t="shared" ref="L2371:L2434" si="227">IF(C2371="","",C2371-B2371)</f>
        <v/>
      </c>
    </row>
    <row r="2372" spans="1:12" x14ac:dyDescent="0.3">
      <c r="A2372">
        <v>217554744</v>
      </c>
      <c r="B2372" s="1">
        <v>45102</v>
      </c>
      <c r="C2372" s="1">
        <v>45139</v>
      </c>
      <c r="D2372" t="s">
        <v>7</v>
      </c>
      <c r="E2372">
        <v>39</v>
      </c>
      <c r="F2372" t="s">
        <v>6</v>
      </c>
      <c r="G2372">
        <f t="shared" si="222"/>
        <v>37</v>
      </c>
      <c r="H2372" s="1" t="str">
        <f t="shared" si="223"/>
        <v>Sunday</v>
      </c>
      <c r="I2372" t="str">
        <f t="shared" si="224"/>
        <v>No</v>
      </c>
      <c r="J2372">
        <f t="shared" si="225"/>
        <v>0</v>
      </c>
      <c r="K2372">
        <f t="shared" si="226"/>
        <v>1</v>
      </c>
      <c r="L2372">
        <f t="shared" si="227"/>
        <v>37</v>
      </c>
    </row>
    <row r="2373" spans="1:12" ht="14.4" customHeight="1" x14ac:dyDescent="0.3">
      <c r="A2373">
        <v>217877324</v>
      </c>
      <c r="B2373" s="1">
        <v>45102</v>
      </c>
      <c r="C2373" s="1">
        <v>45102</v>
      </c>
      <c r="D2373" t="s">
        <v>7</v>
      </c>
      <c r="E2373">
        <v>39</v>
      </c>
      <c r="F2373" t="s">
        <v>6</v>
      </c>
      <c r="G2373">
        <f t="shared" si="222"/>
        <v>0</v>
      </c>
      <c r="H2373" s="1" t="str">
        <f t="shared" si="223"/>
        <v>Sunday</v>
      </c>
      <c r="I2373" t="str">
        <f t="shared" si="224"/>
        <v>Yes</v>
      </c>
      <c r="J2373">
        <f t="shared" si="225"/>
        <v>1</v>
      </c>
      <c r="K2373">
        <f t="shared" si="226"/>
        <v>0</v>
      </c>
      <c r="L2373">
        <f t="shared" si="227"/>
        <v>0</v>
      </c>
    </row>
    <row r="2374" spans="1:12" ht="14.4" customHeight="1" x14ac:dyDescent="0.3">
      <c r="A2374">
        <v>147765298</v>
      </c>
      <c r="B2374" s="1">
        <v>45103</v>
      </c>
      <c r="D2374" t="s">
        <v>7</v>
      </c>
      <c r="E2374">
        <v>39</v>
      </c>
      <c r="F2374" t="s">
        <v>6</v>
      </c>
      <c r="G2374" t="str">
        <f t="shared" si="222"/>
        <v/>
      </c>
      <c r="H2374" s="1" t="str">
        <f t="shared" si="223"/>
        <v>Monday</v>
      </c>
      <c r="I2374" t="str">
        <f t="shared" si="224"/>
        <v>No</v>
      </c>
      <c r="J2374">
        <f t="shared" si="225"/>
        <v>0</v>
      </c>
      <c r="K2374">
        <f t="shared" si="226"/>
        <v>0</v>
      </c>
      <c r="L2374" t="str">
        <f t="shared" si="227"/>
        <v/>
      </c>
    </row>
    <row r="2375" spans="1:12" ht="14.4" customHeight="1" x14ac:dyDescent="0.3">
      <c r="A2375">
        <v>217901196</v>
      </c>
      <c r="B2375" s="1">
        <v>45103</v>
      </c>
      <c r="D2375" t="s">
        <v>7</v>
      </c>
      <c r="E2375">
        <v>39</v>
      </c>
      <c r="F2375" t="s">
        <v>6</v>
      </c>
      <c r="G2375" t="str">
        <f t="shared" si="222"/>
        <v/>
      </c>
      <c r="H2375" s="1" t="str">
        <f t="shared" si="223"/>
        <v>Monday</v>
      </c>
      <c r="I2375" t="str">
        <f t="shared" si="224"/>
        <v>No</v>
      </c>
      <c r="J2375">
        <f t="shared" si="225"/>
        <v>0</v>
      </c>
      <c r="K2375">
        <f t="shared" si="226"/>
        <v>0</v>
      </c>
      <c r="L2375" t="str">
        <f t="shared" si="227"/>
        <v/>
      </c>
    </row>
    <row r="2376" spans="1:12" ht="14.4" customHeight="1" x14ac:dyDescent="0.3">
      <c r="A2376">
        <v>217266939</v>
      </c>
      <c r="B2376" s="1">
        <v>45103</v>
      </c>
      <c r="D2376" t="s">
        <v>7</v>
      </c>
      <c r="E2376">
        <v>39</v>
      </c>
      <c r="F2376" t="s">
        <v>6</v>
      </c>
      <c r="G2376" t="str">
        <f t="shared" si="222"/>
        <v/>
      </c>
      <c r="H2376" s="1" t="str">
        <f t="shared" si="223"/>
        <v>Monday</v>
      </c>
      <c r="I2376" t="str">
        <f t="shared" si="224"/>
        <v>No</v>
      </c>
      <c r="J2376">
        <f t="shared" si="225"/>
        <v>0</v>
      </c>
      <c r="K2376">
        <f t="shared" si="226"/>
        <v>0</v>
      </c>
      <c r="L2376" t="str">
        <f t="shared" si="227"/>
        <v/>
      </c>
    </row>
    <row r="2377" spans="1:12" ht="14.4" customHeight="1" x14ac:dyDescent="0.3">
      <c r="A2377">
        <v>204908076</v>
      </c>
      <c r="B2377" s="1">
        <v>45103</v>
      </c>
      <c r="D2377" t="s">
        <v>7</v>
      </c>
      <c r="E2377">
        <v>39</v>
      </c>
      <c r="F2377" t="s">
        <v>6</v>
      </c>
      <c r="G2377" t="str">
        <f t="shared" si="222"/>
        <v/>
      </c>
      <c r="H2377" s="1" t="str">
        <f t="shared" si="223"/>
        <v>Monday</v>
      </c>
      <c r="I2377" t="str">
        <f t="shared" si="224"/>
        <v>No</v>
      </c>
      <c r="J2377">
        <f t="shared" si="225"/>
        <v>0</v>
      </c>
      <c r="K2377">
        <f t="shared" si="226"/>
        <v>0</v>
      </c>
      <c r="L2377" t="str">
        <f t="shared" si="227"/>
        <v/>
      </c>
    </row>
    <row r="2378" spans="1:12" ht="14.4" customHeight="1" x14ac:dyDescent="0.3">
      <c r="A2378">
        <v>217698784</v>
      </c>
      <c r="B2378" s="1">
        <v>45103</v>
      </c>
      <c r="D2378" t="s">
        <v>7</v>
      </c>
      <c r="E2378">
        <v>39</v>
      </c>
      <c r="F2378" t="s">
        <v>6</v>
      </c>
      <c r="G2378" t="str">
        <f t="shared" si="222"/>
        <v/>
      </c>
      <c r="H2378" s="1" t="str">
        <f t="shared" si="223"/>
        <v>Monday</v>
      </c>
      <c r="I2378" t="str">
        <f t="shared" si="224"/>
        <v>No</v>
      </c>
      <c r="J2378">
        <f t="shared" si="225"/>
        <v>0</v>
      </c>
      <c r="K2378">
        <f t="shared" si="226"/>
        <v>0</v>
      </c>
      <c r="L2378" t="str">
        <f t="shared" si="227"/>
        <v/>
      </c>
    </row>
    <row r="2379" spans="1:12" ht="14.4" customHeight="1" x14ac:dyDescent="0.3">
      <c r="A2379">
        <v>217909024</v>
      </c>
      <c r="B2379" s="1">
        <v>45103</v>
      </c>
      <c r="D2379" t="s">
        <v>7</v>
      </c>
      <c r="E2379">
        <v>39</v>
      </c>
      <c r="F2379" t="s">
        <v>6</v>
      </c>
      <c r="G2379" t="str">
        <f t="shared" si="222"/>
        <v/>
      </c>
      <c r="H2379" s="1" t="str">
        <f t="shared" si="223"/>
        <v>Monday</v>
      </c>
      <c r="I2379" t="str">
        <f t="shared" si="224"/>
        <v>No</v>
      </c>
      <c r="J2379">
        <f t="shared" si="225"/>
        <v>0</v>
      </c>
      <c r="K2379">
        <f t="shared" si="226"/>
        <v>0</v>
      </c>
      <c r="L2379" t="str">
        <f t="shared" si="227"/>
        <v/>
      </c>
    </row>
    <row r="2380" spans="1:12" ht="14.4" customHeight="1" x14ac:dyDescent="0.3">
      <c r="A2380">
        <v>201498671</v>
      </c>
      <c r="B2380" s="1">
        <v>45103</v>
      </c>
      <c r="D2380" t="s">
        <v>7</v>
      </c>
      <c r="E2380">
        <v>39</v>
      </c>
      <c r="F2380" t="s">
        <v>6</v>
      </c>
      <c r="G2380" t="str">
        <f t="shared" si="222"/>
        <v/>
      </c>
      <c r="H2380" s="1" t="str">
        <f t="shared" si="223"/>
        <v>Monday</v>
      </c>
      <c r="I2380" t="str">
        <f t="shared" si="224"/>
        <v>No</v>
      </c>
      <c r="J2380">
        <f t="shared" si="225"/>
        <v>0</v>
      </c>
      <c r="K2380">
        <f t="shared" si="226"/>
        <v>0</v>
      </c>
      <c r="L2380" t="str">
        <f t="shared" si="227"/>
        <v/>
      </c>
    </row>
    <row r="2381" spans="1:12" ht="14.4" customHeight="1" x14ac:dyDescent="0.3">
      <c r="A2381">
        <v>217902650</v>
      </c>
      <c r="B2381" s="1">
        <v>45103</v>
      </c>
      <c r="D2381" t="s">
        <v>7</v>
      </c>
      <c r="E2381">
        <v>39</v>
      </c>
      <c r="F2381" t="s">
        <v>6</v>
      </c>
      <c r="G2381" t="str">
        <f t="shared" si="222"/>
        <v/>
      </c>
      <c r="H2381" s="1" t="str">
        <f t="shared" si="223"/>
        <v>Monday</v>
      </c>
      <c r="I2381" t="str">
        <f t="shared" si="224"/>
        <v>No</v>
      </c>
      <c r="J2381">
        <f t="shared" si="225"/>
        <v>0</v>
      </c>
      <c r="K2381">
        <f t="shared" si="226"/>
        <v>0</v>
      </c>
      <c r="L2381" t="str">
        <f t="shared" si="227"/>
        <v/>
      </c>
    </row>
    <row r="2382" spans="1:12" ht="14.4" customHeight="1" x14ac:dyDescent="0.3">
      <c r="A2382">
        <v>217896282</v>
      </c>
      <c r="B2382" s="1">
        <v>45103</v>
      </c>
      <c r="D2382" t="s">
        <v>7</v>
      </c>
      <c r="E2382">
        <v>39</v>
      </c>
      <c r="F2382" t="s">
        <v>6</v>
      </c>
      <c r="G2382" t="str">
        <f t="shared" si="222"/>
        <v/>
      </c>
      <c r="H2382" s="1" t="str">
        <f t="shared" si="223"/>
        <v>Monday</v>
      </c>
      <c r="I2382" t="str">
        <f t="shared" si="224"/>
        <v>No</v>
      </c>
      <c r="J2382">
        <f t="shared" si="225"/>
        <v>0</v>
      </c>
      <c r="K2382">
        <f t="shared" si="226"/>
        <v>0</v>
      </c>
      <c r="L2382" t="str">
        <f t="shared" si="227"/>
        <v/>
      </c>
    </row>
    <row r="2383" spans="1:12" ht="14.4" customHeight="1" x14ac:dyDescent="0.3">
      <c r="A2383">
        <v>217337901</v>
      </c>
      <c r="B2383" s="1">
        <v>45103</v>
      </c>
      <c r="D2383" t="s">
        <v>7</v>
      </c>
      <c r="E2383">
        <v>39</v>
      </c>
      <c r="F2383" t="s">
        <v>6</v>
      </c>
      <c r="G2383" t="str">
        <f t="shared" si="222"/>
        <v/>
      </c>
      <c r="H2383" s="1" t="str">
        <f t="shared" si="223"/>
        <v>Monday</v>
      </c>
      <c r="I2383" t="str">
        <f t="shared" si="224"/>
        <v>No</v>
      </c>
      <c r="J2383">
        <f t="shared" si="225"/>
        <v>0</v>
      </c>
      <c r="K2383">
        <f t="shared" si="226"/>
        <v>0</v>
      </c>
      <c r="L2383" t="str">
        <f t="shared" si="227"/>
        <v/>
      </c>
    </row>
    <row r="2384" spans="1:12" ht="14.4" customHeight="1" x14ac:dyDescent="0.3">
      <c r="A2384">
        <v>217477535</v>
      </c>
      <c r="B2384" s="1">
        <v>45103</v>
      </c>
      <c r="D2384" t="s">
        <v>7</v>
      </c>
      <c r="E2384">
        <v>39</v>
      </c>
      <c r="F2384" t="s">
        <v>6</v>
      </c>
      <c r="G2384" t="str">
        <f t="shared" si="222"/>
        <v/>
      </c>
      <c r="H2384" s="1" t="str">
        <f t="shared" si="223"/>
        <v>Monday</v>
      </c>
      <c r="I2384" t="str">
        <f t="shared" si="224"/>
        <v>No</v>
      </c>
      <c r="J2384">
        <f t="shared" si="225"/>
        <v>0</v>
      </c>
      <c r="K2384">
        <f t="shared" si="226"/>
        <v>0</v>
      </c>
      <c r="L2384" t="str">
        <f t="shared" si="227"/>
        <v/>
      </c>
    </row>
    <row r="2385" spans="1:12" ht="14.4" customHeight="1" x14ac:dyDescent="0.3">
      <c r="A2385">
        <v>217885621</v>
      </c>
      <c r="B2385" s="1">
        <v>45103</v>
      </c>
      <c r="D2385" t="s">
        <v>7</v>
      </c>
      <c r="E2385">
        <v>39</v>
      </c>
      <c r="F2385" t="s">
        <v>6</v>
      </c>
      <c r="G2385" t="str">
        <f t="shared" si="222"/>
        <v/>
      </c>
      <c r="H2385" s="1" t="str">
        <f t="shared" si="223"/>
        <v>Monday</v>
      </c>
      <c r="I2385" t="str">
        <f t="shared" si="224"/>
        <v>No</v>
      </c>
      <c r="J2385">
        <f t="shared" si="225"/>
        <v>0</v>
      </c>
      <c r="K2385">
        <f t="shared" si="226"/>
        <v>0</v>
      </c>
      <c r="L2385" t="str">
        <f t="shared" si="227"/>
        <v/>
      </c>
    </row>
    <row r="2386" spans="1:12" ht="14.4" customHeight="1" x14ac:dyDescent="0.3">
      <c r="A2386">
        <v>217714764</v>
      </c>
      <c r="B2386" s="1">
        <v>45103</v>
      </c>
      <c r="D2386" t="s">
        <v>7</v>
      </c>
      <c r="E2386">
        <v>39</v>
      </c>
      <c r="F2386" t="s">
        <v>6</v>
      </c>
      <c r="G2386" t="str">
        <f t="shared" si="222"/>
        <v/>
      </c>
      <c r="H2386" s="1" t="str">
        <f t="shared" si="223"/>
        <v>Monday</v>
      </c>
      <c r="I2386" t="str">
        <f t="shared" si="224"/>
        <v>No</v>
      </c>
      <c r="J2386">
        <f t="shared" si="225"/>
        <v>0</v>
      </c>
      <c r="K2386">
        <f t="shared" si="226"/>
        <v>0</v>
      </c>
      <c r="L2386" t="str">
        <f t="shared" si="227"/>
        <v/>
      </c>
    </row>
    <row r="2387" spans="1:12" x14ac:dyDescent="0.3">
      <c r="A2387">
        <v>217335548</v>
      </c>
      <c r="B2387" s="1">
        <v>45103</v>
      </c>
      <c r="C2387" s="1">
        <v>45175</v>
      </c>
      <c r="D2387" t="s">
        <v>7</v>
      </c>
      <c r="E2387">
        <v>39</v>
      </c>
      <c r="F2387" t="s">
        <v>6</v>
      </c>
      <c r="G2387">
        <f t="shared" si="222"/>
        <v>72</v>
      </c>
      <c r="H2387" s="1" t="str">
        <f t="shared" si="223"/>
        <v>Monday</v>
      </c>
      <c r="I2387" t="str">
        <f t="shared" si="224"/>
        <v>No</v>
      </c>
      <c r="J2387">
        <f t="shared" si="225"/>
        <v>0</v>
      </c>
      <c r="K2387">
        <f t="shared" si="226"/>
        <v>1</v>
      </c>
      <c r="L2387">
        <f t="shared" si="227"/>
        <v>72</v>
      </c>
    </row>
    <row r="2388" spans="1:12" ht="14.4" customHeight="1" x14ac:dyDescent="0.3">
      <c r="A2388">
        <v>129747676</v>
      </c>
      <c r="B2388" s="1">
        <v>45103</v>
      </c>
      <c r="C2388" s="1">
        <v>45104</v>
      </c>
      <c r="D2388" t="s">
        <v>7</v>
      </c>
      <c r="E2388">
        <v>39</v>
      </c>
      <c r="F2388" t="s">
        <v>6</v>
      </c>
      <c r="G2388">
        <f t="shared" si="222"/>
        <v>1</v>
      </c>
      <c r="H2388" s="1" t="str">
        <f t="shared" si="223"/>
        <v>Monday</v>
      </c>
      <c r="I2388" t="str">
        <f t="shared" si="224"/>
        <v>No</v>
      </c>
      <c r="J2388">
        <f t="shared" si="225"/>
        <v>1</v>
      </c>
      <c r="K2388">
        <f t="shared" si="226"/>
        <v>0</v>
      </c>
      <c r="L2388">
        <f t="shared" si="227"/>
        <v>1</v>
      </c>
    </row>
    <row r="2389" spans="1:12" ht="14.4" customHeight="1" x14ac:dyDescent="0.3">
      <c r="A2389">
        <v>217846698</v>
      </c>
      <c r="B2389" s="1">
        <v>45103</v>
      </c>
      <c r="C2389" s="1">
        <v>45104</v>
      </c>
      <c r="D2389" t="s">
        <v>8</v>
      </c>
      <c r="E2389">
        <v>39</v>
      </c>
      <c r="F2389" t="s">
        <v>6</v>
      </c>
      <c r="G2389">
        <f t="shared" si="222"/>
        <v>1</v>
      </c>
      <c r="H2389" s="1" t="str">
        <f t="shared" si="223"/>
        <v>Monday</v>
      </c>
      <c r="I2389" t="str">
        <f t="shared" si="224"/>
        <v>No</v>
      </c>
      <c r="J2389">
        <f t="shared" si="225"/>
        <v>1</v>
      </c>
      <c r="K2389">
        <f t="shared" si="226"/>
        <v>0</v>
      </c>
      <c r="L2389">
        <f t="shared" si="227"/>
        <v>1</v>
      </c>
    </row>
    <row r="2390" spans="1:12" ht="14.4" customHeight="1" x14ac:dyDescent="0.3">
      <c r="A2390">
        <v>217965791</v>
      </c>
      <c r="B2390" s="1">
        <v>45104</v>
      </c>
      <c r="D2390" t="s">
        <v>7</v>
      </c>
      <c r="E2390">
        <v>39</v>
      </c>
      <c r="F2390" t="s">
        <v>6</v>
      </c>
      <c r="G2390" t="str">
        <f t="shared" si="222"/>
        <v/>
      </c>
      <c r="H2390" s="1" t="str">
        <f t="shared" si="223"/>
        <v>Tuesday</v>
      </c>
      <c r="I2390" t="str">
        <f t="shared" si="224"/>
        <v>No</v>
      </c>
      <c r="J2390">
        <f t="shared" si="225"/>
        <v>0</v>
      </c>
      <c r="K2390">
        <f t="shared" si="226"/>
        <v>0</v>
      </c>
      <c r="L2390" t="str">
        <f t="shared" si="227"/>
        <v/>
      </c>
    </row>
    <row r="2391" spans="1:12" ht="14.4" customHeight="1" x14ac:dyDescent="0.3">
      <c r="A2391">
        <v>217851124</v>
      </c>
      <c r="B2391" s="1">
        <v>45104</v>
      </c>
      <c r="D2391" t="s">
        <v>7</v>
      </c>
      <c r="E2391">
        <v>39</v>
      </c>
      <c r="F2391" t="s">
        <v>6</v>
      </c>
      <c r="G2391" t="str">
        <f t="shared" si="222"/>
        <v/>
      </c>
      <c r="H2391" s="1" t="str">
        <f t="shared" si="223"/>
        <v>Tuesday</v>
      </c>
      <c r="I2391" t="str">
        <f t="shared" si="224"/>
        <v>No</v>
      </c>
      <c r="J2391">
        <f t="shared" si="225"/>
        <v>0</v>
      </c>
      <c r="K2391">
        <f t="shared" si="226"/>
        <v>0</v>
      </c>
      <c r="L2391" t="str">
        <f t="shared" si="227"/>
        <v/>
      </c>
    </row>
    <row r="2392" spans="1:12" ht="14.4" customHeight="1" x14ac:dyDescent="0.3">
      <c r="A2392">
        <v>217861903</v>
      </c>
      <c r="B2392" s="1">
        <v>45104</v>
      </c>
      <c r="D2392" t="s">
        <v>7</v>
      </c>
      <c r="E2392">
        <v>39</v>
      </c>
      <c r="F2392" t="s">
        <v>6</v>
      </c>
      <c r="G2392" t="str">
        <f t="shared" si="222"/>
        <v/>
      </c>
      <c r="H2392" s="1" t="str">
        <f t="shared" si="223"/>
        <v>Tuesday</v>
      </c>
      <c r="I2392" t="str">
        <f t="shared" si="224"/>
        <v>No</v>
      </c>
      <c r="J2392">
        <f t="shared" si="225"/>
        <v>0</v>
      </c>
      <c r="K2392">
        <f t="shared" si="226"/>
        <v>0</v>
      </c>
      <c r="L2392" t="str">
        <f t="shared" si="227"/>
        <v/>
      </c>
    </row>
    <row r="2393" spans="1:12" ht="14.4" customHeight="1" x14ac:dyDescent="0.3">
      <c r="A2393">
        <v>217660423</v>
      </c>
      <c r="B2393" s="1">
        <v>45104</v>
      </c>
      <c r="D2393" t="s">
        <v>7</v>
      </c>
      <c r="E2393">
        <v>39</v>
      </c>
      <c r="F2393" t="s">
        <v>6</v>
      </c>
      <c r="G2393" t="str">
        <f t="shared" si="222"/>
        <v/>
      </c>
      <c r="H2393" s="1" t="str">
        <f t="shared" si="223"/>
        <v>Tuesday</v>
      </c>
      <c r="I2393" t="str">
        <f t="shared" si="224"/>
        <v>No</v>
      </c>
      <c r="J2393">
        <f t="shared" si="225"/>
        <v>0</v>
      </c>
      <c r="K2393">
        <f t="shared" si="226"/>
        <v>0</v>
      </c>
      <c r="L2393" t="str">
        <f t="shared" si="227"/>
        <v/>
      </c>
    </row>
    <row r="2394" spans="1:12" ht="14.4" customHeight="1" x14ac:dyDescent="0.3">
      <c r="A2394">
        <v>217814342</v>
      </c>
      <c r="B2394" s="1">
        <v>45104</v>
      </c>
      <c r="D2394" t="s">
        <v>7</v>
      </c>
      <c r="E2394">
        <v>39</v>
      </c>
      <c r="F2394" t="s">
        <v>6</v>
      </c>
      <c r="G2394" t="str">
        <f t="shared" si="222"/>
        <v/>
      </c>
      <c r="H2394" s="1" t="str">
        <f t="shared" si="223"/>
        <v>Tuesday</v>
      </c>
      <c r="I2394" t="str">
        <f t="shared" si="224"/>
        <v>No</v>
      </c>
      <c r="J2394">
        <f t="shared" si="225"/>
        <v>0</v>
      </c>
      <c r="K2394">
        <f t="shared" si="226"/>
        <v>0</v>
      </c>
      <c r="L2394" t="str">
        <f t="shared" si="227"/>
        <v/>
      </c>
    </row>
    <row r="2395" spans="1:12" ht="14.4" customHeight="1" x14ac:dyDescent="0.3">
      <c r="A2395">
        <v>157548765</v>
      </c>
      <c r="B2395" s="1">
        <v>45104</v>
      </c>
      <c r="C2395" s="1">
        <v>45105</v>
      </c>
      <c r="D2395" t="s">
        <v>8</v>
      </c>
      <c r="E2395">
        <v>39</v>
      </c>
      <c r="F2395" t="s">
        <v>6</v>
      </c>
      <c r="G2395">
        <f t="shared" si="222"/>
        <v>1</v>
      </c>
      <c r="H2395" s="1" t="str">
        <f t="shared" si="223"/>
        <v>Tuesday</v>
      </c>
      <c r="I2395" t="str">
        <f t="shared" si="224"/>
        <v>No</v>
      </c>
      <c r="J2395">
        <f t="shared" si="225"/>
        <v>1</v>
      </c>
      <c r="K2395">
        <f t="shared" si="226"/>
        <v>0</v>
      </c>
      <c r="L2395">
        <f t="shared" si="227"/>
        <v>1</v>
      </c>
    </row>
    <row r="2396" spans="1:12" ht="14.4" customHeight="1" x14ac:dyDescent="0.3">
      <c r="A2396">
        <v>217934288</v>
      </c>
      <c r="B2396" s="1">
        <v>45104</v>
      </c>
      <c r="C2396" s="1">
        <v>45105</v>
      </c>
      <c r="D2396" t="s">
        <v>8</v>
      </c>
      <c r="E2396">
        <v>39</v>
      </c>
      <c r="F2396" t="s">
        <v>6</v>
      </c>
      <c r="G2396">
        <f t="shared" si="222"/>
        <v>1</v>
      </c>
      <c r="H2396" s="1" t="str">
        <f t="shared" si="223"/>
        <v>Tuesday</v>
      </c>
      <c r="I2396" t="str">
        <f t="shared" si="224"/>
        <v>No</v>
      </c>
      <c r="J2396">
        <f t="shared" si="225"/>
        <v>1</v>
      </c>
      <c r="K2396">
        <f t="shared" si="226"/>
        <v>0</v>
      </c>
      <c r="L2396">
        <f t="shared" si="227"/>
        <v>1</v>
      </c>
    </row>
    <row r="2397" spans="1:12" ht="14.4" customHeight="1" x14ac:dyDescent="0.3">
      <c r="A2397">
        <v>217855786</v>
      </c>
      <c r="B2397" s="1">
        <v>45104</v>
      </c>
      <c r="C2397" s="1">
        <v>45105</v>
      </c>
      <c r="D2397" t="s">
        <v>8</v>
      </c>
      <c r="E2397">
        <v>39</v>
      </c>
      <c r="F2397" t="s">
        <v>6</v>
      </c>
      <c r="G2397">
        <f t="shared" si="222"/>
        <v>1</v>
      </c>
      <c r="H2397" s="1" t="str">
        <f t="shared" si="223"/>
        <v>Tuesday</v>
      </c>
      <c r="I2397" t="str">
        <f t="shared" si="224"/>
        <v>No</v>
      </c>
      <c r="J2397">
        <f t="shared" si="225"/>
        <v>1</v>
      </c>
      <c r="K2397">
        <f t="shared" si="226"/>
        <v>0</v>
      </c>
      <c r="L2397">
        <f t="shared" si="227"/>
        <v>1</v>
      </c>
    </row>
    <row r="2398" spans="1:12" x14ac:dyDescent="0.3">
      <c r="A2398">
        <v>131753677</v>
      </c>
      <c r="B2398" s="1">
        <v>45104</v>
      </c>
      <c r="C2398" s="1">
        <v>45153</v>
      </c>
      <c r="D2398" t="s">
        <v>7</v>
      </c>
      <c r="E2398">
        <v>39</v>
      </c>
      <c r="F2398" t="s">
        <v>6</v>
      </c>
      <c r="G2398">
        <f t="shared" si="222"/>
        <v>49</v>
      </c>
      <c r="H2398" s="1" t="str">
        <f t="shared" si="223"/>
        <v>Tuesday</v>
      </c>
      <c r="I2398" t="str">
        <f t="shared" si="224"/>
        <v>No</v>
      </c>
      <c r="J2398">
        <f t="shared" si="225"/>
        <v>0</v>
      </c>
      <c r="K2398">
        <f t="shared" si="226"/>
        <v>1</v>
      </c>
      <c r="L2398">
        <f t="shared" si="227"/>
        <v>49</v>
      </c>
    </row>
    <row r="2399" spans="1:12" x14ac:dyDescent="0.3">
      <c r="A2399">
        <v>215963364</v>
      </c>
      <c r="B2399" s="1">
        <v>45104</v>
      </c>
      <c r="C2399" s="1">
        <v>45172</v>
      </c>
      <c r="D2399" t="s">
        <v>7</v>
      </c>
      <c r="E2399">
        <v>39</v>
      </c>
      <c r="F2399" t="s">
        <v>6</v>
      </c>
      <c r="G2399">
        <f t="shared" si="222"/>
        <v>68</v>
      </c>
      <c r="H2399" s="1" t="str">
        <f t="shared" si="223"/>
        <v>Tuesday</v>
      </c>
      <c r="I2399" t="str">
        <f t="shared" si="224"/>
        <v>No</v>
      </c>
      <c r="J2399">
        <f t="shared" si="225"/>
        <v>0</v>
      </c>
      <c r="K2399">
        <f t="shared" si="226"/>
        <v>1</v>
      </c>
      <c r="L2399">
        <f t="shared" si="227"/>
        <v>68</v>
      </c>
    </row>
    <row r="2400" spans="1:12" ht="14.4" customHeight="1" x14ac:dyDescent="0.3">
      <c r="A2400">
        <v>217971206</v>
      </c>
      <c r="B2400" s="1">
        <v>45104</v>
      </c>
      <c r="C2400" s="1">
        <v>45125</v>
      </c>
      <c r="D2400" t="s">
        <v>7</v>
      </c>
      <c r="E2400">
        <v>39</v>
      </c>
      <c r="F2400" t="s">
        <v>6</v>
      </c>
      <c r="G2400">
        <f t="shared" si="222"/>
        <v>21</v>
      </c>
      <c r="H2400" s="1" t="str">
        <f t="shared" si="223"/>
        <v>Tuesday</v>
      </c>
      <c r="I2400" t="str">
        <f t="shared" si="224"/>
        <v>No</v>
      </c>
      <c r="J2400">
        <f t="shared" si="225"/>
        <v>0</v>
      </c>
      <c r="K2400">
        <f t="shared" si="226"/>
        <v>0</v>
      </c>
      <c r="L2400">
        <f t="shared" si="227"/>
        <v>21</v>
      </c>
    </row>
    <row r="2401" spans="1:12" ht="14.4" customHeight="1" x14ac:dyDescent="0.3">
      <c r="A2401">
        <v>217943053</v>
      </c>
      <c r="B2401" s="1">
        <v>45104</v>
      </c>
      <c r="C2401" s="1">
        <v>45124</v>
      </c>
      <c r="D2401" t="s">
        <v>7</v>
      </c>
      <c r="E2401">
        <v>39</v>
      </c>
      <c r="F2401" t="s">
        <v>6</v>
      </c>
      <c r="G2401">
        <f t="shared" si="222"/>
        <v>20</v>
      </c>
      <c r="H2401" s="1" t="str">
        <f t="shared" si="223"/>
        <v>Tuesday</v>
      </c>
      <c r="I2401" t="str">
        <f t="shared" si="224"/>
        <v>No</v>
      </c>
      <c r="J2401">
        <f t="shared" si="225"/>
        <v>0</v>
      </c>
      <c r="K2401">
        <f t="shared" si="226"/>
        <v>0</v>
      </c>
      <c r="L2401">
        <f t="shared" si="227"/>
        <v>20</v>
      </c>
    </row>
    <row r="2402" spans="1:12" ht="14.4" customHeight="1" x14ac:dyDescent="0.3">
      <c r="A2402">
        <v>218004764</v>
      </c>
      <c r="B2402" s="1">
        <v>45105</v>
      </c>
      <c r="D2402" t="s">
        <v>7</v>
      </c>
      <c r="E2402">
        <v>39</v>
      </c>
      <c r="F2402" t="s">
        <v>6</v>
      </c>
      <c r="G2402" t="str">
        <f t="shared" si="222"/>
        <v/>
      </c>
      <c r="H2402" s="1" t="str">
        <f t="shared" si="223"/>
        <v>Wednesday</v>
      </c>
      <c r="I2402" t="str">
        <f t="shared" si="224"/>
        <v>No</v>
      </c>
      <c r="J2402">
        <f t="shared" si="225"/>
        <v>0</v>
      </c>
      <c r="K2402">
        <f t="shared" si="226"/>
        <v>0</v>
      </c>
      <c r="L2402" t="str">
        <f t="shared" si="227"/>
        <v/>
      </c>
    </row>
    <row r="2403" spans="1:12" ht="14.4" customHeight="1" x14ac:dyDescent="0.3">
      <c r="A2403">
        <v>217768772</v>
      </c>
      <c r="B2403" s="1">
        <v>45105</v>
      </c>
      <c r="D2403" t="s">
        <v>7</v>
      </c>
      <c r="E2403">
        <v>39</v>
      </c>
      <c r="F2403" t="s">
        <v>6</v>
      </c>
      <c r="G2403" t="str">
        <f t="shared" si="222"/>
        <v/>
      </c>
      <c r="H2403" s="1" t="str">
        <f t="shared" si="223"/>
        <v>Wednesday</v>
      </c>
      <c r="I2403" t="str">
        <f t="shared" si="224"/>
        <v>No</v>
      </c>
      <c r="J2403">
        <f t="shared" si="225"/>
        <v>0</v>
      </c>
      <c r="K2403">
        <f t="shared" si="226"/>
        <v>0</v>
      </c>
      <c r="L2403" t="str">
        <f t="shared" si="227"/>
        <v/>
      </c>
    </row>
    <row r="2404" spans="1:12" ht="14.4" customHeight="1" x14ac:dyDescent="0.3">
      <c r="A2404">
        <v>216775344</v>
      </c>
      <c r="B2404" s="1">
        <v>45105</v>
      </c>
      <c r="D2404" t="s">
        <v>7</v>
      </c>
      <c r="E2404">
        <v>39</v>
      </c>
      <c r="F2404" t="s">
        <v>6</v>
      </c>
      <c r="G2404" t="str">
        <f t="shared" si="222"/>
        <v/>
      </c>
      <c r="H2404" s="1" t="str">
        <f t="shared" si="223"/>
        <v>Wednesday</v>
      </c>
      <c r="I2404" t="str">
        <f t="shared" si="224"/>
        <v>No</v>
      </c>
      <c r="J2404">
        <f t="shared" si="225"/>
        <v>0</v>
      </c>
      <c r="K2404">
        <f t="shared" si="226"/>
        <v>0</v>
      </c>
      <c r="L2404" t="str">
        <f t="shared" si="227"/>
        <v/>
      </c>
    </row>
    <row r="2405" spans="1:12" ht="14.4" customHeight="1" x14ac:dyDescent="0.3">
      <c r="A2405">
        <v>135364787</v>
      </c>
      <c r="B2405" s="1">
        <v>45105</v>
      </c>
      <c r="D2405" t="s">
        <v>7</v>
      </c>
      <c r="E2405">
        <v>39</v>
      </c>
      <c r="F2405" t="s">
        <v>6</v>
      </c>
      <c r="G2405" t="str">
        <f t="shared" si="222"/>
        <v/>
      </c>
      <c r="H2405" s="1" t="str">
        <f t="shared" si="223"/>
        <v>Wednesday</v>
      </c>
      <c r="I2405" t="str">
        <f t="shared" si="224"/>
        <v>No</v>
      </c>
      <c r="J2405">
        <f t="shared" si="225"/>
        <v>0</v>
      </c>
      <c r="K2405">
        <f t="shared" si="226"/>
        <v>0</v>
      </c>
      <c r="L2405" t="str">
        <f t="shared" si="227"/>
        <v/>
      </c>
    </row>
    <row r="2406" spans="1:12" x14ac:dyDescent="0.3">
      <c r="A2406">
        <v>148107179</v>
      </c>
      <c r="B2406" s="1">
        <v>45105</v>
      </c>
      <c r="C2406" s="1">
        <v>45142</v>
      </c>
      <c r="D2406" t="s">
        <v>7</v>
      </c>
      <c r="E2406">
        <v>39</v>
      </c>
      <c r="F2406" t="s">
        <v>6</v>
      </c>
      <c r="G2406">
        <f t="shared" si="222"/>
        <v>37</v>
      </c>
      <c r="H2406" s="1" t="str">
        <f t="shared" si="223"/>
        <v>Wednesday</v>
      </c>
      <c r="I2406" t="str">
        <f t="shared" si="224"/>
        <v>No</v>
      </c>
      <c r="J2406">
        <f t="shared" si="225"/>
        <v>0</v>
      </c>
      <c r="K2406">
        <f t="shared" si="226"/>
        <v>1</v>
      </c>
      <c r="L2406">
        <f t="shared" si="227"/>
        <v>37</v>
      </c>
    </row>
    <row r="2407" spans="1:12" ht="14.4" customHeight="1" x14ac:dyDescent="0.3">
      <c r="A2407">
        <v>215904194</v>
      </c>
      <c r="B2407" s="1">
        <v>45105</v>
      </c>
      <c r="C2407" s="1">
        <v>45129</v>
      </c>
      <c r="D2407" t="s">
        <v>7</v>
      </c>
      <c r="E2407">
        <v>39</v>
      </c>
      <c r="F2407" t="s">
        <v>6</v>
      </c>
      <c r="G2407">
        <f t="shared" si="222"/>
        <v>24</v>
      </c>
      <c r="H2407" s="1" t="str">
        <f t="shared" si="223"/>
        <v>Wednesday</v>
      </c>
      <c r="I2407" t="str">
        <f t="shared" si="224"/>
        <v>No</v>
      </c>
      <c r="J2407">
        <f t="shared" si="225"/>
        <v>0</v>
      </c>
      <c r="K2407">
        <f t="shared" si="226"/>
        <v>0</v>
      </c>
      <c r="L2407">
        <f t="shared" si="227"/>
        <v>24</v>
      </c>
    </row>
    <row r="2408" spans="1:12" ht="14.4" customHeight="1" x14ac:dyDescent="0.3">
      <c r="A2408">
        <v>217988577</v>
      </c>
      <c r="B2408" s="1">
        <v>45105</v>
      </c>
      <c r="C2408" s="1">
        <v>45133</v>
      </c>
      <c r="D2408" t="s">
        <v>7</v>
      </c>
      <c r="E2408">
        <v>39</v>
      </c>
      <c r="F2408" t="s">
        <v>6</v>
      </c>
      <c r="G2408">
        <f t="shared" si="222"/>
        <v>28</v>
      </c>
      <c r="H2408" s="1" t="str">
        <f t="shared" si="223"/>
        <v>Wednesday</v>
      </c>
      <c r="I2408" t="str">
        <f t="shared" si="224"/>
        <v>No</v>
      </c>
      <c r="J2408">
        <f t="shared" si="225"/>
        <v>0</v>
      </c>
      <c r="K2408">
        <f t="shared" si="226"/>
        <v>0</v>
      </c>
      <c r="L2408">
        <f t="shared" si="227"/>
        <v>28</v>
      </c>
    </row>
    <row r="2409" spans="1:12" ht="14.4" customHeight="1" x14ac:dyDescent="0.3">
      <c r="A2409">
        <v>146124679</v>
      </c>
      <c r="B2409" s="1">
        <v>45105</v>
      </c>
      <c r="C2409" s="1">
        <v>45135</v>
      </c>
      <c r="D2409" t="s">
        <v>7</v>
      </c>
      <c r="E2409">
        <v>39</v>
      </c>
      <c r="F2409" t="s">
        <v>6</v>
      </c>
      <c r="G2409">
        <f t="shared" si="222"/>
        <v>30</v>
      </c>
      <c r="H2409" s="1" t="str">
        <f t="shared" si="223"/>
        <v>Wednesday</v>
      </c>
      <c r="I2409" t="str">
        <f t="shared" si="224"/>
        <v>No</v>
      </c>
      <c r="J2409">
        <f t="shared" si="225"/>
        <v>0</v>
      </c>
      <c r="K2409">
        <f t="shared" si="226"/>
        <v>0</v>
      </c>
      <c r="L2409">
        <f t="shared" si="227"/>
        <v>30</v>
      </c>
    </row>
    <row r="2410" spans="1:12" ht="14.4" customHeight="1" x14ac:dyDescent="0.3">
      <c r="A2410">
        <v>217819772</v>
      </c>
      <c r="B2410" s="1">
        <v>45106</v>
      </c>
      <c r="D2410" t="s">
        <v>7</v>
      </c>
      <c r="E2410">
        <v>39</v>
      </c>
      <c r="F2410" t="s">
        <v>6</v>
      </c>
      <c r="G2410" t="str">
        <f t="shared" si="222"/>
        <v/>
      </c>
      <c r="H2410" s="1" t="str">
        <f t="shared" si="223"/>
        <v>Thursday</v>
      </c>
      <c r="I2410" t="str">
        <f t="shared" si="224"/>
        <v>No</v>
      </c>
      <c r="J2410">
        <f t="shared" si="225"/>
        <v>0</v>
      </c>
      <c r="K2410">
        <f t="shared" si="226"/>
        <v>0</v>
      </c>
      <c r="L2410" t="str">
        <f t="shared" si="227"/>
        <v/>
      </c>
    </row>
    <row r="2411" spans="1:12" ht="14.4" customHeight="1" x14ac:dyDescent="0.3">
      <c r="A2411">
        <v>217996629</v>
      </c>
      <c r="B2411" s="1">
        <v>45106</v>
      </c>
      <c r="D2411" t="s">
        <v>7</v>
      </c>
      <c r="E2411">
        <v>39</v>
      </c>
      <c r="F2411" t="s">
        <v>6</v>
      </c>
      <c r="G2411" t="str">
        <f t="shared" si="222"/>
        <v/>
      </c>
      <c r="H2411" s="1" t="str">
        <f t="shared" si="223"/>
        <v>Thursday</v>
      </c>
      <c r="I2411" t="str">
        <f t="shared" si="224"/>
        <v>No</v>
      </c>
      <c r="J2411">
        <f t="shared" si="225"/>
        <v>0</v>
      </c>
      <c r="K2411">
        <f t="shared" si="226"/>
        <v>0</v>
      </c>
      <c r="L2411" t="str">
        <f t="shared" si="227"/>
        <v/>
      </c>
    </row>
    <row r="2412" spans="1:12" ht="14.4" customHeight="1" x14ac:dyDescent="0.3">
      <c r="A2412">
        <v>152621756</v>
      </c>
      <c r="B2412" s="1">
        <v>45106</v>
      </c>
      <c r="D2412" t="s">
        <v>7</v>
      </c>
      <c r="E2412">
        <v>39</v>
      </c>
      <c r="F2412" t="s">
        <v>6</v>
      </c>
      <c r="G2412" t="str">
        <f t="shared" si="222"/>
        <v/>
      </c>
      <c r="H2412" s="1" t="str">
        <f t="shared" si="223"/>
        <v>Thursday</v>
      </c>
      <c r="I2412" t="str">
        <f t="shared" si="224"/>
        <v>No</v>
      </c>
      <c r="J2412">
        <f t="shared" si="225"/>
        <v>0</v>
      </c>
      <c r="K2412">
        <f t="shared" si="226"/>
        <v>0</v>
      </c>
      <c r="L2412" t="str">
        <f t="shared" si="227"/>
        <v/>
      </c>
    </row>
    <row r="2413" spans="1:12" ht="14.4" customHeight="1" x14ac:dyDescent="0.3">
      <c r="A2413">
        <v>218006807</v>
      </c>
      <c r="B2413" s="1">
        <v>45106</v>
      </c>
      <c r="D2413" t="s">
        <v>7</v>
      </c>
      <c r="E2413">
        <v>39</v>
      </c>
      <c r="F2413" t="s">
        <v>6</v>
      </c>
      <c r="G2413" t="str">
        <f t="shared" si="222"/>
        <v/>
      </c>
      <c r="H2413" s="1" t="str">
        <f t="shared" si="223"/>
        <v>Thursday</v>
      </c>
      <c r="I2413" t="str">
        <f t="shared" si="224"/>
        <v>No</v>
      </c>
      <c r="J2413">
        <f t="shared" si="225"/>
        <v>0</v>
      </c>
      <c r="K2413">
        <f t="shared" si="226"/>
        <v>0</v>
      </c>
      <c r="L2413" t="str">
        <f t="shared" si="227"/>
        <v/>
      </c>
    </row>
    <row r="2414" spans="1:12" x14ac:dyDescent="0.3">
      <c r="A2414">
        <v>218045202</v>
      </c>
      <c r="B2414" s="1">
        <v>45106</v>
      </c>
      <c r="C2414" s="1">
        <v>45167</v>
      </c>
      <c r="D2414" t="s">
        <v>7</v>
      </c>
      <c r="E2414">
        <v>39</v>
      </c>
      <c r="F2414" t="s">
        <v>6</v>
      </c>
      <c r="G2414">
        <f t="shared" si="222"/>
        <v>61</v>
      </c>
      <c r="H2414" s="1" t="str">
        <f t="shared" si="223"/>
        <v>Thursday</v>
      </c>
      <c r="I2414" t="str">
        <f t="shared" si="224"/>
        <v>No</v>
      </c>
      <c r="J2414">
        <f t="shared" si="225"/>
        <v>0</v>
      </c>
      <c r="K2414">
        <f t="shared" si="226"/>
        <v>1</v>
      </c>
      <c r="L2414">
        <f t="shared" si="227"/>
        <v>61</v>
      </c>
    </row>
    <row r="2415" spans="1:12" x14ac:dyDescent="0.3">
      <c r="A2415">
        <v>122215146</v>
      </c>
      <c r="B2415" s="1">
        <v>45106</v>
      </c>
      <c r="C2415" s="1">
        <v>45151</v>
      </c>
      <c r="D2415" t="s">
        <v>7</v>
      </c>
      <c r="E2415">
        <v>39</v>
      </c>
      <c r="F2415" t="s">
        <v>6</v>
      </c>
      <c r="G2415">
        <f t="shared" si="222"/>
        <v>45</v>
      </c>
      <c r="H2415" s="1" t="str">
        <f t="shared" si="223"/>
        <v>Thursday</v>
      </c>
      <c r="I2415" t="str">
        <f t="shared" si="224"/>
        <v>No</v>
      </c>
      <c r="J2415">
        <f t="shared" si="225"/>
        <v>0</v>
      </c>
      <c r="K2415">
        <f t="shared" si="226"/>
        <v>1</v>
      </c>
      <c r="L2415">
        <f t="shared" si="227"/>
        <v>45</v>
      </c>
    </row>
    <row r="2416" spans="1:12" ht="14.4" customHeight="1" x14ac:dyDescent="0.3">
      <c r="A2416">
        <v>218003864</v>
      </c>
      <c r="B2416" s="1">
        <v>45106</v>
      </c>
      <c r="C2416" s="1">
        <v>45135</v>
      </c>
      <c r="D2416" t="s">
        <v>7</v>
      </c>
      <c r="E2416">
        <v>39</v>
      </c>
      <c r="F2416" t="s">
        <v>6</v>
      </c>
      <c r="G2416">
        <f t="shared" si="222"/>
        <v>29</v>
      </c>
      <c r="H2416" s="1" t="str">
        <f t="shared" si="223"/>
        <v>Thursday</v>
      </c>
      <c r="I2416" t="str">
        <f t="shared" si="224"/>
        <v>No</v>
      </c>
      <c r="J2416">
        <f t="shared" si="225"/>
        <v>0</v>
      </c>
      <c r="K2416">
        <f t="shared" si="226"/>
        <v>0</v>
      </c>
      <c r="L2416">
        <f t="shared" si="227"/>
        <v>29</v>
      </c>
    </row>
    <row r="2417" spans="1:12" ht="14.4" customHeight="1" x14ac:dyDescent="0.3">
      <c r="A2417">
        <v>218088770</v>
      </c>
      <c r="B2417" s="1">
        <v>45107</v>
      </c>
      <c r="D2417" t="s">
        <v>7</v>
      </c>
      <c r="E2417">
        <v>39</v>
      </c>
      <c r="F2417" t="s">
        <v>6</v>
      </c>
      <c r="G2417" t="str">
        <f t="shared" si="222"/>
        <v/>
      </c>
      <c r="H2417" s="1" t="str">
        <f t="shared" si="223"/>
        <v>Friday</v>
      </c>
      <c r="I2417" t="str">
        <f t="shared" si="224"/>
        <v>No</v>
      </c>
      <c r="J2417">
        <f t="shared" si="225"/>
        <v>0</v>
      </c>
      <c r="K2417">
        <f t="shared" si="226"/>
        <v>0</v>
      </c>
      <c r="L2417" t="str">
        <f t="shared" si="227"/>
        <v/>
      </c>
    </row>
    <row r="2418" spans="1:12" ht="14.4" customHeight="1" x14ac:dyDescent="0.3">
      <c r="A2418">
        <v>217856893</v>
      </c>
      <c r="B2418" s="1">
        <v>45107</v>
      </c>
      <c r="D2418" t="s">
        <v>7</v>
      </c>
      <c r="E2418">
        <v>39</v>
      </c>
      <c r="F2418" t="s">
        <v>6</v>
      </c>
      <c r="G2418" t="str">
        <f t="shared" si="222"/>
        <v/>
      </c>
      <c r="H2418" s="1" t="str">
        <f t="shared" si="223"/>
        <v>Friday</v>
      </c>
      <c r="I2418" t="str">
        <f t="shared" si="224"/>
        <v>No</v>
      </c>
      <c r="J2418">
        <f t="shared" si="225"/>
        <v>0</v>
      </c>
      <c r="K2418">
        <f t="shared" si="226"/>
        <v>0</v>
      </c>
      <c r="L2418" t="str">
        <f t="shared" si="227"/>
        <v/>
      </c>
    </row>
    <row r="2419" spans="1:12" ht="14.4" customHeight="1" x14ac:dyDescent="0.3">
      <c r="A2419">
        <v>156054912</v>
      </c>
      <c r="B2419" s="1">
        <v>45107</v>
      </c>
      <c r="D2419" t="s">
        <v>7</v>
      </c>
      <c r="E2419">
        <v>39</v>
      </c>
      <c r="F2419" t="s">
        <v>6</v>
      </c>
      <c r="G2419" t="str">
        <f t="shared" si="222"/>
        <v/>
      </c>
      <c r="H2419" s="1" t="str">
        <f t="shared" si="223"/>
        <v>Friday</v>
      </c>
      <c r="I2419" t="str">
        <f t="shared" si="224"/>
        <v>No</v>
      </c>
      <c r="J2419">
        <f t="shared" si="225"/>
        <v>0</v>
      </c>
      <c r="K2419">
        <f t="shared" si="226"/>
        <v>0</v>
      </c>
      <c r="L2419" t="str">
        <f t="shared" si="227"/>
        <v/>
      </c>
    </row>
    <row r="2420" spans="1:12" ht="14.4" customHeight="1" x14ac:dyDescent="0.3">
      <c r="A2420">
        <v>218059054</v>
      </c>
      <c r="B2420" s="1">
        <v>45107</v>
      </c>
      <c r="D2420" t="s">
        <v>7</v>
      </c>
      <c r="E2420">
        <v>39</v>
      </c>
      <c r="F2420" t="s">
        <v>6</v>
      </c>
      <c r="G2420" t="str">
        <f t="shared" si="222"/>
        <v/>
      </c>
      <c r="H2420" s="1" t="str">
        <f t="shared" si="223"/>
        <v>Friday</v>
      </c>
      <c r="I2420" t="str">
        <f t="shared" si="224"/>
        <v>No</v>
      </c>
      <c r="J2420">
        <f t="shared" si="225"/>
        <v>0</v>
      </c>
      <c r="K2420">
        <f t="shared" si="226"/>
        <v>0</v>
      </c>
      <c r="L2420" t="str">
        <f t="shared" si="227"/>
        <v/>
      </c>
    </row>
    <row r="2421" spans="1:12" ht="14.4" customHeight="1" x14ac:dyDescent="0.3">
      <c r="A2421">
        <v>218074245</v>
      </c>
      <c r="B2421" s="1">
        <v>45107</v>
      </c>
      <c r="D2421" t="s">
        <v>7</v>
      </c>
      <c r="E2421">
        <v>39</v>
      </c>
      <c r="F2421" t="s">
        <v>6</v>
      </c>
      <c r="G2421" t="str">
        <f t="shared" si="222"/>
        <v/>
      </c>
      <c r="H2421" s="1" t="str">
        <f t="shared" si="223"/>
        <v>Friday</v>
      </c>
      <c r="I2421" t="str">
        <f t="shared" si="224"/>
        <v>No</v>
      </c>
      <c r="J2421">
        <f t="shared" si="225"/>
        <v>0</v>
      </c>
      <c r="K2421">
        <f t="shared" si="226"/>
        <v>0</v>
      </c>
      <c r="L2421" t="str">
        <f t="shared" si="227"/>
        <v/>
      </c>
    </row>
    <row r="2422" spans="1:12" ht="14.4" customHeight="1" x14ac:dyDescent="0.3">
      <c r="A2422">
        <v>204774586</v>
      </c>
      <c r="B2422" s="1">
        <v>45107</v>
      </c>
      <c r="D2422" t="s">
        <v>7</v>
      </c>
      <c r="E2422">
        <v>39</v>
      </c>
      <c r="F2422" t="s">
        <v>6</v>
      </c>
      <c r="G2422" t="str">
        <f t="shared" si="222"/>
        <v/>
      </c>
      <c r="H2422" s="1" t="str">
        <f t="shared" si="223"/>
        <v>Friday</v>
      </c>
      <c r="I2422" t="str">
        <f t="shared" si="224"/>
        <v>No</v>
      </c>
      <c r="J2422">
        <f t="shared" si="225"/>
        <v>0</v>
      </c>
      <c r="K2422">
        <f t="shared" si="226"/>
        <v>0</v>
      </c>
      <c r="L2422" t="str">
        <f t="shared" si="227"/>
        <v/>
      </c>
    </row>
    <row r="2423" spans="1:12" ht="14.4" customHeight="1" x14ac:dyDescent="0.3">
      <c r="A2423">
        <v>215941440</v>
      </c>
      <c r="B2423" s="1">
        <v>45107</v>
      </c>
      <c r="D2423" t="s">
        <v>7</v>
      </c>
      <c r="E2423">
        <v>39</v>
      </c>
      <c r="F2423" t="s">
        <v>6</v>
      </c>
      <c r="G2423" t="str">
        <f t="shared" si="222"/>
        <v/>
      </c>
      <c r="H2423" s="1" t="str">
        <f t="shared" si="223"/>
        <v>Friday</v>
      </c>
      <c r="I2423" t="str">
        <f t="shared" si="224"/>
        <v>No</v>
      </c>
      <c r="J2423">
        <f t="shared" si="225"/>
        <v>0</v>
      </c>
      <c r="K2423">
        <f t="shared" si="226"/>
        <v>0</v>
      </c>
      <c r="L2423" t="str">
        <f t="shared" si="227"/>
        <v/>
      </c>
    </row>
    <row r="2424" spans="1:12" ht="14.4" customHeight="1" x14ac:dyDescent="0.3">
      <c r="A2424">
        <v>205547323</v>
      </c>
      <c r="B2424" s="1">
        <v>45107</v>
      </c>
      <c r="D2424" t="s">
        <v>8</v>
      </c>
      <c r="E2424">
        <v>39</v>
      </c>
      <c r="F2424" t="s">
        <v>6</v>
      </c>
      <c r="G2424" t="str">
        <f t="shared" si="222"/>
        <v/>
      </c>
      <c r="H2424" s="1" t="str">
        <f t="shared" si="223"/>
        <v>Friday</v>
      </c>
      <c r="I2424" t="str">
        <f t="shared" si="224"/>
        <v>No</v>
      </c>
      <c r="J2424">
        <f t="shared" si="225"/>
        <v>0</v>
      </c>
      <c r="K2424">
        <f t="shared" si="226"/>
        <v>0</v>
      </c>
      <c r="L2424" t="str">
        <f t="shared" si="227"/>
        <v/>
      </c>
    </row>
    <row r="2425" spans="1:12" ht="14.4" customHeight="1" x14ac:dyDescent="0.3">
      <c r="A2425">
        <v>140062581</v>
      </c>
      <c r="B2425" s="1">
        <v>45107</v>
      </c>
      <c r="D2425" t="s">
        <v>7</v>
      </c>
      <c r="E2425">
        <v>39</v>
      </c>
      <c r="F2425" t="s">
        <v>6</v>
      </c>
      <c r="G2425" t="str">
        <f t="shared" si="222"/>
        <v/>
      </c>
      <c r="H2425" s="1" t="str">
        <f t="shared" si="223"/>
        <v>Friday</v>
      </c>
      <c r="I2425" t="str">
        <f t="shared" si="224"/>
        <v>No</v>
      </c>
      <c r="J2425">
        <f t="shared" si="225"/>
        <v>0</v>
      </c>
      <c r="K2425">
        <f t="shared" si="226"/>
        <v>0</v>
      </c>
      <c r="L2425" t="str">
        <f t="shared" si="227"/>
        <v/>
      </c>
    </row>
    <row r="2426" spans="1:12" ht="14.4" customHeight="1" x14ac:dyDescent="0.3">
      <c r="A2426">
        <v>217932519</v>
      </c>
      <c r="B2426" s="1">
        <v>45107</v>
      </c>
      <c r="C2426" s="1">
        <v>45108</v>
      </c>
      <c r="D2426" t="s">
        <v>7</v>
      </c>
      <c r="E2426">
        <v>39</v>
      </c>
      <c r="F2426" t="s">
        <v>6</v>
      </c>
      <c r="G2426">
        <f t="shared" si="222"/>
        <v>1</v>
      </c>
      <c r="H2426" s="1" t="str">
        <f t="shared" si="223"/>
        <v>Friday</v>
      </c>
      <c r="I2426" t="str">
        <f t="shared" si="224"/>
        <v>No</v>
      </c>
      <c r="J2426">
        <f t="shared" si="225"/>
        <v>1</v>
      </c>
      <c r="K2426">
        <f t="shared" si="226"/>
        <v>0</v>
      </c>
      <c r="L2426">
        <f t="shared" si="227"/>
        <v>1</v>
      </c>
    </row>
    <row r="2427" spans="1:12" ht="14.4" customHeight="1" x14ac:dyDescent="0.3">
      <c r="A2427">
        <v>217982048</v>
      </c>
      <c r="B2427" s="1">
        <v>45107</v>
      </c>
      <c r="C2427" s="1">
        <v>45108</v>
      </c>
      <c r="D2427" t="s">
        <v>8</v>
      </c>
      <c r="E2427">
        <v>39</v>
      </c>
      <c r="F2427" t="s">
        <v>6</v>
      </c>
      <c r="G2427">
        <f t="shared" si="222"/>
        <v>1</v>
      </c>
      <c r="H2427" s="1" t="str">
        <f t="shared" si="223"/>
        <v>Friday</v>
      </c>
      <c r="I2427" t="str">
        <f t="shared" si="224"/>
        <v>No</v>
      </c>
      <c r="J2427">
        <f t="shared" si="225"/>
        <v>1</v>
      </c>
      <c r="K2427">
        <f t="shared" si="226"/>
        <v>0</v>
      </c>
      <c r="L2427">
        <f t="shared" si="227"/>
        <v>1</v>
      </c>
    </row>
    <row r="2428" spans="1:12" x14ac:dyDescent="0.3">
      <c r="A2428">
        <v>218066467</v>
      </c>
      <c r="B2428" s="1">
        <v>45107</v>
      </c>
      <c r="C2428" s="1">
        <v>45169</v>
      </c>
      <c r="D2428" t="s">
        <v>7</v>
      </c>
      <c r="E2428">
        <v>39</v>
      </c>
      <c r="F2428" t="s">
        <v>6</v>
      </c>
      <c r="G2428">
        <f t="shared" si="222"/>
        <v>62</v>
      </c>
      <c r="H2428" s="1" t="str">
        <f t="shared" si="223"/>
        <v>Friday</v>
      </c>
      <c r="I2428" t="str">
        <f t="shared" si="224"/>
        <v>No</v>
      </c>
      <c r="J2428">
        <f t="shared" si="225"/>
        <v>0</v>
      </c>
      <c r="K2428">
        <f t="shared" si="226"/>
        <v>1</v>
      </c>
      <c r="L2428">
        <f t="shared" si="227"/>
        <v>62</v>
      </c>
    </row>
    <row r="2429" spans="1:12" x14ac:dyDescent="0.3">
      <c r="A2429">
        <v>218046034</v>
      </c>
      <c r="B2429" s="1">
        <v>45107</v>
      </c>
      <c r="C2429" s="1">
        <v>45175</v>
      </c>
      <c r="D2429" t="s">
        <v>7</v>
      </c>
      <c r="E2429">
        <v>39</v>
      </c>
      <c r="F2429" t="s">
        <v>6</v>
      </c>
      <c r="G2429">
        <f t="shared" si="222"/>
        <v>68</v>
      </c>
      <c r="H2429" s="1" t="str">
        <f t="shared" si="223"/>
        <v>Friday</v>
      </c>
      <c r="I2429" t="str">
        <f t="shared" si="224"/>
        <v>No</v>
      </c>
      <c r="J2429">
        <f t="shared" si="225"/>
        <v>0</v>
      </c>
      <c r="K2429">
        <f t="shared" si="226"/>
        <v>1</v>
      </c>
      <c r="L2429">
        <f t="shared" si="227"/>
        <v>68</v>
      </c>
    </row>
    <row r="2430" spans="1:12" ht="14.4" customHeight="1" x14ac:dyDescent="0.3">
      <c r="A2430">
        <v>217697744</v>
      </c>
      <c r="B2430" s="1">
        <v>45107</v>
      </c>
      <c r="C2430" s="1">
        <v>45134</v>
      </c>
      <c r="D2430" t="s">
        <v>7</v>
      </c>
      <c r="E2430">
        <v>39</v>
      </c>
      <c r="F2430" t="s">
        <v>6</v>
      </c>
      <c r="G2430">
        <f t="shared" si="222"/>
        <v>27</v>
      </c>
      <c r="H2430" s="1" t="str">
        <f t="shared" si="223"/>
        <v>Friday</v>
      </c>
      <c r="I2430" t="str">
        <f t="shared" si="224"/>
        <v>No</v>
      </c>
      <c r="J2430">
        <f t="shared" si="225"/>
        <v>0</v>
      </c>
      <c r="K2430">
        <f t="shared" si="226"/>
        <v>0</v>
      </c>
      <c r="L2430">
        <f t="shared" si="227"/>
        <v>27</v>
      </c>
    </row>
    <row r="2431" spans="1:12" ht="14.4" customHeight="1" x14ac:dyDescent="0.3">
      <c r="A2431">
        <v>217942738</v>
      </c>
      <c r="B2431" s="1">
        <v>45108</v>
      </c>
      <c r="D2431" t="s">
        <v>7</v>
      </c>
      <c r="E2431">
        <v>39</v>
      </c>
      <c r="F2431" t="s">
        <v>6</v>
      </c>
      <c r="G2431" t="str">
        <f t="shared" si="222"/>
        <v/>
      </c>
      <c r="H2431" s="1" t="str">
        <f t="shared" si="223"/>
        <v>Saturday</v>
      </c>
      <c r="I2431" t="str">
        <f t="shared" si="224"/>
        <v>No</v>
      </c>
      <c r="J2431">
        <f t="shared" si="225"/>
        <v>0</v>
      </c>
      <c r="K2431">
        <f t="shared" si="226"/>
        <v>0</v>
      </c>
      <c r="L2431" t="str">
        <f t="shared" si="227"/>
        <v/>
      </c>
    </row>
    <row r="2432" spans="1:12" ht="14.4" customHeight="1" x14ac:dyDescent="0.3">
      <c r="A2432">
        <v>218133628</v>
      </c>
      <c r="B2432" s="1">
        <v>45108</v>
      </c>
      <c r="D2432" t="s">
        <v>7</v>
      </c>
      <c r="E2432">
        <v>39</v>
      </c>
      <c r="F2432" t="s">
        <v>6</v>
      </c>
      <c r="G2432" t="str">
        <f t="shared" si="222"/>
        <v/>
      </c>
      <c r="H2432" s="1" t="str">
        <f t="shared" si="223"/>
        <v>Saturday</v>
      </c>
      <c r="I2432" t="str">
        <f t="shared" si="224"/>
        <v>No</v>
      </c>
      <c r="J2432">
        <f t="shared" si="225"/>
        <v>0</v>
      </c>
      <c r="K2432">
        <f t="shared" si="226"/>
        <v>0</v>
      </c>
      <c r="L2432" t="str">
        <f t="shared" si="227"/>
        <v/>
      </c>
    </row>
    <row r="2433" spans="1:12" ht="14.4" customHeight="1" x14ac:dyDescent="0.3">
      <c r="A2433">
        <v>118508852</v>
      </c>
      <c r="B2433" s="1">
        <v>45108</v>
      </c>
      <c r="D2433" t="s">
        <v>7</v>
      </c>
      <c r="E2433">
        <v>39</v>
      </c>
      <c r="F2433" t="s">
        <v>6</v>
      </c>
      <c r="G2433" t="str">
        <f t="shared" si="222"/>
        <v/>
      </c>
      <c r="H2433" s="1" t="str">
        <f t="shared" si="223"/>
        <v>Saturday</v>
      </c>
      <c r="I2433" t="str">
        <f t="shared" si="224"/>
        <v>No</v>
      </c>
      <c r="J2433">
        <f t="shared" si="225"/>
        <v>0</v>
      </c>
      <c r="K2433">
        <f t="shared" si="226"/>
        <v>0</v>
      </c>
      <c r="L2433" t="str">
        <f t="shared" si="227"/>
        <v/>
      </c>
    </row>
    <row r="2434" spans="1:12" ht="14.4" customHeight="1" x14ac:dyDescent="0.3">
      <c r="A2434">
        <v>218120267</v>
      </c>
      <c r="B2434" s="1">
        <v>45108</v>
      </c>
      <c r="D2434" t="s">
        <v>7</v>
      </c>
      <c r="E2434">
        <v>39</v>
      </c>
      <c r="F2434" t="s">
        <v>6</v>
      </c>
      <c r="G2434" t="str">
        <f t="shared" ref="G2434:G2497" si="228">IF(C2434="","",C2434-B2434)</f>
        <v/>
      </c>
      <c r="H2434" s="1" t="str">
        <f t="shared" si="223"/>
        <v>Saturday</v>
      </c>
      <c r="I2434" t="str">
        <f t="shared" si="224"/>
        <v>No</v>
      </c>
      <c r="J2434">
        <f t="shared" si="225"/>
        <v>0</v>
      </c>
      <c r="K2434">
        <f t="shared" si="226"/>
        <v>0</v>
      </c>
      <c r="L2434" t="str">
        <f t="shared" si="227"/>
        <v/>
      </c>
    </row>
    <row r="2435" spans="1:12" ht="14.4" customHeight="1" x14ac:dyDescent="0.3">
      <c r="A2435">
        <v>218095541</v>
      </c>
      <c r="B2435" s="1">
        <v>45108</v>
      </c>
      <c r="D2435" t="s">
        <v>7</v>
      </c>
      <c r="E2435">
        <v>39</v>
      </c>
      <c r="F2435" t="s">
        <v>6</v>
      </c>
      <c r="G2435" t="str">
        <f t="shared" si="228"/>
        <v/>
      </c>
      <c r="H2435" s="1" t="str">
        <f t="shared" ref="H2435:H2498" si="229">TEXT(B2435,"dddd")</f>
        <v>Saturday</v>
      </c>
      <c r="I2435" t="str">
        <f t="shared" ref="I2435:I2498" si="230">IF(B2435=C2435,"Yes","No")</f>
        <v>No</v>
      </c>
      <c r="J2435">
        <f t="shared" ref="J2435:J2498" si="231">IF(AND(C2435&lt;&gt;"",C2435-B2435&lt;=2),1,0)</f>
        <v>0</v>
      </c>
      <c r="K2435">
        <f t="shared" ref="K2435:K2498" si="232">IF(AND(C2435&lt;&gt;"",C2435-B2435&gt;30),1,0)</f>
        <v>0</v>
      </c>
      <c r="L2435" t="str">
        <f t="shared" ref="L2435:L2498" si="233">IF(C2435="","",C2435-B2435)</f>
        <v/>
      </c>
    </row>
    <row r="2436" spans="1:12" ht="14.4" customHeight="1" x14ac:dyDescent="0.3">
      <c r="A2436">
        <v>217626801</v>
      </c>
      <c r="B2436" s="1">
        <v>45108</v>
      </c>
      <c r="D2436" t="s">
        <v>7</v>
      </c>
      <c r="E2436">
        <v>39</v>
      </c>
      <c r="F2436" t="s">
        <v>6</v>
      </c>
      <c r="G2436" t="str">
        <f t="shared" si="228"/>
        <v/>
      </c>
      <c r="H2436" s="1" t="str">
        <f t="shared" si="229"/>
        <v>Saturday</v>
      </c>
      <c r="I2436" t="str">
        <f t="shared" si="230"/>
        <v>No</v>
      </c>
      <c r="J2436">
        <f t="shared" si="231"/>
        <v>0</v>
      </c>
      <c r="K2436">
        <f t="shared" si="232"/>
        <v>0</v>
      </c>
      <c r="L2436" t="str">
        <f t="shared" si="233"/>
        <v/>
      </c>
    </row>
    <row r="2437" spans="1:12" x14ac:dyDescent="0.3">
      <c r="A2437">
        <v>151555660</v>
      </c>
      <c r="B2437" s="1">
        <v>45108</v>
      </c>
      <c r="C2437" s="1">
        <v>45169</v>
      </c>
      <c r="D2437" t="s">
        <v>7</v>
      </c>
      <c r="E2437">
        <v>39</v>
      </c>
      <c r="F2437" t="s">
        <v>6</v>
      </c>
      <c r="G2437">
        <f t="shared" si="228"/>
        <v>61</v>
      </c>
      <c r="H2437" s="1" t="str">
        <f t="shared" si="229"/>
        <v>Saturday</v>
      </c>
      <c r="I2437" t="str">
        <f t="shared" si="230"/>
        <v>No</v>
      </c>
      <c r="J2437">
        <f t="shared" si="231"/>
        <v>0</v>
      </c>
      <c r="K2437">
        <f t="shared" si="232"/>
        <v>1</v>
      </c>
      <c r="L2437">
        <f t="shared" si="233"/>
        <v>61</v>
      </c>
    </row>
    <row r="2438" spans="1:12" x14ac:dyDescent="0.3">
      <c r="A2438">
        <v>217110820</v>
      </c>
      <c r="B2438" s="1">
        <v>45108</v>
      </c>
      <c r="C2438" s="1">
        <v>45142</v>
      </c>
      <c r="D2438" t="s">
        <v>7</v>
      </c>
      <c r="E2438">
        <v>39</v>
      </c>
      <c r="F2438" t="s">
        <v>6</v>
      </c>
      <c r="G2438">
        <f t="shared" si="228"/>
        <v>34</v>
      </c>
      <c r="H2438" s="1" t="str">
        <f t="shared" si="229"/>
        <v>Saturday</v>
      </c>
      <c r="I2438" t="str">
        <f t="shared" si="230"/>
        <v>No</v>
      </c>
      <c r="J2438">
        <f t="shared" si="231"/>
        <v>0</v>
      </c>
      <c r="K2438">
        <f t="shared" si="232"/>
        <v>1</v>
      </c>
      <c r="L2438">
        <f t="shared" si="233"/>
        <v>34</v>
      </c>
    </row>
    <row r="2439" spans="1:12" x14ac:dyDescent="0.3">
      <c r="A2439">
        <v>217932519</v>
      </c>
      <c r="B2439" s="1">
        <v>45108</v>
      </c>
      <c r="C2439" s="1">
        <v>45169</v>
      </c>
      <c r="D2439" t="s">
        <v>7</v>
      </c>
      <c r="E2439">
        <v>39</v>
      </c>
      <c r="F2439" t="s">
        <v>6</v>
      </c>
      <c r="G2439">
        <f t="shared" si="228"/>
        <v>61</v>
      </c>
      <c r="H2439" s="1" t="str">
        <f t="shared" si="229"/>
        <v>Saturday</v>
      </c>
      <c r="I2439" t="str">
        <f t="shared" si="230"/>
        <v>No</v>
      </c>
      <c r="J2439">
        <f t="shared" si="231"/>
        <v>0</v>
      </c>
      <c r="K2439">
        <f t="shared" si="232"/>
        <v>1</v>
      </c>
      <c r="L2439">
        <f t="shared" si="233"/>
        <v>61</v>
      </c>
    </row>
    <row r="2440" spans="1:12" ht="14.4" customHeight="1" x14ac:dyDescent="0.3">
      <c r="A2440">
        <v>218164848</v>
      </c>
      <c r="B2440" s="1">
        <v>45109</v>
      </c>
      <c r="D2440" t="s">
        <v>7</v>
      </c>
      <c r="E2440">
        <v>39</v>
      </c>
      <c r="F2440" t="s">
        <v>6</v>
      </c>
      <c r="G2440" t="str">
        <f t="shared" si="228"/>
        <v/>
      </c>
      <c r="H2440" s="1" t="str">
        <f t="shared" si="229"/>
        <v>Sunday</v>
      </c>
      <c r="I2440" t="str">
        <f t="shared" si="230"/>
        <v>No</v>
      </c>
      <c r="J2440">
        <f t="shared" si="231"/>
        <v>0</v>
      </c>
      <c r="K2440">
        <f t="shared" si="232"/>
        <v>0</v>
      </c>
      <c r="L2440" t="str">
        <f t="shared" si="233"/>
        <v/>
      </c>
    </row>
    <row r="2441" spans="1:12" ht="14.4" customHeight="1" x14ac:dyDescent="0.3">
      <c r="A2441">
        <v>217526484</v>
      </c>
      <c r="B2441" s="1">
        <v>45109</v>
      </c>
      <c r="D2441" t="s">
        <v>7</v>
      </c>
      <c r="E2441">
        <v>39</v>
      </c>
      <c r="F2441" t="s">
        <v>6</v>
      </c>
      <c r="G2441" t="str">
        <f t="shared" si="228"/>
        <v/>
      </c>
      <c r="H2441" s="1" t="str">
        <f t="shared" si="229"/>
        <v>Sunday</v>
      </c>
      <c r="I2441" t="str">
        <f t="shared" si="230"/>
        <v>No</v>
      </c>
      <c r="J2441">
        <f t="shared" si="231"/>
        <v>0</v>
      </c>
      <c r="K2441">
        <f t="shared" si="232"/>
        <v>0</v>
      </c>
      <c r="L2441" t="str">
        <f t="shared" si="233"/>
        <v/>
      </c>
    </row>
    <row r="2442" spans="1:12" ht="14.4" customHeight="1" x14ac:dyDescent="0.3">
      <c r="A2442">
        <v>214940948</v>
      </c>
      <c r="B2442" s="1">
        <v>45109</v>
      </c>
      <c r="D2442" t="s">
        <v>7</v>
      </c>
      <c r="E2442">
        <v>39</v>
      </c>
      <c r="F2442" t="s">
        <v>6</v>
      </c>
      <c r="G2442" t="str">
        <f t="shared" si="228"/>
        <v/>
      </c>
      <c r="H2442" s="1" t="str">
        <f t="shared" si="229"/>
        <v>Sunday</v>
      </c>
      <c r="I2442" t="str">
        <f t="shared" si="230"/>
        <v>No</v>
      </c>
      <c r="J2442">
        <f t="shared" si="231"/>
        <v>0</v>
      </c>
      <c r="K2442">
        <f t="shared" si="232"/>
        <v>0</v>
      </c>
      <c r="L2442" t="str">
        <f t="shared" si="233"/>
        <v/>
      </c>
    </row>
    <row r="2443" spans="1:12" ht="14.4" customHeight="1" x14ac:dyDescent="0.3">
      <c r="A2443">
        <v>218144586</v>
      </c>
      <c r="B2443" s="1">
        <v>45109</v>
      </c>
      <c r="D2443" t="s">
        <v>7</v>
      </c>
      <c r="E2443">
        <v>39</v>
      </c>
      <c r="F2443" t="s">
        <v>6</v>
      </c>
      <c r="G2443" t="str">
        <f t="shared" si="228"/>
        <v/>
      </c>
      <c r="H2443" s="1" t="str">
        <f t="shared" si="229"/>
        <v>Sunday</v>
      </c>
      <c r="I2443" t="str">
        <f t="shared" si="230"/>
        <v>No</v>
      </c>
      <c r="J2443">
        <f t="shared" si="231"/>
        <v>0</v>
      </c>
      <c r="K2443">
        <f t="shared" si="232"/>
        <v>0</v>
      </c>
      <c r="L2443" t="str">
        <f t="shared" si="233"/>
        <v/>
      </c>
    </row>
    <row r="2444" spans="1:12" x14ac:dyDescent="0.3">
      <c r="A2444">
        <v>217863596</v>
      </c>
      <c r="B2444" s="1">
        <v>45109</v>
      </c>
      <c r="C2444" s="1">
        <v>45158</v>
      </c>
      <c r="D2444" t="s">
        <v>7</v>
      </c>
      <c r="E2444">
        <v>39</v>
      </c>
      <c r="F2444" t="s">
        <v>6</v>
      </c>
      <c r="G2444">
        <f t="shared" si="228"/>
        <v>49</v>
      </c>
      <c r="H2444" s="1" t="str">
        <f t="shared" si="229"/>
        <v>Sunday</v>
      </c>
      <c r="I2444" t="str">
        <f t="shared" si="230"/>
        <v>No</v>
      </c>
      <c r="J2444">
        <f t="shared" si="231"/>
        <v>0</v>
      </c>
      <c r="K2444">
        <f t="shared" si="232"/>
        <v>1</v>
      </c>
      <c r="L2444">
        <f t="shared" si="233"/>
        <v>49</v>
      </c>
    </row>
    <row r="2445" spans="1:12" x14ac:dyDescent="0.3">
      <c r="A2445">
        <v>218098580</v>
      </c>
      <c r="B2445" s="1">
        <v>45109</v>
      </c>
      <c r="C2445" s="1">
        <v>45168</v>
      </c>
      <c r="D2445" t="s">
        <v>7</v>
      </c>
      <c r="E2445">
        <v>39</v>
      </c>
      <c r="F2445" t="s">
        <v>6</v>
      </c>
      <c r="G2445">
        <f t="shared" si="228"/>
        <v>59</v>
      </c>
      <c r="H2445" s="1" t="str">
        <f t="shared" si="229"/>
        <v>Sunday</v>
      </c>
      <c r="I2445" t="str">
        <f t="shared" si="230"/>
        <v>No</v>
      </c>
      <c r="J2445">
        <f t="shared" si="231"/>
        <v>0</v>
      </c>
      <c r="K2445">
        <f t="shared" si="232"/>
        <v>1</v>
      </c>
      <c r="L2445">
        <f t="shared" si="233"/>
        <v>59</v>
      </c>
    </row>
    <row r="2446" spans="1:12" ht="14.4" customHeight="1" x14ac:dyDescent="0.3">
      <c r="A2446">
        <v>215602271</v>
      </c>
      <c r="B2446" s="1">
        <v>45109</v>
      </c>
      <c r="C2446" s="1">
        <v>45134</v>
      </c>
      <c r="D2446" t="s">
        <v>7</v>
      </c>
      <c r="E2446">
        <v>39</v>
      </c>
      <c r="F2446" t="s">
        <v>6</v>
      </c>
      <c r="G2446">
        <f t="shared" si="228"/>
        <v>25</v>
      </c>
      <c r="H2446" s="1" t="str">
        <f t="shared" si="229"/>
        <v>Sunday</v>
      </c>
      <c r="I2446" t="str">
        <f t="shared" si="230"/>
        <v>No</v>
      </c>
      <c r="J2446">
        <f t="shared" si="231"/>
        <v>0</v>
      </c>
      <c r="K2446">
        <f t="shared" si="232"/>
        <v>0</v>
      </c>
      <c r="L2446">
        <f t="shared" si="233"/>
        <v>25</v>
      </c>
    </row>
    <row r="2447" spans="1:12" ht="14.4" customHeight="1" x14ac:dyDescent="0.3">
      <c r="A2447">
        <v>218202086</v>
      </c>
      <c r="B2447" s="1">
        <v>45110</v>
      </c>
      <c r="D2447" t="s">
        <v>7</v>
      </c>
      <c r="E2447">
        <v>39</v>
      </c>
      <c r="F2447" t="s">
        <v>6</v>
      </c>
      <c r="G2447" t="str">
        <f t="shared" si="228"/>
        <v/>
      </c>
      <c r="H2447" s="1" t="str">
        <f t="shared" si="229"/>
        <v>Monday</v>
      </c>
      <c r="I2447" t="str">
        <f t="shared" si="230"/>
        <v>No</v>
      </c>
      <c r="J2447">
        <f t="shared" si="231"/>
        <v>0</v>
      </c>
      <c r="K2447">
        <f t="shared" si="232"/>
        <v>0</v>
      </c>
      <c r="L2447" t="str">
        <f t="shared" si="233"/>
        <v/>
      </c>
    </row>
    <row r="2448" spans="1:12" ht="14.4" customHeight="1" x14ac:dyDescent="0.3">
      <c r="A2448">
        <v>217927897</v>
      </c>
      <c r="B2448" s="1">
        <v>45110</v>
      </c>
      <c r="D2448" t="s">
        <v>7</v>
      </c>
      <c r="E2448">
        <v>39</v>
      </c>
      <c r="F2448" t="s">
        <v>6</v>
      </c>
      <c r="G2448" t="str">
        <f t="shared" si="228"/>
        <v/>
      </c>
      <c r="H2448" s="1" t="str">
        <f t="shared" si="229"/>
        <v>Monday</v>
      </c>
      <c r="I2448" t="str">
        <f t="shared" si="230"/>
        <v>No</v>
      </c>
      <c r="J2448">
        <f t="shared" si="231"/>
        <v>0</v>
      </c>
      <c r="K2448">
        <f t="shared" si="232"/>
        <v>0</v>
      </c>
      <c r="L2448" t="str">
        <f t="shared" si="233"/>
        <v/>
      </c>
    </row>
    <row r="2449" spans="1:12" ht="14.4" customHeight="1" x14ac:dyDescent="0.3">
      <c r="A2449">
        <v>217856402</v>
      </c>
      <c r="B2449" s="1">
        <v>45110</v>
      </c>
      <c r="D2449" t="s">
        <v>7</v>
      </c>
      <c r="E2449">
        <v>39</v>
      </c>
      <c r="F2449" t="s">
        <v>6</v>
      </c>
      <c r="G2449" t="str">
        <f t="shared" si="228"/>
        <v/>
      </c>
      <c r="H2449" s="1" t="str">
        <f t="shared" si="229"/>
        <v>Monday</v>
      </c>
      <c r="I2449" t="str">
        <f t="shared" si="230"/>
        <v>No</v>
      </c>
      <c r="J2449">
        <f t="shared" si="231"/>
        <v>0</v>
      </c>
      <c r="K2449">
        <f t="shared" si="232"/>
        <v>0</v>
      </c>
      <c r="L2449" t="str">
        <f t="shared" si="233"/>
        <v/>
      </c>
    </row>
    <row r="2450" spans="1:12" ht="14.4" customHeight="1" x14ac:dyDescent="0.3">
      <c r="A2450">
        <v>217588559</v>
      </c>
      <c r="B2450" s="1">
        <v>45110</v>
      </c>
      <c r="D2450" t="s">
        <v>7</v>
      </c>
      <c r="E2450">
        <v>39</v>
      </c>
      <c r="F2450" t="s">
        <v>6</v>
      </c>
      <c r="G2450" t="str">
        <f t="shared" si="228"/>
        <v/>
      </c>
      <c r="H2450" s="1" t="str">
        <f t="shared" si="229"/>
        <v>Monday</v>
      </c>
      <c r="I2450" t="str">
        <f t="shared" si="230"/>
        <v>No</v>
      </c>
      <c r="J2450">
        <f t="shared" si="231"/>
        <v>0</v>
      </c>
      <c r="K2450">
        <f t="shared" si="232"/>
        <v>0</v>
      </c>
      <c r="L2450" t="str">
        <f t="shared" si="233"/>
        <v/>
      </c>
    </row>
    <row r="2451" spans="1:12" ht="14.4" customHeight="1" x14ac:dyDescent="0.3">
      <c r="A2451">
        <v>212136438</v>
      </c>
      <c r="B2451" s="1">
        <v>45110</v>
      </c>
      <c r="D2451" t="s">
        <v>7</v>
      </c>
      <c r="E2451">
        <v>39</v>
      </c>
      <c r="F2451" t="s">
        <v>6</v>
      </c>
      <c r="G2451" t="str">
        <f t="shared" si="228"/>
        <v/>
      </c>
      <c r="H2451" s="1" t="str">
        <f t="shared" si="229"/>
        <v>Monday</v>
      </c>
      <c r="I2451" t="str">
        <f t="shared" si="230"/>
        <v>No</v>
      </c>
      <c r="J2451">
        <f t="shared" si="231"/>
        <v>0</v>
      </c>
      <c r="K2451">
        <f t="shared" si="232"/>
        <v>0</v>
      </c>
      <c r="L2451" t="str">
        <f t="shared" si="233"/>
        <v/>
      </c>
    </row>
    <row r="2452" spans="1:12" ht="14.4" customHeight="1" x14ac:dyDescent="0.3">
      <c r="A2452">
        <v>138548670</v>
      </c>
      <c r="B2452" s="1">
        <v>45110</v>
      </c>
      <c r="D2452" t="s">
        <v>7</v>
      </c>
      <c r="E2452">
        <v>39</v>
      </c>
      <c r="F2452" t="s">
        <v>6</v>
      </c>
      <c r="G2452" t="str">
        <f t="shared" si="228"/>
        <v/>
      </c>
      <c r="H2452" s="1" t="str">
        <f t="shared" si="229"/>
        <v>Monday</v>
      </c>
      <c r="I2452" t="str">
        <f t="shared" si="230"/>
        <v>No</v>
      </c>
      <c r="J2452">
        <f t="shared" si="231"/>
        <v>0</v>
      </c>
      <c r="K2452">
        <f t="shared" si="232"/>
        <v>0</v>
      </c>
      <c r="L2452" t="str">
        <f t="shared" si="233"/>
        <v/>
      </c>
    </row>
    <row r="2453" spans="1:12" ht="14.4" customHeight="1" x14ac:dyDescent="0.3">
      <c r="A2453">
        <v>217588559</v>
      </c>
      <c r="B2453" s="1">
        <v>45110</v>
      </c>
      <c r="C2453" s="1">
        <v>45110</v>
      </c>
      <c r="D2453" t="s">
        <v>7</v>
      </c>
      <c r="E2453">
        <v>39</v>
      </c>
      <c r="F2453" t="s">
        <v>6</v>
      </c>
      <c r="G2453">
        <f t="shared" si="228"/>
        <v>0</v>
      </c>
      <c r="H2453" s="1" t="str">
        <f t="shared" si="229"/>
        <v>Monday</v>
      </c>
      <c r="I2453" t="str">
        <f t="shared" si="230"/>
        <v>Yes</v>
      </c>
      <c r="J2453">
        <f t="shared" si="231"/>
        <v>1</v>
      </c>
      <c r="K2453">
        <f t="shared" si="232"/>
        <v>0</v>
      </c>
      <c r="L2453">
        <f t="shared" si="233"/>
        <v>0</v>
      </c>
    </row>
    <row r="2454" spans="1:12" x14ac:dyDescent="0.3">
      <c r="A2454">
        <v>171893540</v>
      </c>
      <c r="B2454" s="1">
        <v>45110</v>
      </c>
      <c r="C2454" s="1">
        <v>45158</v>
      </c>
      <c r="D2454" t="s">
        <v>7</v>
      </c>
      <c r="E2454">
        <v>39</v>
      </c>
      <c r="F2454" t="s">
        <v>6</v>
      </c>
      <c r="G2454">
        <f t="shared" si="228"/>
        <v>48</v>
      </c>
      <c r="H2454" s="1" t="str">
        <f t="shared" si="229"/>
        <v>Monday</v>
      </c>
      <c r="I2454" t="str">
        <f t="shared" si="230"/>
        <v>No</v>
      </c>
      <c r="J2454">
        <f t="shared" si="231"/>
        <v>0</v>
      </c>
      <c r="K2454">
        <f t="shared" si="232"/>
        <v>1</v>
      </c>
      <c r="L2454">
        <f t="shared" si="233"/>
        <v>48</v>
      </c>
    </row>
    <row r="2455" spans="1:12" ht="14.4" customHeight="1" x14ac:dyDescent="0.3">
      <c r="A2455">
        <v>202412363</v>
      </c>
      <c r="B2455" s="1">
        <v>45110</v>
      </c>
      <c r="C2455" s="1">
        <v>45129</v>
      </c>
      <c r="D2455" t="s">
        <v>7</v>
      </c>
      <c r="E2455">
        <v>39</v>
      </c>
      <c r="F2455" t="s">
        <v>6</v>
      </c>
      <c r="G2455">
        <f t="shared" si="228"/>
        <v>19</v>
      </c>
      <c r="H2455" s="1" t="str">
        <f t="shared" si="229"/>
        <v>Monday</v>
      </c>
      <c r="I2455" t="str">
        <f t="shared" si="230"/>
        <v>No</v>
      </c>
      <c r="J2455">
        <f t="shared" si="231"/>
        <v>0</v>
      </c>
      <c r="K2455">
        <f t="shared" si="232"/>
        <v>0</v>
      </c>
      <c r="L2455">
        <f t="shared" si="233"/>
        <v>19</v>
      </c>
    </row>
    <row r="2456" spans="1:12" x14ac:dyDescent="0.3">
      <c r="A2456">
        <v>218129311</v>
      </c>
      <c r="B2456" s="1">
        <v>45110</v>
      </c>
      <c r="C2456" s="1">
        <v>45148</v>
      </c>
      <c r="D2456" t="s">
        <v>7</v>
      </c>
      <c r="E2456">
        <v>39</v>
      </c>
      <c r="F2456" t="s">
        <v>6</v>
      </c>
      <c r="G2456">
        <f t="shared" si="228"/>
        <v>38</v>
      </c>
      <c r="H2456" s="1" t="str">
        <f t="shared" si="229"/>
        <v>Monday</v>
      </c>
      <c r="I2456" t="str">
        <f t="shared" si="230"/>
        <v>No</v>
      </c>
      <c r="J2456">
        <f t="shared" si="231"/>
        <v>0</v>
      </c>
      <c r="K2456">
        <f t="shared" si="232"/>
        <v>1</v>
      </c>
      <c r="L2456">
        <f t="shared" si="233"/>
        <v>38</v>
      </c>
    </row>
    <row r="2457" spans="1:12" x14ac:dyDescent="0.3">
      <c r="A2457">
        <v>218092565</v>
      </c>
      <c r="B2457" s="1">
        <v>45110</v>
      </c>
      <c r="C2457" s="1">
        <v>45148</v>
      </c>
      <c r="D2457" t="s">
        <v>7</v>
      </c>
      <c r="E2457">
        <v>39</v>
      </c>
      <c r="F2457" t="s">
        <v>6</v>
      </c>
      <c r="G2457">
        <f t="shared" si="228"/>
        <v>38</v>
      </c>
      <c r="H2457" s="1" t="str">
        <f t="shared" si="229"/>
        <v>Monday</v>
      </c>
      <c r="I2457" t="str">
        <f t="shared" si="230"/>
        <v>No</v>
      </c>
      <c r="J2457">
        <f t="shared" si="231"/>
        <v>0</v>
      </c>
      <c r="K2457">
        <f t="shared" si="232"/>
        <v>1</v>
      </c>
      <c r="L2457">
        <f t="shared" si="233"/>
        <v>38</v>
      </c>
    </row>
    <row r="2458" spans="1:12" ht="14.4" customHeight="1" x14ac:dyDescent="0.3">
      <c r="A2458">
        <v>150436862</v>
      </c>
      <c r="B2458" s="1">
        <v>45111</v>
      </c>
      <c r="D2458" t="s">
        <v>7</v>
      </c>
      <c r="E2458">
        <v>39</v>
      </c>
      <c r="F2458" t="s">
        <v>6</v>
      </c>
      <c r="G2458" t="str">
        <f t="shared" si="228"/>
        <v/>
      </c>
      <c r="H2458" s="1" t="str">
        <f t="shared" si="229"/>
        <v>Tuesday</v>
      </c>
      <c r="I2458" t="str">
        <f t="shared" si="230"/>
        <v>No</v>
      </c>
      <c r="J2458">
        <f t="shared" si="231"/>
        <v>0</v>
      </c>
      <c r="K2458">
        <f t="shared" si="232"/>
        <v>0</v>
      </c>
      <c r="L2458" t="str">
        <f t="shared" si="233"/>
        <v/>
      </c>
    </row>
    <row r="2459" spans="1:12" ht="14.4" customHeight="1" x14ac:dyDescent="0.3">
      <c r="A2459">
        <v>218211840</v>
      </c>
      <c r="B2459" s="1">
        <v>45111</v>
      </c>
      <c r="D2459" t="s">
        <v>7</v>
      </c>
      <c r="E2459">
        <v>39</v>
      </c>
      <c r="F2459" t="s">
        <v>6</v>
      </c>
      <c r="G2459" t="str">
        <f t="shared" si="228"/>
        <v/>
      </c>
      <c r="H2459" s="1" t="str">
        <f t="shared" si="229"/>
        <v>Tuesday</v>
      </c>
      <c r="I2459" t="str">
        <f t="shared" si="230"/>
        <v>No</v>
      </c>
      <c r="J2459">
        <f t="shared" si="231"/>
        <v>0</v>
      </c>
      <c r="K2459">
        <f t="shared" si="232"/>
        <v>0</v>
      </c>
      <c r="L2459" t="str">
        <f t="shared" si="233"/>
        <v/>
      </c>
    </row>
    <row r="2460" spans="1:12" ht="14.4" customHeight="1" x14ac:dyDescent="0.3">
      <c r="A2460">
        <v>218235209</v>
      </c>
      <c r="B2460" s="1">
        <v>45111</v>
      </c>
      <c r="D2460" t="s">
        <v>7</v>
      </c>
      <c r="E2460">
        <v>39</v>
      </c>
      <c r="F2460" t="s">
        <v>6</v>
      </c>
      <c r="G2460" t="str">
        <f t="shared" si="228"/>
        <v/>
      </c>
      <c r="H2460" s="1" t="str">
        <f t="shared" si="229"/>
        <v>Tuesday</v>
      </c>
      <c r="I2460" t="str">
        <f t="shared" si="230"/>
        <v>No</v>
      </c>
      <c r="J2460">
        <f t="shared" si="231"/>
        <v>0</v>
      </c>
      <c r="K2460">
        <f t="shared" si="232"/>
        <v>0</v>
      </c>
      <c r="L2460" t="str">
        <f t="shared" si="233"/>
        <v/>
      </c>
    </row>
    <row r="2461" spans="1:12" ht="14.4" customHeight="1" x14ac:dyDescent="0.3">
      <c r="A2461">
        <v>132631414</v>
      </c>
      <c r="B2461" s="1">
        <v>45111</v>
      </c>
      <c r="D2461" t="s">
        <v>7</v>
      </c>
      <c r="E2461">
        <v>39</v>
      </c>
      <c r="F2461" t="s">
        <v>6</v>
      </c>
      <c r="G2461" t="str">
        <f t="shared" si="228"/>
        <v/>
      </c>
      <c r="H2461" s="1" t="str">
        <f t="shared" si="229"/>
        <v>Tuesday</v>
      </c>
      <c r="I2461" t="str">
        <f t="shared" si="230"/>
        <v>No</v>
      </c>
      <c r="J2461">
        <f t="shared" si="231"/>
        <v>0</v>
      </c>
      <c r="K2461">
        <f t="shared" si="232"/>
        <v>0</v>
      </c>
      <c r="L2461" t="str">
        <f t="shared" si="233"/>
        <v/>
      </c>
    </row>
    <row r="2462" spans="1:12" ht="14.4" customHeight="1" x14ac:dyDescent="0.3">
      <c r="A2462">
        <v>218254260</v>
      </c>
      <c r="B2462" s="1">
        <v>45111</v>
      </c>
      <c r="D2462" t="s">
        <v>7</v>
      </c>
      <c r="E2462">
        <v>39</v>
      </c>
      <c r="F2462" t="s">
        <v>6</v>
      </c>
      <c r="G2462" t="str">
        <f t="shared" si="228"/>
        <v/>
      </c>
      <c r="H2462" s="1" t="str">
        <f t="shared" si="229"/>
        <v>Tuesday</v>
      </c>
      <c r="I2462" t="str">
        <f t="shared" si="230"/>
        <v>No</v>
      </c>
      <c r="J2462">
        <f t="shared" si="231"/>
        <v>0</v>
      </c>
      <c r="K2462">
        <f t="shared" si="232"/>
        <v>0</v>
      </c>
      <c r="L2462" t="str">
        <f t="shared" si="233"/>
        <v/>
      </c>
    </row>
    <row r="2463" spans="1:12" ht="14.4" customHeight="1" x14ac:dyDescent="0.3">
      <c r="A2463">
        <v>218095604</v>
      </c>
      <c r="B2463" s="1">
        <v>45111</v>
      </c>
      <c r="D2463" t="s">
        <v>7</v>
      </c>
      <c r="E2463">
        <v>39</v>
      </c>
      <c r="F2463" t="s">
        <v>6</v>
      </c>
      <c r="G2463" t="str">
        <f t="shared" si="228"/>
        <v/>
      </c>
      <c r="H2463" s="1" t="str">
        <f t="shared" si="229"/>
        <v>Tuesday</v>
      </c>
      <c r="I2463" t="str">
        <f t="shared" si="230"/>
        <v>No</v>
      </c>
      <c r="J2463">
        <f t="shared" si="231"/>
        <v>0</v>
      </c>
      <c r="K2463">
        <f t="shared" si="232"/>
        <v>0</v>
      </c>
      <c r="L2463" t="str">
        <f t="shared" si="233"/>
        <v/>
      </c>
    </row>
    <row r="2464" spans="1:12" ht="14.4" customHeight="1" x14ac:dyDescent="0.3">
      <c r="A2464">
        <v>147845964</v>
      </c>
      <c r="B2464" s="1">
        <v>45111</v>
      </c>
      <c r="C2464" s="1">
        <v>45111</v>
      </c>
      <c r="D2464" t="s">
        <v>7</v>
      </c>
      <c r="E2464">
        <v>39</v>
      </c>
      <c r="F2464" t="s">
        <v>6</v>
      </c>
      <c r="G2464">
        <f t="shared" si="228"/>
        <v>0</v>
      </c>
      <c r="H2464" s="1" t="str">
        <f t="shared" si="229"/>
        <v>Tuesday</v>
      </c>
      <c r="I2464" t="str">
        <f t="shared" si="230"/>
        <v>Yes</v>
      </c>
      <c r="J2464">
        <f t="shared" si="231"/>
        <v>1</v>
      </c>
      <c r="K2464">
        <f t="shared" si="232"/>
        <v>0</v>
      </c>
      <c r="L2464">
        <f t="shared" si="233"/>
        <v>0</v>
      </c>
    </row>
    <row r="2465" spans="1:12" x14ac:dyDescent="0.3">
      <c r="A2465">
        <v>218242871</v>
      </c>
      <c r="B2465" s="1">
        <v>45111</v>
      </c>
      <c r="C2465" s="1">
        <v>45142</v>
      </c>
      <c r="D2465" t="s">
        <v>7</v>
      </c>
      <c r="E2465">
        <v>39</v>
      </c>
      <c r="F2465" t="s">
        <v>6</v>
      </c>
      <c r="G2465">
        <f t="shared" si="228"/>
        <v>31</v>
      </c>
      <c r="H2465" s="1" t="str">
        <f t="shared" si="229"/>
        <v>Tuesday</v>
      </c>
      <c r="I2465" t="str">
        <f t="shared" si="230"/>
        <v>No</v>
      </c>
      <c r="J2465">
        <f t="shared" si="231"/>
        <v>0</v>
      </c>
      <c r="K2465">
        <f t="shared" si="232"/>
        <v>1</v>
      </c>
      <c r="L2465">
        <f t="shared" si="233"/>
        <v>31</v>
      </c>
    </row>
    <row r="2466" spans="1:12" x14ac:dyDescent="0.3">
      <c r="A2466">
        <v>218238016</v>
      </c>
      <c r="B2466" s="1">
        <v>45111</v>
      </c>
      <c r="C2466" s="1">
        <v>45172</v>
      </c>
      <c r="D2466" t="s">
        <v>7</v>
      </c>
      <c r="E2466">
        <v>39</v>
      </c>
      <c r="F2466" t="s">
        <v>6</v>
      </c>
      <c r="G2466">
        <f t="shared" si="228"/>
        <v>61</v>
      </c>
      <c r="H2466" s="1" t="str">
        <f t="shared" si="229"/>
        <v>Tuesday</v>
      </c>
      <c r="I2466" t="str">
        <f t="shared" si="230"/>
        <v>No</v>
      </c>
      <c r="J2466">
        <f t="shared" si="231"/>
        <v>0</v>
      </c>
      <c r="K2466">
        <f t="shared" si="232"/>
        <v>1</v>
      </c>
      <c r="L2466">
        <f t="shared" si="233"/>
        <v>61</v>
      </c>
    </row>
    <row r="2467" spans="1:12" x14ac:dyDescent="0.3">
      <c r="A2467">
        <v>217387951</v>
      </c>
      <c r="B2467" s="1">
        <v>45111</v>
      </c>
      <c r="C2467" s="1">
        <v>45142</v>
      </c>
      <c r="D2467" t="s">
        <v>7</v>
      </c>
      <c r="E2467">
        <v>39</v>
      </c>
      <c r="F2467" t="s">
        <v>6</v>
      </c>
      <c r="G2467">
        <f t="shared" si="228"/>
        <v>31</v>
      </c>
      <c r="H2467" s="1" t="str">
        <f t="shared" si="229"/>
        <v>Tuesday</v>
      </c>
      <c r="I2467" t="str">
        <f t="shared" si="230"/>
        <v>No</v>
      </c>
      <c r="J2467">
        <f t="shared" si="231"/>
        <v>0</v>
      </c>
      <c r="K2467">
        <f t="shared" si="232"/>
        <v>1</v>
      </c>
      <c r="L2467">
        <f t="shared" si="233"/>
        <v>31</v>
      </c>
    </row>
    <row r="2468" spans="1:12" ht="14.4" customHeight="1" x14ac:dyDescent="0.3">
      <c r="A2468">
        <v>218236754</v>
      </c>
      <c r="B2468" s="1">
        <v>45111</v>
      </c>
      <c r="C2468" s="1">
        <v>45118</v>
      </c>
      <c r="D2468" t="s">
        <v>7</v>
      </c>
      <c r="E2468">
        <v>39</v>
      </c>
      <c r="F2468" t="s">
        <v>6</v>
      </c>
      <c r="G2468">
        <f t="shared" si="228"/>
        <v>7</v>
      </c>
      <c r="H2468" s="1" t="str">
        <f t="shared" si="229"/>
        <v>Tuesday</v>
      </c>
      <c r="I2468" t="str">
        <f t="shared" si="230"/>
        <v>No</v>
      </c>
      <c r="J2468">
        <f t="shared" si="231"/>
        <v>0</v>
      </c>
      <c r="K2468">
        <f t="shared" si="232"/>
        <v>0</v>
      </c>
      <c r="L2468">
        <f t="shared" si="233"/>
        <v>7</v>
      </c>
    </row>
    <row r="2469" spans="1:12" ht="14.4" customHeight="1" x14ac:dyDescent="0.3">
      <c r="A2469">
        <v>218307564</v>
      </c>
      <c r="B2469" s="1">
        <v>45112</v>
      </c>
      <c r="D2469" t="s">
        <v>7</v>
      </c>
      <c r="E2469">
        <v>39</v>
      </c>
      <c r="F2469" t="s">
        <v>6</v>
      </c>
      <c r="G2469" t="str">
        <f t="shared" si="228"/>
        <v/>
      </c>
      <c r="H2469" s="1" t="str">
        <f t="shared" si="229"/>
        <v>Wednesday</v>
      </c>
      <c r="I2469" t="str">
        <f t="shared" si="230"/>
        <v>No</v>
      </c>
      <c r="J2469">
        <f t="shared" si="231"/>
        <v>0</v>
      </c>
      <c r="K2469">
        <f t="shared" si="232"/>
        <v>0</v>
      </c>
      <c r="L2469" t="str">
        <f t="shared" si="233"/>
        <v/>
      </c>
    </row>
    <row r="2470" spans="1:12" ht="14.4" customHeight="1" x14ac:dyDescent="0.3">
      <c r="A2470">
        <v>150521180</v>
      </c>
      <c r="B2470" s="1">
        <v>45112</v>
      </c>
      <c r="D2470" t="s">
        <v>7</v>
      </c>
      <c r="E2470">
        <v>39</v>
      </c>
      <c r="F2470" t="s">
        <v>6</v>
      </c>
      <c r="G2470" t="str">
        <f t="shared" si="228"/>
        <v/>
      </c>
      <c r="H2470" s="1" t="str">
        <f t="shared" si="229"/>
        <v>Wednesday</v>
      </c>
      <c r="I2470" t="str">
        <f t="shared" si="230"/>
        <v>No</v>
      </c>
      <c r="J2470">
        <f t="shared" si="231"/>
        <v>0</v>
      </c>
      <c r="K2470">
        <f t="shared" si="232"/>
        <v>0</v>
      </c>
      <c r="L2470" t="str">
        <f t="shared" si="233"/>
        <v/>
      </c>
    </row>
    <row r="2471" spans="1:12" ht="14.4" customHeight="1" x14ac:dyDescent="0.3">
      <c r="A2471">
        <v>135240372</v>
      </c>
      <c r="B2471" s="1">
        <v>45112</v>
      </c>
      <c r="D2471" t="s">
        <v>7</v>
      </c>
      <c r="E2471">
        <v>39</v>
      </c>
      <c r="F2471" t="s">
        <v>6</v>
      </c>
      <c r="G2471" t="str">
        <f t="shared" si="228"/>
        <v/>
      </c>
      <c r="H2471" s="1" t="str">
        <f t="shared" si="229"/>
        <v>Wednesday</v>
      </c>
      <c r="I2471" t="str">
        <f t="shared" si="230"/>
        <v>No</v>
      </c>
      <c r="J2471">
        <f t="shared" si="231"/>
        <v>0</v>
      </c>
      <c r="K2471">
        <f t="shared" si="232"/>
        <v>0</v>
      </c>
      <c r="L2471" t="str">
        <f t="shared" si="233"/>
        <v/>
      </c>
    </row>
    <row r="2472" spans="1:12" ht="14.4" customHeight="1" x14ac:dyDescent="0.3">
      <c r="A2472">
        <v>218275834</v>
      </c>
      <c r="B2472" s="1">
        <v>45112</v>
      </c>
      <c r="D2472" t="s">
        <v>7</v>
      </c>
      <c r="E2472">
        <v>39</v>
      </c>
      <c r="F2472" t="s">
        <v>6</v>
      </c>
      <c r="G2472" t="str">
        <f t="shared" si="228"/>
        <v/>
      </c>
      <c r="H2472" s="1" t="str">
        <f t="shared" si="229"/>
        <v>Wednesday</v>
      </c>
      <c r="I2472" t="str">
        <f t="shared" si="230"/>
        <v>No</v>
      </c>
      <c r="J2472">
        <f t="shared" si="231"/>
        <v>0</v>
      </c>
      <c r="K2472">
        <f t="shared" si="232"/>
        <v>0</v>
      </c>
      <c r="L2472" t="str">
        <f t="shared" si="233"/>
        <v/>
      </c>
    </row>
    <row r="2473" spans="1:12" ht="14.4" customHeight="1" x14ac:dyDescent="0.3">
      <c r="A2473">
        <v>218028076</v>
      </c>
      <c r="B2473" s="1">
        <v>45112</v>
      </c>
      <c r="D2473" t="s">
        <v>7</v>
      </c>
      <c r="E2473">
        <v>39</v>
      </c>
      <c r="F2473" t="s">
        <v>6</v>
      </c>
      <c r="G2473" t="str">
        <f t="shared" si="228"/>
        <v/>
      </c>
      <c r="H2473" s="1" t="str">
        <f t="shared" si="229"/>
        <v>Wednesday</v>
      </c>
      <c r="I2473" t="str">
        <f t="shared" si="230"/>
        <v>No</v>
      </c>
      <c r="J2473">
        <f t="shared" si="231"/>
        <v>0</v>
      </c>
      <c r="K2473">
        <f t="shared" si="232"/>
        <v>0</v>
      </c>
      <c r="L2473" t="str">
        <f t="shared" si="233"/>
        <v/>
      </c>
    </row>
    <row r="2474" spans="1:12" ht="14.4" customHeight="1" x14ac:dyDescent="0.3">
      <c r="A2474">
        <v>164254865</v>
      </c>
      <c r="B2474" s="1">
        <v>45112</v>
      </c>
      <c r="D2474" t="s">
        <v>7</v>
      </c>
      <c r="E2474">
        <v>39</v>
      </c>
      <c r="F2474" t="s">
        <v>6</v>
      </c>
      <c r="G2474" t="str">
        <f t="shared" si="228"/>
        <v/>
      </c>
      <c r="H2474" s="1" t="str">
        <f t="shared" si="229"/>
        <v>Wednesday</v>
      </c>
      <c r="I2474" t="str">
        <f t="shared" si="230"/>
        <v>No</v>
      </c>
      <c r="J2474">
        <f t="shared" si="231"/>
        <v>0</v>
      </c>
      <c r="K2474">
        <f t="shared" si="232"/>
        <v>0</v>
      </c>
      <c r="L2474" t="str">
        <f t="shared" si="233"/>
        <v/>
      </c>
    </row>
    <row r="2475" spans="1:12" ht="14.4" customHeight="1" x14ac:dyDescent="0.3">
      <c r="A2475">
        <v>218274904</v>
      </c>
      <c r="B2475" s="1">
        <v>45112</v>
      </c>
      <c r="C2475" s="1">
        <v>45113</v>
      </c>
      <c r="D2475" t="s">
        <v>8</v>
      </c>
      <c r="E2475">
        <v>39</v>
      </c>
      <c r="F2475" t="s">
        <v>6</v>
      </c>
      <c r="G2475">
        <f t="shared" si="228"/>
        <v>1</v>
      </c>
      <c r="H2475" s="1" t="str">
        <f t="shared" si="229"/>
        <v>Wednesday</v>
      </c>
      <c r="I2475" t="str">
        <f t="shared" si="230"/>
        <v>No</v>
      </c>
      <c r="J2475">
        <f t="shared" si="231"/>
        <v>1</v>
      </c>
      <c r="K2475">
        <f t="shared" si="232"/>
        <v>0</v>
      </c>
      <c r="L2475">
        <f t="shared" si="233"/>
        <v>1</v>
      </c>
    </row>
    <row r="2476" spans="1:12" x14ac:dyDescent="0.3">
      <c r="A2476">
        <v>208473540</v>
      </c>
      <c r="B2476" s="1">
        <v>45112</v>
      </c>
      <c r="C2476" s="1">
        <v>45177</v>
      </c>
      <c r="D2476" t="s">
        <v>7</v>
      </c>
      <c r="E2476">
        <v>39</v>
      </c>
      <c r="F2476" t="s">
        <v>6</v>
      </c>
      <c r="G2476">
        <f t="shared" si="228"/>
        <v>65</v>
      </c>
      <c r="H2476" s="1" t="str">
        <f t="shared" si="229"/>
        <v>Wednesday</v>
      </c>
      <c r="I2476" t="str">
        <f t="shared" si="230"/>
        <v>No</v>
      </c>
      <c r="J2476">
        <f t="shared" si="231"/>
        <v>0</v>
      </c>
      <c r="K2476">
        <f t="shared" si="232"/>
        <v>1</v>
      </c>
      <c r="L2476">
        <f t="shared" si="233"/>
        <v>65</v>
      </c>
    </row>
    <row r="2477" spans="1:12" x14ac:dyDescent="0.3">
      <c r="A2477">
        <v>218233516</v>
      </c>
      <c r="B2477" s="1">
        <v>45112</v>
      </c>
      <c r="C2477" s="1">
        <v>45146</v>
      </c>
      <c r="D2477" t="s">
        <v>7</v>
      </c>
      <c r="E2477">
        <v>39</v>
      </c>
      <c r="F2477" t="s">
        <v>6</v>
      </c>
      <c r="G2477">
        <f t="shared" si="228"/>
        <v>34</v>
      </c>
      <c r="H2477" s="1" t="str">
        <f t="shared" si="229"/>
        <v>Wednesday</v>
      </c>
      <c r="I2477" t="str">
        <f t="shared" si="230"/>
        <v>No</v>
      </c>
      <c r="J2477">
        <f t="shared" si="231"/>
        <v>0</v>
      </c>
      <c r="K2477">
        <f t="shared" si="232"/>
        <v>1</v>
      </c>
      <c r="L2477">
        <f t="shared" si="233"/>
        <v>34</v>
      </c>
    </row>
    <row r="2478" spans="1:12" x14ac:dyDescent="0.3">
      <c r="A2478">
        <v>218261606</v>
      </c>
      <c r="B2478" s="1">
        <v>45112</v>
      </c>
      <c r="C2478" s="1">
        <v>45155</v>
      </c>
      <c r="D2478" t="s">
        <v>7</v>
      </c>
      <c r="E2478">
        <v>39</v>
      </c>
      <c r="F2478" t="s">
        <v>6</v>
      </c>
      <c r="G2478">
        <f t="shared" si="228"/>
        <v>43</v>
      </c>
      <c r="H2478" s="1" t="str">
        <f t="shared" si="229"/>
        <v>Wednesday</v>
      </c>
      <c r="I2478" t="str">
        <f t="shared" si="230"/>
        <v>No</v>
      </c>
      <c r="J2478">
        <f t="shared" si="231"/>
        <v>0</v>
      </c>
      <c r="K2478">
        <f t="shared" si="232"/>
        <v>1</v>
      </c>
      <c r="L2478">
        <f t="shared" si="233"/>
        <v>43</v>
      </c>
    </row>
    <row r="2479" spans="1:12" ht="14.4" customHeight="1" x14ac:dyDescent="0.3">
      <c r="A2479">
        <v>218289472</v>
      </c>
      <c r="B2479" s="1">
        <v>45112</v>
      </c>
      <c r="C2479" s="1">
        <v>45113</v>
      </c>
      <c r="D2479" t="s">
        <v>7</v>
      </c>
      <c r="E2479">
        <v>39</v>
      </c>
      <c r="F2479" t="s">
        <v>6</v>
      </c>
      <c r="G2479">
        <f t="shared" si="228"/>
        <v>1</v>
      </c>
      <c r="H2479" s="1" t="str">
        <f t="shared" si="229"/>
        <v>Wednesday</v>
      </c>
      <c r="I2479" t="str">
        <f t="shared" si="230"/>
        <v>No</v>
      </c>
      <c r="J2479">
        <f t="shared" si="231"/>
        <v>1</v>
      </c>
      <c r="K2479">
        <f t="shared" si="232"/>
        <v>0</v>
      </c>
      <c r="L2479">
        <f t="shared" si="233"/>
        <v>1</v>
      </c>
    </row>
    <row r="2480" spans="1:12" ht="14.4" customHeight="1" x14ac:dyDescent="0.3">
      <c r="A2480">
        <v>215946425</v>
      </c>
      <c r="B2480" s="1">
        <v>45112</v>
      </c>
      <c r="C2480" s="1">
        <v>45136</v>
      </c>
      <c r="D2480" t="s">
        <v>7</v>
      </c>
      <c r="E2480">
        <v>39</v>
      </c>
      <c r="F2480" t="s">
        <v>6</v>
      </c>
      <c r="G2480">
        <f t="shared" si="228"/>
        <v>24</v>
      </c>
      <c r="H2480" s="1" t="str">
        <f t="shared" si="229"/>
        <v>Wednesday</v>
      </c>
      <c r="I2480" t="str">
        <f t="shared" si="230"/>
        <v>No</v>
      </c>
      <c r="J2480">
        <f t="shared" si="231"/>
        <v>0</v>
      </c>
      <c r="K2480">
        <f t="shared" si="232"/>
        <v>0</v>
      </c>
      <c r="L2480">
        <f t="shared" si="233"/>
        <v>24</v>
      </c>
    </row>
    <row r="2481" spans="1:12" ht="14.4" customHeight="1" x14ac:dyDescent="0.3">
      <c r="A2481">
        <v>218284850</v>
      </c>
      <c r="B2481" s="1">
        <v>45112</v>
      </c>
      <c r="C2481" s="1">
        <v>45136</v>
      </c>
      <c r="D2481" t="s">
        <v>7</v>
      </c>
      <c r="E2481">
        <v>39</v>
      </c>
      <c r="F2481" t="s">
        <v>6</v>
      </c>
      <c r="G2481">
        <f t="shared" si="228"/>
        <v>24</v>
      </c>
      <c r="H2481" s="1" t="str">
        <f t="shared" si="229"/>
        <v>Wednesday</v>
      </c>
      <c r="I2481" t="str">
        <f t="shared" si="230"/>
        <v>No</v>
      </c>
      <c r="J2481">
        <f t="shared" si="231"/>
        <v>0</v>
      </c>
      <c r="K2481">
        <f t="shared" si="232"/>
        <v>0</v>
      </c>
      <c r="L2481">
        <f t="shared" si="233"/>
        <v>24</v>
      </c>
    </row>
    <row r="2482" spans="1:12" ht="14.4" customHeight="1" x14ac:dyDescent="0.3">
      <c r="A2482">
        <v>202151053</v>
      </c>
      <c r="B2482" s="1">
        <v>45113</v>
      </c>
      <c r="D2482" t="s">
        <v>7</v>
      </c>
      <c r="E2482">
        <v>39</v>
      </c>
      <c r="F2482" t="s">
        <v>6</v>
      </c>
      <c r="G2482" t="str">
        <f t="shared" si="228"/>
        <v/>
      </c>
      <c r="H2482" s="1" t="str">
        <f t="shared" si="229"/>
        <v>Thursday</v>
      </c>
      <c r="I2482" t="str">
        <f t="shared" si="230"/>
        <v>No</v>
      </c>
      <c r="J2482">
        <f t="shared" si="231"/>
        <v>0</v>
      </c>
      <c r="K2482">
        <f t="shared" si="232"/>
        <v>0</v>
      </c>
      <c r="L2482" t="str">
        <f t="shared" si="233"/>
        <v/>
      </c>
    </row>
    <row r="2483" spans="1:12" ht="14.4" customHeight="1" x14ac:dyDescent="0.3">
      <c r="A2483">
        <v>112301350</v>
      </c>
      <c r="B2483" s="1">
        <v>45113</v>
      </c>
      <c r="D2483" t="s">
        <v>7</v>
      </c>
      <c r="E2483">
        <v>39</v>
      </c>
      <c r="F2483" t="s">
        <v>6</v>
      </c>
      <c r="G2483" t="str">
        <f t="shared" si="228"/>
        <v/>
      </c>
      <c r="H2483" s="1" t="str">
        <f t="shared" si="229"/>
        <v>Thursday</v>
      </c>
      <c r="I2483" t="str">
        <f t="shared" si="230"/>
        <v>No</v>
      </c>
      <c r="J2483">
        <f t="shared" si="231"/>
        <v>0</v>
      </c>
      <c r="K2483">
        <f t="shared" si="232"/>
        <v>0</v>
      </c>
      <c r="L2483" t="str">
        <f t="shared" si="233"/>
        <v/>
      </c>
    </row>
    <row r="2484" spans="1:12" ht="14.4" customHeight="1" x14ac:dyDescent="0.3">
      <c r="A2484">
        <v>218300918</v>
      </c>
      <c r="B2484" s="1">
        <v>45113</v>
      </c>
      <c r="D2484" t="s">
        <v>7</v>
      </c>
      <c r="E2484">
        <v>39</v>
      </c>
      <c r="F2484" t="s">
        <v>6</v>
      </c>
      <c r="G2484" t="str">
        <f t="shared" si="228"/>
        <v/>
      </c>
      <c r="H2484" s="1" t="str">
        <f t="shared" si="229"/>
        <v>Thursday</v>
      </c>
      <c r="I2484" t="str">
        <f t="shared" si="230"/>
        <v>No</v>
      </c>
      <c r="J2484">
        <f t="shared" si="231"/>
        <v>0</v>
      </c>
      <c r="K2484">
        <f t="shared" si="232"/>
        <v>0</v>
      </c>
      <c r="L2484" t="str">
        <f t="shared" si="233"/>
        <v/>
      </c>
    </row>
    <row r="2485" spans="1:12" ht="14.4" customHeight="1" x14ac:dyDescent="0.3">
      <c r="A2485">
        <v>205452800</v>
      </c>
      <c r="B2485" s="1">
        <v>45113</v>
      </c>
      <c r="D2485" t="s">
        <v>7</v>
      </c>
      <c r="E2485">
        <v>39</v>
      </c>
      <c r="F2485" t="s">
        <v>6</v>
      </c>
      <c r="G2485" t="str">
        <f t="shared" si="228"/>
        <v/>
      </c>
      <c r="H2485" s="1" t="str">
        <f t="shared" si="229"/>
        <v>Thursday</v>
      </c>
      <c r="I2485" t="str">
        <f t="shared" si="230"/>
        <v>No</v>
      </c>
      <c r="J2485">
        <f t="shared" si="231"/>
        <v>0</v>
      </c>
      <c r="K2485">
        <f t="shared" si="232"/>
        <v>0</v>
      </c>
      <c r="L2485" t="str">
        <f t="shared" si="233"/>
        <v/>
      </c>
    </row>
    <row r="2486" spans="1:12" ht="14.4" customHeight="1" x14ac:dyDescent="0.3">
      <c r="A2486">
        <v>218278300</v>
      </c>
      <c r="B2486" s="1">
        <v>45113</v>
      </c>
      <c r="D2486" t="s">
        <v>7</v>
      </c>
      <c r="E2486">
        <v>39</v>
      </c>
      <c r="F2486" t="s">
        <v>6</v>
      </c>
      <c r="G2486" t="str">
        <f t="shared" si="228"/>
        <v/>
      </c>
      <c r="H2486" s="1" t="str">
        <f t="shared" si="229"/>
        <v>Thursday</v>
      </c>
      <c r="I2486" t="str">
        <f t="shared" si="230"/>
        <v>No</v>
      </c>
      <c r="J2486">
        <f t="shared" si="231"/>
        <v>0</v>
      </c>
      <c r="K2486">
        <f t="shared" si="232"/>
        <v>0</v>
      </c>
      <c r="L2486" t="str">
        <f t="shared" si="233"/>
        <v/>
      </c>
    </row>
    <row r="2487" spans="1:12" ht="14.4" customHeight="1" x14ac:dyDescent="0.3">
      <c r="A2487">
        <v>216920844</v>
      </c>
      <c r="B2487" s="1">
        <v>45113</v>
      </c>
      <c r="D2487" t="s">
        <v>7</v>
      </c>
      <c r="E2487">
        <v>39</v>
      </c>
      <c r="F2487" t="s">
        <v>6</v>
      </c>
      <c r="G2487" t="str">
        <f t="shared" si="228"/>
        <v/>
      </c>
      <c r="H2487" s="1" t="str">
        <f t="shared" si="229"/>
        <v>Thursday</v>
      </c>
      <c r="I2487" t="str">
        <f t="shared" si="230"/>
        <v>No</v>
      </c>
      <c r="J2487">
        <f t="shared" si="231"/>
        <v>0</v>
      </c>
      <c r="K2487">
        <f t="shared" si="232"/>
        <v>0</v>
      </c>
      <c r="L2487" t="str">
        <f t="shared" si="233"/>
        <v/>
      </c>
    </row>
    <row r="2488" spans="1:12" ht="14.4" customHeight="1" x14ac:dyDescent="0.3">
      <c r="A2488">
        <v>127100688</v>
      </c>
      <c r="B2488" s="1">
        <v>45113</v>
      </c>
      <c r="C2488" s="1">
        <v>45140</v>
      </c>
      <c r="D2488" t="s">
        <v>7</v>
      </c>
      <c r="E2488">
        <v>39</v>
      </c>
      <c r="F2488" t="s">
        <v>6</v>
      </c>
      <c r="G2488">
        <f t="shared" si="228"/>
        <v>27</v>
      </c>
      <c r="H2488" s="1" t="str">
        <f t="shared" si="229"/>
        <v>Thursday</v>
      </c>
      <c r="I2488" t="str">
        <f t="shared" si="230"/>
        <v>No</v>
      </c>
      <c r="J2488">
        <f t="shared" si="231"/>
        <v>0</v>
      </c>
      <c r="K2488">
        <f t="shared" si="232"/>
        <v>0</v>
      </c>
      <c r="L2488">
        <f t="shared" si="233"/>
        <v>27</v>
      </c>
    </row>
    <row r="2489" spans="1:12" x14ac:dyDescent="0.3">
      <c r="A2489">
        <v>218345379</v>
      </c>
      <c r="B2489" s="1">
        <v>45113</v>
      </c>
      <c r="C2489" s="1">
        <v>45151</v>
      </c>
      <c r="D2489" t="s">
        <v>7</v>
      </c>
      <c r="E2489">
        <v>39</v>
      </c>
      <c r="F2489" t="s">
        <v>6</v>
      </c>
      <c r="G2489">
        <f t="shared" si="228"/>
        <v>38</v>
      </c>
      <c r="H2489" s="1" t="str">
        <f t="shared" si="229"/>
        <v>Thursday</v>
      </c>
      <c r="I2489" t="str">
        <f t="shared" si="230"/>
        <v>No</v>
      </c>
      <c r="J2489">
        <f t="shared" si="231"/>
        <v>0</v>
      </c>
      <c r="K2489">
        <f t="shared" si="232"/>
        <v>1</v>
      </c>
      <c r="L2489">
        <f t="shared" si="233"/>
        <v>38</v>
      </c>
    </row>
    <row r="2490" spans="1:12" x14ac:dyDescent="0.3">
      <c r="A2490">
        <v>183507186</v>
      </c>
      <c r="B2490" s="1">
        <v>45113</v>
      </c>
      <c r="C2490" s="1">
        <v>45144</v>
      </c>
      <c r="D2490" t="s">
        <v>7</v>
      </c>
      <c r="E2490">
        <v>39</v>
      </c>
      <c r="F2490" t="s">
        <v>6</v>
      </c>
      <c r="G2490">
        <f t="shared" si="228"/>
        <v>31</v>
      </c>
      <c r="H2490" s="1" t="str">
        <f t="shared" si="229"/>
        <v>Thursday</v>
      </c>
      <c r="I2490" t="str">
        <f t="shared" si="230"/>
        <v>No</v>
      </c>
      <c r="J2490">
        <f t="shared" si="231"/>
        <v>0</v>
      </c>
      <c r="K2490">
        <f t="shared" si="232"/>
        <v>1</v>
      </c>
      <c r="L2490">
        <f t="shared" si="233"/>
        <v>31</v>
      </c>
    </row>
    <row r="2491" spans="1:12" ht="14.4" customHeight="1" x14ac:dyDescent="0.3">
      <c r="A2491">
        <v>218133430</v>
      </c>
      <c r="B2491" s="1">
        <v>45114</v>
      </c>
      <c r="D2491" t="s">
        <v>7</v>
      </c>
      <c r="E2491">
        <v>39</v>
      </c>
      <c r="F2491" t="s">
        <v>6</v>
      </c>
      <c r="G2491" t="str">
        <f t="shared" si="228"/>
        <v/>
      </c>
      <c r="H2491" s="1" t="str">
        <f t="shared" si="229"/>
        <v>Friday</v>
      </c>
      <c r="I2491" t="str">
        <f t="shared" si="230"/>
        <v>No</v>
      </c>
      <c r="J2491">
        <f t="shared" si="231"/>
        <v>0</v>
      </c>
      <c r="K2491">
        <f t="shared" si="232"/>
        <v>0</v>
      </c>
      <c r="L2491" t="str">
        <f t="shared" si="233"/>
        <v/>
      </c>
    </row>
    <row r="2492" spans="1:12" ht="14.4" customHeight="1" x14ac:dyDescent="0.3">
      <c r="A2492">
        <v>147813476</v>
      </c>
      <c r="B2492" s="1">
        <v>45114</v>
      </c>
      <c r="D2492" t="s">
        <v>7</v>
      </c>
      <c r="E2492">
        <v>39</v>
      </c>
      <c r="F2492" t="s">
        <v>6</v>
      </c>
      <c r="G2492" t="str">
        <f t="shared" si="228"/>
        <v/>
      </c>
      <c r="H2492" s="1" t="str">
        <f t="shared" si="229"/>
        <v>Friday</v>
      </c>
      <c r="I2492" t="str">
        <f t="shared" si="230"/>
        <v>No</v>
      </c>
      <c r="J2492">
        <f t="shared" si="231"/>
        <v>0</v>
      </c>
      <c r="K2492">
        <f t="shared" si="232"/>
        <v>0</v>
      </c>
      <c r="L2492" t="str">
        <f t="shared" si="233"/>
        <v/>
      </c>
    </row>
    <row r="2493" spans="1:12" ht="14.4" customHeight="1" x14ac:dyDescent="0.3">
      <c r="A2493">
        <v>218375754</v>
      </c>
      <c r="B2493" s="1">
        <v>45114</v>
      </c>
      <c r="D2493" t="s">
        <v>7</v>
      </c>
      <c r="E2493">
        <v>39</v>
      </c>
      <c r="F2493" t="s">
        <v>6</v>
      </c>
      <c r="G2493" t="str">
        <f t="shared" si="228"/>
        <v/>
      </c>
      <c r="H2493" s="1" t="str">
        <f t="shared" si="229"/>
        <v>Friday</v>
      </c>
      <c r="I2493" t="str">
        <f t="shared" si="230"/>
        <v>No</v>
      </c>
      <c r="J2493">
        <f t="shared" si="231"/>
        <v>0</v>
      </c>
      <c r="K2493">
        <f t="shared" si="232"/>
        <v>0</v>
      </c>
      <c r="L2493" t="str">
        <f t="shared" si="233"/>
        <v/>
      </c>
    </row>
    <row r="2494" spans="1:12" ht="14.4" customHeight="1" x14ac:dyDescent="0.3">
      <c r="A2494">
        <v>216000482</v>
      </c>
      <c r="B2494" s="1">
        <v>45114</v>
      </c>
      <c r="D2494" t="s">
        <v>7</v>
      </c>
      <c r="E2494">
        <v>39</v>
      </c>
      <c r="F2494" t="s">
        <v>6</v>
      </c>
      <c r="G2494" t="str">
        <f t="shared" si="228"/>
        <v/>
      </c>
      <c r="H2494" s="1" t="str">
        <f t="shared" si="229"/>
        <v>Friday</v>
      </c>
      <c r="I2494" t="str">
        <f t="shared" si="230"/>
        <v>No</v>
      </c>
      <c r="J2494">
        <f t="shared" si="231"/>
        <v>0</v>
      </c>
      <c r="K2494">
        <f t="shared" si="232"/>
        <v>0</v>
      </c>
      <c r="L2494" t="str">
        <f t="shared" si="233"/>
        <v/>
      </c>
    </row>
    <row r="2495" spans="1:12" ht="14.4" customHeight="1" x14ac:dyDescent="0.3">
      <c r="A2495">
        <v>161549477</v>
      </c>
      <c r="B2495" s="1">
        <v>45114</v>
      </c>
      <c r="D2495" t="s">
        <v>7</v>
      </c>
      <c r="E2495">
        <v>39</v>
      </c>
      <c r="F2495" t="s">
        <v>6</v>
      </c>
      <c r="G2495" t="str">
        <f t="shared" si="228"/>
        <v/>
      </c>
      <c r="H2495" s="1" t="str">
        <f t="shared" si="229"/>
        <v>Friday</v>
      </c>
      <c r="I2495" t="str">
        <f t="shared" si="230"/>
        <v>No</v>
      </c>
      <c r="J2495">
        <f t="shared" si="231"/>
        <v>0</v>
      </c>
      <c r="K2495">
        <f t="shared" si="232"/>
        <v>0</v>
      </c>
      <c r="L2495" t="str">
        <f t="shared" si="233"/>
        <v/>
      </c>
    </row>
    <row r="2496" spans="1:12" ht="14.4" customHeight="1" x14ac:dyDescent="0.3">
      <c r="A2496">
        <v>133444654</v>
      </c>
      <c r="B2496" s="1">
        <v>45114</v>
      </c>
      <c r="C2496" s="1">
        <v>45117</v>
      </c>
      <c r="D2496" t="s">
        <v>7</v>
      </c>
      <c r="E2496">
        <v>39</v>
      </c>
      <c r="F2496" t="s">
        <v>6</v>
      </c>
      <c r="G2496">
        <f t="shared" si="228"/>
        <v>3</v>
      </c>
      <c r="H2496" s="1" t="str">
        <f t="shared" si="229"/>
        <v>Friday</v>
      </c>
      <c r="I2496" t="str">
        <f t="shared" si="230"/>
        <v>No</v>
      </c>
      <c r="J2496">
        <f t="shared" si="231"/>
        <v>0</v>
      </c>
      <c r="K2496">
        <f t="shared" si="232"/>
        <v>0</v>
      </c>
      <c r="L2496">
        <f t="shared" si="233"/>
        <v>3</v>
      </c>
    </row>
    <row r="2497" spans="1:12" ht="14.4" customHeight="1" x14ac:dyDescent="0.3">
      <c r="A2497">
        <v>217883594</v>
      </c>
      <c r="B2497" s="1">
        <v>45114</v>
      </c>
      <c r="C2497" s="1">
        <v>45134</v>
      </c>
      <c r="D2497" t="s">
        <v>7</v>
      </c>
      <c r="E2497">
        <v>39</v>
      </c>
      <c r="F2497" t="s">
        <v>6</v>
      </c>
      <c r="G2497">
        <f t="shared" si="228"/>
        <v>20</v>
      </c>
      <c r="H2497" s="1" t="str">
        <f t="shared" si="229"/>
        <v>Friday</v>
      </c>
      <c r="I2497" t="str">
        <f t="shared" si="230"/>
        <v>No</v>
      </c>
      <c r="J2497">
        <f t="shared" si="231"/>
        <v>0</v>
      </c>
      <c r="K2497">
        <f t="shared" si="232"/>
        <v>0</v>
      </c>
      <c r="L2497">
        <f t="shared" si="233"/>
        <v>20</v>
      </c>
    </row>
    <row r="2498" spans="1:12" ht="14.4" customHeight="1" x14ac:dyDescent="0.3">
      <c r="A2498">
        <v>197752733</v>
      </c>
      <c r="B2498" s="1">
        <v>45115</v>
      </c>
      <c r="D2498" t="s">
        <v>7</v>
      </c>
      <c r="E2498">
        <v>39</v>
      </c>
      <c r="F2498" t="s">
        <v>6</v>
      </c>
      <c r="G2498" t="str">
        <f t="shared" ref="G2498:G2561" si="234">IF(C2498="","",C2498-B2498)</f>
        <v/>
      </c>
      <c r="H2498" s="1" t="str">
        <f t="shared" si="229"/>
        <v>Saturday</v>
      </c>
      <c r="I2498" t="str">
        <f t="shared" si="230"/>
        <v>No</v>
      </c>
      <c r="J2498">
        <f t="shared" si="231"/>
        <v>0</v>
      </c>
      <c r="K2498">
        <f t="shared" si="232"/>
        <v>0</v>
      </c>
      <c r="L2498" t="str">
        <f t="shared" si="233"/>
        <v/>
      </c>
    </row>
    <row r="2499" spans="1:12" ht="14.4" customHeight="1" x14ac:dyDescent="0.3">
      <c r="A2499">
        <v>175884318</v>
      </c>
      <c r="B2499" s="1">
        <v>45115</v>
      </c>
      <c r="D2499" t="s">
        <v>7</v>
      </c>
      <c r="E2499">
        <v>39</v>
      </c>
      <c r="F2499" t="s">
        <v>6</v>
      </c>
      <c r="G2499" t="str">
        <f t="shared" si="234"/>
        <v/>
      </c>
      <c r="H2499" s="1" t="str">
        <f t="shared" ref="H2499:H2562" si="235">TEXT(B2499,"dddd")</f>
        <v>Saturday</v>
      </c>
      <c r="I2499" t="str">
        <f t="shared" ref="I2499:I2562" si="236">IF(B2499=C2499,"Yes","No")</f>
        <v>No</v>
      </c>
      <c r="J2499">
        <f t="shared" ref="J2499:J2562" si="237">IF(AND(C2499&lt;&gt;"",C2499-B2499&lt;=2),1,0)</f>
        <v>0</v>
      </c>
      <c r="K2499">
        <f t="shared" ref="K2499:K2562" si="238">IF(AND(C2499&lt;&gt;"",C2499-B2499&gt;30),1,0)</f>
        <v>0</v>
      </c>
      <c r="L2499" t="str">
        <f t="shared" ref="L2499:L2562" si="239">IF(C2499="","",C2499-B2499)</f>
        <v/>
      </c>
    </row>
    <row r="2500" spans="1:12" ht="14.4" customHeight="1" x14ac:dyDescent="0.3">
      <c r="A2500">
        <v>218413958</v>
      </c>
      <c r="B2500" s="1">
        <v>45115</v>
      </c>
      <c r="D2500" t="s">
        <v>7</v>
      </c>
      <c r="E2500">
        <v>39</v>
      </c>
      <c r="F2500" t="s">
        <v>6</v>
      </c>
      <c r="G2500" t="str">
        <f t="shared" si="234"/>
        <v/>
      </c>
      <c r="H2500" s="1" t="str">
        <f t="shared" si="235"/>
        <v>Saturday</v>
      </c>
      <c r="I2500" t="str">
        <f t="shared" si="236"/>
        <v>No</v>
      </c>
      <c r="J2500">
        <f t="shared" si="237"/>
        <v>0</v>
      </c>
      <c r="K2500">
        <f t="shared" si="238"/>
        <v>0</v>
      </c>
      <c r="L2500" t="str">
        <f t="shared" si="239"/>
        <v/>
      </c>
    </row>
    <row r="2501" spans="1:12" ht="14.4" customHeight="1" x14ac:dyDescent="0.3">
      <c r="A2501">
        <v>218434925</v>
      </c>
      <c r="B2501" s="1">
        <v>45115</v>
      </c>
      <c r="D2501" t="s">
        <v>7</v>
      </c>
      <c r="E2501">
        <v>39</v>
      </c>
      <c r="F2501" t="s">
        <v>6</v>
      </c>
      <c r="G2501" t="str">
        <f t="shared" si="234"/>
        <v/>
      </c>
      <c r="H2501" s="1" t="str">
        <f t="shared" si="235"/>
        <v>Saturday</v>
      </c>
      <c r="I2501" t="str">
        <f t="shared" si="236"/>
        <v>No</v>
      </c>
      <c r="J2501">
        <f t="shared" si="237"/>
        <v>0</v>
      </c>
      <c r="K2501">
        <f t="shared" si="238"/>
        <v>0</v>
      </c>
      <c r="L2501" t="str">
        <f t="shared" si="239"/>
        <v/>
      </c>
    </row>
    <row r="2502" spans="1:12" ht="14.4" customHeight="1" x14ac:dyDescent="0.3">
      <c r="A2502">
        <v>156817946</v>
      </c>
      <c r="B2502" s="1">
        <v>45115</v>
      </c>
      <c r="D2502" t="s">
        <v>7</v>
      </c>
      <c r="E2502">
        <v>39</v>
      </c>
      <c r="F2502" t="s">
        <v>6</v>
      </c>
      <c r="G2502" t="str">
        <f t="shared" si="234"/>
        <v/>
      </c>
      <c r="H2502" s="1" t="str">
        <f t="shared" si="235"/>
        <v>Saturday</v>
      </c>
      <c r="I2502" t="str">
        <f t="shared" si="236"/>
        <v>No</v>
      </c>
      <c r="J2502">
        <f t="shared" si="237"/>
        <v>0</v>
      </c>
      <c r="K2502">
        <f t="shared" si="238"/>
        <v>0</v>
      </c>
      <c r="L2502" t="str">
        <f t="shared" si="239"/>
        <v/>
      </c>
    </row>
    <row r="2503" spans="1:12" ht="14.4" customHeight="1" x14ac:dyDescent="0.3">
      <c r="A2503">
        <v>218427268</v>
      </c>
      <c r="B2503" s="1">
        <v>45115</v>
      </c>
      <c r="D2503" t="s">
        <v>7</v>
      </c>
      <c r="E2503">
        <v>39</v>
      </c>
      <c r="F2503" t="s">
        <v>6</v>
      </c>
      <c r="G2503" t="str">
        <f t="shared" si="234"/>
        <v/>
      </c>
      <c r="H2503" s="1" t="str">
        <f t="shared" si="235"/>
        <v>Saturday</v>
      </c>
      <c r="I2503" t="str">
        <f t="shared" si="236"/>
        <v>No</v>
      </c>
      <c r="J2503">
        <f t="shared" si="237"/>
        <v>0</v>
      </c>
      <c r="K2503">
        <f t="shared" si="238"/>
        <v>0</v>
      </c>
      <c r="L2503" t="str">
        <f t="shared" si="239"/>
        <v/>
      </c>
    </row>
    <row r="2504" spans="1:12" ht="14.4" customHeight="1" x14ac:dyDescent="0.3">
      <c r="A2504">
        <v>208492287</v>
      </c>
      <c r="B2504" s="1">
        <v>45115</v>
      </c>
      <c r="D2504" t="s">
        <v>7</v>
      </c>
      <c r="E2504">
        <v>39</v>
      </c>
      <c r="F2504" t="s">
        <v>6</v>
      </c>
      <c r="G2504" t="str">
        <f t="shared" si="234"/>
        <v/>
      </c>
      <c r="H2504" s="1" t="str">
        <f t="shared" si="235"/>
        <v>Saturday</v>
      </c>
      <c r="I2504" t="str">
        <f t="shared" si="236"/>
        <v>No</v>
      </c>
      <c r="J2504">
        <f t="shared" si="237"/>
        <v>0</v>
      </c>
      <c r="K2504">
        <f t="shared" si="238"/>
        <v>0</v>
      </c>
      <c r="L2504" t="str">
        <f t="shared" si="239"/>
        <v/>
      </c>
    </row>
    <row r="2505" spans="1:12" ht="14.4" customHeight="1" x14ac:dyDescent="0.3">
      <c r="A2505">
        <v>217499098</v>
      </c>
      <c r="B2505" s="1">
        <v>45115</v>
      </c>
      <c r="C2505" s="1">
        <v>45116</v>
      </c>
      <c r="D2505" t="s">
        <v>7</v>
      </c>
      <c r="E2505">
        <v>39</v>
      </c>
      <c r="F2505" t="s">
        <v>6</v>
      </c>
      <c r="G2505">
        <f t="shared" si="234"/>
        <v>1</v>
      </c>
      <c r="H2505" s="1" t="str">
        <f t="shared" si="235"/>
        <v>Saturday</v>
      </c>
      <c r="I2505" t="str">
        <f t="shared" si="236"/>
        <v>No</v>
      </c>
      <c r="J2505">
        <f t="shared" si="237"/>
        <v>1</v>
      </c>
      <c r="K2505">
        <f t="shared" si="238"/>
        <v>0</v>
      </c>
      <c r="L2505">
        <f t="shared" si="239"/>
        <v>1</v>
      </c>
    </row>
    <row r="2506" spans="1:12" x14ac:dyDescent="0.3">
      <c r="A2506">
        <v>215723331</v>
      </c>
      <c r="B2506" s="1">
        <v>45115</v>
      </c>
      <c r="C2506" s="1">
        <v>45153</v>
      </c>
      <c r="D2506" t="s">
        <v>7</v>
      </c>
      <c r="E2506">
        <v>39</v>
      </c>
      <c r="F2506" t="s">
        <v>6</v>
      </c>
      <c r="G2506">
        <f t="shared" si="234"/>
        <v>38</v>
      </c>
      <c r="H2506" s="1" t="str">
        <f t="shared" si="235"/>
        <v>Saturday</v>
      </c>
      <c r="I2506" t="str">
        <f t="shared" si="236"/>
        <v>No</v>
      </c>
      <c r="J2506">
        <f t="shared" si="237"/>
        <v>0</v>
      </c>
      <c r="K2506">
        <f t="shared" si="238"/>
        <v>1</v>
      </c>
      <c r="L2506">
        <f t="shared" si="239"/>
        <v>38</v>
      </c>
    </row>
    <row r="2507" spans="1:12" ht="14.4" customHeight="1" x14ac:dyDescent="0.3">
      <c r="A2507">
        <v>122616074</v>
      </c>
      <c r="B2507" s="1">
        <v>45116</v>
      </c>
      <c r="D2507" t="s">
        <v>7</v>
      </c>
      <c r="E2507">
        <v>39</v>
      </c>
      <c r="F2507" t="s">
        <v>6</v>
      </c>
      <c r="G2507" t="str">
        <f t="shared" si="234"/>
        <v/>
      </c>
      <c r="H2507" s="1" t="str">
        <f t="shared" si="235"/>
        <v>Sunday</v>
      </c>
      <c r="I2507" t="str">
        <f t="shared" si="236"/>
        <v>No</v>
      </c>
      <c r="J2507">
        <f t="shared" si="237"/>
        <v>0</v>
      </c>
      <c r="K2507">
        <f t="shared" si="238"/>
        <v>0</v>
      </c>
      <c r="L2507" t="str">
        <f t="shared" si="239"/>
        <v/>
      </c>
    </row>
    <row r="2508" spans="1:12" ht="14.4" customHeight="1" x14ac:dyDescent="0.3">
      <c r="A2508">
        <v>218367490</v>
      </c>
      <c r="B2508" s="1">
        <v>45116</v>
      </c>
      <c r="D2508" t="s">
        <v>7</v>
      </c>
      <c r="E2508">
        <v>39</v>
      </c>
      <c r="F2508" t="s">
        <v>6</v>
      </c>
      <c r="G2508" t="str">
        <f t="shared" si="234"/>
        <v/>
      </c>
      <c r="H2508" s="1" t="str">
        <f t="shared" si="235"/>
        <v>Sunday</v>
      </c>
      <c r="I2508" t="str">
        <f t="shared" si="236"/>
        <v>No</v>
      </c>
      <c r="J2508">
        <f t="shared" si="237"/>
        <v>0</v>
      </c>
      <c r="K2508">
        <f t="shared" si="238"/>
        <v>0</v>
      </c>
      <c r="L2508" t="str">
        <f t="shared" si="239"/>
        <v/>
      </c>
    </row>
    <row r="2509" spans="1:12" ht="14.4" customHeight="1" x14ac:dyDescent="0.3">
      <c r="A2509">
        <v>218415420</v>
      </c>
      <c r="B2509" s="1">
        <v>45116</v>
      </c>
      <c r="D2509" t="s">
        <v>7</v>
      </c>
      <c r="E2509">
        <v>39</v>
      </c>
      <c r="F2509" t="s">
        <v>6</v>
      </c>
      <c r="G2509" t="str">
        <f t="shared" si="234"/>
        <v/>
      </c>
      <c r="H2509" s="1" t="str">
        <f t="shared" si="235"/>
        <v>Sunday</v>
      </c>
      <c r="I2509" t="str">
        <f t="shared" si="236"/>
        <v>No</v>
      </c>
      <c r="J2509">
        <f t="shared" si="237"/>
        <v>0</v>
      </c>
      <c r="K2509">
        <f t="shared" si="238"/>
        <v>0</v>
      </c>
      <c r="L2509" t="str">
        <f t="shared" si="239"/>
        <v/>
      </c>
    </row>
    <row r="2510" spans="1:12" ht="14.4" customHeight="1" x14ac:dyDescent="0.3">
      <c r="A2510">
        <v>135785962</v>
      </c>
      <c r="B2510" s="1">
        <v>45116</v>
      </c>
      <c r="D2510" t="s">
        <v>7</v>
      </c>
      <c r="E2510">
        <v>39</v>
      </c>
      <c r="F2510" t="s">
        <v>6</v>
      </c>
      <c r="G2510" t="str">
        <f t="shared" si="234"/>
        <v/>
      </c>
      <c r="H2510" s="1" t="str">
        <f t="shared" si="235"/>
        <v>Sunday</v>
      </c>
      <c r="I2510" t="str">
        <f t="shared" si="236"/>
        <v>No</v>
      </c>
      <c r="J2510">
        <f t="shared" si="237"/>
        <v>0</v>
      </c>
      <c r="K2510">
        <f t="shared" si="238"/>
        <v>0</v>
      </c>
      <c r="L2510" t="str">
        <f t="shared" si="239"/>
        <v/>
      </c>
    </row>
    <row r="2511" spans="1:12" ht="14.4" customHeight="1" x14ac:dyDescent="0.3">
      <c r="A2511">
        <v>206121650</v>
      </c>
      <c r="B2511" s="1">
        <v>45116</v>
      </c>
      <c r="C2511" s="1">
        <v>45117</v>
      </c>
      <c r="D2511" t="s">
        <v>7</v>
      </c>
      <c r="E2511">
        <v>39</v>
      </c>
      <c r="F2511" t="s">
        <v>6</v>
      </c>
      <c r="G2511">
        <f t="shared" si="234"/>
        <v>1</v>
      </c>
      <c r="H2511" s="1" t="str">
        <f t="shared" si="235"/>
        <v>Sunday</v>
      </c>
      <c r="I2511" t="str">
        <f t="shared" si="236"/>
        <v>No</v>
      </c>
      <c r="J2511">
        <f t="shared" si="237"/>
        <v>1</v>
      </c>
      <c r="K2511">
        <f t="shared" si="238"/>
        <v>0</v>
      </c>
      <c r="L2511">
        <f t="shared" si="239"/>
        <v>1</v>
      </c>
    </row>
    <row r="2512" spans="1:12" ht="14.4" customHeight="1" x14ac:dyDescent="0.3">
      <c r="A2512">
        <v>218129819</v>
      </c>
      <c r="B2512" s="1">
        <v>45116</v>
      </c>
      <c r="C2512" s="1">
        <v>45141</v>
      </c>
      <c r="D2512" t="s">
        <v>7</v>
      </c>
      <c r="E2512">
        <v>39</v>
      </c>
      <c r="F2512" t="s">
        <v>6</v>
      </c>
      <c r="G2512">
        <f t="shared" si="234"/>
        <v>25</v>
      </c>
      <c r="H2512" s="1" t="str">
        <f t="shared" si="235"/>
        <v>Sunday</v>
      </c>
      <c r="I2512" t="str">
        <f t="shared" si="236"/>
        <v>No</v>
      </c>
      <c r="J2512">
        <f t="shared" si="237"/>
        <v>0</v>
      </c>
      <c r="K2512">
        <f t="shared" si="238"/>
        <v>0</v>
      </c>
      <c r="L2512">
        <f t="shared" si="239"/>
        <v>25</v>
      </c>
    </row>
    <row r="2513" spans="1:12" ht="14.4" customHeight="1" x14ac:dyDescent="0.3">
      <c r="A2513">
        <v>217766676</v>
      </c>
      <c r="B2513" s="1">
        <v>45116</v>
      </c>
      <c r="C2513" s="1">
        <v>45134</v>
      </c>
      <c r="D2513" t="s">
        <v>7</v>
      </c>
      <c r="E2513">
        <v>39</v>
      </c>
      <c r="F2513" t="s">
        <v>6</v>
      </c>
      <c r="G2513">
        <f t="shared" si="234"/>
        <v>18</v>
      </c>
      <c r="H2513" s="1" t="str">
        <f t="shared" si="235"/>
        <v>Sunday</v>
      </c>
      <c r="I2513" t="str">
        <f t="shared" si="236"/>
        <v>No</v>
      </c>
      <c r="J2513">
        <f t="shared" si="237"/>
        <v>0</v>
      </c>
      <c r="K2513">
        <f t="shared" si="238"/>
        <v>0</v>
      </c>
      <c r="L2513">
        <f t="shared" si="239"/>
        <v>18</v>
      </c>
    </row>
    <row r="2514" spans="1:12" ht="14.4" customHeight="1" x14ac:dyDescent="0.3">
      <c r="A2514">
        <v>216886336</v>
      </c>
      <c r="B2514" s="1">
        <v>45117</v>
      </c>
      <c r="D2514" t="s">
        <v>7</v>
      </c>
      <c r="E2514">
        <v>39</v>
      </c>
      <c r="F2514" t="s">
        <v>6</v>
      </c>
      <c r="G2514" t="str">
        <f t="shared" si="234"/>
        <v/>
      </c>
      <c r="H2514" s="1" t="str">
        <f t="shared" si="235"/>
        <v>Monday</v>
      </c>
      <c r="I2514" t="str">
        <f t="shared" si="236"/>
        <v>No</v>
      </c>
      <c r="J2514">
        <f t="shared" si="237"/>
        <v>0</v>
      </c>
      <c r="K2514">
        <f t="shared" si="238"/>
        <v>0</v>
      </c>
      <c r="L2514" t="str">
        <f t="shared" si="239"/>
        <v/>
      </c>
    </row>
    <row r="2515" spans="1:12" ht="14.4" customHeight="1" x14ac:dyDescent="0.3">
      <c r="A2515">
        <v>217991032</v>
      </c>
      <c r="B2515" s="1">
        <v>45117</v>
      </c>
      <c r="D2515" t="s">
        <v>7</v>
      </c>
      <c r="E2515">
        <v>39</v>
      </c>
      <c r="F2515" t="s">
        <v>6</v>
      </c>
      <c r="G2515" t="str">
        <f t="shared" si="234"/>
        <v/>
      </c>
      <c r="H2515" s="1" t="str">
        <f t="shared" si="235"/>
        <v>Monday</v>
      </c>
      <c r="I2515" t="str">
        <f t="shared" si="236"/>
        <v>No</v>
      </c>
      <c r="J2515">
        <f t="shared" si="237"/>
        <v>0</v>
      </c>
      <c r="K2515">
        <f t="shared" si="238"/>
        <v>0</v>
      </c>
      <c r="L2515" t="str">
        <f t="shared" si="239"/>
        <v/>
      </c>
    </row>
    <row r="2516" spans="1:12" ht="14.4" customHeight="1" x14ac:dyDescent="0.3">
      <c r="A2516">
        <v>145797162</v>
      </c>
      <c r="B2516" s="1">
        <v>45117</v>
      </c>
      <c r="D2516" t="s">
        <v>7</v>
      </c>
      <c r="E2516">
        <v>39</v>
      </c>
      <c r="F2516" t="s">
        <v>6</v>
      </c>
      <c r="G2516" t="str">
        <f t="shared" si="234"/>
        <v/>
      </c>
      <c r="H2516" s="1" t="str">
        <f t="shared" si="235"/>
        <v>Monday</v>
      </c>
      <c r="I2516" t="str">
        <f t="shared" si="236"/>
        <v>No</v>
      </c>
      <c r="J2516">
        <f t="shared" si="237"/>
        <v>0</v>
      </c>
      <c r="K2516">
        <f t="shared" si="238"/>
        <v>0</v>
      </c>
      <c r="L2516" t="str">
        <f t="shared" si="239"/>
        <v/>
      </c>
    </row>
    <row r="2517" spans="1:12" ht="14.4" customHeight="1" x14ac:dyDescent="0.3">
      <c r="A2517">
        <v>217581606</v>
      </c>
      <c r="B2517" s="1">
        <v>45117</v>
      </c>
      <c r="D2517" t="s">
        <v>7</v>
      </c>
      <c r="E2517">
        <v>39</v>
      </c>
      <c r="F2517" t="s">
        <v>6</v>
      </c>
      <c r="G2517" t="str">
        <f t="shared" si="234"/>
        <v/>
      </c>
      <c r="H2517" s="1" t="str">
        <f t="shared" si="235"/>
        <v>Monday</v>
      </c>
      <c r="I2517" t="str">
        <f t="shared" si="236"/>
        <v>No</v>
      </c>
      <c r="J2517">
        <f t="shared" si="237"/>
        <v>0</v>
      </c>
      <c r="K2517">
        <f t="shared" si="238"/>
        <v>0</v>
      </c>
      <c r="L2517" t="str">
        <f t="shared" si="239"/>
        <v/>
      </c>
    </row>
    <row r="2518" spans="1:12" ht="14.4" customHeight="1" x14ac:dyDescent="0.3">
      <c r="A2518">
        <v>218459038</v>
      </c>
      <c r="B2518" s="1">
        <v>45117</v>
      </c>
      <c r="C2518" s="1">
        <v>45118</v>
      </c>
      <c r="D2518" t="s">
        <v>7</v>
      </c>
      <c r="E2518">
        <v>39</v>
      </c>
      <c r="F2518" t="s">
        <v>6</v>
      </c>
      <c r="G2518">
        <f t="shared" si="234"/>
        <v>1</v>
      </c>
      <c r="H2518" s="1" t="str">
        <f t="shared" si="235"/>
        <v>Monday</v>
      </c>
      <c r="I2518" t="str">
        <f t="shared" si="236"/>
        <v>No</v>
      </c>
      <c r="J2518">
        <f t="shared" si="237"/>
        <v>1</v>
      </c>
      <c r="K2518">
        <f t="shared" si="238"/>
        <v>0</v>
      </c>
      <c r="L2518">
        <f t="shared" si="239"/>
        <v>1</v>
      </c>
    </row>
    <row r="2519" spans="1:12" ht="14.4" customHeight="1" x14ac:dyDescent="0.3">
      <c r="A2519">
        <v>218526124</v>
      </c>
      <c r="B2519" s="1">
        <v>45117</v>
      </c>
      <c r="C2519" s="1">
        <v>45118</v>
      </c>
      <c r="D2519" t="s">
        <v>8</v>
      </c>
      <c r="E2519">
        <v>39</v>
      </c>
      <c r="F2519" t="s">
        <v>6</v>
      </c>
      <c r="G2519">
        <f t="shared" si="234"/>
        <v>1</v>
      </c>
      <c r="H2519" s="1" t="str">
        <f t="shared" si="235"/>
        <v>Monday</v>
      </c>
      <c r="I2519" t="str">
        <f t="shared" si="236"/>
        <v>No</v>
      </c>
      <c r="J2519">
        <f t="shared" si="237"/>
        <v>1</v>
      </c>
      <c r="K2519">
        <f t="shared" si="238"/>
        <v>0</v>
      </c>
      <c r="L2519">
        <f t="shared" si="239"/>
        <v>1</v>
      </c>
    </row>
    <row r="2520" spans="1:12" ht="14.4" customHeight="1" x14ac:dyDescent="0.3">
      <c r="A2520">
        <v>216335430</v>
      </c>
      <c r="B2520" s="1">
        <v>45117</v>
      </c>
      <c r="C2520" s="1">
        <v>45117</v>
      </c>
      <c r="D2520" t="s">
        <v>8</v>
      </c>
      <c r="E2520">
        <v>39</v>
      </c>
      <c r="F2520" t="s">
        <v>6</v>
      </c>
      <c r="G2520">
        <f t="shared" si="234"/>
        <v>0</v>
      </c>
      <c r="H2520" s="1" t="str">
        <f t="shared" si="235"/>
        <v>Monday</v>
      </c>
      <c r="I2520" t="str">
        <f t="shared" si="236"/>
        <v>Yes</v>
      </c>
      <c r="J2520">
        <f t="shared" si="237"/>
        <v>1</v>
      </c>
      <c r="K2520">
        <f t="shared" si="238"/>
        <v>0</v>
      </c>
      <c r="L2520">
        <f t="shared" si="239"/>
        <v>0</v>
      </c>
    </row>
    <row r="2521" spans="1:12" ht="14.4" customHeight="1" x14ac:dyDescent="0.3">
      <c r="A2521">
        <v>218519862</v>
      </c>
      <c r="B2521" s="1">
        <v>45117</v>
      </c>
      <c r="C2521" s="1">
        <v>45118</v>
      </c>
      <c r="D2521" t="s">
        <v>8</v>
      </c>
      <c r="E2521">
        <v>39</v>
      </c>
      <c r="F2521" t="s">
        <v>6</v>
      </c>
      <c r="G2521">
        <f t="shared" si="234"/>
        <v>1</v>
      </c>
      <c r="H2521" s="1" t="str">
        <f t="shared" si="235"/>
        <v>Monday</v>
      </c>
      <c r="I2521" t="str">
        <f t="shared" si="236"/>
        <v>No</v>
      </c>
      <c r="J2521">
        <f t="shared" si="237"/>
        <v>1</v>
      </c>
      <c r="K2521">
        <f t="shared" si="238"/>
        <v>0</v>
      </c>
      <c r="L2521">
        <f t="shared" si="239"/>
        <v>1</v>
      </c>
    </row>
    <row r="2522" spans="1:12" ht="14.4" customHeight="1" x14ac:dyDescent="0.3">
      <c r="A2522">
        <v>218496811</v>
      </c>
      <c r="B2522" s="1">
        <v>45117</v>
      </c>
      <c r="C2522" s="1">
        <v>45117</v>
      </c>
      <c r="D2522" t="s">
        <v>8</v>
      </c>
      <c r="E2522">
        <v>39</v>
      </c>
      <c r="F2522" t="s">
        <v>6</v>
      </c>
      <c r="G2522">
        <f t="shared" si="234"/>
        <v>0</v>
      </c>
      <c r="H2522" s="1" t="str">
        <f t="shared" si="235"/>
        <v>Monday</v>
      </c>
      <c r="I2522" t="str">
        <f t="shared" si="236"/>
        <v>Yes</v>
      </c>
      <c r="J2522">
        <f t="shared" si="237"/>
        <v>1</v>
      </c>
      <c r="K2522">
        <f t="shared" si="238"/>
        <v>0</v>
      </c>
      <c r="L2522">
        <f t="shared" si="239"/>
        <v>0</v>
      </c>
    </row>
    <row r="2523" spans="1:12" ht="14.4" customHeight="1" x14ac:dyDescent="0.3">
      <c r="A2523">
        <v>218490122</v>
      </c>
      <c r="B2523" s="1">
        <v>45117</v>
      </c>
      <c r="C2523" s="1">
        <v>45118</v>
      </c>
      <c r="D2523" t="s">
        <v>8</v>
      </c>
      <c r="E2523">
        <v>39</v>
      </c>
      <c r="F2523" t="s">
        <v>6</v>
      </c>
      <c r="G2523">
        <f t="shared" si="234"/>
        <v>1</v>
      </c>
      <c r="H2523" s="1" t="str">
        <f t="shared" si="235"/>
        <v>Monday</v>
      </c>
      <c r="I2523" t="str">
        <f t="shared" si="236"/>
        <v>No</v>
      </c>
      <c r="J2523">
        <f t="shared" si="237"/>
        <v>1</v>
      </c>
      <c r="K2523">
        <f t="shared" si="238"/>
        <v>0</v>
      </c>
      <c r="L2523">
        <f t="shared" si="239"/>
        <v>1</v>
      </c>
    </row>
    <row r="2524" spans="1:12" ht="14.4" customHeight="1" x14ac:dyDescent="0.3">
      <c r="A2524">
        <v>216337502</v>
      </c>
      <c r="B2524" s="1">
        <v>45117</v>
      </c>
      <c r="C2524" s="1">
        <v>45117</v>
      </c>
      <c r="D2524" t="s">
        <v>8</v>
      </c>
      <c r="E2524">
        <v>39</v>
      </c>
      <c r="F2524" t="s">
        <v>6</v>
      </c>
      <c r="G2524">
        <f t="shared" si="234"/>
        <v>0</v>
      </c>
      <c r="H2524" s="1" t="str">
        <f t="shared" si="235"/>
        <v>Monday</v>
      </c>
      <c r="I2524" t="str">
        <f t="shared" si="236"/>
        <v>Yes</v>
      </c>
      <c r="J2524">
        <f t="shared" si="237"/>
        <v>1</v>
      </c>
      <c r="K2524">
        <f t="shared" si="238"/>
        <v>0</v>
      </c>
      <c r="L2524">
        <f t="shared" si="239"/>
        <v>0</v>
      </c>
    </row>
    <row r="2525" spans="1:12" x14ac:dyDescent="0.3">
      <c r="A2525">
        <v>143111905</v>
      </c>
      <c r="B2525" s="1">
        <v>45117</v>
      </c>
      <c r="C2525" s="1">
        <v>45155</v>
      </c>
      <c r="D2525" t="s">
        <v>7</v>
      </c>
      <c r="E2525">
        <v>39</v>
      </c>
      <c r="F2525" t="s">
        <v>6</v>
      </c>
      <c r="G2525">
        <f t="shared" si="234"/>
        <v>38</v>
      </c>
      <c r="H2525" s="1" t="str">
        <f t="shared" si="235"/>
        <v>Monday</v>
      </c>
      <c r="I2525" t="str">
        <f t="shared" si="236"/>
        <v>No</v>
      </c>
      <c r="J2525">
        <f t="shared" si="237"/>
        <v>0</v>
      </c>
      <c r="K2525">
        <f t="shared" si="238"/>
        <v>1</v>
      </c>
      <c r="L2525">
        <f t="shared" si="239"/>
        <v>38</v>
      </c>
    </row>
    <row r="2526" spans="1:12" x14ac:dyDescent="0.3">
      <c r="A2526">
        <v>217709772</v>
      </c>
      <c r="B2526" s="1">
        <v>45117</v>
      </c>
      <c r="C2526" s="1">
        <v>45150</v>
      </c>
      <c r="D2526" t="s">
        <v>7</v>
      </c>
      <c r="E2526">
        <v>39</v>
      </c>
      <c r="F2526" t="s">
        <v>6</v>
      </c>
      <c r="G2526">
        <f t="shared" si="234"/>
        <v>33</v>
      </c>
      <c r="H2526" s="1" t="str">
        <f t="shared" si="235"/>
        <v>Monday</v>
      </c>
      <c r="I2526" t="str">
        <f t="shared" si="236"/>
        <v>No</v>
      </c>
      <c r="J2526">
        <f t="shared" si="237"/>
        <v>0</v>
      </c>
      <c r="K2526">
        <f t="shared" si="238"/>
        <v>1</v>
      </c>
      <c r="L2526">
        <f t="shared" si="239"/>
        <v>33</v>
      </c>
    </row>
    <row r="2527" spans="1:12" x14ac:dyDescent="0.3">
      <c r="A2527">
        <v>214924190</v>
      </c>
      <c r="B2527" s="1">
        <v>45117</v>
      </c>
      <c r="C2527" s="1">
        <v>45148</v>
      </c>
      <c r="D2527" t="s">
        <v>7</v>
      </c>
      <c r="E2527">
        <v>39</v>
      </c>
      <c r="F2527" t="s">
        <v>6</v>
      </c>
      <c r="G2527">
        <f t="shared" si="234"/>
        <v>31</v>
      </c>
      <c r="H2527" s="1" t="str">
        <f t="shared" si="235"/>
        <v>Monday</v>
      </c>
      <c r="I2527" t="str">
        <f t="shared" si="236"/>
        <v>No</v>
      </c>
      <c r="J2527">
        <f t="shared" si="237"/>
        <v>0</v>
      </c>
      <c r="K2527">
        <f t="shared" si="238"/>
        <v>1</v>
      </c>
      <c r="L2527">
        <f t="shared" si="239"/>
        <v>31</v>
      </c>
    </row>
    <row r="2528" spans="1:12" ht="14.4" customHeight="1" x14ac:dyDescent="0.3">
      <c r="A2528">
        <v>217914198</v>
      </c>
      <c r="B2528" s="1">
        <v>45117</v>
      </c>
      <c r="C2528" s="1">
        <v>45137</v>
      </c>
      <c r="D2528" t="s">
        <v>7</v>
      </c>
      <c r="E2528">
        <v>39</v>
      </c>
      <c r="F2528" t="s">
        <v>6</v>
      </c>
      <c r="G2528">
        <f t="shared" si="234"/>
        <v>20</v>
      </c>
      <c r="H2528" s="1" t="str">
        <f t="shared" si="235"/>
        <v>Monday</v>
      </c>
      <c r="I2528" t="str">
        <f t="shared" si="236"/>
        <v>No</v>
      </c>
      <c r="J2528">
        <f t="shared" si="237"/>
        <v>0</v>
      </c>
      <c r="K2528">
        <f t="shared" si="238"/>
        <v>0</v>
      </c>
      <c r="L2528">
        <f t="shared" si="239"/>
        <v>20</v>
      </c>
    </row>
    <row r="2529" spans="1:12" ht="14.4" customHeight="1" x14ac:dyDescent="0.3">
      <c r="A2529">
        <v>217773501</v>
      </c>
      <c r="B2529" s="1">
        <v>45117</v>
      </c>
      <c r="C2529" s="1">
        <v>45117</v>
      </c>
      <c r="D2529" t="s">
        <v>7</v>
      </c>
      <c r="E2529">
        <v>39</v>
      </c>
      <c r="F2529" t="s">
        <v>6</v>
      </c>
      <c r="G2529">
        <f t="shared" si="234"/>
        <v>0</v>
      </c>
      <c r="H2529" s="1" t="str">
        <f t="shared" si="235"/>
        <v>Monday</v>
      </c>
      <c r="I2529" t="str">
        <f t="shared" si="236"/>
        <v>Yes</v>
      </c>
      <c r="J2529">
        <f t="shared" si="237"/>
        <v>1</v>
      </c>
      <c r="K2529">
        <f t="shared" si="238"/>
        <v>0</v>
      </c>
      <c r="L2529">
        <f t="shared" si="239"/>
        <v>0</v>
      </c>
    </row>
    <row r="2530" spans="1:12" ht="14.4" customHeight="1" x14ac:dyDescent="0.3">
      <c r="A2530">
        <v>215311765</v>
      </c>
      <c r="B2530" s="1">
        <v>45118</v>
      </c>
      <c r="D2530" t="s">
        <v>7</v>
      </c>
      <c r="E2530">
        <v>39</v>
      </c>
      <c r="F2530" t="s">
        <v>6</v>
      </c>
      <c r="G2530" t="str">
        <f t="shared" si="234"/>
        <v/>
      </c>
      <c r="H2530" s="1" t="str">
        <f t="shared" si="235"/>
        <v>Tuesday</v>
      </c>
      <c r="I2530" t="str">
        <f t="shared" si="236"/>
        <v>No</v>
      </c>
      <c r="J2530">
        <f t="shared" si="237"/>
        <v>0</v>
      </c>
      <c r="K2530">
        <f t="shared" si="238"/>
        <v>0</v>
      </c>
      <c r="L2530" t="str">
        <f t="shared" si="239"/>
        <v/>
      </c>
    </row>
    <row r="2531" spans="1:12" ht="14.4" customHeight="1" x14ac:dyDescent="0.3">
      <c r="A2531">
        <v>218554220</v>
      </c>
      <c r="B2531" s="1">
        <v>45118</v>
      </c>
      <c r="D2531" t="s">
        <v>7</v>
      </c>
      <c r="E2531">
        <v>39</v>
      </c>
      <c r="F2531" t="s">
        <v>6</v>
      </c>
      <c r="G2531" t="str">
        <f t="shared" si="234"/>
        <v/>
      </c>
      <c r="H2531" s="1" t="str">
        <f t="shared" si="235"/>
        <v>Tuesday</v>
      </c>
      <c r="I2531" t="str">
        <f t="shared" si="236"/>
        <v>No</v>
      </c>
      <c r="J2531">
        <f t="shared" si="237"/>
        <v>0</v>
      </c>
      <c r="K2531">
        <f t="shared" si="238"/>
        <v>0</v>
      </c>
      <c r="L2531" t="str">
        <f t="shared" si="239"/>
        <v/>
      </c>
    </row>
    <row r="2532" spans="1:12" ht="14.4" customHeight="1" x14ac:dyDescent="0.3">
      <c r="A2532">
        <v>209743418</v>
      </c>
      <c r="B2532" s="1">
        <v>45118</v>
      </c>
      <c r="D2532" t="s">
        <v>7</v>
      </c>
      <c r="E2532">
        <v>39</v>
      </c>
      <c r="F2532" t="s">
        <v>6</v>
      </c>
      <c r="G2532" t="str">
        <f t="shared" si="234"/>
        <v/>
      </c>
      <c r="H2532" s="1" t="str">
        <f t="shared" si="235"/>
        <v>Tuesday</v>
      </c>
      <c r="I2532" t="str">
        <f t="shared" si="236"/>
        <v>No</v>
      </c>
      <c r="J2532">
        <f t="shared" si="237"/>
        <v>0</v>
      </c>
      <c r="K2532">
        <f t="shared" si="238"/>
        <v>0</v>
      </c>
      <c r="L2532" t="str">
        <f t="shared" si="239"/>
        <v/>
      </c>
    </row>
    <row r="2533" spans="1:12" ht="14.4" customHeight="1" x14ac:dyDescent="0.3">
      <c r="A2533">
        <v>218553244</v>
      </c>
      <c r="B2533" s="1">
        <v>45118</v>
      </c>
      <c r="D2533" t="s">
        <v>7</v>
      </c>
      <c r="E2533">
        <v>39</v>
      </c>
      <c r="F2533" t="s">
        <v>6</v>
      </c>
      <c r="G2533" t="str">
        <f t="shared" si="234"/>
        <v/>
      </c>
      <c r="H2533" s="1" t="str">
        <f t="shared" si="235"/>
        <v>Tuesday</v>
      </c>
      <c r="I2533" t="str">
        <f t="shared" si="236"/>
        <v>No</v>
      </c>
      <c r="J2533">
        <f t="shared" si="237"/>
        <v>0</v>
      </c>
      <c r="K2533">
        <f t="shared" si="238"/>
        <v>0</v>
      </c>
      <c r="L2533" t="str">
        <f t="shared" si="239"/>
        <v/>
      </c>
    </row>
    <row r="2534" spans="1:12" ht="14.4" customHeight="1" x14ac:dyDescent="0.3">
      <c r="A2534">
        <v>218548492</v>
      </c>
      <c r="B2534" s="1">
        <v>45118</v>
      </c>
      <c r="D2534" t="s">
        <v>7</v>
      </c>
      <c r="E2534">
        <v>39</v>
      </c>
      <c r="F2534" t="s">
        <v>6</v>
      </c>
      <c r="G2534" t="str">
        <f t="shared" si="234"/>
        <v/>
      </c>
      <c r="H2534" s="1" t="str">
        <f t="shared" si="235"/>
        <v>Tuesday</v>
      </c>
      <c r="I2534" t="str">
        <f t="shared" si="236"/>
        <v>No</v>
      </c>
      <c r="J2534">
        <f t="shared" si="237"/>
        <v>0</v>
      </c>
      <c r="K2534">
        <f t="shared" si="238"/>
        <v>0</v>
      </c>
      <c r="L2534" t="str">
        <f t="shared" si="239"/>
        <v/>
      </c>
    </row>
    <row r="2535" spans="1:12" ht="14.4" customHeight="1" x14ac:dyDescent="0.3">
      <c r="A2535">
        <v>217958138</v>
      </c>
      <c r="B2535" s="1">
        <v>45118</v>
      </c>
      <c r="D2535" t="s">
        <v>7</v>
      </c>
      <c r="E2535">
        <v>39</v>
      </c>
      <c r="F2535" t="s">
        <v>6</v>
      </c>
      <c r="G2535" t="str">
        <f t="shared" si="234"/>
        <v/>
      </c>
      <c r="H2535" s="1" t="str">
        <f t="shared" si="235"/>
        <v>Tuesday</v>
      </c>
      <c r="I2535" t="str">
        <f t="shared" si="236"/>
        <v>No</v>
      </c>
      <c r="J2535">
        <f t="shared" si="237"/>
        <v>0</v>
      </c>
      <c r="K2535">
        <f t="shared" si="238"/>
        <v>0</v>
      </c>
      <c r="L2535" t="str">
        <f t="shared" si="239"/>
        <v/>
      </c>
    </row>
    <row r="2536" spans="1:12" ht="14.4" customHeight="1" x14ac:dyDescent="0.3">
      <c r="A2536">
        <v>218365623</v>
      </c>
      <c r="B2536" s="1">
        <v>45118</v>
      </c>
      <c r="D2536" t="s">
        <v>7</v>
      </c>
      <c r="E2536">
        <v>39</v>
      </c>
      <c r="F2536" t="s">
        <v>6</v>
      </c>
      <c r="G2536" t="str">
        <f t="shared" si="234"/>
        <v/>
      </c>
      <c r="H2536" s="1" t="str">
        <f t="shared" si="235"/>
        <v>Tuesday</v>
      </c>
      <c r="I2536" t="str">
        <f t="shared" si="236"/>
        <v>No</v>
      </c>
      <c r="J2536">
        <f t="shared" si="237"/>
        <v>0</v>
      </c>
      <c r="K2536">
        <f t="shared" si="238"/>
        <v>0</v>
      </c>
      <c r="L2536" t="str">
        <f t="shared" si="239"/>
        <v/>
      </c>
    </row>
    <row r="2537" spans="1:12" ht="14.4" customHeight="1" x14ac:dyDescent="0.3">
      <c r="A2537">
        <v>218512642</v>
      </c>
      <c r="B2537" s="1">
        <v>45118</v>
      </c>
      <c r="D2537" t="s">
        <v>7</v>
      </c>
      <c r="E2537">
        <v>39</v>
      </c>
      <c r="F2537" t="s">
        <v>6</v>
      </c>
      <c r="G2537" t="str">
        <f t="shared" si="234"/>
        <v/>
      </c>
      <c r="H2537" s="1" t="str">
        <f t="shared" si="235"/>
        <v>Tuesday</v>
      </c>
      <c r="I2537" t="str">
        <f t="shared" si="236"/>
        <v>No</v>
      </c>
      <c r="J2537">
        <f t="shared" si="237"/>
        <v>0</v>
      </c>
      <c r="K2537">
        <f t="shared" si="238"/>
        <v>0</v>
      </c>
      <c r="L2537" t="str">
        <f t="shared" si="239"/>
        <v/>
      </c>
    </row>
    <row r="2538" spans="1:12" x14ac:dyDescent="0.3">
      <c r="A2538">
        <v>218569099</v>
      </c>
      <c r="B2538" s="1">
        <v>45118</v>
      </c>
      <c r="C2538" s="1">
        <v>45174</v>
      </c>
      <c r="D2538" t="s">
        <v>7</v>
      </c>
      <c r="E2538">
        <v>39</v>
      </c>
      <c r="F2538" t="s">
        <v>6</v>
      </c>
      <c r="G2538">
        <f t="shared" si="234"/>
        <v>56</v>
      </c>
      <c r="H2538" s="1" t="str">
        <f t="shared" si="235"/>
        <v>Tuesday</v>
      </c>
      <c r="I2538" t="str">
        <f t="shared" si="236"/>
        <v>No</v>
      </c>
      <c r="J2538">
        <f t="shared" si="237"/>
        <v>0</v>
      </c>
      <c r="K2538">
        <f t="shared" si="238"/>
        <v>1</v>
      </c>
      <c r="L2538">
        <f t="shared" si="239"/>
        <v>56</v>
      </c>
    </row>
    <row r="2539" spans="1:12" x14ac:dyDescent="0.3">
      <c r="A2539">
        <v>218304590</v>
      </c>
      <c r="B2539" s="1">
        <v>45118</v>
      </c>
      <c r="C2539" s="1">
        <v>45168</v>
      </c>
      <c r="D2539" t="s">
        <v>7</v>
      </c>
      <c r="E2539">
        <v>39</v>
      </c>
      <c r="F2539" t="s">
        <v>6</v>
      </c>
      <c r="G2539">
        <f t="shared" si="234"/>
        <v>50</v>
      </c>
      <c r="H2539" s="1" t="str">
        <f t="shared" si="235"/>
        <v>Tuesday</v>
      </c>
      <c r="I2539" t="str">
        <f t="shared" si="236"/>
        <v>No</v>
      </c>
      <c r="J2539">
        <f t="shared" si="237"/>
        <v>0</v>
      </c>
      <c r="K2539">
        <f t="shared" si="238"/>
        <v>1</v>
      </c>
      <c r="L2539">
        <f t="shared" si="239"/>
        <v>50</v>
      </c>
    </row>
    <row r="2540" spans="1:12" x14ac:dyDescent="0.3">
      <c r="A2540">
        <v>215390636</v>
      </c>
      <c r="B2540" s="1">
        <v>45118</v>
      </c>
      <c r="C2540" s="1">
        <v>45176</v>
      </c>
      <c r="D2540" t="s">
        <v>7</v>
      </c>
      <c r="E2540">
        <v>39</v>
      </c>
      <c r="F2540" t="s">
        <v>6</v>
      </c>
      <c r="G2540">
        <f t="shared" si="234"/>
        <v>58</v>
      </c>
      <c r="H2540" s="1" t="str">
        <f t="shared" si="235"/>
        <v>Tuesday</v>
      </c>
      <c r="I2540" t="str">
        <f t="shared" si="236"/>
        <v>No</v>
      </c>
      <c r="J2540">
        <f t="shared" si="237"/>
        <v>0</v>
      </c>
      <c r="K2540">
        <f t="shared" si="238"/>
        <v>1</v>
      </c>
      <c r="L2540">
        <f t="shared" si="239"/>
        <v>58</v>
      </c>
    </row>
    <row r="2541" spans="1:12" x14ac:dyDescent="0.3">
      <c r="A2541">
        <v>218538760</v>
      </c>
      <c r="B2541" s="1">
        <v>45118</v>
      </c>
      <c r="C2541" s="1">
        <v>45156</v>
      </c>
      <c r="D2541" t="s">
        <v>7</v>
      </c>
      <c r="E2541">
        <v>39</v>
      </c>
      <c r="F2541" t="s">
        <v>6</v>
      </c>
      <c r="G2541">
        <f t="shared" si="234"/>
        <v>38</v>
      </c>
      <c r="H2541" s="1" t="str">
        <f t="shared" si="235"/>
        <v>Tuesday</v>
      </c>
      <c r="I2541" t="str">
        <f t="shared" si="236"/>
        <v>No</v>
      </c>
      <c r="J2541">
        <f t="shared" si="237"/>
        <v>0</v>
      </c>
      <c r="K2541">
        <f t="shared" si="238"/>
        <v>1</v>
      </c>
      <c r="L2541">
        <f t="shared" si="239"/>
        <v>38</v>
      </c>
    </row>
    <row r="2542" spans="1:12" x14ac:dyDescent="0.3">
      <c r="A2542">
        <v>218544489</v>
      </c>
      <c r="B2542" s="1">
        <v>45118</v>
      </c>
      <c r="C2542" s="1">
        <v>45149</v>
      </c>
      <c r="D2542" t="s">
        <v>7</v>
      </c>
      <c r="E2542">
        <v>39</v>
      </c>
      <c r="F2542" t="s">
        <v>6</v>
      </c>
      <c r="G2542">
        <f t="shared" si="234"/>
        <v>31</v>
      </c>
      <c r="H2542" s="1" t="str">
        <f t="shared" si="235"/>
        <v>Tuesday</v>
      </c>
      <c r="I2542" t="str">
        <f t="shared" si="236"/>
        <v>No</v>
      </c>
      <c r="J2542">
        <f t="shared" si="237"/>
        <v>0</v>
      </c>
      <c r="K2542">
        <f t="shared" si="238"/>
        <v>1</v>
      </c>
      <c r="L2542">
        <f t="shared" si="239"/>
        <v>31</v>
      </c>
    </row>
    <row r="2543" spans="1:12" ht="14.4" customHeight="1" x14ac:dyDescent="0.3">
      <c r="A2543">
        <v>180161087</v>
      </c>
      <c r="B2543" s="1">
        <v>45118</v>
      </c>
      <c r="C2543" s="1">
        <v>45148</v>
      </c>
      <c r="D2543" t="s">
        <v>7</v>
      </c>
      <c r="E2543">
        <v>39</v>
      </c>
      <c r="F2543" t="s">
        <v>6</v>
      </c>
      <c r="G2543">
        <f t="shared" si="234"/>
        <v>30</v>
      </c>
      <c r="H2543" s="1" t="str">
        <f t="shared" si="235"/>
        <v>Tuesday</v>
      </c>
      <c r="I2543" t="str">
        <f t="shared" si="236"/>
        <v>No</v>
      </c>
      <c r="J2543">
        <f t="shared" si="237"/>
        <v>0</v>
      </c>
      <c r="K2543">
        <f t="shared" si="238"/>
        <v>0</v>
      </c>
      <c r="L2543">
        <f t="shared" si="239"/>
        <v>30</v>
      </c>
    </row>
    <row r="2544" spans="1:12" x14ac:dyDescent="0.3">
      <c r="A2544">
        <v>218484551</v>
      </c>
      <c r="B2544" s="1">
        <v>45118</v>
      </c>
      <c r="C2544" s="1">
        <v>45156</v>
      </c>
      <c r="D2544" t="s">
        <v>7</v>
      </c>
      <c r="E2544">
        <v>39</v>
      </c>
      <c r="F2544" t="s">
        <v>6</v>
      </c>
      <c r="G2544">
        <f t="shared" si="234"/>
        <v>38</v>
      </c>
      <c r="H2544" s="1" t="str">
        <f t="shared" si="235"/>
        <v>Tuesday</v>
      </c>
      <c r="I2544" t="str">
        <f t="shared" si="236"/>
        <v>No</v>
      </c>
      <c r="J2544">
        <f t="shared" si="237"/>
        <v>0</v>
      </c>
      <c r="K2544">
        <f t="shared" si="238"/>
        <v>1</v>
      </c>
      <c r="L2544">
        <f t="shared" si="239"/>
        <v>38</v>
      </c>
    </row>
    <row r="2545" spans="1:12" ht="14.4" customHeight="1" x14ac:dyDescent="0.3">
      <c r="A2545">
        <v>218570737</v>
      </c>
      <c r="B2545" s="1">
        <v>45118</v>
      </c>
      <c r="C2545" s="1">
        <v>45119</v>
      </c>
      <c r="D2545" t="s">
        <v>7</v>
      </c>
      <c r="E2545">
        <v>39</v>
      </c>
      <c r="F2545" t="s">
        <v>6</v>
      </c>
      <c r="G2545">
        <f t="shared" si="234"/>
        <v>1</v>
      </c>
      <c r="H2545" s="1" t="str">
        <f t="shared" si="235"/>
        <v>Tuesday</v>
      </c>
      <c r="I2545" t="str">
        <f t="shared" si="236"/>
        <v>No</v>
      </c>
      <c r="J2545">
        <f t="shared" si="237"/>
        <v>1</v>
      </c>
      <c r="K2545">
        <f t="shared" si="238"/>
        <v>0</v>
      </c>
      <c r="L2545">
        <f t="shared" si="239"/>
        <v>1</v>
      </c>
    </row>
    <row r="2546" spans="1:12" ht="14.4" customHeight="1" x14ac:dyDescent="0.3">
      <c r="A2546">
        <v>218526607</v>
      </c>
      <c r="B2546" s="1">
        <v>45119</v>
      </c>
      <c r="D2546" t="s">
        <v>7</v>
      </c>
      <c r="E2546">
        <v>39</v>
      </c>
      <c r="F2546" t="s">
        <v>6</v>
      </c>
      <c r="G2546" t="str">
        <f t="shared" si="234"/>
        <v/>
      </c>
      <c r="H2546" s="1" t="str">
        <f t="shared" si="235"/>
        <v>Wednesday</v>
      </c>
      <c r="I2546" t="str">
        <f t="shared" si="236"/>
        <v>No</v>
      </c>
      <c r="J2546">
        <f t="shared" si="237"/>
        <v>0</v>
      </c>
      <c r="K2546">
        <f t="shared" si="238"/>
        <v>0</v>
      </c>
      <c r="L2546" t="str">
        <f t="shared" si="239"/>
        <v/>
      </c>
    </row>
    <row r="2547" spans="1:12" ht="14.4" customHeight="1" x14ac:dyDescent="0.3">
      <c r="A2547">
        <v>211011508</v>
      </c>
      <c r="B2547" s="1">
        <v>45119</v>
      </c>
      <c r="D2547" t="s">
        <v>7</v>
      </c>
      <c r="E2547">
        <v>39</v>
      </c>
      <c r="F2547" t="s">
        <v>6</v>
      </c>
      <c r="G2547" t="str">
        <f t="shared" si="234"/>
        <v/>
      </c>
      <c r="H2547" s="1" t="str">
        <f t="shared" si="235"/>
        <v>Wednesday</v>
      </c>
      <c r="I2547" t="str">
        <f t="shared" si="236"/>
        <v>No</v>
      </c>
      <c r="J2547">
        <f t="shared" si="237"/>
        <v>0</v>
      </c>
      <c r="K2547">
        <f t="shared" si="238"/>
        <v>0</v>
      </c>
      <c r="L2547" t="str">
        <f t="shared" si="239"/>
        <v/>
      </c>
    </row>
    <row r="2548" spans="1:12" ht="14.4" customHeight="1" x14ac:dyDescent="0.3">
      <c r="A2548">
        <v>218610100</v>
      </c>
      <c r="B2548" s="1">
        <v>45119</v>
      </c>
      <c r="D2548" t="s">
        <v>7</v>
      </c>
      <c r="E2548">
        <v>39</v>
      </c>
      <c r="F2548" t="s">
        <v>6</v>
      </c>
      <c r="G2548" t="str">
        <f t="shared" si="234"/>
        <v/>
      </c>
      <c r="H2548" s="1" t="str">
        <f t="shared" si="235"/>
        <v>Wednesday</v>
      </c>
      <c r="I2548" t="str">
        <f t="shared" si="236"/>
        <v>No</v>
      </c>
      <c r="J2548">
        <f t="shared" si="237"/>
        <v>0</v>
      </c>
      <c r="K2548">
        <f t="shared" si="238"/>
        <v>0</v>
      </c>
      <c r="L2548" t="str">
        <f t="shared" si="239"/>
        <v/>
      </c>
    </row>
    <row r="2549" spans="1:12" ht="14.4" customHeight="1" x14ac:dyDescent="0.3">
      <c r="A2549">
        <v>206055148</v>
      </c>
      <c r="B2549" s="1">
        <v>45119</v>
      </c>
      <c r="D2549" t="s">
        <v>7</v>
      </c>
      <c r="E2549">
        <v>39</v>
      </c>
      <c r="F2549" t="s">
        <v>6</v>
      </c>
      <c r="G2549" t="str">
        <f t="shared" si="234"/>
        <v/>
      </c>
      <c r="H2549" s="1" t="str">
        <f t="shared" si="235"/>
        <v>Wednesday</v>
      </c>
      <c r="I2549" t="str">
        <f t="shared" si="236"/>
        <v>No</v>
      </c>
      <c r="J2549">
        <f t="shared" si="237"/>
        <v>0</v>
      </c>
      <c r="K2549">
        <f t="shared" si="238"/>
        <v>0</v>
      </c>
      <c r="L2549" t="str">
        <f t="shared" si="239"/>
        <v/>
      </c>
    </row>
    <row r="2550" spans="1:12" ht="14.4" customHeight="1" x14ac:dyDescent="0.3">
      <c r="A2550">
        <v>150509877</v>
      </c>
      <c r="B2550" s="1">
        <v>45119</v>
      </c>
      <c r="D2550" t="s">
        <v>7</v>
      </c>
      <c r="E2550">
        <v>39</v>
      </c>
      <c r="F2550" t="s">
        <v>6</v>
      </c>
      <c r="G2550" t="str">
        <f t="shared" si="234"/>
        <v/>
      </c>
      <c r="H2550" s="1" t="str">
        <f t="shared" si="235"/>
        <v>Wednesday</v>
      </c>
      <c r="I2550" t="str">
        <f t="shared" si="236"/>
        <v>No</v>
      </c>
      <c r="J2550">
        <f t="shared" si="237"/>
        <v>0</v>
      </c>
      <c r="K2550">
        <f t="shared" si="238"/>
        <v>0</v>
      </c>
      <c r="L2550" t="str">
        <f t="shared" si="239"/>
        <v/>
      </c>
    </row>
    <row r="2551" spans="1:12" ht="14.4" customHeight="1" x14ac:dyDescent="0.3">
      <c r="A2551">
        <v>218498112</v>
      </c>
      <c r="B2551" s="1">
        <v>45119</v>
      </c>
      <c r="D2551" t="s">
        <v>7</v>
      </c>
      <c r="E2551">
        <v>39</v>
      </c>
      <c r="F2551" t="s">
        <v>6</v>
      </c>
      <c r="G2551" t="str">
        <f t="shared" si="234"/>
        <v/>
      </c>
      <c r="H2551" s="1" t="str">
        <f t="shared" si="235"/>
        <v>Wednesday</v>
      </c>
      <c r="I2551" t="str">
        <f t="shared" si="236"/>
        <v>No</v>
      </c>
      <c r="J2551">
        <f t="shared" si="237"/>
        <v>0</v>
      </c>
      <c r="K2551">
        <f t="shared" si="238"/>
        <v>0</v>
      </c>
      <c r="L2551" t="str">
        <f t="shared" si="239"/>
        <v/>
      </c>
    </row>
    <row r="2552" spans="1:12" x14ac:dyDescent="0.3">
      <c r="A2552">
        <v>218624538</v>
      </c>
      <c r="B2552" s="1">
        <v>45119</v>
      </c>
      <c r="C2552" s="1">
        <v>45160</v>
      </c>
      <c r="D2552" t="s">
        <v>7</v>
      </c>
      <c r="E2552">
        <v>39</v>
      </c>
      <c r="F2552" t="s">
        <v>6</v>
      </c>
      <c r="G2552">
        <f t="shared" si="234"/>
        <v>41</v>
      </c>
      <c r="H2552" s="1" t="str">
        <f t="shared" si="235"/>
        <v>Wednesday</v>
      </c>
      <c r="I2552" t="str">
        <f t="shared" si="236"/>
        <v>No</v>
      </c>
      <c r="J2552">
        <f t="shared" si="237"/>
        <v>0</v>
      </c>
      <c r="K2552">
        <f t="shared" si="238"/>
        <v>1</v>
      </c>
      <c r="L2552">
        <f t="shared" si="239"/>
        <v>41</v>
      </c>
    </row>
    <row r="2553" spans="1:12" x14ac:dyDescent="0.3">
      <c r="A2553">
        <v>218467300</v>
      </c>
      <c r="B2553" s="1">
        <v>45119</v>
      </c>
      <c r="C2553" s="1">
        <v>45151</v>
      </c>
      <c r="D2553" t="s">
        <v>7</v>
      </c>
      <c r="E2553">
        <v>39</v>
      </c>
      <c r="F2553" t="s">
        <v>6</v>
      </c>
      <c r="G2553">
        <f t="shared" si="234"/>
        <v>32</v>
      </c>
      <c r="H2553" s="1" t="str">
        <f t="shared" si="235"/>
        <v>Wednesday</v>
      </c>
      <c r="I2553" t="str">
        <f t="shared" si="236"/>
        <v>No</v>
      </c>
      <c r="J2553">
        <f t="shared" si="237"/>
        <v>0</v>
      </c>
      <c r="K2553">
        <f t="shared" si="238"/>
        <v>1</v>
      </c>
      <c r="L2553">
        <f t="shared" si="239"/>
        <v>32</v>
      </c>
    </row>
    <row r="2554" spans="1:12" ht="14.4" customHeight="1" x14ac:dyDescent="0.3">
      <c r="A2554">
        <v>218509554</v>
      </c>
      <c r="B2554" s="1">
        <v>45119</v>
      </c>
      <c r="C2554" s="1">
        <v>45129</v>
      </c>
      <c r="D2554" t="s">
        <v>7</v>
      </c>
      <c r="E2554">
        <v>39</v>
      </c>
      <c r="F2554" t="s">
        <v>6</v>
      </c>
      <c r="G2554">
        <f t="shared" si="234"/>
        <v>10</v>
      </c>
      <c r="H2554" s="1" t="str">
        <f t="shared" si="235"/>
        <v>Wednesday</v>
      </c>
      <c r="I2554" t="str">
        <f t="shared" si="236"/>
        <v>No</v>
      </c>
      <c r="J2554">
        <f t="shared" si="237"/>
        <v>0</v>
      </c>
      <c r="K2554">
        <f t="shared" si="238"/>
        <v>0</v>
      </c>
      <c r="L2554">
        <f t="shared" si="239"/>
        <v>10</v>
      </c>
    </row>
    <row r="2555" spans="1:12" ht="14.4" customHeight="1" x14ac:dyDescent="0.3">
      <c r="A2555">
        <v>218257588</v>
      </c>
      <c r="B2555" s="1">
        <v>45120</v>
      </c>
      <c r="D2555" t="s">
        <v>7</v>
      </c>
      <c r="E2555">
        <v>39</v>
      </c>
      <c r="F2555" t="s">
        <v>6</v>
      </c>
      <c r="G2555" t="str">
        <f t="shared" si="234"/>
        <v/>
      </c>
      <c r="H2555" s="1" t="str">
        <f t="shared" si="235"/>
        <v>Thursday</v>
      </c>
      <c r="I2555" t="str">
        <f t="shared" si="236"/>
        <v>No</v>
      </c>
      <c r="J2555">
        <f t="shared" si="237"/>
        <v>0</v>
      </c>
      <c r="K2555">
        <f t="shared" si="238"/>
        <v>0</v>
      </c>
      <c r="L2555" t="str">
        <f t="shared" si="239"/>
        <v/>
      </c>
    </row>
    <row r="2556" spans="1:12" ht="14.4" customHeight="1" x14ac:dyDescent="0.3">
      <c r="A2556">
        <v>218114325</v>
      </c>
      <c r="B2556" s="1">
        <v>45120</v>
      </c>
      <c r="D2556" t="s">
        <v>7</v>
      </c>
      <c r="E2556">
        <v>39</v>
      </c>
      <c r="F2556" t="s">
        <v>6</v>
      </c>
      <c r="G2556" t="str">
        <f t="shared" si="234"/>
        <v/>
      </c>
      <c r="H2556" s="1" t="str">
        <f t="shared" si="235"/>
        <v>Thursday</v>
      </c>
      <c r="I2556" t="str">
        <f t="shared" si="236"/>
        <v>No</v>
      </c>
      <c r="J2556">
        <f t="shared" si="237"/>
        <v>0</v>
      </c>
      <c r="K2556">
        <f t="shared" si="238"/>
        <v>0</v>
      </c>
      <c r="L2556" t="str">
        <f t="shared" si="239"/>
        <v/>
      </c>
    </row>
    <row r="2557" spans="1:12" ht="14.4" customHeight="1" x14ac:dyDescent="0.3">
      <c r="A2557">
        <v>218325441</v>
      </c>
      <c r="B2557" s="1">
        <v>45120</v>
      </c>
      <c r="D2557" t="s">
        <v>7</v>
      </c>
      <c r="E2557">
        <v>39</v>
      </c>
      <c r="F2557" t="s">
        <v>6</v>
      </c>
      <c r="G2557" t="str">
        <f t="shared" si="234"/>
        <v/>
      </c>
      <c r="H2557" s="1" t="str">
        <f t="shared" si="235"/>
        <v>Thursday</v>
      </c>
      <c r="I2557" t="str">
        <f t="shared" si="236"/>
        <v>No</v>
      </c>
      <c r="J2557">
        <f t="shared" si="237"/>
        <v>0</v>
      </c>
      <c r="K2557">
        <f t="shared" si="238"/>
        <v>0</v>
      </c>
      <c r="L2557" t="str">
        <f t="shared" si="239"/>
        <v/>
      </c>
    </row>
    <row r="2558" spans="1:12" ht="14.4" customHeight="1" x14ac:dyDescent="0.3">
      <c r="A2558">
        <v>218235047</v>
      </c>
      <c r="B2558" s="1">
        <v>45120</v>
      </c>
      <c r="D2558" t="s">
        <v>7</v>
      </c>
      <c r="E2558">
        <v>39</v>
      </c>
      <c r="F2558" t="s">
        <v>6</v>
      </c>
      <c r="G2558" t="str">
        <f t="shared" si="234"/>
        <v/>
      </c>
      <c r="H2558" s="1" t="str">
        <f t="shared" si="235"/>
        <v>Thursday</v>
      </c>
      <c r="I2558" t="str">
        <f t="shared" si="236"/>
        <v>No</v>
      </c>
      <c r="J2558">
        <f t="shared" si="237"/>
        <v>0</v>
      </c>
      <c r="K2558">
        <f t="shared" si="238"/>
        <v>0</v>
      </c>
      <c r="L2558" t="str">
        <f t="shared" si="239"/>
        <v/>
      </c>
    </row>
    <row r="2559" spans="1:12" ht="14.4" customHeight="1" x14ac:dyDescent="0.3">
      <c r="A2559">
        <v>218598866</v>
      </c>
      <c r="B2559" s="1">
        <v>45120</v>
      </c>
      <c r="D2559" t="s">
        <v>7</v>
      </c>
      <c r="E2559">
        <v>39</v>
      </c>
      <c r="F2559" t="s">
        <v>6</v>
      </c>
      <c r="G2559" t="str">
        <f t="shared" si="234"/>
        <v/>
      </c>
      <c r="H2559" s="1" t="str">
        <f t="shared" si="235"/>
        <v>Thursday</v>
      </c>
      <c r="I2559" t="str">
        <f t="shared" si="236"/>
        <v>No</v>
      </c>
      <c r="J2559">
        <f t="shared" si="237"/>
        <v>0</v>
      </c>
      <c r="K2559">
        <f t="shared" si="238"/>
        <v>0</v>
      </c>
      <c r="L2559" t="str">
        <f t="shared" si="239"/>
        <v/>
      </c>
    </row>
    <row r="2560" spans="1:12" x14ac:dyDescent="0.3">
      <c r="A2560">
        <v>218644881</v>
      </c>
      <c r="B2560" s="1">
        <v>45120</v>
      </c>
      <c r="C2560" s="1">
        <v>45154</v>
      </c>
      <c r="D2560" t="s">
        <v>7</v>
      </c>
      <c r="E2560">
        <v>39</v>
      </c>
      <c r="F2560" t="s">
        <v>6</v>
      </c>
      <c r="G2560">
        <f t="shared" si="234"/>
        <v>34</v>
      </c>
      <c r="H2560" s="1" t="str">
        <f t="shared" si="235"/>
        <v>Thursday</v>
      </c>
      <c r="I2560" t="str">
        <f t="shared" si="236"/>
        <v>No</v>
      </c>
      <c r="J2560">
        <f t="shared" si="237"/>
        <v>0</v>
      </c>
      <c r="K2560">
        <f t="shared" si="238"/>
        <v>1</v>
      </c>
      <c r="L2560">
        <f t="shared" si="239"/>
        <v>34</v>
      </c>
    </row>
    <row r="2561" spans="1:12" ht="14.4" customHeight="1" x14ac:dyDescent="0.3">
      <c r="A2561">
        <v>218509727</v>
      </c>
      <c r="B2561" s="1">
        <v>45120</v>
      </c>
      <c r="C2561" s="1">
        <v>45147</v>
      </c>
      <c r="D2561" t="s">
        <v>7</v>
      </c>
      <c r="E2561">
        <v>39</v>
      </c>
      <c r="F2561" t="s">
        <v>6</v>
      </c>
      <c r="G2561">
        <f t="shared" si="234"/>
        <v>27</v>
      </c>
      <c r="H2561" s="1" t="str">
        <f t="shared" si="235"/>
        <v>Thursday</v>
      </c>
      <c r="I2561" t="str">
        <f t="shared" si="236"/>
        <v>No</v>
      </c>
      <c r="J2561">
        <f t="shared" si="237"/>
        <v>0</v>
      </c>
      <c r="K2561">
        <f t="shared" si="238"/>
        <v>0</v>
      </c>
      <c r="L2561">
        <f t="shared" si="239"/>
        <v>27</v>
      </c>
    </row>
    <row r="2562" spans="1:12" x14ac:dyDescent="0.3">
      <c r="A2562">
        <v>150623785</v>
      </c>
      <c r="B2562" s="1">
        <v>45120</v>
      </c>
      <c r="C2562" s="1">
        <v>45152</v>
      </c>
      <c r="D2562" t="s">
        <v>7</v>
      </c>
      <c r="E2562">
        <v>39</v>
      </c>
      <c r="F2562" t="s">
        <v>6</v>
      </c>
      <c r="G2562">
        <f t="shared" ref="G2562:G2625" si="240">IF(C2562="","",C2562-B2562)</f>
        <v>32</v>
      </c>
      <c r="H2562" s="1" t="str">
        <f t="shared" si="235"/>
        <v>Thursday</v>
      </c>
      <c r="I2562" t="str">
        <f t="shared" si="236"/>
        <v>No</v>
      </c>
      <c r="J2562">
        <f t="shared" si="237"/>
        <v>0</v>
      </c>
      <c r="K2562">
        <f t="shared" si="238"/>
        <v>1</v>
      </c>
      <c r="L2562">
        <f t="shared" si="239"/>
        <v>32</v>
      </c>
    </row>
    <row r="2563" spans="1:12" x14ac:dyDescent="0.3">
      <c r="A2563">
        <v>218586552</v>
      </c>
      <c r="B2563" s="1">
        <v>45120</v>
      </c>
      <c r="C2563" s="1">
        <v>45152</v>
      </c>
      <c r="D2563" t="s">
        <v>7</v>
      </c>
      <c r="E2563">
        <v>39</v>
      </c>
      <c r="F2563" t="s">
        <v>6</v>
      </c>
      <c r="G2563">
        <f t="shared" si="240"/>
        <v>32</v>
      </c>
      <c r="H2563" s="1" t="str">
        <f t="shared" ref="H2563:H2626" si="241">TEXT(B2563,"dddd")</f>
        <v>Thursday</v>
      </c>
      <c r="I2563" t="str">
        <f t="shared" ref="I2563:I2626" si="242">IF(B2563=C2563,"Yes","No")</f>
        <v>No</v>
      </c>
      <c r="J2563">
        <f t="shared" ref="J2563:J2626" si="243">IF(AND(C2563&lt;&gt;"",C2563-B2563&lt;=2),1,0)</f>
        <v>0</v>
      </c>
      <c r="K2563">
        <f t="shared" ref="K2563:K2626" si="244">IF(AND(C2563&lt;&gt;"",C2563-B2563&gt;30),1,0)</f>
        <v>1</v>
      </c>
      <c r="L2563">
        <f t="shared" ref="L2563:L2626" si="245">IF(C2563="","",C2563-B2563)</f>
        <v>32</v>
      </c>
    </row>
    <row r="2564" spans="1:12" ht="14.4" customHeight="1" x14ac:dyDescent="0.3">
      <c r="A2564">
        <v>218514844</v>
      </c>
      <c r="B2564" s="1">
        <v>45120</v>
      </c>
      <c r="C2564" s="1">
        <v>45124</v>
      </c>
      <c r="D2564" t="s">
        <v>7</v>
      </c>
      <c r="E2564">
        <v>39</v>
      </c>
      <c r="F2564" t="s">
        <v>6</v>
      </c>
      <c r="G2564">
        <f t="shared" si="240"/>
        <v>4</v>
      </c>
      <c r="H2564" s="1" t="str">
        <f t="shared" si="241"/>
        <v>Thursday</v>
      </c>
      <c r="I2564" t="str">
        <f t="shared" si="242"/>
        <v>No</v>
      </c>
      <c r="J2564">
        <f t="shared" si="243"/>
        <v>0</v>
      </c>
      <c r="K2564">
        <f t="shared" si="244"/>
        <v>0</v>
      </c>
      <c r="L2564">
        <f t="shared" si="245"/>
        <v>4</v>
      </c>
    </row>
    <row r="2565" spans="1:12" ht="14.4" customHeight="1" x14ac:dyDescent="0.3">
      <c r="A2565">
        <v>218694806</v>
      </c>
      <c r="B2565" s="1">
        <v>45121</v>
      </c>
      <c r="D2565" t="s">
        <v>7</v>
      </c>
      <c r="E2565">
        <v>39</v>
      </c>
      <c r="F2565" t="s">
        <v>6</v>
      </c>
      <c r="G2565" t="str">
        <f t="shared" si="240"/>
        <v/>
      </c>
      <c r="H2565" s="1" t="str">
        <f t="shared" si="241"/>
        <v>Friday</v>
      </c>
      <c r="I2565" t="str">
        <f t="shared" si="242"/>
        <v>No</v>
      </c>
      <c r="J2565">
        <f t="shared" si="243"/>
        <v>0</v>
      </c>
      <c r="K2565">
        <f t="shared" si="244"/>
        <v>0</v>
      </c>
      <c r="L2565" t="str">
        <f t="shared" si="245"/>
        <v/>
      </c>
    </row>
    <row r="2566" spans="1:12" ht="14.4" customHeight="1" x14ac:dyDescent="0.3">
      <c r="A2566">
        <v>218678174</v>
      </c>
      <c r="B2566" s="1">
        <v>45121</v>
      </c>
      <c r="D2566" t="s">
        <v>7</v>
      </c>
      <c r="E2566">
        <v>39</v>
      </c>
      <c r="F2566" t="s">
        <v>6</v>
      </c>
      <c r="G2566" t="str">
        <f t="shared" si="240"/>
        <v/>
      </c>
      <c r="H2566" s="1" t="str">
        <f t="shared" si="241"/>
        <v>Friday</v>
      </c>
      <c r="I2566" t="str">
        <f t="shared" si="242"/>
        <v>No</v>
      </c>
      <c r="J2566">
        <f t="shared" si="243"/>
        <v>0</v>
      </c>
      <c r="K2566">
        <f t="shared" si="244"/>
        <v>0</v>
      </c>
      <c r="L2566" t="str">
        <f t="shared" si="245"/>
        <v/>
      </c>
    </row>
    <row r="2567" spans="1:12" x14ac:dyDescent="0.3">
      <c r="A2567">
        <v>218695487</v>
      </c>
      <c r="B2567" s="1">
        <v>45121</v>
      </c>
      <c r="C2567" s="1">
        <v>45177</v>
      </c>
      <c r="D2567" t="s">
        <v>7</v>
      </c>
      <c r="E2567">
        <v>39</v>
      </c>
      <c r="F2567" t="s">
        <v>6</v>
      </c>
      <c r="G2567">
        <f t="shared" si="240"/>
        <v>56</v>
      </c>
      <c r="H2567" s="1" t="str">
        <f t="shared" si="241"/>
        <v>Friday</v>
      </c>
      <c r="I2567" t="str">
        <f t="shared" si="242"/>
        <v>No</v>
      </c>
      <c r="J2567">
        <f t="shared" si="243"/>
        <v>0</v>
      </c>
      <c r="K2567">
        <f t="shared" si="244"/>
        <v>1</v>
      </c>
      <c r="L2567">
        <f t="shared" si="245"/>
        <v>56</v>
      </c>
    </row>
    <row r="2568" spans="1:12" x14ac:dyDescent="0.3">
      <c r="A2568">
        <v>218678790</v>
      </c>
      <c r="B2568" s="1">
        <v>45121</v>
      </c>
      <c r="C2568" s="1">
        <v>45159</v>
      </c>
      <c r="D2568" t="s">
        <v>7</v>
      </c>
      <c r="E2568">
        <v>39</v>
      </c>
      <c r="F2568" t="s">
        <v>6</v>
      </c>
      <c r="G2568">
        <f t="shared" si="240"/>
        <v>38</v>
      </c>
      <c r="H2568" s="1" t="str">
        <f t="shared" si="241"/>
        <v>Friday</v>
      </c>
      <c r="I2568" t="str">
        <f t="shared" si="242"/>
        <v>No</v>
      </c>
      <c r="J2568">
        <f t="shared" si="243"/>
        <v>0</v>
      </c>
      <c r="K2568">
        <f t="shared" si="244"/>
        <v>1</v>
      </c>
      <c r="L2568">
        <f t="shared" si="245"/>
        <v>38</v>
      </c>
    </row>
    <row r="2569" spans="1:12" x14ac:dyDescent="0.3">
      <c r="A2569">
        <v>217499098</v>
      </c>
      <c r="B2569" s="1">
        <v>45121</v>
      </c>
      <c r="C2569" s="1">
        <v>45159</v>
      </c>
      <c r="D2569" t="s">
        <v>7</v>
      </c>
      <c r="E2569">
        <v>39</v>
      </c>
      <c r="F2569" t="s">
        <v>6</v>
      </c>
      <c r="G2569">
        <f t="shared" si="240"/>
        <v>38</v>
      </c>
      <c r="H2569" s="1" t="str">
        <f t="shared" si="241"/>
        <v>Friday</v>
      </c>
      <c r="I2569" t="str">
        <f t="shared" si="242"/>
        <v>No</v>
      </c>
      <c r="J2569">
        <f t="shared" si="243"/>
        <v>0</v>
      </c>
      <c r="K2569">
        <f t="shared" si="244"/>
        <v>1</v>
      </c>
      <c r="L2569">
        <f t="shared" si="245"/>
        <v>38</v>
      </c>
    </row>
    <row r="2570" spans="1:12" x14ac:dyDescent="0.3">
      <c r="A2570">
        <v>217976753</v>
      </c>
      <c r="B2570" s="1">
        <v>45121</v>
      </c>
      <c r="C2570" s="1">
        <v>45159</v>
      </c>
      <c r="D2570" t="s">
        <v>7</v>
      </c>
      <c r="E2570">
        <v>39</v>
      </c>
      <c r="F2570" t="s">
        <v>6</v>
      </c>
      <c r="G2570">
        <f t="shared" si="240"/>
        <v>38</v>
      </c>
      <c r="H2570" s="1" t="str">
        <f t="shared" si="241"/>
        <v>Friday</v>
      </c>
      <c r="I2570" t="str">
        <f t="shared" si="242"/>
        <v>No</v>
      </c>
      <c r="J2570">
        <f t="shared" si="243"/>
        <v>0</v>
      </c>
      <c r="K2570">
        <f t="shared" si="244"/>
        <v>1</v>
      </c>
      <c r="L2570">
        <f t="shared" si="245"/>
        <v>38</v>
      </c>
    </row>
    <row r="2571" spans="1:12" ht="14.4" customHeight="1" x14ac:dyDescent="0.3">
      <c r="A2571">
        <v>199359226</v>
      </c>
      <c r="B2571" s="1">
        <v>45121</v>
      </c>
      <c r="C2571" s="1">
        <v>45122</v>
      </c>
      <c r="D2571" t="s">
        <v>7</v>
      </c>
      <c r="E2571">
        <v>39</v>
      </c>
      <c r="F2571" t="s">
        <v>6</v>
      </c>
      <c r="G2571">
        <f t="shared" si="240"/>
        <v>1</v>
      </c>
      <c r="H2571" s="1" t="str">
        <f t="shared" si="241"/>
        <v>Friday</v>
      </c>
      <c r="I2571" t="str">
        <f t="shared" si="242"/>
        <v>No</v>
      </c>
      <c r="J2571">
        <f t="shared" si="243"/>
        <v>1</v>
      </c>
      <c r="K2571">
        <f t="shared" si="244"/>
        <v>0</v>
      </c>
      <c r="L2571">
        <f t="shared" si="245"/>
        <v>1</v>
      </c>
    </row>
    <row r="2572" spans="1:12" ht="14.4" customHeight="1" x14ac:dyDescent="0.3">
      <c r="A2572">
        <v>121814098</v>
      </c>
      <c r="B2572" s="1">
        <v>45122</v>
      </c>
      <c r="D2572" t="s">
        <v>7</v>
      </c>
      <c r="E2572">
        <v>39</v>
      </c>
      <c r="F2572" t="s">
        <v>6</v>
      </c>
      <c r="G2572" t="str">
        <f t="shared" si="240"/>
        <v/>
      </c>
      <c r="H2572" s="1" t="str">
        <f t="shared" si="241"/>
        <v>Saturday</v>
      </c>
      <c r="I2572" t="str">
        <f t="shared" si="242"/>
        <v>No</v>
      </c>
      <c r="J2572">
        <f t="shared" si="243"/>
        <v>0</v>
      </c>
      <c r="K2572">
        <f t="shared" si="244"/>
        <v>0</v>
      </c>
      <c r="L2572" t="str">
        <f t="shared" si="245"/>
        <v/>
      </c>
    </row>
    <row r="2573" spans="1:12" ht="14.4" customHeight="1" x14ac:dyDescent="0.3">
      <c r="A2573">
        <v>215605718</v>
      </c>
      <c r="B2573" s="1">
        <v>45122</v>
      </c>
      <c r="D2573" t="s">
        <v>7</v>
      </c>
      <c r="E2573">
        <v>39</v>
      </c>
      <c r="F2573" t="s">
        <v>6</v>
      </c>
      <c r="G2573" t="str">
        <f t="shared" si="240"/>
        <v/>
      </c>
      <c r="H2573" s="1" t="str">
        <f t="shared" si="241"/>
        <v>Saturday</v>
      </c>
      <c r="I2573" t="str">
        <f t="shared" si="242"/>
        <v>No</v>
      </c>
      <c r="J2573">
        <f t="shared" si="243"/>
        <v>0</v>
      </c>
      <c r="K2573">
        <f t="shared" si="244"/>
        <v>0</v>
      </c>
      <c r="L2573" t="str">
        <f t="shared" si="245"/>
        <v/>
      </c>
    </row>
    <row r="2574" spans="1:12" ht="14.4" customHeight="1" x14ac:dyDescent="0.3">
      <c r="A2574">
        <v>218325705</v>
      </c>
      <c r="B2574" s="1">
        <v>45122</v>
      </c>
      <c r="D2574" t="s">
        <v>7</v>
      </c>
      <c r="E2574">
        <v>39</v>
      </c>
      <c r="F2574" t="s">
        <v>6</v>
      </c>
      <c r="G2574" t="str">
        <f t="shared" si="240"/>
        <v/>
      </c>
      <c r="H2574" s="1" t="str">
        <f t="shared" si="241"/>
        <v>Saturday</v>
      </c>
      <c r="I2574" t="str">
        <f t="shared" si="242"/>
        <v>No</v>
      </c>
      <c r="J2574">
        <f t="shared" si="243"/>
        <v>0</v>
      </c>
      <c r="K2574">
        <f t="shared" si="244"/>
        <v>0</v>
      </c>
      <c r="L2574" t="str">
        <f t="shared" si="245"/>
        <v/>
      </c>
    </row>
    <row r="2575" spans="1:12" ht="14.4" customHeight="1" x14ac:dyDescent="0.3">
      <c r="A2575">
        <v>208598253</v>
      </c>
      <c r="B2575" s="1">
        <v>45122</v>
      </c>
      <c r="D2575" t="s">
        <v>7</v>
      </c>
      <c r="E2575">
        <v>39</v>
      </c>
      <c r="F2575" t="s">
        <v>6</v>
      </c>
      <c r="G2575" t="str">
        <f t="shared" si="240"/>
        <v/>
      </c>
      <c r="H2575" s="1" t="str">
        <f t="shared" si="241"/>
        <v>Saturday</v>
      </c>
      <c r="I2575" t="str">
        <f t="shared" si="242"/>
        <v>No</v>
      </c>
      <c r="J2575">
        <f t="shared" si="243"/>
        <v>0</v>
      </c>
      <c r="K2575">
        <f t="shared" si="244"/>
        <v>0</v>
      </c>
      <c r="L2575" t="str">
        <f t="shared" si="245"/>
        <v/>
      </c>
    </row>
    <row r="2576" spans="1:12" ht="14.4" customHeight="1" x14ac:dyDescent="0.3">
      <c r="A2576">
        <v>218655628</v>
      </c>
      <c r="B2576" s="1">
        <v>45122</v>
      </c>
      <c r="D2576" t="s">
        <v>7</v>
      </c>
      <c r="E2576">
        <v>39</v>
      </c>
      <c r="F2576" t="s">
        <v>6</v>
      </c>
      <c r="G2576" t="str">
        <f t="shared" si="240"/>
        <v/>
      </c>
      <c r="H2576" s="1" t="str">
        <f t="shared" si="241"/>
        <v>Saturday</v>
      </c>
      <c r="I2576" t="str">
        <f t="shared" si="242"/>
        <v>No</v>
      </c>
      <c r="J2576">
        <f t="shared" si="243"/>
        <v>0</v>
      </c>
      <c r="K2576">
        <f t="shared" si="244"/>
        <v>0</v>
      </c>
      <c r="L2576" t="str">
        <f t="shared" si="245"/>
        <v/>
      </c>
    </row>
    <row r="2577" spans="1:12" ht="14.4" customHeight="1" x14ac:dyDescent="0.3">
      <c r="A2577">
        <v>185602413</v>
      </c>
      <c r="B2577" s="1">
        <v>45122</v>
      </c>
      <c r="C2577" s="1">
        <v>45123</v>
      </c>
      <c r="D2577" t="s">
        <v>7</v>
      </c>
      <c r="E2577">
        <v>39</v>
      </c>
      <c r="F2577" t="s">
        <v>6</v>
      </c>
      <c r="G2577">
        <f t="shared" si="240"/>
        <v>1</v>
      </c>
      <c r="H2577" s="1" t="str">
        <f t="shared" si="241"/>
        <v>Saturday</v>
      </c>
      <c r="I2577" t="str">
        <f t="shared" si="242"/>
        <v>No</v>
      </c>
      <c r="J2577">
        <f t="shared" si="243"/>
        <v>1</v>
      </c>
      <c r="K2577">
        <f t="shared" si="244"/>
        <v>0</v>
      </c>
      <c r="L2577">
        <f t="shared" si="245"/>
        <v>1</v>
      </c>
    </row>
    <row r="2578" spans="1:12" ht="14.4" customHeight="1" x14ac:dyDescent="0.3">
      <c r="A2578">
        <v>154082747</v>
      </c>
      <c r="B2578" s="1">
        <v>45122</v>
      </c>
      <c r="C2578" s="1">
        <v>45130</v>
      </c>
      <c r="D2578" t="s">
        <v>7</v>
      </c>
      <c r="E2578">
        <v>39</v>
      </c>
      <c r="F2578" t="s">
        <v>6</v>
      </c>
      <c r="G2578">
        <f t="shared" si="240"/>
        <v>8</v>
      </c>
      <c r="H2578" s="1" t="str">
        <f t="shared" si="241"/>
        <v>Saturday</v>
      </c>
      <c r="I2578" t="str">
        <f t="shared" si="242"/>
        <v>No</v>
      </c>
      <c r="J2578">
        <f t="shared" si="243"/>
        <v>0</v>
      </c>
      <c r="K2578">
        <f t="shared" si="244"/>
        <v>0</v>
      </c>
      <c r="L2578">
        <f t="shared" si="245"/>
        <v>8</v>
      </c>
    </row>
    <row r="2579" spans="1:12" x14ac:dyDescent="0.3">
      <c r="A2579">
        <v>218017402</v>
      </c>
      <c r="B2579" s="1">
        <v>45122</v>
      </c>
      <c r="C2579" s="1">
        <v>45160</v>
      </c>
      <c r="D2579" t="s">
        <v>7</v>
      </c>
      <c r="E2579">
        <v>39</v>
      </c>
      <c r="F2579" t="s">
        <v>6</v>
      </c>
      <c r="G2579">
        <f t="shared" si="240"/>
        <v>38</v>
      </c>
      <c r="H2579" s="1" t="str">
        <f t="shared" si="241"/>
        <v>Saturday</v>
      </c>
      <c r="I2579" t="str">
        <f t="shared" si="242"/>
        <v>No</v>
      </c>
      <c r="J2579">
        <f t="shared" si="243"/>
        <v>0</v>
      </c>
      <c r="K2579">
        <f t="shared" si="244"/>
        <v>1</v>
      </c>
      <c r="L2579">
        <f t="shared" si="245"/>
        <v>38</v>
      </c>
    </row>
    <row r="2580" spans="1:12" ht="14.4" customHeight="1" x14ac:dyDescent="0.3">
      <c r="A2580">
        <v>218792880</v>
      </c>
      <c r="B2580" s="1">
        <v>45123</v>
      </c>
      <c r="D2580" t="s">
        <v>7</v>
      </c>
      <c r="E2580">
        <v>39</v>
      </c>
      <c r="F2580" t="s">
        <v>6</v>
      </c>
      <c r="G2580" t="str">
        <f t="shared" si="240"/>
        <v/>
      </c>
      <c r="H2580" s="1" t="str">
        <f t="shared" si="241"/>
        <v>Sunday</v>
      </c>
      <c r="I2580" t="str">
        <f t="shared" si="242"/>
        <v>No</v>
      </c>
      <c r="J2580">
        <f t="shared" si="243"/>
        <v>0</v>
      </c>
      <c r="K2580">
        <f t="shared" si="244"/>
        <v>0</v>
      </c>
      <c r="L2580" t="str">
        <f t="shared" si="245"/>
        <v/>
      </c>
    </row>
    <row r="2581" spans="1:12" ht="14.4" customHeight="1" x14ac:dyDescent="0.3">
      <c r="A2581">
        <v>218761808</v>
      </c>
      <c r="B2581" s="1">
        <v>45123</v>
      </c>
      <c r="D2581" t="s">
        <v>7</v>
      </c>
      <c r="E2581">
        <v>39</v>
      </c>
      <c r="F2581" t="s">
        <v>6</v>
      </c>
      <c r="G2581" t="str">
        <f t="shared" si="240"/>
        <v/>
      </c>
      <c r="H2581" s="1" t="str">
        <f t="shared" si="241"/>
        <v>Sunday</v>
      </c>
      <c r="I2581" t="str">
        <f t="shared" si="242"/>
        <v>No</v>
      </c>
      <c r="J2581">
        <f t="shared" si="243"/>
        <v>0</v>
      </c>
      <c r="K2581">
        <f t="shared" si="244"/>
        <v>0</v>
      </c>
      <c r="L2581" t="str">
        <f t="shared" si="245"/>
        <v/>
      </c>
    </row>
    <row r="2582" spans="1:12" ht="14.4" customHeight="1" x14ac:dyDescent="0.3">
      <c r="A2582">
        <v>149303812</v>
      </c>
      <c r="B2582" s="1">
        <v>45123</v>
      </c>
      <c r="D2582" t="s">
        <v>7</v>
      </c>
      <c r="E2582">
        <v>39</v>
      </c>
      <c r="F2582" t="s">
        <v>6</v>
      </c>
      <c r="G2582" t="str">
        <f t="shared" si="240"/>
        <v/>
      </c>
      <c r="H2582" s="1" t="str">
        <f t="shared" si="241"/>
        <v>Sunday</v>
      </c>
      <c r="I2582" t="str">
        <f t="shared" si="242"/>
        <v>No</v>
      </c>
      <c r="J2582">
        <f t="shared" si="243"/>
        <v>0</v>
      </c>
      <c r="K2582">
        <f t="shared" si="244"/>
        <v>0</v>
      </c>
      <c r="L2582" t="str">
        <f t="shared" si="245"/>
        <v/>
      </c>
    </row>
    <row r="2583" spans="1:12" ht="14.4" customHeight="1" x14ac:dyDescent="0.3">
      <c r="A2583">
        <v>216144261</v>
      </c>
      <c r="B2583" s="1">
        <v>45123</v>
      </c>
      <c r="D2583" t="s">
        <v>7</v>
      </c>
      <c r="E2583">
        <v>39</v>
      </c>
      <c r="F2583" t="s">
        <v>6</v>
      </c>
      <c r="G2583" t="str">
        <f t="shared" si="240"/>
        <v/>
      </c>
      <c r="H2583" s="1" t="str">
        <f t="shared" si="241"/>
        <v>Sunday</v>
      </c>
      <c r="I2583" t="str">
        <f t="shared" si="242"/>
        <v>No</v>
      </c>
      <c r="J2583">
        <f t="shared" si="243"/>
        <v>0</v>
      </c>
      <c r="K2583">
        <f t="shared" si="244"/>
        <v>0</v>
      </c>
      <c r="L2583" t="str">
        <f t="shared" si="245"/>
        <v/>
      </c>
    </row>
    <row r="2584" spans="1:12" ht="14.4" customHeight="1" x14ac:dyDescent="0.3">
      <c r="A2584">
        <v>215976742</v>
      </c>
      <c r="B2584" s="1">
        <v>45123</v>
      </c>
      <c r="D2584" t="s">
        <v>7</v>
      </c>
      <c r="E2584">
        <v>39</v>
      </c>
      <c r="F2584" t="s">
        <v>6</v>
      </c>
      <c r="G2584" t="str">
        <f t="shared" si="240"/>
        <v/>
      </c>
      <c r="H2584" s="1" t="str">
        <f t="shared" si="241"/>
        <v>Sunday</v>
      </c>
      <c r="I2584" t="str">
        <f t="shared" si="242"/>
        <v>No</v>
      </c>
      <c r="J2584">
        <f t="shared" si="243"/>
        <v>0</v>
      </c>
      <c r="K2584">
        <f t="shared" si="244"/>
        <v>0</v>
      </c>
      <c r="L2584" t="str">
        <f t="shared" si="245"/>
        <v/>
      </c>
    </row>
    <row r="2585" spans="1:12" x14ac:dyDescent="0.3">
      <c r="A2585">
        <v>218617631</v>
      </c>
      <c r="B2585" s="1">
        <v>45123</v>
      </c>
      <c r="C2585" s="1">
        <v>45161</v>
      </c>
      <c r="D2585" t="s">
        <v>7</v>
      </c>
      <c r="E2585">
        <v>39</v>
      </c>
      <c r="F2585" t="s">
        <v>6</v>
      </c>
      <c r="G2585">
        <f t="shared" si="240"/>
        <v>38</v>
      </c>
      <c r="H2585" s="1" t="str">
        <f t="shared" si="241"/>
        <v>Sunday</v>
      </c>
      <c r="I2585" t="str">
        <f t="shared" si="242"/>
        <v>No</v>
      </c>
      <c r="J2585">
        <f t="shared" si="243"/>
        <v>0</v>
      </c>
      <c r="K2585">
        <f t="shared" si="244"/>
        <v>1</v>
      </c>
      <c r="L2585">
        <f t="shared" si="245"/>
        <v>38</v>
      </c>
    </row>
    <row r="2586" spans="1:12" ht="14.4" customHeight="1" x14ac:dyDescent="0.3">
      <c r="A2586">
        <v>218770458</v>
      </c>
      <c r="B2586" s="1">
        <v>45123</v>
      </c>
      <c r="C2586" s="1">
        <v>45141</v>
      </c>
      <c r="D2586" t="s">
        <v>7</v>
      </c>
      <c r="E2586">
        <v>39</v>
      </c>
      <c r="F2586" t="s">
        <v>6</v>
      </c>
      <c r="G2586">
        <f t="shared" si="240"/>
        <v>18</v>
      </c>
      <c r="H2586" s="1" t="str">
        <f t="shared" si="241"/>
        <v>Sunday</v>
      </c>
      <c r="I2586" t="str">
        <f t="shared" si="242"/>
        <v>No</v>
      </c>
      <c r="J2586">
        <f t="shared" si="243"/>
        <v>0</v>
      </c>
      <c r="K2586">
        <f t="shared" si="244"/>
        <v>0</v>
      </c>
      <c r="L2586">
        <f t="shared" si="245"/>
        <v>18</v>
      </c>
    </row>
    <row r="2587" spans="1:12" x14ac:dyDescent="0.3">
      <c r="A2587">
        <v>218720472</v>
      </c>
      <c r="B2587" s="1">
        <v>45123</v>
      </c>
      <c r="C2587" s="1">
        <v>45157</v>
      </c>
      <c r="D2587" t="s">
        <v>7</v>
      </c>
      <c r="E2587">
        <v>39</v>
      </c>
      <c r="F2587" t="s">
        <v>6</v>
      </c>
      <c r="G2587">
        <f t="shared" si="240"/>
        <v>34</v>
      </c>
      <c r="H2587" s="1" t="str">
        <f t="shared" si="241"/>
        <v>Sunday</v>
      </c>
      <c r="I2587" t="str">
        <f t="shared" si="242"/>
        <v>No</v>
      </c>
      <c r="J2587">
        <f t="shared" si="243"/>
        <v>0</v>
      </c>
      <c r="K2587">
        <f t="shared" si="244"/>
        <v>1</v>
      </c>
      <c r="L2587">
        <f t="shared" si="245"/>
        <v>34</v>
      </c>
    </row>
    <row r="2588" spans="1:12" ht="14.4" customHeight="1" x14ac:dyDescent="0.3">
      <c r="A2588">
        <v>218846909</v>
      </c>
      <c r="B2588" s="1">
        <v>45124</v>
      </c>
      <c r="D2588" t="s">
        <v>7</v>
      </c>
      <c r="E2588">
        <v>39</v>
      </c>
      <c r="F2588" t="s">
        <v>6</v>
      </c>
      <c r="G2588" t="str">
        <f t="shared" si="240"/>
        <v/>
      </c>
      <c r="H2588" s="1" t="str">
        <f t="shared" si="241"/>
        <v>Monday</v>
      </c>
      <c r="I2588" t="str">
        <f t="shared" si="242"/>
        <v>No</v>
      </c>
      <c r="J2588">
        <f t="shared" si="243"/>
        <v>0</v>
      </c>
      <c r="K2588">
        <f t="shared" si="244"/>
        <v>0</v>
      </c>
      <c r="L2588" t="str">
        <f t="shared" si="245"/>
        <v/>
      </c>
    </row>
    <row r="2589" spans="1:12" ht="14.4" customHeight="1" x14ac:dyDescent="0.3">
      <c r="A2589">
        <v>214714278</v>
      </c>
      <c r="B2589" s="1">
        <v>45124</v>
      </c>
      <c r="D2589" t="s">
        <v>7</v>
      </c>
      <c r="E2589">
        <v>39</v>
      </c>
      <c r="F2589" t="s">
        <v>6</v>
      </c>
      <c r="G2589" t="str">
        <f t="shared" si="240"/>
        <v/>
      </c>
      <c r="H2589" s="1" t="str">
        <f t="shared" si="241"/>
        <v>Monday</v>
      </c>
      <c r="I2589" t="str">
        <f t="shared" si="242"/>
        <v>No</v>
      </c>
      <c r="J2589">
        <f t="shared" si="243"/>
        <v>0</v>
      </c>
      <c r="K2589">
        <f t="shared" si="244"/>
        <v>0</v>
      </c>
      <c r="L2589" t="str">
        <f t="shared" si="245"/>
        <v/>
      </c>
    </row>
    <row r="2590" spans="1:12" ht="14.4" customHeight="1" x14ac:dyDescent="0.3">
      <c r="A2590">
        <v>218529158</v>
      </c>
      <c r="B2590" s="1">
        <v>45124</v>
      </c>
      <c r="D2590" t="s">
        <v>7</v>
      </c>
      <c r="E2590">
        <v>39</v>
      </c>
      <c r="F2590" t="s">
        <v>6</v>
      </c>
      <c r="G2590" t="str">
        <f t="shared" si="240"/>
        <v/>
      </c>
      <c r="H2590" s="1" t="str">
        <f t="shared" si="241"/>
        <v>Monday</v>
      </c>
      <c r="I2590" t="str">
        <f t="shared" si="242"/>
        <v>No</v>
      </c>
      <c r="J2590">
        <f t="shared" si="243"/>
        <v>0</v>
      </c>
      <c r="K2590">
        <f t="shared" si="244"/>
        <v>0</v>
      </c>
      <c r="L2590" t="str">
        <f t="shared" si="245"/>
        <v/>
      </c>
    </row>
    <row r="2591" spans="1:12" ht="14.4" customHeight="1" x14ac:dyDescent="0.3">
      <c r="A2591">
        <v>218837719</v>
      </c>
      <c r="B2591" s="1">
        <v>45124</v>
      </c>
      <c r="D2591" t="s">
        <v>7</v>
      </c>
      <c r="E2591">
        <v>39</v>
      </c>
      <c r="F2591" t="s">
        <v>6</v>
      </c>
      <c r="G2591" t="str">
        <f t="shared" si="240"/>
        <v/>
      </c>
      <c r="H2591" s="1" t="str">
        <f t="shared" si="241"/>
        <v>Monday</v>
      </c>
      <c r="I2591" t="str">
        <f t="shared" si="242"/>
        <v>No</v>
      </c>
      <c r="J2591">
        <f t="shared" si="243"/>
        <v>0</v>
      </c>
      <c r="K2591">
        <f t="shared" si="244"/>
        <v>0</v>
      </c>
      <c r="L2591" t="str">
        <f t="shared" si="245"/>
        <v/>
      </c>
    </row>
    <row r="2592" spans="1:12" ht="14.4" customHeight="1" x14ac:dyDescent="0.3">
      <c r="A2592">
        <v>194367477</v>
      </c>
      <c r="B2592" s="1">
        <v>45124</v>
      </c>
      <c r="D2592" t="s">
        <v>7</v>
      </c>
      <c r="E2592">
        <v>39</v>
      </c>
      <c r="F2592" t="s">
        <v>6</v>
      </c>
      <c r="G2592" t="str">
        <f t="shared" si="240"/>
        <v/>
      </c>
      <c r="H2592" s="1" t="str">
        <f t="shared" si="241"/>
        <v>Monday</v>
      </c>
      <c r="I2592" t="str">
        <f t="shared" si="242"/>
        <v>No</v>
      </c>
      <c r="J2592">
        <f t="shared" si="243"/>
        <v>0</v>
      </c>
      <c r="K2592">
        <f t="shared" si="244"/>
        <v>0</v>
      </c>
      <c r="L2592" t="str">
        <f t="shared" si="245"/>
        <v/>
      </c>
    </row>
    <row r="2593" spans="1:12" ht="14.4" customHeight="1" x14ac:dyDescent="0.3">
      <c r="A2593">
        <v>218300066</v>
      </c>
      <c r="B2593" s="1">
        <v>45124</v>
      </c>
      <c r="D2593" t="s">
        <v>7</v>
      </c>
      <c r="E2593">
        <v>39</v>
      </c>
      <c r="F2593" t="s">
        <v>6</v>
      </c>
      <c r="G2593" t="str">
        <f t="shared" si="240"/>
        <v/>
      </c>
      <c r="H2593" s="1" t="str">
        <f t="shared" si="241"/>
        <v>Monday</v>
      </c>
      <c r="I2593" t="str">
        <f t="shared" si="242"/>
        <v>No</v>
      </c>
      <c r="J2593">
        <f t="shared" si="243"/>
        <v>0</v>
      </c>
      <c r="K2593">
        <f t="shared" si="244"/>
        <v>0</v>
      </c>
      <c r="L2593" t="str">
        <f t="shared" si="245"/>
        <v/>
      </c>
    </row>
    <row r="2594" spans="1:12" ht="14.4" customHeight="1" x14ac:dyDescent="0.3">
      <c r="A2594">
        <v>218553583</v>
      </c>
      <c r="B2594" s="1">
        <v>45124</v>
      </c>
      <c r="D2594" t="s">
        <v>7</v>
      </c>
      <c r="E2594">
        <v>39</v>
      </c>
      <c r="F2594" t="s">
        <v>6</v>
      </c>
      <c r="G2594" t="str">
        <f t="shared" si="240"/>
        <v/>
      </c>
      <c r="H2594" s="1" t="str">
        <f t="shared" si="241"/>
        <v>Monday</v>
      </c>
      <c r="I2594" t="str">
        <f t="shared" si="242"/>
        <v>No</v>
      </c>
      <c r="J2594">
        <f t="shared" si="243"/>
        <v>0</v>
      </c>
      <c r="K2594">
        <f t="shared" si="244"/>
        <v>0</v>
      </c>
      <c r="L2594" t="str">
        <f t="shared" si="245"/>
        <v/>
      </c>
    </row>
    <row r="2595" spans="1:12" ht="14.4" customHeight="1" x14ac:dyDescent="0.3">
      <c r="A2595">
        <v>149657162</v>
      </c>
      <c r="B2595" s="1">
        <v>45124</v>
      </c>
      <c r="C2595" s="1">
        <v>45125</v>
      </c>
      <c r="D2595" t="s">
        <v>7</v>
      </c>
      <c r="E2595">
        <v>39</v>
      </c>
      <c r="F2595" t="s">
        <v>6</v>
      </c>
      <c r="G2595">
        <f t="shared" si="240"/>
        <v>1</v>
      </c>
      <c r="H2595" s="1" t="str">
        <f t="shared" si="241"/>
        <v>Monday</v>
      </c>
      <c r="I2595" t="str">
        <f t="shared" si="242"/>
        <v>No</v>
      </c>
      <c r="J2595">
        <f t="shared" si="243"/>
        <v>1</v>
      </c>
      <c r="K2595">
        <f t="shared" si="244"/>
        <v>0</v>
      </c>
      <c r="L2595">
        <f t="shared" si="245"/>
        <v>1</v>
      </c>
    </row>
    <row r="2596" spans="1:12" x14ac:dyDescent="0.3">
      <c r="A2596">
        <v>125920876</v>
      </c>
      <c r="B2596" s="1">
        <v>45124</v>
      </c>
      <c r="C2596" s="1">
        <v>45162</v>
      </c>
      <c r="D2596" t="s">
        <v>7</v>
      </c>
      <c r="E2596">
        <v>39</v>
      </c>
      <c r="F2596" t="s">
        <v>6</v>
      </c>
      <c r="G2596">
        <f t="shared" si="240"/>
        <v>38</v>
      </c>
      <c r="H2596" s="1" t="str">
        <f t="shared" si="241"/>
        <v>Monday</v>
      </c>
      <c r="I2596" t="str">
        <f t="shared" si="242"/>
        <v>No</v>
      </c>
      <c r="J2596">
        <f t="shared" si="243"/>
        <v>0</v>
      </c>
      <c r="K2596">
        <f t="shared" si="244"/>
        <v>1</v>
      </c>
      <c r="L2596">
        <f t="shared" si="245"/>
        <v>38</v>
      </c>
    </row>
    <row r="2597" spans="1:12" ht="14.4" customHeight="1" x14ac:dyDescent="0.3">
      <c r="A2597">
        <v>217403566</v>
      </c>
      <c r="B2597" s="1">
        <v>45124</v>
      </c>
      <c r="C2597" s="1">
        <v>45152</v>
      </c>
      <c r="D2597" t="s">
        <v>7</v>
      </c>
      <c r="E2597">
        <v>39</v>
      </c>
      <c r="F2597" t="s">
        <v>6</v>
      </c>
      <c r="G2597">
        <f t="shared" si="240"/>
        <v>28</v>
      </c>
      <c r="H2597" s="1" t="str">
        <f t="shared" si="241"/>
        <v>Monday</v>
      </c>
      <c r="I2597" t="str">
        <f t="shared" si="242"/>
        <v>No</v>
      </c>
      <c r="J2597">
        <f t="shared" si="243"/>
        <v>0</v>
      </c>
      <c r="K2597">
        <f t="shared" si="244"/>
        <v>0</v>
      </c>
      <c r="L2597">
        <f t="shared" si="245"/>
        <v>28</v>
      </c>
    </row>
    <row r="2598" spans="1:12" ht="14.4" customHeight="1" x14ac:dyDescent="0.3">
      <c r="A2598">
        <v>218677370</v>
      </c>
      <c r="B2598" s="1">
        <v>45124</v>
      </c>
      <c r="C2598" s="1">
        <v>45153</v>
      </c>
      <c r="D2598" t="s">
        <v>7</v>
      </c>
      <c r="E2598">
        <v>39</v>
      </c>
      <c r="F2598" t="s">
        <v>6</v>
      </c>
      <c r="G2598">
        <f t="shared" si="240"/>
        <v>29</v>
      </c>
      <c r="H2598" s="1" t="str">
        <f t="shared" si="241"/>
        <v>Monday</v>
      </c>
      <c r="I2598" t="str">
        <f t="shared" si="242"/>
        <v>No</v>
      </c>
      <c r="J2598">
        <f t="shared" si="243"/>
        <v>0</v>
      </c>
      <c r="K2598">
        <f t="shared" si="244"/>
        <v>0</v>
      </c>
      <c r="L2598">
        <f t="shared" si="245"/>
        <v>29</v>
      </c>
    </row>
    <row r="2599" spans="1:12" x14ac:dyDescent="0.3">
      <c r="A2599">
        <v>218598875</v>
      </c>
      <c r="B2599" s="1">
        <v>45124</v>
      </c>
      <c r="C2599" s="1">
        <v>45162</v>
      </c>
      <c r="D2599" t="s">
        <v>7</v>
      </c>
      <c r="E2599">
        <v>39</v>
      </c>
      <c r="F2599" t="s">
        <v>6</v>
      </c>
      <c r="G2599">
        <f t="shared" si="240"/>
        <v>38</v>
      </c>
      <c r="H2599" s="1" t="str">
        <f t="shared" si="241"/>
        <v>Monday</v>
      </c>
      <c r="I2599" t="str">
        <f t="shared" si="242"/>
        <v>No</v>
      </c>
      <c r="J2599">
        <f t="shared" si="243"/>
        <v>0</v>
      </c>
      <c r="K2599">
        <f t="shared" si="244"/>
        <v>1</v>
      </c>
      <c r="L2599">
        <f t="shared" si="245"/>
        <v>38</v>
      </c>
    </row>
    <row r="2600" spans="1:12" ht="14.4" customHeight="1" x14ac:dyDescent="0.3">
      <c r="A2600">
        <v>203116529</v>
      </c>
      <c r="B2600" s="1">
        <v>45124</v>
      </c>
      <c r="C2600" s="1">
        <v>45124</v>
      </c>
      <c r="D2600" t="s">
        <v>7</v>
      </c>
      <c r="E2600">
        <v>39</v>
      </c>
      <c r="F2600" t="s">
        <v>6</v>
      </c>
      <c r="G2600">
        <f t="shared" si="240"/>
        <v>0</v>
      </c>
      <c r="H2600" s="1" t="str">
        <f t="shared" si="241"/>
        <v>Monday</v>
      </c>
      <c r="I2600" t="str">
        <f t="shared" si="242"/>
        <v>Yes</v>
      </c>
      <c r="J2600">
        <f t="shared" si="243"/>
        <v>1</v>
      </c>
      <c r="K2600">
        <f t="shared" si="244"/>
        <v>0</v>
      </c>
      <c r="L2600">
        <f t="shared" si="245"/>
        <v>0</v>
      </c>
    </row>
    <row r="2601" spans="1:12" x14ac:dyDescent="0.3">
      <c r="A2601">
        <v>218808831</v>
      </c>
      <c r="B2601" s="1">
        <v>45124</v>
      </c>
      <c r="C2601" s="1">
        <v>45170</v>
      </c>
      <c r="D2601" t="s">
        <v>7</v>
      </c>
      <c r="E2601">
        <v>39</v>
      </c>
      <c r="F2601" t="s">
        <v>6</v>
      </c>
      <c r="G2601">
        <f t="shared" si="240"/>
        <v>46</v>
      </c>
      <c r="H2601" s="1" t="str">
        <f t="shared" si="241"/>
        <v>Monday</v>
      </c>
      <c r="I2601" t="str">
        <f t="shared" si="242"/>
        <v>No</v>
      </c>
      <c r="J2601">
        <f t="shared" si="243"/>
        <v>0</v>
      </c>
      <c r="K2601">
        <f t="shared" si="244"/>
        <v>1</v>
      </c>
      <c r="L2601">
        <f t="shared" si="245"/>
        <v>46</v>
      </c>
    </row>
    <row r="2602" spans="1:12" ht="14.4" customHeight="1" x14ac:dyDescent="0.3">
      <c r="A2602">
        <v>218844240</v>
      </c>
      <c r="B2602" s="1">
        <v>45125</v>
      </c>
      <c r="D2602" t="s">
        <v>7</v>
      </c>
      <c r="E2602">
        <v>39</v>
      </c>
      <c r="F2602" t="s">
        <v>6</v>
      </c>
      <c r="G2602" t="str">
        <f t="shared" si="240"/>
        <v/>
      </c>
      <c r="H2602" s="1" t="str">
        <f t="shared" si="241"/>
        <v>Tuesday</v>
      </c>
      <c r="I2602" t="str">
        <f t="shared" si="242"/>
        <v>No</v>
      </c>
      <c r="J2602">
        <f t="shared" si="243"/>
        <v>0</v>
      </c>
      <c r="K2602">
        <f t="shared" si="244"/>
        <v>0</v>
      </c>
      <c r="L2602" t="str">
        <f t="shared" si="245"/>
        <v/>
      </c>
    </row>
    <row r="2603" spans="1:12" ht="14.4" customHeight="1" x14ac:dyDescent="0.3">
      <c r="A2603">
        <v>218863419</v>
      </c>
      <c r="B2603" s="1">
        <v>45125</v>
      </c>
      <c r="D2603" t="s">
        <v>7</v>
      </c>
      <c r="E2603">
        <v>39</v>
      </c>
      <c r="F2603" t="s">
        <v>6</v>
      </c>
      <c r="G2603" t="str">
        <f t="shared" si="240"/>
        <v/>
      </c>
      <c r="H2603" s="1" t="str">
        <f t="shared" si="241"/>
        <v>Tuesday</v>
      </c>
      <c r="I2603" t="str">
        <f t="shared" si="242"/>
        <v>No</v>
      </c>
      <c r="J2603">
        <f t="shared" si="243"/>
        <v>0</v>
      </c>
      <c r="K2603">
        <f t="shared" si="244"/>
        <v>0</v>
      </c>
      <c r="L2603" t="str">
        <f t="shared" si="245"/>
        <v/>
      </c>
    </row>
    <row r="2604" spans="1:12" ht="14.4" customHeight="1" x14ac:dyDescent="0.3">
      <c r="A2604">
        <v>218445704</v>
      </c>
      <c r="B2604" s="1">
        <v>45125</v>
      </c>
      <c r="D2604" t="s">
        <v>7</v>
      </c>
      <c r="E2604">
        <v>39</v>
      </c>
      <c r="F2604" t="s">
        <v>6</v>
      </c>
      <c r="G2604" t="str">
        <f t="shared" si="240"/>
        <v/>
      </c>
      <c r="H2604" s="1" t="str">
        <f t="shared" si="241"/>
        <v>Tuesday</v>
      </c>
      <c r="I2604" t="str">
        <f t="shared" si="242"/>
        <v>No</v>
      </c>
      <c r="J2604">
        <f t="shared" si="243"/>
        <v>0</v>
      </c>
      <c r="K2604">
        <f t="shared" si="244"/>
        <v>0</v>
      </c>
      <c r="L2604" t="str">
        <f t="shared" si="245"/>
        <v/>
      </c>
    </row>
    <row r="2605" spans="1:12" ht="14.4" customHeight="1" x14ac:dyDescent="0.3">
      <c r="A2605">
        <v>149411976</v>
      </c>
      <c r="B2605" s="1">
        <v>45125</v>
      </c>
      <c r="D2605" t="s">
        <v>7</v>
      </c>
      <c r="E2605">
        <v>39</v>
      </c>
      <c r="F2605" t="s">
        <v>6</v>
      </c>
      <c r="G2605" t="str">
        <f t="shared" si="240"/>
        <v/>
      </c>
      <c r="H2605" s="1" t="str">
        <f t="shared" si="241"/>
        <v>Tuesday</v>
      </c>
      <c r="I2605" t="str">
        <f t="shared" si="242"/>
        <v>No</v>
      </c>
      <c r="J2605">
        <f t="shared" si="243"/>
        <v>0</v>
      </c>
      <c r="K2605">
        <f t="shared" si="244"/>
        <v>0</v>
      </c>
      <c r="L2605" t="str">
        <f t="shared" si="245"/>
        <v/>
      </c>
    </row>
    <row r="2606" spans="1:12" ht="14.4" customHeight="1" x14ac:dyDescent="0.3">
      <c r="A2606">
        <v>218862674</v>
      </c>
      <c r="B2606" s="1">
        <v>45125</v>
      </c>
      <c r="D2606" t="s">
        <v>7</v>
      </c>
      <c r="E2606">
        <v>39</v>
      </c>
      <c r="F2606" t="s">
        <v>6</v>
      </c>
      <c r="G2606" t="str">
        <f t="shared" si="240"/>
        <v/>
      </c>
      <c r="H2606" s="1" t="str">
        <f t="shared" si="241"/>
        <v>Tuesday</v>
      </c>
      <c r="I2606" t="str">
        <f t="shared" si="242"/>
        <v>No</v>
      </c>
      <c r="J2606">
        <f t="shared" si="243"/>
        <v>0</v>
      </c>
      <c r="K2606">
        <f t="shared" si="244"/>
        <v>0</v>
      </c>
      <c r="L2606" t="str">
        <f t="shared" si="245"/>
        <v/>
      </c>
    </row>
    <row r="2607" spans="1:12" ht="14.4" customHeight="1" x14ac:dyDescent="0.3">
      <c r="A2607">
        <v>218851122</v>
      </c>
      <c r="B2607" s="1">
        <v>45125</v>
      </c>
      <c r="D2607" t="s">
        <v>7</v>
      </c>
      <c r="E2607">
        <v>39</v>
      </c>
      <c r="F2607" t="s">
        <v>6</v>
      </c>
      <c r="G2607" t="str">
        <f t="shared" si="240"/>
        <v/>
      </c>
      <c r="H2607" s="1" t="str">
        <f t="shared" si="241"/>
        <v>Tuesday</v>
      </c>
      <c r="I2607" t="str">
        <f t="shared" si="242"/>
        <v>No</v>
      </c>
      <c r="J2607">
        <f t="shared" si="243"/>
        <v>0</v>
      </c>
      <c r="K2607">
        <f t="shared" si="244"/>
        <v>0</v>
      </c>
      <c r="L2607" t="str">
        <f t="shared" si="245"/>
        <v/>
      </c>
    </row>
    <row r="2608" spans="1:12" x14ac:dyDescent="0.3">
      <c r="A2608">
        <v>153402484</v>
      </c>
      <c r="B2608" s="1">
        <v>45125</v>
      </c>
      <c r="C2608" s="1">
        <v>45170</v>
      </c>
      <c r="D2608" t="s">
        <v>7</v>
      </c>
      <c r="E2608">
        <v>39</v>
      </c>
      <c r="F2608" t="s">
        <v>6</v>
      </c>
      <c r="G2608">
        <f t="shared" si="240"/>
        <v>45</v>
      </c>
      <c r="H2608" s="1" t="str">
        <f t="shared" si="241"/>
        <v>Tuesday</v>
      </c>
      <c r="I2608" t="str">
        <f t="shared" si="242"/>
        <v>No</v>
      </c>
      <c r="J2608">
        <f t="shared" si="243"/>
        <v>0</v>
      </c>
      <c r="K2608">
        <f t="shared" si="244"/>
        <v>1</v>
      </c>
      <c r="L2608">
        <f t="shared" si="245"/>
        <v>45</v>
      </c>
    </row>
    <row r="2609" spans="1:12" x14ac:dyDescent="0.3">
      <c r="A2609">
        <v>218848831</v>
      </c>
      <c r="B2609" s="1">
        <v>45125</v>
      </c>
      <c r="C2609" s="1">
        <v>45164</v>
      </c>
      <c r="D2609" t="s">
        <v>7</v>
      </c>
      <c r="E2609">
        <v>39</v>
      </c>
      <c r="F2609" t="s">
        <v>6</v>
      </c>
      <c r="G2609">
        <f t="shared" si="240"/>
        <v>39</v>
      </c>
      <c r="H2609" s="1" t="str">
        <f t="shared" si="241"/>
        <v>Tuesday</v>
      </c>
      <c r="I2609" t="str">
        <f t="shared" si="242"/>
        <v>No</v>
      </c>
      <c r="J2609">
        <f t="shared" si="243"/>
        <v>0</v>
      </c>
      <c r="K2609">
        <f t="shared" si="244"/>
        <v>1</v>
      </c>
      <c r="L2609">
        <f t="shared" si="245"/>
        <v>39</v>
      </c>
    </row>
    <row r="2610" spans="1:12" ht="14.4" customHeight="1" x14ac:dyDescent="0.3">
      <c r="A2610">
        <v>159639128</v>
      </c>
      <c r="B2610" s="1">
        <v>45125</v>
      </c>
      <c r="C2610" s="1">
        <v>45125</v>
      </c>
      <c r="D2610" t="s">
        <v>7</v>
      </c>
      <c r="E2610">
        <v>39</v>
      </c>
      <c r="F2610" t="s">
        <v>6</v>
      </c>
      <c r="G2610">
        <f t="shared" si="240"/>
        <v>0</v>
      </c>
      <c r="H2610" s="1" t="str">
        <f t="shared" si="241"/>
        <v>Tuesday</v>
      </c>
      <c r="I2610" t="str">
        <f t="shared" si="242"/>
        <v>Yes</v>
      </c>
      <c r="J2610">
        <f t="shared" si="243"/>
        <v>1</v>
      </c>
      <c r="K2610">
        <f t="shared" si="244"/>
        <v>0</v>
      </c>
      <c r="L2610">
        <f t="shared" si="245"/>
        <v>0</v>
      </c>
    </row>
    <row r="2611" spans="1:12" ht="14.4" customHeight="1" x14ac:dyDescent="0.3">
      <c r="A2611">
        <v>214638700</v>
      </c>
      <c r="B2611" s="1">
        <v>45125</v>
      </c>
      <c r="C2611" s="1">
        <v>45126</v>
      </c>
      <c r="D2611" t="s">
        <v>8</v>
      </c>
      <c r="E2611">
        <v>39</v>
      </c>
      <c r="F2611" t="s">
        <v>6</v>
      </c>
      <c r="G2611">
        <f t="shared" si="240"/>
        <v>1</v>
      </c>
      <c r="H2611" s="1" t="str">
        <f t="shared" si="241"/>
        <v>Tuesday</v>
      </c>
      <c r="I2611" t="str">
        <f t="shared" si="242"/>
        <v>No</v>
      </c>
      <c r="J2611">
        <f t="shared" si="243"/>
        <v>1</v>
      </c>
      <c r="K2611">
        <f t="shared" si="244"/>
        <v>0</v>
      </c>
      <c r="L2611">
        <f t="shared" si="245"/>
        <v>1</v>
      </c>
    </row>
    <row r="2612" spans="1:12" x14ac:dyDescent="0.3">
      <c r="A2612">
        <v>218850789</v>
      </c>
      <c r="B2612" s="1">
        <v>45125</v>
      </c>
      <c r="C2612" s="1">
        <v>45156</v>
      </c>
      <c r="D2612" t="s">
        <v>7</v>
      </c>
      <c r="E2612">
        <v>39</v>
      </c>
      <c r="F2612" t="s">
        <v>6</v>
      </c>
      <c r="G2612">
        <f t="shared" si="240"/>
        <v>31</v>
      </c>
      <c r="H2612" s="1" t="str">
        <f t="shared" si="241"/>
        <v>Tuesday</v>
      </c>
      <c r="I2612" t="str">
        <f t="shared" si="242"/>
        <v>No</v>
      </c>
      <c r="J2612">
        <f t="shared" si="243"/>
        <v>0</v>
      </c>
      <c r="K2612">
        <f t="shared" si="244"/>
        <v>1</v>
      </c>
      <c r="L2612">
        <f t="shared" si="245"/>
        <v>31</v>
      </c>
    </row>
    <row r="2613" spans="1:12" ht="14.4" customHeight="1" x14ac:dyDescent="0.3">
      <c r="A2613">
        <v>155510287</v>
      </c>
      <c r="B2613" s="1">
        <v>45125</v>
      </c>
      <c r="C2613" s="1">
        <v>45150</v>
      </c>
      <c r="D2613" t="s">
        <v>7</v>
      </c>
      <c r="E2613">
        <v>39</v>
      </c>
      <c r="F2613" t="s">
        <v>6</v>
      </c>
      <c r="G2613">
        <f t="shared" si="240"/>
        <v>25</v>
      </c>
      <c r="H2613" s="1" t="str">
        <f t="shared" si="241"/>
        <v>Tuesday</v>
      </c>
      <c r="I2613" t="str">
        <f t="shared" si="242"/>
        <v>No</v>
      </c>
      <c r="J2613">
        <f t="shared" si="243"/>
        <v>0</v>
      </c>
      <c r="K2613">
        <f t="shared" si="244"/>
        <v>0</v>
      </c>
      <c r="L2613">
        <f t="shared" si="245"/>
        <v>25</v>
      </c>
    </row>
    <row r="2614" spans="1:12" ht="14.4" customHeight="1" x14ac:dyDescent="0.3">
      <c r="A2614">
        <v>218677703</v>
      </c>
      <c r="B2614" s="1">
        <v>45125</v>
      </c>
      <c r="C2614" s="1">
        <v>45131</v>
      </c>
      <c r="D2614" t="s">
        <v>7</v>
      </c>
      <c r="E2614">
        <v>39</v>
      </c>
      <c r="F2614" t="s">
        <v>6</v>
      </c>
      <c r="G2614">
        <f t="shared" si="240"/>
        <v>6</v>
      </c>
      <c r="H2614" s="1" t="str">
        <f t="shared" si="241"/>
        <v>Tuesday</v>
      </c>
      <c r="I2614" t="str">
        <f t="shared" si="242"/>
        <v>No</v>
      </c>
      <c r="J2614">
        <f t="shared" si="243"/>
        <v>0</v>
      </c>
      <c r="K2614">
        <f t="shared" si="244"/>
        <v>0</v>
      </c>
      <c r="L2614">
        <f t="shared" si="245"/>
        <v>6</v>
      </c>
    </row>
    <row r="2615" spans="1:12" ht="14.4" customHeight="1" x14ac:dyDescent="0.3">
      <c r="A2615">
        <v>218878930</v>
      </c>
      <c r="B2615" s="1">
        <v>45125</v>
      </c>
      <c r="C2615" s="1">
        <v>45127</v>
      </c>
      <c r="D2615" t="s">
        <v>7</v>
      </c>
      <c r="E2615">
        <v>39</v>
      </c>
      <c r="F2615" t="s">
        <v>6</v>
      </c>
      <c r="G2615">
        <f t="shared" si="240"/>
        <v>2</v>
      </c>
      <c r="H2615" s="1" t="str">
        <f t="shared" si="241"/>
        <v>Tuesday</v>
      </c>
      <c r="I2615" t="str">
        <f t="shared" si="242"/>
        <v>No</v>
      </c>
      <c r="J2615">
        <f t="shared" si="243"/>
        <v>1</v>
      </c>
      <c r="K2615">
        <f t="shared" si="244"/>
        <v>0</v>
      </c>
      <c r="L2615">
        <f t="shared" si="245"/>
        <v>2</v>
      </c>
    </row>
    <row r="2616" spans="1:12" ht="14.4" customHeight="1" x14ac:dyDescent="0.3">
      <c r="A2616">
        <v>218935022</v>
      </c>
      <c r="B2616" s="1">
        <v>45126</v>
      </c>
      <c r="D2616" t="s">
        <v>7</v>
      </c>
      <c r="E2616">
        <v>39</v>
      </c>
      <c r="F2616" t="s">
        <v>6</v>
      </c>
      <c r="G2616" t="str">
        <f t="shared" si="240"/>
        <v/>
      </c>
      <c r="H2616" s="1" t="str">
        <f t="shared" si="241"/>
        <v>Wednesday</v>
      </c>
      <c r="I2616" t="str">
        <f t="shared" si="242"/>
        <v>No</v>
      </c>
      <c r="J2616">
        <f t="shared" si="243"/>
        <v>0</v>
      </c>
      <c r="K2616">
        <f t="shared" si="244"/>
        <v>0</v>
      </c>
      <c r="L2616" t="str">
        <f t="shared" si="245"/>
        <v/>
      </c>
    </row>
    <row r="2617" spans="1:12" ht="14.4" customHeight="1" x14ac:dyDescent="0.3">
      <c r="A2617">
        <v>218925198</v>
      </c>
      <c r="B2617" s="1">
        <v>45126</v>
      </c>
      <c r="D2617" t="s">
        <v>7</v>
      </c>
      <c r="E2617">
        <v>39</v>
      </c>
      <c r="F2617" t="s">
        <v>6</v>
      </c>
      <c r="G2617" t="str">
        <f t="shared" si="240"/>
        <v/>
      </c>
      <c r="H2617" s="1" t="str">
        <f t="shared" si="241"/>
        <v>Wednesday</v>
      </c>
      <c r="I2617" t="str">
        <f t="shared" si="242"/>
        <v>No</v>
      </c>
      <c r="J2617">
        <f t="shared" si="243"/>
        <v>0</v>
      </c>
      <c r="K2617">
        <f t="shared" si="244"/>
        <v>0</v>
      </c>
      <c r="L2617" t="str">
        <f t="shared" si="245"/>
        <v/>
      </c>
    </row>
    <row r="2618" spans="1:12" ht="14.4" customHeight="1" x14ac:dyDescent="0.3">
      <c r="A2618">
        <v>218927120</v>
      </c>
      <c r="B2618" s="1">
        <v>45126</v>
      </c>
      <c r="D2618" t="s">
        <v>7</v>
      </c>
      <c r="E2618">
        <v>39</v>
      </c>
      <c r="F2618" t="s">
        <v>6</v>
      </c>
      <c r="G2618" t="str">
        <f t="shared" si="240"/>
        <v/>
      </c>
      <c r="H2618" s="1" t="str">
        <f t="shared" si="241"/>
        <v>Wednesday</v>
      </c>
      <c r="I2618" t="str">
        <f t="shared" si="242"/>
        <v>No</v>
      </c>
      <c r="J2618">
        <f t="shared" si="243"/>
        <v>0</v>
      </c>
      <c r="K2618">
        <f t="shared" si="244"/>
        <v>0</v>
      </c>
      <c r="L2618" t="str">
        <f t="shared" si="245"/>
        <v/>
      </c>
    </row>
    <row r="2619" spans="1:12" ht="14.4" customHeight="1" x14ac:dyDescent="0.3">
      <c r="A2619">
        <v>218930176</v>
      </c>
      <c r="B2619" s="1">
        <v>45126</v>
      </c>
      <c r="D2619" t="s">
        <v>7</v>
      </c>
      <c r="E2619">
        <v>39</v>
      </c>
      <c r="F2619" t="s">
        <v>6</v>
      </c>
      <c r="G2619" t="str">
        <f t="shared" si="240"/>
        <v/>
      </c>
      <c r="H2619" s="1" t="str">
        <f t="shared" si="241"/>
        <v>Wednesday</v>
      </c>
      <c r="I2619" t="str">
        <f t="shared" si="242"/>
        <v>No</v>
      </c>
      <c r="J2619">
        <f t="shared" si="243"/>
        <v>0</v>
      </c>
      <c r="K2619">
        <f t="shared" si="244"/>
        <v>0</v>
      </c>
      <c r="L2619" t="str">
        <f t="shared" si="245"/>
        <v/>
      </c>
    </row>
    <row r="2620" spans="1:12" ht="14.4" customHeight="1" x14ac:dyDescent="0.3">
      <c r="A2620">
        <v>216185482</v>
      </c>
      <c r="B2620" s="1">
        <v>45126</v>
      </c>
      <c r="D2620" t="s">
        <v>7</v>
      </c>
      <c r="E2620">
        <v>39</v>
      </c>
      <c r="F2620" t="s">
        <v>6</v>
      </c>
      <c r="G2620" t="str">
        <f t="shared" si="240"/>
        <v/>
      </c>
      <c r="H2620" s="1" t="str">
        <f t="shared" si="241"/>
        <v>Wednesday</v>
      </c>
      <c r="I2620" t="str">
        <f t="shared" si="242"/>
        <v>No</v>
      </c>
      <c r="J2620">
        <f t="shared" si="243"/>
        <v>0</v>
      </c>
      <c r="K2620">
        <f t="shared" si="244"/>
        <v>0</v>
      </c>
      <c r="L2620" t="str">
        <f t="shared" si="245"/>
        <v/>
      </c>
    </row>
    <row r="2621" spans="1:12" ht="14.4" customHeight="1" x14ac:dyDescent="0.3">
      <c r="A2621">
        <v>218814342</v>
      </c>
      <c r="B2621" s="1">
        <v>45126</v>
      </c>
      <c r="D2621" t="s">
        <v>7</v>
      </c>
      <c r="E2621">
        <v>39</v>
      </c>
      <c r="F2621" t="s">
        <v>6</v>
      </c>
      <c r="G2621" t="str">
        <f t="shared" si="240"/>
        <v/>
      </c>
      <c r="H2621" s="1" t="str">
        <f t="shared" si="241"/>
        <v>Wednesday</v>
      </c>
      <c r="I2621" t="str">
        <f t="shared" si="242"/>
        <v>No</v>
      </c>
      <c r="J2621">
        <f t="shared" si="243"/>
        <v>0</v>
      </c>
      <c r="K2621">
        <f t="shared" si="244"/>
        <v>0</v>
      </c>
      <c r="L2621" t="str">
        <f t="shared" si="245"/>
        <v/>
      </c>
    </row>
    <row r="2622" spans="1:12" ht="14.4" customHeight="1" x14ac:dyDescent="0.3">
      <c r="A2622">
        <v>218764310</v>
      </c>
      <c r="B2622" s="1">
        <v>45126</v>
      </c>
      <c r="D2622" t="s">
        <v>7</v>
      </c>
      <c r="E2622">
        <v>39</v>
      </c>
      <c r="F2622" t="s">
        <v>6</v>
      </c>
      <c r="G2622" t="str">
        <f t="shared" si="240"/>
        <v/>
      </c>
      <c r="H2622" s="1" t="str">
        <f t="shared" si="241"/>
        <v>Wednesday</v>
      </c>
      <c r="I2622" t="str">
        <f t="shared" si="242"/>
        <v>No</v>
      </c>
      <c r="J2622">
        <f t="shared" si="243"/>
        <v>0</v>
      </c>
      <c r="K2622">
        <f t="shared" si="244"/>
        <v>0</v>
      </c>
      <c r="L2622" t="str">
        <f t="shared" si="245"/>
        <v/>
      </c>
    </row>
    <row r="2623" spans="1:12" ht="14.4" customHeight="1" x14ac:dyDescent="0.3">
      <c r="A2623">
        <v>218814328</v>
      </c>
      <c r="B2623" s="1">
        <v>45126</v>
      </c>
      <c r="D2623" t="s">
        <v>7</v>
      </c>
      <c r="E2623">
        <v>39</v>
      </c>
      <c r="F2623" t="s">
        <v>6</v>
      </c>
      <c r="G2623" t="str">
        <f t="shared" si="240"/>
        <v/>
      </c>
      <c r="H2623" s="1" t="str">
        <f t="shared" si="241"/>
        <v>Wednesday</v>
      </c>
      <c r="I2623" t="str">
        <f t="shared" si="242"/>
        <v>No</v>
      </c>
      <c r="J2623">
        <f t="shared" si="243"/>
        <v>0</v>
      </c>
      <c r="K2623">
        <f t="shared" si="244"/>
        <v>0</v>
      </c>
      <c r="L2623" t="str">
        <f t="shared" si="245"/>
        <v/>
      </c>
    </row>
    <row r="2624" spans="1:12" ht="14.4" customHeight="1" x14ac:dyDescent="0.3">
      <c r="A2624">
        <v>149144586</v>
      </c>
      <c r="B2624" s="1">
        <v>45126</v>
      </c>
      <c r="D2624" t="s">
        <v>7</v>
      </c>
      <c r="E2624">
        <v>39</v>
      </c>
      <c r="F2624" t="s">
        <v>6</v>
      </c>
      <c r="G2624" t="str">
        <f t="shared" si="240"/>
        <v/>
      </c>
      <c r="H2624" s="1" t="str">
        <f t="shared" si="241"/>
        <v>Wednesday</v>
      </c>
      <c r="I2624" t="str">
        <f t="shared" si="242"/>
        <v>No</v>
      </c>
      <c r="J2624">
        <f t="shared" si="243"/>
        <v>0</v>
      </c>
      <c r="K2624">
        <f t="shared" si="244"/>
        <v>0</v>
      </c>
      <c r="L2624" t="str">
        <f t="shared" si="245"/>
        <v/>
      </c>
    </row>
    <row r="2625" spans="1:12" ht="14.4" customHeight="1" x14ac:dyDescent="0.3">
      <c r="A2625">
        <v>217635511</v>
      </c>
      <c r="B2625" s="1">
        <v>45126</v>
      </c>
      <c r="D2625" t="s">
        <v>7</v>
      </c>
      <c r="E2625">
        <v>39</v>
      </c>
      <c r="F2625" t="s">
        <v>6</v>
      </c>
      <c r="G2625" t="str">
        <f t="shared" si="240"/>
        <v/>
      </c>
      <c r="H2625" s="1" t="str">
        <f t="shared" si="241"/>
        <v>Wednesday</v>
      </c>
      <c r="I2625" t="str">
        <f t="shared" si="242"/>
        <v>No</v>
      </c>
      <c r="J2625">
        <f t="shared" si="243"/>
        <v>0</v>
      </c>
      <c r="K2625">
        <f t="shared" si="244"/>
        <v>0</v>
      </c>
      <c r="L2625" t="str">
        <f t="shared" si="245"/>
        <v/>
      </c>
    </row>
    <row r="2626" spans="1:12" ht="14.4" customHeight="1" x14ac:dyDescent="0.3">
      <c r="A2626">
        <v>218924256</v>
      </c>
      <c r="B2626" s="1">
        <v>45126</v>
      </c>
      <c r="C2626" s="1">
        <v>45152</v>
      </c>
      <c r="D2626" t="s">
        <v>7</v>
      </c>
      <c r="E2626">
        <v>39</v>
      </c>
      <c r="F2626" t="s">
        <v>6</v>
      </c>
      <c r="G2626">
        <f t="shared" ref="G2626:G2689" si="246">IF(C2626="","",C2626-B2626)</f>
        <v>26</v>
      </c>
      <c r="H2626" s="1" t="str">
        <f t="shared" si="241"/>
        <v>Wednesday</v>
      </c>
      <c r="I2626" t="str">
        <f t="shared" si="242"/>
        <v>No</v>
      </c>
      <c r="J2626">
        <f t="shared" si="243"/>
        <v>0</v>
      </c>
      <c r="K2626">
        <f t="shared" si="244"/>
        <v>0</v>
      </c>
      <c r="L2626">
        <f t="shared" si="245"/>
        <v>26</v>
      </c>
    </row>
    <row r="2627" spans="1:12" ht="14.4" customHeight="1" x14ac:dyDescent="0.3">
      <c r="A2627">
        <v>218898552</v>
      </c>
      <c r="B2627" s="1">
        <v>45126</v>
      </c>
      <c r="C2627" s="1">
        <v>45155</v>
      </c>
      <c r="D2627" t="s">
        <v>7</v>
      </c>
      <c r="E2627">
        <v>39</v>
      </c>
      <c r="F2627" t="s">
        <v>6</v>
      </c>
      <c r="G2627">
        <f t="shared" si="246"/>
        <v>29</v>
      </c>
      <c r="H2627" s="1" t="str">
        <f t="shared" ref="H2627:H2690" si="247">TEXT(B2627,"dddd")</f>
        <v>Wednesday</v>
      </c>
      <c r="I2627" t="str">
        <f t="shared" ref="I2627:I2690" si="248">IF(B2627=C2627,"Yes","No")</f>
        <v>No</v>
      </c>
      <c r="J2627">
        <f t="shared" ref="J2627:J2690" si="249">IF(AND(C2627&lt;&gt;"",C2627-B2627&lt;=2),1,0)</f>
        <v>0</v>
      </c>
      <c r="K2627">
        <f t="shared" ref="K2627:K2690" si="250">IF(AND(C2627&lt;&gt;"",C2627-B2627&gt;30),1,0)</f>
        <v>0</v>
      </c>
      <c r="L2627">
        <f t="shared" ref="L2627:L2690" si="251">IF(C2627="","",C2627-B2627)</f>
        <v>29</v>
      </c>
    </row>
    <row r="2628" spans="1:12" x14ac:dyDescent="0.3">
      <c r="A2628">
        <v>149657162</v>
      </c>
      <c r="B2628" s="1">
        <v>45126</v>
      </c>
      <c r="C2628" s="1">
        <v>45172</v>
      </c>
      <c r="D2628" t="s">
        <v>7</v>
      </c>
      <c r="E2628">
        <v>39</v>
      </c>
      <c r="F2628" t="s">
        <v>6</v>
      </c>
      <c r="G2628">
        <f t="shared" si="246"/>
        <v>46</v>
      </c>
      <c r="H2628" s="1" t="str">
        <f t="shared" si="247"/>
        <v>Wednesday</v>
      </c>
      <c r="I2628" t="str">
        <f t="shared" si="248"/>
        <v>No</v>
      </c>
      <c r="J2628">
        <f t="shared" si="249"/>
        <v>0</v>
      </c>
      <c r="K2628">
        <f t="shared" si="250"/>
        <v>1</v>
      </c>
      <c r="L2628">
        <f t="shared" si="251"/>
        <v>46</v>
      </c>
    </row>
    <row r="2629" spans="1:12" ht="14.4" customHeight="1" x14ac:dyDescent="0.3">
      <c r="A2629">
        <v>218581958</v>
      </c>
      <c r="B2629" s="1">
        <v>45126</v>
      </c>
      <c r="C2629" s="1">
        <v>45133</v>
      </c>
      <c r="D2629" t="s">
        <v>7</v>
      </c>
      <c r="E2629">
        <v>39</v>
      </c>
      <c r="F2629" t="s">
        <v>6</v>
      </c>
      <c r="G2629">
        <f t="shared" si="246"/>
        <v>7</v>
      </c>
      <c r="H2629" s="1" t="str">
        <f t="shared" si="247"/>
        <v>Wednesday</v>
      </c>
      <c r="I2629" t="str">
        <f t="shared" si="248"/>
        <v>No</v>
      </c>
      <c r="J2629">
        <f t="shared" si="249"/>
        <v>0</v>
      </c>
      <c r="K2629">
        <f t="shared" si="250"/>
        <v>0</v>
      </c>
      <c r="L2629">
        <f t="shared" si="251"/>
        <v>7</v>
      </c>
    </row>
    <row r="2630" spans="1:12" ht="14.4" customHeight="1" x14ac:dyDescent="0.3">
      <c r="A2630">
        <v>214943384</v>
      </c>
      <c r="B2630" s="1">
        <v>45127</v>
      </c>
      <c r="D2630" t="s">
        <v>7</v>
      </c>
      <c r="E2630">
        <v>39</v>
      </c>
      <c r="F2630" t="s">
        <v>6</v>
      </c>
      <c r="G2630" t="str">
        <f t="shared" si="246"/>
        <v/>
      </c>
      <c r="H2630" s="1" t="str">
        <f t="shared" si="247"/>
        <v>Thursday</v>
      </c>
      <c r="I2630" t="str">
        <f t="shared" si="248"/>
        <v>No</v>
      </c>
      <c r="J2630">
        <f t="shared" si="249"/>
        <v>0</v>
      </c>
      <c r="K2630">
        <f t="shared" si="250"/>
        <v>0</v>
      </c>
      <c r="L2630" t="str">
        <f t="shared" si="251"/>
        <v/>
      </c>
    </row>
    <row r="2631" spans="1:12" ht="14.4" customHeight="1" x14ac:dyDescent="0.3">
      <c r="A2631">
        <v>147832373</v>
      </c>
      <c r="B2631" s="1">
        <v>45127</v>
      </c>
      <c r="D2631" t="s">
        <v>7</v>
      </c>
      <c r="E2631">
        <v>39</v>
      </c>
      <c r="F2631" t="s">
        <v>6</v>
      </c>
      <c r="G2631" t="str">
        <f t="shared" si="246"/>
        <v/>
      </c>
      <c r="H2631" s="1" t="str">
        <f t="shared" si="247"/>
        <v>Thursday</v>
      </c>
      <c r="I2631" t="str">
        <f t="shared" si="248"/>
        <v>No</v>
      </c>
      <c r="J2631">
        <f t="shared" si="249"/>
        <v>0</v>
      </c>
      <c r="K2631">
        <f t="shared" si="250"/>
        <v>0</v>
      </c>
      <c r="L2631" t="str">
        <f t="shared" si="251"/>
        <v/>
      </c>
    </row>
    <row r="2632" spans="1:12" ht="14.4" customHeight="1" x14ac:dyDescent="0.3">
      <c r="A2632">
        <v>204362311</v>
      </c>
      <c r="B2632" s="1">
        <v>45127</v>
      </c>
      <c r="D2632" t="s">
        <v>7</v>
      </c>
      <c r="E2632">
        <v>39</v>
      </c>
      <c r="F2632" t="s">
        <v>6</v>
      </c>
      <c r="G2632" t="str">
        <f t="shared" si="246"/>
        <v/>
      </c>
      <c r="H2632" s="1" t="str">
        <f t="shared" si="247"/>
        <v>Thursday</v>
      </c>
      <c r="I2632" t="str">
        <f t="shared" si="248"/>
        <v>No</v>
      </c>
      <c r="J2632">
        <f t="shared" si="249"/>
        <v>0</v>
      </c>
      <c r="K2632">
        <f t="shared" si="250"/>
        <v>0</v>
      </c>
      <c r="L2632" t="str">
        <f t="shared" si="251"/>
        <v/>
      </c>
    </row>
    <row r="2633" spans="1:12" ht="14.4" customHeight="1" x14ac:dyDescent="0.3">
      <c r="A2633">
        <v>217137211</v>
      </c>
      <c r="B2633" s="1">
        <v>45127</v>
      </c>
      <c r="D2633" t="s">
        <v>7</v>
      </c>
      <c r="E2633">
        <v>39</v>
      </c>
      <c r="F2633" t="s">
        <v>6</v>
      </c>
      <c r="G2633" t="str">
        <f t="shared" si="246"/>
        <v/>
      </c>
      <c r="H2633" s="1" t="str">
        <f t="shared" si="247"/>
        <v>Thursday</v>
      </c>
      <c r="I2633" t="str">
        <f t="shared" si="248"/>
        <v>No</v>
      </c>
      <c r="J2633">
        <f t="shared" si="249"/>
        <v>0</v>
      </c>
      <c r="K2633">
        <f t="shared" si="250"/>
        <v>0</v>
      </c>
      <c r="L2633" t="str">
        <f t="shared" si="251"/>
        <v/>
      </c>
    </row>
    <row r="2634" spans="1:12" ht="14.4" customHeight="1" x14ac:dyDescent="0.3">
      <c r="A2634">
        <v>218942852</v>
      </c>
      <c r="B2634" s="1">
        <v>45127</v>
      </c>
      <c r="D2634" t="s">
        <v>7</v>
      </c>
      <c r="E2634">
        <v>39</v>
      </c>
      <c r="F2634" t="s">
        <v>6</v>
      </c>
      <c r="G2634" t="str">
        <f t="shared" si="246"/>
        <v/>
      </c>
      <c r="H2634" s="1" t="str">
        <f t="shared" si="247"/>
        <v>Thursday</v>
      </c>
      <c r="I2634" t="str">
        <f t="shared" si="248"/>
        <v>No</v>
      </c>
      <c r="J2634">
        <f t="shared" si="249"/>
        <v>0</v>
      </c>
      <c r="K2634">
        <f t="shared" si="250"/>
        <v>0</v>
      </c>
      <c r="L2634" t="str">
        <f t="shared" si="251"/>
        <v/>
      </c>
    </row>
    <row r="2635" spans="1:12" x14ac:dyDescent="0.3">
      <c r="A2635">
        <v>218715020</v>
      </c>
      <c r="B2635" s="1">
        <v>45127</v>
      </c>
      <c r="C2635" s="1">
        <v>45174</v>
      </c>
      <c r="D2635" t="s">
        <v>7</v>
      </c>
      <c r="E2635">
        <v>39</v>
      </c>
      <c r="F2635" t="s">
        <v>6</v>
      </c>
      <c r="G2635">
        <f t="shared" si="246"/>
        <v>47</v>
      </c>
      <c r="H2635" s="1" t="str">
        <f t="shared" si="247"/>
        <v>Thursday</v>
      </c>
      <c r="I2635" t="str">
        <f t="shared" si="248"/>
        <v>No</v>
      </c>
      <c r="J2635">
        <f t="shared" si="249"/>
        <v>0</v>
      </c>
      <c r="K2635">
        <f t="shared" si="250"/>
        <v>1</v>
      </c>
      <c r="L2635">
        <f t="shared" si="251"/>
        <v>47</v>
      </c>
    </row>
    <row r="2636" spans="1:12" ht="14.4" customHeight="1" x14ac:dyDescent="0.3">
      <c r="A2636">
        <v>218701308</v>
      </c>
      <c r="B2636" s="1">
        <v>45127</v>
      </c>
      <c r="C2636" s="1">
        <v>45128</v>
      </c>
      <c r="D2636" t="s">
        <v>7</v>
      </c>
      <c r="E2636">
        <v>39</v>
      </c>
      <c r="F2636" t="s">
        <v>6</v>
      </c>
      <c r="G2636">
        <f t="shared" si="246"/>
        <v>1</v>
      </c>
      <c r="H2636" s="1" t="str">
        <f t="shared" si="247"/>
        <v>Thursday</v>
      </c>
      <c r="I2636" t="str">
        <f t="shared" si="248"/>
        <v>No</v>
      </c>
      <c r="J2636">
        <f t="shared" si="249"/>
        <v>1</v>
      </c>
      <c r="K2636">
        <f t="shared" si="250"/>
        <v>0</v>
      </c>
      <c r="L2636">
        <f t="shared" si="251"/>
        <v>1</v>
      </c>
    </row>
    <row r="2637" spans="1:12" ht="14.4" customHeight="1" x14ac:dyDescent="0.3">
      <c r="A2637">
        <v>218979443</v>
      </c>
      <c r="B2637" s="1">
        <v>45127</v>
      </c>
      <c r="C2637" s="1">
        <v>45153</v>
      </c>
      <c r="D2637" t="s">
        <v>7</v>
      </c>
      <c r="E2637">
        <v>39</v>
      </c>
      <c r="F2637" t="s">
        <v>6</v>
      </c>
      <c r="G2637">
        <f t="shared" si="246"/>
        <v>26</v>
      </c>
      <c r="H2637" s="1" t="str">
        <f t="shared" si="247"/>
        <v>Thursday</v>
      </c>
      <c r="I2637" t="str">
        <f t="shared" si="248"/>
        <v>No</v>
      </c>
      <c r="J2637">
        <f t="shared" si="249"/>
        <v>0</v>
      </c>
      <c r="K2637">
        <f t="shared" si="250"/>
        <v>0</v>
      </c>
      <c r="L2637">
        <f t="shared" si="251"/>
        <v>26</v>
      </c>
    </row>
    <row r="2638" spans="1:12" x14ac:dyDescent="0.3">
      <c r="A2638">
        <v>218543315</v>
      </c>
      <c r="B2638" s="1">
        <v>45127</v>
      </c>
      <c r="C2638" s="1">
        <v>45173</v>
      </c>
      <c r="D2638" t="s">
        <v>7</v>
      </c>
      <c r="E2638">
        <v>39</v>
      </c>
      <c r="F2638" t="s">
        <v>6</v>
      </c>
      <c r="G2638">
        <f t="shared" si="246"/>
        <v>46</v>
      </c>
      <c r="H2638" s="1" t="str">
        <f t="shared" si="247"/>
        <v>Thursday</v>
      </c>
      <c r="I2638" t="str">
        <f t="shared" si="248"/>
        <v>No</v>
      </c>
      <c r="J2638">
        <f t="shared" si="249"/>
        <v>0</v>
      </c>
      <c r="K2638">
        <f t="shared" si="250"/>
        <v>1</v>
      </c>
      <c r="L2638">
        <f t="shared" si="251"/>
        <v>46</v>
      </c>
    </row>
    <row r="2639" spans="1:12" ht="14.4" customHeight="1" x14ac:dyDescent="0.3">
      <c r="A2639">
        <v>218281726</v>
      </c>
      <c r="B2639" s="1">
        <v>45128</v>
      </c>
      <c r="D2639" t="s">
        <v>7</v>
      </c>
      <c r="E2639">
        <v>39</v>
      </c>
      <c r="F2639" t="s">
        <v>6</v>
      </c>
      <c r="G2639" t="str">
        <f t="shared" si="246"/>
        <v/>
      </c>
      <c r="H2639" s="1" t="str">
        <f t="shared" si="247"/>
        <v>Friday</v>
      </c>
      <c r="I2639" t="str">
        <f t="shared" si="248"/>
        <v>No</v>
      </c>
      <c r="J2639">
        <f t="shared" si="249"/>
        <v>0</v>
      </c>
      <c r="K2639">
        <f t="shared" si="250"/>
        <v>0</v>
      </c>
      <c r="L2639" t="str">
        <f t="shared" si="251"/>
        <v/>
      </c>
    </row>
    <row r="2640" spans="1:12" ht="14.4" customHeight="1" x14ac:dyDescent="0.3">
      <c r="A2640">
        <v>144972422</v>
      </c>
      <c r="B2640" s="1">
        <v>45128</v>
      </c>
      <c r="D2640" t="s">
        <v>7</v>
      </c>
      <c r="E2640">
        <v>39</v>
      </c>
      <c r="F2640" t="s">
        <v>6</v>
      </c>
      <c r="G2640" t="str">
        <f t="shared" si="246"/>
        <v/>
      </c>
      <c r="H2640" s="1" t="str">
        <f t="shared" si="247"/>
        <v>Friday</v>
      </c>
      <c r="I2640" t="str">
        <f t="shared" si="248"/>
        <v>No</v>
      </c>
      <c r="J2640">
        <f t="shared" si="249"/>
        <v>0</v>
      </c>
      <c r="K2640">
        <f t="shared" si="250"/>
        <v>0</v>
      </c>
      <c r="L2640" t="str">
        <f t="shared" si="251"/>
        <v/>
      </c>
    </row>
    <row r="2641" spans="1:12" ht="14.4" customHeight="1" x14ac:dyDescent="0.3">
      <c r="A2641">
        <v>219017513</v>
      </c>
      <c r="B2641" s="1">
        <v>45128</v>
      </c>
      <c r="D2641" t="s">
        <v>7</v>
      </c>
      <c r="E2641">
        <v>39</v>
      </c>
      <c r="F2641" t="s">
        <v>6</v>
      </c>
      <c r="G2641" t="str">
        <f t="shared" si="246"/>
        <v/>
      </c>
      <c r="H2641" s="1" t="str">
        <f t="shared" si="247"/>
        <v>Friday</v>
      </c>
      <c r="I2641" t="str">
        <f t="shared" si="248"/>
        <v>No</v>
      </c>
      <c r="J2641">
        <f t="shared" si="249"/>
        <v>0</v>
      </c>
      <c r="K2641">
        <f t="shared" si="250"/>
        <v>0</v>
      </c>
      <c r="L2641" t="str">
        <f t="shared" si="251"/>
        <v/>
      </c>
    </row>
    <row r="2642" spans="1:12" ht="14.4" customHeight="1" x14ac:dyDescent="0.3">
      <c r="A2642">
        <v>218096762</v>
      </c>
      <c r="B2642" s="1">
        <v>45128</v>
      </c>
      <c r="D2642" t="s">
        <v>7</v>
      </c>
      <c r="E2642">
        <v>39</v>
      </c>
      <c r="F2642" t="s">
        <v>6</v>
      </c>
      <c r="G2642" t="str">
        <f t="shared" si="246"/>
        <v/>
      </c>
      <c r="H2642" s="1" t="str">
        <f t="shared" si="247"/>
        <v>Friday</v>
      </c>
      <c r="I2642" t="str">
        <f t="shared" si="248"/>
        <v>No</v>
      </c>
      <c r="J2642">
        <f t="shared" si="249"/>
        <v>0</v>
      </c>
      <c r="K2642">
        <f t="shared" si="250"/>
        <v>0</v>
      </c>
      <c r="L2642" t="str">
        <f t="shared" si="251"/>
        <v/>
      </c>
    </row>
    <row r="2643" spans="1:12" ht="14.4" customHeight="1" x14ac:dyDescent="0.3">
      <c r="A2643">
        <v>134289850</v>
      </c>
      <c r="B2643" s="1">
        <v>45128</v>
      </c>
      <c r="D2643" t="s">
        <v>7</v>
      </c>
      <c r="E2643">
        <v>39</v>
      </c>
      <c r="F2643" t="s">
        <v>6</v>
      </c>
      <c r="G2643" t="str">
        <f t="shared" si="246"/>
        <v/>
      </c>
      <c r="H2643" s="1" t="str">
        <f t="shared" si="247"/>
        <v>Friday</v>
      </c>
      <c r="I2643" t="str">
        <f t="shared" si="248"/>
        <v>No</v>
      </c>
      <c r="J2643">
        <f t="shared" si="249"/>
        <v>0</v>
      </c>
      <c r="K2643">
        <f t="shared" si="250"/>
        <v>0</v>
      </c>
      <c r="L2643" t="str">
        <f t="shared" si="251"/>
        <v/>
      </c>
    </row>
    <row r="2644" spans="1:12" ht="14.4" customHeight="1" x14ac:dyDescent="0.3">
      <c r="A2644">
        <v>205210815</v>
      </c>
      <c r="B2644" s="1">
        <v>45128</v>
      </c>
      <c r="C2644" s="1">
        <v>45129</v>
      </c>
      <c r="D2644" t="s">
        <v>7</v>
      </c>
      <c r="E2644">
        <v>39</v>
      </c>
      <c r="F2644" t="s">
        <v>6</v>
      </c>
      <c r="G2644">
        <f t="shared" si="246"/>
        <v>1</v>
      </c>
      <c r="H2644" s="1" t="str">
        <f t="shared" si="247"/>
        <v>Friday</v>
      </c>
      <c r="I2644" t="str">
        <f t="shared" si="248"/>
        <v>No</v>
      </c>
      <c r="J2644">
        <f t="shared" si="249"/>
        <v>1</v>
      </c>
      <c r="K2644">
        <f t="shared" si="250"/>
        <v>0</v>
      </c>
      <c r="L2644">
        <f t="shared" si="251"/>
        <v>1</v>
      </c>
    </row>
    <row r="2645" spans="1:12" x14ac:dyDescent="0.3">
      <c r="A2645">
        <v>218684970</v>
      </c>
      <c r="B2645" s="1">
        <v>45128</v>
      </c>
      <c r="C2645" s="1">
        <v>45166</v>
      </c>
      <c r="D2645" t="s">
        <v>7</v>
      </c>
      <c r="E2645">
        <v>39</v>
      </c>
      <c r="F2645" t="s">
        <v>6</v>
      </c>
      <c r="G2645">
        <f t="shared" si="246"/>
        <v>38</v>
      </c>
      <c r="H2645" s="1" t="str">
        <f t="shared" si="247"/>
        <v>Friday</v>
      </c>
      <c r="I2645" t="str">
        <f t="shared" si="248"/>
        <v>No</v>
      </c>
      <c r="J2645">
        <f t="shared" si="249"/>
        <v>0</v>
      </c>
      <c r="K2645">
        <f t="shared" si="250"/>
        <v>1</v>
      </c>
      <c r="L2645">
        <f t="shared" si="251"/>
        <v>38</v>
      </c>
    </row>
    <row r="2646" spans="1:12" ht="14.4" customHeight="1" x14ac:dyDescent="0.3">
      <c r="A2646">
        <v>219045318</v>
      </c>
      <c r="B2646" s="1">
        <v>45129</v>
      </c>
      <c r="D2646" t="s">
        <v>7</v>
      </c>
      <c r="E2646">
        <v>39</v>
      </c>
      <c r="F2646" t="s">
        <v>6</v>
      </c>
      <c r="G2646" t="str">
        <f t="shared" si="246"/>
        <v/>
      </c>
      <c r="H2646" s="1" t="str">
        <f t="shared" si="247"/>
        <v>Saturday</v>
      </c>
      <c r="I2646" t="str">
        <f t="shared" si="248"/>
        <v>No</v>
      </c>
      <c r="J2646">
        <f t="shared" si="249"/>
        <v>0</v>
      </c>
      <c r="K2646">
        <f t="shared" si="250"/>
        <v>0</v>
      </c>
      <c r="L2646" t="str">
        <f t="shared" si="251"/>
        <v/>
      </c>
    </row>
    <row r="2647" spans="1:12" ht="14.4" customHeight="1" x14ac:dyDescent="0.3">
      <c r="A2647">
        <v>218428977</v>
      </c>
      <c r="B2647" s="1">
        <v>45129</v>
      </c>
      <c r="D2647" t="s">
        <v>7</v>
      </c>
      <c r="E2647">
        <v>39</v>
      </c>
      <c r="F2647" t="s">
        <v>6</v>
      </c>
      <c r="G2647" t="str">
        <f t="shared" si="246"/>
        <v/>
      </c>
      <c r="H2647" s="1" t="str">
        <f t="shared" si="247"/>
        <v>Saturday</v>
      </c>
      <c r="I2647" t="str">
        <f t="shared" si="248"/>
        <v>No</v>
      </c>
      <c r="J2647">
        <f t="shared" si="249"/>
        <v>0</v>
      </c>
      <c r="K2647">
        <f t="shared" si="250"/>
        <v>0</v>
      </c>
      <c r="L2647" t="str">
        <f t="shared" si="251"/>
        <v/>
      </c>
    </row>
    <row r="2648" spans="1:12" ht="14.4" customHeight="1" x14ac:dyDescent="0.3">
      <c r="A2648">
        <v>156587706</v>
      </c>
      <c r="B2648" s="1">
        <v>45129</v>
      </c>
      <c r="C2648" s="1">
        <v>45130</v>
      </c>
      <c r="D2648" t="s">
        <v>8</v>
      </c>
      <c r="E2648">
        <v>39</v>
      </c>
      <c r="F2648" t="s">
        <v>6</v>
      </c>
      <c r="G2648">
        <f t="shared" si="246"/>
        <v>1</v>
      </c>
      <c r="H2648" s="1" t="str">
        <f t="shared" si="247"/>
        <v>Saturday</v>
      </c>
      <c r="I2648" t="str">
        <f t="shared" si="248"/>
        <v>No</v>
      </c>
      <c r="J2648">
        <f t="shared" si="249"/>
        <v>1</v>
      </c>
      <c r="K2648">
        <f t="shared" si="250"/>
        <v>0</v>
      </c>
      <c r="L2648">
        <f t="shared" si="251"/>
        <v>1</v>
      </c>
    </row>
    <row r="2649" spans="1:12" ht="14.4" customHeight="1" x14ac:dyDescent="0.3">
      <c r="A2649">
        <v>219034826</v>
      </c>
      <c r="B2649" s="1">
        <v>45129</v>
      </c>
      <c r="C2649" s="1">
        <v>45130</v>
      </c>
      <c r="D2649" t="s">
        <v>8</v>
      </c>
      <c r="E2649">
        <v>39</v>
      </c>
      <c r="F2649" t="s">
        <v>6</v>
      </c>
      <c r="G2649">
        <f t="shared" si="246"/>
        <v>1</v>
      </c>
      <c r="H2649" s="1" t="str">
        <f t="shared" si="247"/>
        <v>Saturday</v>
      </c>
      <c r="I2649" t="str">
        <f t="shared" si="248"/>
        <v>No</v>
      </c>
      <c r="J2649">
        <f t="shared" si="249"/>
        <v>1</v>
      </c>
      <c r="K2649">
        <f t="shared" si="250"/>
        <v>0</v>
      </c>
      <c r="L2649">
        <f t="shared" si="251"/>
        <v>1</v>
      </c>
    </row>
    <row r="2650" spans="1:12" ht="14.4" customHeight="1" x14ac:dyDescent="0.3">
      <c r="A2650">
        <v>204380751</v>
      </c>
      <c r="B2650" s="1">
        <v>45129</v>
      </c>
      <c r="C2650" s="1">
        <v>45159</v>
      </c>
      <c r="D2650" t="s">
        <v>7</v>
      </c>
      <c r="E2650">
        <v>39</v>
      </c>
      <c r="F2650" t="s">
        <v>6</v>
      </c>
      <c r="G2650">
        <f t="shared" si="246"/>
        <v>30</v>
      </c>
      <c r="H2650" s="1" t="str">
        <f t="shared" si="247"/>
        <v>Saturday</v>
      </c>
      <c r="I2650" t="str">
        <f t="shared" si="248"/>
        <v>No</v>
      </c>
      <c r="J2650">
        <f t="shared" si="249"/>
        <v>0</v>
      </c>
      <c r="K2650">
        <f t="shared" si="250"/>
        <v>0</v>
      </c>
      <c r="L2650">
        <f t="shared" si="251"/>
        <v>30</v>
      </c>
    </row>
    <row r="2651" spans="1:12" x14ac:dyDescent="0.3">
      <c r="A2651">
        <v>215315438</v>
      </c>
      <c r="B2651" s="1">
        <v>45129</v>
      </c>
      <c r="C2651" s="1">
        <v>45160</v>
      </c>
      <c r="D2651" t="s">
        <v>7</v>
      </c>
      <c r="E2651">
        <v>39</v>
      </c>
      <c r="F2651" t="s">
        <v>6</v>
      </c>
      <c r="G2651">
        <f t="shared" si="246"/>
        <v>31</v>
      </c>
      <c r="H2651" s="1" t="str">
        <f t="shared" si="247"/>
        <v>Saturday</v>
      </c>
      <c r="I2651" t="str">
        <f t="shared" si="248"/>
        <v>No</v>
      </c>
      <c r="J2651">
        <f t="shared" si="249"/>
        <v>0</v>
      </c>
      <c r="K2651">
        <f t="shared" si="250"/>
        <v>1</v>
      </c>
      <c r="L2651">
        <f t="shared" si="251"/>
        <v>31</v>
      </c>
    </row>
    <row r="2652" spans="1:12" x14ac:dyDescent="0.3">
      <c r="A2652">
        <v>213774184</v>
      </c>
      <c r="B2652" s="1">
        <v>45129</v>
      </c>
      <c r="C2652" s="1">
        <v>45167</v>
      </c>
      <c r="D2652" t="s">
        <v>7</v>
      </c>
      <c r="E2652">
        <v>39</v>
      </c>
      <c r="F2652" t="s">
        <v>6</v>
      </c>
      <c r="G2652">
        <f t="shared" si="246"/>
        <v>38</v>
      </c>
      <c r="H2652" s="1" t="str">
        <f t="shared" si="247"/>
        <v>Saturday</v>
      </c>
      <c r="I2652" t="str">
        <f t="shared" si="248"/>
        <v>No</v>
      </c>
      <c r="J2652">
        <f t="shared" si="249"/>
        <v>0</v>
      </c>
      <c r="K2652">
        <f t="shared" si="250"/>
        <v>1</v>
      </c>
      <c r="L2652">
        <f t="shared" si="251"/>
        <v>38</v>
      </c>
    </row>
    <row r="2653" spans="1:12" ht="14.4" customHeight="1" x14ac:dyDescent="0.3">
      <c r="A2653">
        <v>206121650</v>
      </c>
      <c r="B2653" s="1">
        <v>45130</v>
      </c>
      <c r="D2653" t="s">
        <v>7</v>
      </c>
      <c r="E2653">
        <v>39</v>
      </c>
      <c r="F2653" t="s">
        <v>6</v>
      </c>
      <c r="G2653" t="str">
        <f t="shared" si="246"/>
        <v/>
      </c>
      <c r="H2653" s="1" t="str">
        <f t="shared" si="247"/>
        <v>Sunday</v>
      </c>
      <c r="I2653" t="str">
        <f t="shared" si="248"/>
        <v>No</v>
      </c>
      <c r="J2653">
        <f t="shared" si="249"/>
        <v>0</v>
      </c>
      <c r="K2653">
        <f t="shared" si="250"/>
        <v>0</v>
      </c>
      <c r="L2653" t="str">
        <f t="shared" si="251"/>
        <v/>
      </c>
    </row>
    <row r="2654" spans="1:12" ht="14.4" customHeight="1" x14ac:dyDescent="0.3">
      <c r="A2654">
        <v>219059958</v>
      </c>
      <c r="B2654" s="1">
        <v>45130</v>
      </c>
      <c r="D2654" t="s">
        <v>7</v>
      </c>
      <c r="E2654">
        <v>39</v>
      </c>
      <c r="F2654" t="s">
        <v>6</v>
      </c>
      <c r="G2654" t="str">
        <f t="shared" si="246"/>
        <v/>
      </c>
      <c r="H2654" s="1" t="str">
        <f t="shared" si="247"/>
        <v>Sunday</v>
      </c>
      <c r="I2654" t="str">
        <f t="shared" si="248"/>
        <v>No</v>
      </c>
      <c r="J2654">
        <f t="shared" si="249"/>
        <v>0</v>
      </c>
      <c r="K2654">
        <f t="shared" si="250"/>
        <v>0</v>
      </c>
      <c r="L2654" t="str">
        <f t="shared" si="251"/>
        <v/>
      </c>
    </row>
    <row r="2655" spans="1:12" ht="14.4" customHeight="1" x14ac:dyDescent="0.3">
      <c r="A2655">
        <v>204639997</v>
      </c>
      <c r="B2655" s="1">
        <v>45130</v>
      </c>
      <c r="C2655" s="1">
        <v>45130</v>
      </c>
      <c r="D2655" t="s">
        <v>7</v>
      </c>
      <c r="E2655">
        <v>39</v>
      </c>
      <c r="F2655" t="s">
        <v>6</v>
      </c>
      <c r="G2655">
        <f t="shared" si="246"/>
        <v>0</v>
      </c>
      <c r="H2655" s="1" t="str">
        <f t="shared" si="247"/>
        <v>Sunday</v>
      </c>
      <c r="I2655" t="str">
        <f t="shared" si="248"/>
        <v>Yes</v>
      </c>
      <c r="J2655">
        <f t="shared" si="249"/>
        <v>1</v>
      </c>
      <c r="K2655">
        <f t="shared" si="250"/>
        <v>0</v>
      </c>
      <c r="L2655">
        <f t="shared" si="251"/>
        <v>0</v>
      </c>
    </row>
    <row r="2656" spans="1:12" ht="14.4" customHeight="1" x14ac:dyDescent="0.3">
      <c r="A2656">
        <v>201817514</v>
      </c>
      <c r="B2656" s="1">
        <v>45130</v>
      </c>
      <c r="C2656" s="1">
        <v>45160</v>
      </c>
      <c r="D2656" t="s">
        <v>7</v>
      </c>
      <c r="E2656">
        <v>39</v>
      </c>
      <c r="F2656" t="s">
        <v>6</v>
      </c>
      <c r="G2656">
        <f t="shared" si="246"/>
        <v>30</v>
      </c>
      <c r="H2656" s="1" t="str">
        <f t="shared" si="247"/>
        <v>Sunday</v>
      </c>
      <c r="I2656" t="str">
        <f t="shared" si="248"/>
        <v>No</v>
      </c>
      <c r="J2656">
        <f t="shared" si="249"/>
        <v>0</v>
      </c>
      <c r="K2656">
        <f t="shared" si="250"/>
        <v>0</v>
      </c>
      <c r="L2656">
        <f t="shared" si="251"/>
        <v>30</v>
      </c>
    </row>
    <row r="2657" spans="1:12" x14ac:dyDescent="0.3">
      <c r="A2657">
        <v>219065931</v>
      </c>
      <c r="B2657" s="1">
        <v>45130</v>
      </c>
      <c r="C2657" s="1">
        <v>45168</v>
      </c>
      <c r="D2657" t="s">
        <v>7</v>
      </c>
      <c r="E2657">
        <v>39</v>
      </c>
      <c r="F2657" t="s">
        <v>6</v>
      </c>
      <c r="G2657">
        <f t="shared" si="246"/>
        <v>38</v>
      </c>
      <c r="H2657" s="1" t="str">
        <f t="shared" si="247"/>
        <v>Sunday</v>
      </c>
      <c r="I2657" t="str">
        <f t="shared" si="248"/>
        <v>No</v>
      </c>
      <c r="J2657">
        <f t="shared" si="249"/>
        <v>0</v>
      </c>
      <c r="K2657">
        <f t="shared" si="250"/>
        <v>1</v>
      </c>
      <c r="L2657">
        <f t="shared" si="251"/>
        <v>38</v>
      </c>
    </row>
    <row r="2658" spans="1:12" ht="14.4" customHeight="1" x14ac:dyDescent="0.3">
      <c r="A2658">
        <v>143627373</v>
      </c>
      <c r="B2658" s="1">
        <v>45131</v>
      </c>
      <c r="D2658" t="s">
        <v>7</v>
      </c>
      <c r="E2658">
        <v>39</v>
      </c>
      <c r="F2658" t="s">
        <v>6</v>
      </c>
      <c r="G2658" t="str">
        <f t="shared" si="246"/>
        <v/>
      </c>
      <c r="H2658" s="1" t="str">
        <f t="shared" si="247"/>
        <v>Monday</v>
      </c>
      <c r="I2658" t="str">
        <f t="shared" si="248"/>
        <v>No</v>
      </c>
      <c r="J2658">
        <f t="shared" si="249"/>
        <v>0</v>
      </c>
      <c r="K2658">
        <f t="shared" si="250"/>
        <v>0</v>
      </c>
      <c r="L2658" t="str">
        <f t="shared" si="251"/>
        <v/>
      </c>
    </row>
    <row r="2659" spans="1:12" ht="14.4" customHeight="1" x14ac:dyDescent="0.3">
      <c r="A2659">
        <v>218675428</v>
      </c>
      <c r="B2659" s="1">
        <v>45131</v>
      </c>
      <c r="D2659" t="s">
        <v>7</v>
      </c>
      <c r="E2659">
        <v>39</v>
      </c>
      <c r="F2659" t="s">
        <v>6</v>
      </c>
      <c r="G2659" t="str">
        <f t="shared" si="246"/>
        <v/>
      </c>
      <c r="H2659" s="1" t="str">
        <f t="shared" si="247"/>
        <v>Monday</v>
      </c>
      <c r="I2659" t="str">
        <f t="shared" si="248"/>
        <v>No</v>
      </c>
      <c r="J2659">
        <f t="shared" si="249"/>
        <v>0</v>
      </c>
      <c r="K2659">
        <f t="shared" si="250"/>
        <v>0</v>
      </c>
      <c r="L2659" t="str">
        <f t="shared" si="251"/>
        <v/>
      </c>
    </row>
    <row r="2660" spans="1:12" ht="14.4" customHeight="1" x14ac:dyDescent="0.3">
      <c r="A2660">
        <v>219057820</v>
      </c>
      <c r="B2660" s="1">
        <v>45131</v>
      </c>
      <c r="D2660" t="s">
        <v>7</v>
      </c>
      <c r="E2660">
        <v>39</v>
      </c>
      <c r="F2660" t="s">
        <v>6</v>
      </c>
      <c r="G2660" t="str">
        <f t="shared" si="246"/>
        <v/>
      </c>
      <c r="H2660" s="1" t="str">
        <f t="shared" si="247"/>
        <v>Monday</v>
      </c>
      <c r="I2660" t="str">
        <f t="shared" si="248"/>
        <v>No</v>
      </c>
      <c r="J2660">
        <f t="shared" si="249"/>
        <v>0</v>
      </c>
      <c r="K2660">
        <f t="shared" si="250"/>
        <v>0</v>
      </c>
      <c r="L2660" t="str">
        <f t="shared" si="251"/>
        <v/>
      </c>
    </row>
    <row r="2661" spans="1:12" ht="14.4" customHeight="1" x14ac:dyDescent="0.3">
      <c r="A2661">
        <v>219115854</v>
      </c>
      <c r="B2661" s="1">
        <v>45131</v>
      </c>
      <c r="D2661" t="s">
        <v>7</v>
      </c>
      <c r="E2661">
        <v>39</v>
      </c>
      <c r="F2661" t="s">
        <v>6</v>
      </c>
      <c r="G2661" t="str">
        <f t="shared" si="246"/>
        <v/>
      </c>
      <c r="H2661" s="1" t="str">
        <f t="shared" si="247"/>
        <v>Monday</v>
      </c>
      <c r="I2661" t="str">
        <f t="shared" si="248"/>
        <v>No</v>
      </c>
      <c r="J2661">
        <f t="shared" si="249"/>
        <v>0</v>
      </c>
      <c r="K2661">
        <f t="shared" si="250"/>
        <v>0</v>
      </c>
      <c r="L2661" t="str">
        <f t="shared" si="251"/>
        <v/>
      </c>
    </row>
    <row r="2662" spans="1:12" ht="14.4" customHeight="1" x14ac:dyDescent="0.3">
      <c r="A2662">
        <v>204826054</v>
      </c>
      <c r="B2662" s="1">
        <v>45131</v>
      </c>
      <c r="D2662" t="s">
        <v>7</v>
      </c>
      <c r="E2662">
        <v>39</v>
      </c>
      <c r="F2662" t="s">
        <v>6</v>
      </c>
      <c r="G2662" t="str">
        <f t="shared" si="246"/>
        <v/>
      </c>
      <c r="H2662" s="1" t="str">
        <f t="shared" si="247"/>
        <v>Monday</v>
      </c>
      <c r="I2662" t="str">
        <f t="shared" si="248"/>
        <v>No</v>
      </c>
      <c r="J2662">
        <f t="shared" si="249"/>
        <v>0</v>
      </c>
      <c r="K2662">
        <f t="shared" si="250"/>
        <v>0</v>
      </c>
      <c r="L2662" t="str">
        <f t="shared" si="251"/>
        <v/>
      </c>
    </row>
    <row r="2663" spans="1:12" ht="14.4" customHeight="1" x14ac:dyDescent="0.3">
      <c r="A2663">
        <v>219072554</v>
      </c>
      <c r="B2663" s="1">
        <v>45131</v>
      </c>
      <c r="D2663" t="s">
        <v>7</v>
      </c>
      <c r="E2663">
        <v>39</v>
      </c>
      <c r="F2663" t="s">
        <v>6</v>
      </c>
      <c r="G2663" t="str">
        <f t="shared" si="246"/>
        <v/>
      </c>
      <c r="H2663" s="1" t="str">
        <f t="shared" si="247"/>
        <v>Monday</v>
      </c>
      <c r="I2663" t="str">
        <f t="shared" si="248"/>
        <v>No</v>
      </c>
      <c r="J2663">
        <f t="shared" si="249"/>
        <v>0</v>
      </c>
      <c r="K2663">
        <f t="shared" si="250"/>
        <v>0</v>
      </c>
      <c r="L2663" t="str">
        <f t="shared" si="251"/>
        <v/>
      </c>
    </row>
    <row r="2664" spans="1:12" ht="14.4" customHeight="1" x14ac:dyDescent="0.3">
      <c r="A2664">
        <v>219088631</v>
      </c>
      <c r="B2664" s="1">
        <v>45131</v>
      </c>
      <c r="D2664" t="s">
        <v>7</v>
      </c>
      <c r="E2664">
        <v>39</v>
      </c>
      <c r="F2664" t="s">
        <v>6</v>
      </c>
      <c r="G2664" t="str">
        <f t="shared" si="246"/>
        <v/>
      </c>
      <c r="H2664" s="1" t="str">
        <f t="shared" si="247"/>
        <v>Monday</v>
      </c>
      <c r="I2664" t="str">
        <f t="shared" si="248"/>
        <v>No</v>
      </c>
      <c r="J2664">
        <f t="shared" si="249"/>
        <v>0</v>
      </c>
      <c r="K2664">
        <f t="shared" si="250"/>
        <v>0</v>
      </c>
      <c r="L2664" t="str">
        <f t="shared" si="251"/>
        <v/>
      </c>
    </row>
    <row r="2665" spans="1:12" x14ac:dyDescent="0.3">
      <c r="A2665">
        <v>218861750</v>
      </c>
      <c r="B2665" s="1">
        <v>45131</v>
      </c>
      <c r="C2665" s="1">
        <v>45169</v>
      </c>
      <c r="D2665" t="s">
        <v>7</v>
      </c>
      <c r="E2665">
        <v>39</v>
      </c>
      <c r="F2665" t="s">
        <v>6</v>
      </c>
      <c r="G2665">
        <f t="shared" si="246"/>
        <v>38</v>
      </c>
      <c r="H2665" s="1" t="str">
        <f t="shared" si="247"/>
        <v>Monday</v>
      </c>
      <c r="I2665" t="str">
        <f t="shared" si="248"/>
        <v>No</v>
      </c>
      <c r="J2665">
        <f t="shared" si="249"/>
        <v>0</v>
      </c>
      <c r="K2665">
        <f t="shared" si="250"/>
        <v>1</v>
      </c>
      <c r="L2665">
        <f t="shared" si="251"/>
        <v>38</v>
      </c>
    </row>
    <row r="2666" spans="1:12" ht="14.4" customHeight="1" x14ac:dyDescent="0.3">
      <c r="A2666">
        <v>217513777</v>
      </c>
      <c r="B2666" s="1">
        <v>45131</v>
      </c>
      <c r="C2666" s="1">
        <v>45140</v>
      </c>
      <c r="D2666" t="s">
        <v>7</v>
      </c>
      <c r="E2666">
        <v>39</v>
      </c>
      <c r="F2666" t="s">
        <v>6</v>
      </c>
      <c r="G2666">
        <f t="shared" si="246"/>
        <v>9</v>
      </c>
      <c r="H2666" s="1" t="str">
        <f t="shared" si="247"/>
        <v>Monday</v>
      </c>
      <c r="I2666" t="str">
        <f t="shared" si="248"/>
        <v>No</v>
      </c>
      <c r="J2666">
        <f t="shared" si="249"/>
        <v>0</v>
      </c>
      <c r="K2666">
        <f t="shared" si="250"/>
        <v>0</v>
      </c>
      <c r="L2666">
        <f t="shared" si="251"/>
        <v>9</v>
      </c>
    </row>
    <row r="2667" spans="1:12" ht="14.4" customHeight="1" x14ac:dyDescent="0.3">
      <c r="A2667">
        <v>218805370</v>
      </c>
      <c r="B2667" s="1">
        <v>45131</v>
      </c>
      <c r="C2667" s="1">
        <v>45146</v>
      </c>
      <c r="D2667" t="s">
        <v>7</v>
      </c>
      <c r="E2667">
        <v>39</v>
      </c>
      <c r="F2667" t="s">
        <v>6</v>
      </c>
      <c r="G2667">
        <f t="shared" si="246"/>
        <v>15</v>
      </c>
      <c r="H2667" s="1" t="str">
        <f t="shared" si="247"/>
        <v>Monday</v>
      </c>
      <c r="I2667" t="str">
        <f t="shared" si="248"/>
        <v>No</v>
      </c>
      <c r="J2667">
        <f t="shared" si="249"/>
        <v>0</v>
      </c>
      <c r="K2667">
        <f t="shared" si="250"/>
        <v>0</v>
      </c>
      <c r="L2667">
        <f t="shared" si="251"/>
        <v>15</v>
      </c>
    </row>
    <row r="2668" spans="1:12" ht="14.4" customHeight="1" x14ac:dyDescent="0.3">
      <c r="A2668">
        <v>219128709</v>
      </c>
      <c r="B2668" s="1">
        <v>45132</v>
      </c>
      <c r="D2668" t="s">
        <v>7</v>
      </c>
      <c r="E2668">
        <v>39</v>
      </c>
      <c r="F2668" t="s">
        <v>6</v>
      </c>
      <c r="G2668" t="str">
        <f t="shared" si="246"/>
        <v/>
      </c>
      <c r="H2668" s="1" t="str">
        <f t="shared" si="247"/>
        <v>Tuesday</v>
      </c>
      <c r="I2668" t="str">
        <f t="shared" si="248"/>
        <v>No</v>
      </c>
      <c r="J2668">
        <f t="shared" si="249"/>
        <v>0</v>
      </c>
      <c r="K2668">
        <f t="shared" si="250"/>
        <v>0</v>
      </c>
      <c r="L2668" t="str">
        <f t="shared" si="251"/>
        <v/>
      </c>
    </row>
    <row r="2669" spans="1:12" ht="14.4" customHeight="1" x14ac:dyDescent="0.3">
      <c r="A2669">
        <v>217998036</v>
      </c>
      <c r="B2669" s="1">
        <v>45132</v>
      </c>
      <c r="D2669" t="s">
        <v>7</v>
      </c>
      <c r="E2669">
        <v>39</v>
      </c>
      <c r="F2669" t="s">
        <v>6</v>
      </c>
      <c r="G2669" t="str">
        <f t="shared" si="246"/>
        <v/>
      </c>
      <c r="H2669" s="1" t="str">
        <f t="shared" si="247"/>
        <v>Tuesday</v>
      </c>
      <c r="I2669" t="str">
        <f t="shared" si="248"/>
        <v>No</v>
      </c>
      <c r="J2669">
        <f t="shared" si="249"/>
        <v>0</v>
      </c>
      <c r="K2669">
        <f t="shared" si="250"/>
        <v>0</v>
      </c>
      <c r="L2669" t="str">
        <f t="shared" si="251"/>
        <v/>
      </c>
    </row>
    <row r="2670" spans="1:12" ht="14.4" customHeight="1" x14ac:dyDescent="0.3">
      <c r="A2670">
        <v>219100886</v>
      </c>
      <c r="B2670" s="1">
        <v>45132</v>
      </c>
      <c r="D2670" t="s">
        <v>7</v>
      </c>
      <c r="E2670">
        <v>39</v>
      </c>
      <c r="F2670" t="s">
        <v>6</v>
      </c>
      <c r="G2670" t="str">
        <f t="shared" si="246"/>
        <v/>
      </c>
      <c r="H2670" s="1" t="str">
        <f t="shared" si="247"/>
        <v>Tuesday</v>
      </c>
      <c r="I2670" t="str">
        <f t="shared" si="248"/>
        <v>No</v>
      </c>
      <c r="J2670">
        <f t="shared" si="249"/>
        <v>0</v>
      </c>
      <c r="K2670">
        <f t="shared" si="250"/>
        <v>0</v>
      </c>
      <c r="L2670" t="str">
        <f t="shared" si="251"/>
        <v/>
      </c>
    </row>
    <row r="2671" spans="1:12" ht="14.4" customHeight="1" x14ac:dyDescent="0.3">
      <c r="A2671">
        <v>214586480</v>
      </c>
      <c r="B2671" s="1">
        <v>45132</v>
      </c>
      <c r="D2671" t="s">
        <v>7</v>
      </c>
      <c r="E2671">
        <v>39</v>
      </c>
      <c r="F2671" t="s">
        <v>6</v>
      </c>
      <c r="G2671" t="str">
        <f t="shared" si="246"/>
        <v/>
      </c>
      <c r="H2671" s="1" t="str">
        <f t="shared" si="247"/>
        <v>Tuesday</v>
      </c>
      <c r="I2671" t="str">
        <f t="shared" si="248"/>
        <v>No</v>
      </c>
      <c r="J2671">
        <f t="shared" si="249"/>
        <v>0</v>
      </c>
      <c r="K2671">
        <f t="shared" si="250"/>
        <v>0</v>
      </c>
      <c r="L2671" t="str">
        <f t="shared" si="251"/>
        <v/>
      </c>
    </row>
    <row r="2672" spans="1:12" ht="14.4" customHeight="1" x14ac:dyDescent="0.3">
      <c r="A2672">
        <v>219110064</v>
      </c>
      <c r="B2672" s="1">
        <v>45132</v>
      </c>
      <c r="D2672" t="s">
        <v>7</v>
      </c>
      <c r="E2672">
        <v>39</v>
      </c>
      <c r="F2672" t="s">
        <v>6</v>
      </c>
      <c r="G2672" t="str">
        <f t="shared" si="246"/>
        <v/>
      </c>
      <c r="H2672" s="1" t="str">
        <f t="shared" si="247"/>
        <v>Tuesday</v>
      </c>
      <c r="I2672" t="str">
        <f t="shared" si="248"/>
        <v>No</v>
      </c>
      <c r="J2672">
        <f t="shared" si="249"/>
        <v>0</v>
      </c>
      <c r="K2672">
        <f t="shared" si="250"/>
        <v>0</v>
      </c>
      <c r="L2672" t="str">
        <f t="shared" si="251"/>
        <v/>
      </c>
    </row>
    <row r="2673" spans="1:12" ht="14.4" customHeight="1" x14ac:dyDescent="0.3">
      <c r="A2673">
        <v>157374056</v>
      </c>
      <c r="B2673" s="1">
        <v>45132</v>
      </c>
      <c r="D2673" t="s">
        <v>7</v>
      </c>
      <c r="E2673">
        <v>39</v>
      </c>
      <c r="F2673" t="s">
        <v>6</v>
      </c>
      <c r="G2673" t="str">
        <f t="shared" si="246"/>
        <v/>
      </c>
      <c r="H2673" s="1" t="str">
        <f t="shared" si="247"/>
        <v>Tuesday</v>
      </c>
      <c r="I2673" t="str">
        <f t="shared" si="248"/>
        <v>No</v>
      </c>
      <c r="J2673">
        <f t="shared" si="249"/>
        <v>0</v>
      </c>
      <c r="K2673">
        <f t="shared" si="250"/>
        <v>0</v>
      </c>
      <c r="L2673" t="str">
        <f t="shared" si="251"/>
        <v/>
      </c>
    </row>
    <row r="2674" spans="1:12" ht="14.4" customHeight="1" x14ac:dyDescent="0.3">
      <c r="A2674">
        <v>219058076</v>
      </c>
      <c r="B2674" s="1">
        <v>45132</v>
      </c>
      <c r="D2674" t="s">
        <v>7</v>
      </c>
      <c r="E2674">
        <v>39</v>
      </c>
      <c r="F2674" t="s">
        <v>6</v>
      </c>
      <c r="G2674" t="str">
        <f t="shared" si="246"/>
        <v/>
      </c>
      <c r="H2674" s="1" t="str">
        <f t="shared" si="247"/>
        <v>Tuesday</v>
      </c>
      <c r="I2674" t="str">
        <f t="shared" si="248"/>
        <v>No</v>
      </c>
      <c r="J2674">
        <f t="shared" si="249"/>
        <v>0</v>
      </c>
      <c r="K2674">
        <f t="shared" si="250"/>
        <v>0</v>
      </c>
      <c r="L2674" t="str">
        <f t="shared" si="251"/>
        <v/>
      </c>
    </row>
    <row r="2675" spans="1:12" ht="14.4" customHeight="1" x14ac:dyDescent="0.3">
      <c r="A2675">
        <v>218011483</v>
      </c>
      <c r="B2675" s="1">
        <v>45132</v>
      </c>
      <c r="D2675" t="s">
        <v>7</v>
      </c>
      <c r="E2675">
        <v>39</v>
      </c>
      <c r="F2675" t="s">
        <v>6</v>
      </c>
      <c r="G2675" t="str">
        <f t="shared" si="246"/>
        <v/>
      </c>
      <c r="H2675" s="1" t="str">
        <f t="shared" si="247"/>
        <v>Tuesday</v>
      </c>
      <c r="I2675" t="str">
        <f t="shared" si="248"/>
        <v>No</v>
      </c>
      <c r="J2675">
        <f t="shared" si="249"/>
        <v>0</v>
      </c>
      <c r="K2675">
        <f t="shared" si="250"/>
        <v>0</v>
      </c>
      <c r="L2675" t="str">
        <f t="shared" si="251"/>
        <v/>
      </c>
    </row>
    <row r="2676" spans="1:12" ht="14.4" customHeight="1" x14ac:dyDescent="0.3">
      <c r="A2676">
        <v>216543186</v>
      </c>
      <c r="B2676" s="1">
        <v>45132</v>
      </c>
      <c r="D2676" t="s">
        <v>7</v>
      </c>
      <c r="E2676">
        <v>39</v>
      </c>
      <c r="F2676" t="s">
        <v>6</v>
      </c>
      <c r="G2676" t="str">
        <f t="shared" si="246"/>
        <v/>
      </c>
      <c r="H2676" s="1" t="str">
        <f t="shared" si="247"/>
        <v>Tuesday</v>
      </c>
      <c r="I2676" t="str">
        <f t="shared" si="248"/>
        <v>No</v>
      </c>
      <c r="J2676">
        <f t="shared" si="249"/>
        <v>0</v>
      </c>
      <c r="K2676">
        <f t="shared" si="250"/>
        <v>0</v>
      </c>
      <c r="L2676" t="str">
        <f t="shared" si="251"/>
        <v/>
      </c>
    </row>
    <row r="2677" spans="1:12" ht="14.4" customHeight="1" x14ac:dyDescent="0.3">
      <c r="A2677">
        <v>151239214</v>
      </c>
      <c r="B2677" s="1">
        <v>45132</v>
      </c>
      <c r="D2677" t="s">
        <v>7</v>
      </c>
      <c r="E2677">
        <v>39</v>
      </c>
      <c r="F2677" t="s">
        <v>6</v>
      </c>
      <c r="G2677" t="str">
        <f t="shared" si="246"/>
        <v/>
      </c>
      <c r="H2677" s="1" t="str">
        <f t="shared" si="247"/>
        <v>Tuesday</v>
      </c>
      <c r="I2677" t="str">
        <f t="shared" si="248"/>
        <v>No</v>
      </c>
      <c r="J2677">
        <f t="shared" si="249"/>
        <v>0</v>
      </c>
      <c r="K2677">
        <f t="shared" si="250"/>
        <v>0</v>
      </c>
      <c r="L2677" t="str">
        <f t="shared" si="251"/>
        <v/>
      </c>
    </row>
    <row r="2678" spans="1:12" ht="14.4" customHeight="1" x14ac:dyDescent="0.3">
      <c r="A2678">
        <v>152760748</v>
      </c>
      <c r="B2678" s="1">
        <v>45132</v>
      </c>
      <c r="C2678" s="1">
        <v>45158</v>
      </c>
      <c r="D2678" t="s">
        <v>7</v>
      </c>
      <c r="E2678">
        <v>39</v>
      </c>
      <c r="F2678" t="s">
        <v>6</v>
      </c>
      <c r="G2678">
        <f t="shared" si="246"/>
        <v>26</v>
      </c>
      <c r="H2678" s="1" t="str">
        <f t="shared" si="247"/>
        <v>Tuesday</v>
      </c>
      <c r="I2678" t="str">
        <f t="shared" si="248"/>
        <v>No</v>
      </c>
      <c r="J2678">
        <f t="shared" si="249"/>
        <v>0</v>
      </c>
      <c r="K2678">
        <f t="shared" si="250"/>
        <v>0</v>
      </c>
      <c r="L2678">
        <f t="shared" si="251"/>
        <v>26</v>
      </c>
    </row>
    <row r="2679" spans="1:12" x14ac:dyDescent="0.3">
      <c r="A2679">
        <v>182102820</v>
      </c>
      <c r="B2679" s="1">
        <v>45132</v>
      </c>
      <c r="C2679" s="1">
        <v>45170</v>
      </c>
      <c r="D2679" t="s">
        <v>7</v>
      </c>
      <c r="E2679">
        <v>39</v>
      </c>
      <c r="F2679" t="s">
        <v>6</v>
      </c>
      <c r="G2679">
        <f t="shared" si="246"/>
        <v>38</v>
      </c>
      <c r="H2679" s="1" t="str">
        <f t="shared" si="247"/>
        <v>Tuesday</v>
      </c>
      <c r="I2679" t="str">
        <f t="shared" si="248"/>
        <v>No</v>
      </c>
      <c r="J2679">
        <f t="shared" si="249"/>
        <v>0</v>
      </c>
      <c r="K2679">
        <f t="shared" si="250"/>
        <v>1</v>
      </c>
      <c r="L2679">
        <f t="shared" si="251"/>
        <v>38</v>
      </c>
    </row>
    <row r="2680" spans="1:12" ht="14.4" customHeight="1" x14ac:dyDescent="0.3">
      <c r="A2680">
        <v>215005163</v>
      </c>
      <c r="B2680" s="1">
        <v>45132</v>
      </c>
      <c r="C2680" s="1">
        <v>45155</v>
      </c>
      <c r="D2680" t="s">
        <v>7</v>
      </c>
      <c r="E2680">
        <v>39</v>
      </c>
      <c r="F2680" t="s">
        <v>6</v>
      </c>
      <c r="G2680">
        <f t="shared" si="246"/>
        <v>23</v>
      </c>
      <c r="H2680" s="1" t="str">
        <f t="shared" si="247"/>
        <v>Tuesday</v>
      </c>
      <c r="I2680" t="str">
        <f t="shared" si="248"/>
        <v>No</v>
      </c>
      <c r="J2680">
        <f t="shared" si="249"/>
        <v>0</v>
      </c>
      <c r="K2680">
        <f t="shared" si="250"/>
        <v>0</v>
      </c>
      <c r="L2680">
        <f t="shared" si="251"/>
        <v>23</v>
      </c>
    </row>
    <row r="2681" spans="1:12" ht="14.4" customHeight="1" x14ac:dyDescent="0.3">
      <c r="A2681">
        <v>219136846</v>
      </c>
      <c r="B2681" s="1">
        <v>45132</v>
      </c>
      <c r="C2681" s="1">
        <v>45140</v>
      </c>
      <c r="D2681" t="s">
        <v>7</v>
      </c>
      <c r="E2681">
        <v>39</v>
      </c>
      <c r="F2681" t="s">
        <v>6</v>
      </c>
      <c r="G2681">
        <f t="shared" si="246"/>
        <v>8</v>
      </c>
      <c r="H2681" s="1" t="str">
        <f t="shared" si="247"/>
        <v>Tuesday</v>
      </c>
      <c r="I2681" t="str">
        <f t="shared" si="248"/>
        <v>No</v>
      </c>
      <c r="J2681">
        <f t="shared" si="249"/>
        <v>0</v>
      </c>
      <c r="K2681">
        <f t="shared" si="250"/>
        <v>0</v>
      </c>
      <c r="L2681">
        <f t="shared" si="251"/>
        <v>8</v>
      </c>
    </row>
    <row r="2682" spans="1:12" ht="14.4" customHeight="1" x14ac:dyDescent="0.3">
      <c r="A2682">
        <v>218795222</v>
      </c>
      <c r="B2682" s="1">
        <v>45132</v>
      </c>
      <c r="C2682" s="1">
        <v>45161</v>
      </c>
      <c r="D2682" t="s">
        <v>7</v>
      </c>
      <c r="E2682">
        <v>39</v>
      </c>
      <c r="F2682" t="s">
        <v>6</v>
      </c>
      <c r="G2682">
        <f t="shared" si="246"/>
        <v>29</v>
      </c>
      <c r="H2682" s="1" t="str">
        <f t="shared" si="247"/>
        <v>Tuesday</v>
      </c>
      <c r="I2682" t="str">
        <f t="shared" si="248"/>
        <v>No</v>
      </c>
      <c r="J2682">
        <f t="shared" si="249"/>
        <v>0</v>
      </c>
      <c r="K2682">
        <f t="shared" si="250"/>
        <v>0</v>
      </c>
      <c r="L2682">
        <f t="shared" si="251"/>
        <v>29</v>
      </c>
    </row>
    <row r="2683" spans="1:12" ht="14.4" customHeight="1" x14ac:dyDescent="0.3">
      <c r="A2683">
        <v>208706876</v>
      </c>
      <c r="B2683" s="1">
        <v>45132</v>
      </c>
      <c r="C2683" s="1">
        <v>45159</v>
      </c>
      <c r="D2683" t="s">
        <v>7</v>
      </c>
      <c r="E2683">
        <v>39</v>
      </c>
      <c r="F2683" t="s">
        <v>6</v>
      </c>
      <c r="G2683">
        <f t="shared" si="246"/>
        <v>27</v>
      </c>
      <c r="H2683" s="1" t="str">
        <f t="shared" si="247"/>
        <v>Tuesday</v>
      </c>
      <c r="I2683" t="str">
        <f t="shared" si="248"/>
        <v>No</v>
      </c>
      <c r="J2683">
        <f t="shared" si="249"/>
        <v>0</v>
      </c>
      <c r="K2683">
        <f t="shared" si="250"/>
        <v>0</v>
      </c>
      <c r="L2683">
        <f t="shared" si="251"/>
        <v>27</v>
      </c>
    </row>
    <row r="2684" spans="1:12" x14ac:dyDescent="0.3">
      <c r="A2684">
        <v>218701308</v>
      </c>
      <c r="B2684" s="1">
        <v>45132</v>
      </c>
      <c r="C2684" s="1">
        <v>45170</v>
      </c>
      <c r="D2684" t="s">
        <v>7</v>
      </c>
      <c r="E2684">
        <v>39</v>
      </c>
      <c r="F2684" t="s">
        <v>6</v>
      </c>
      <c r="G2684">
        <f t="shared" si="246"/>
        <v>38</v>
      </c>
      <c r="H2684" s="1" t="str">
        <f t="shared" si="247"/>
        <v>Tuesday</v>
      </c>
      <c r="I2684" t="str">
        <f t="shared" si="248"/>
        <v>No</v>
      </c>
      <c r="J2684">
        <f t="shared" si="249"/>
        <v>0</v>
      </c>
      <c r="K2684">
        <f t="shared" si="250"/>
        <v>1</v>
      </c>
      <c r="L2684">
        <f t="shared" si="251"/>
        <v>38</v>
      </c>
    </row>
    <row r="2685" spans="1:12" x14ac:dyDescent="0.3">
      <c r="A2685">
        <v>219136623</v>
      </c>
      <c r="B2685" s="1">
        <v>45132</v>
      </c>
      <c r="C2685" s="1">
        <v>45170</v>
      </c>
      <c r="D2685" t="s">
        <v>7</v>
      </c>
      <c r="E2685">
        <v>39</v>
      </c>
      <c r="F2685" t="s">
        <v>6</v>
      </c>
      <c r="G2685">
        <f t="shared" si="246"/>
        <v>38</v>
      </c>
      <c r="H2685" s="1" t="str">
        <f t="shared" si="247"/>
        <v>Tuesday</v>
      </c>
      <c r="I2685" t="str">
        <f t="shared" si="248"/>
        <v>No</v>
      </c>
      <c r="J2685">
        <f t="shared" si="249"/>
        <v>0</v>
      </c>
      <c r="K2685">
        <f t="shared" si="250"/>
        <v>1</v>
      </c>
      <c r="L2685">
        <f t="shared" si="251"/>
        <v>38</v>
      </c>
    </row>
    <row r="2686" spans="1:12" ht="14.4" customHeight="1" x14ac:dyDescent="0.3">
      <c r="A2686">
        <v>219153922</v>
      </c>
      <c r="B2686" s="1">
        <v>45133</v>
      </c>
      <c r="D2686" t="s">
        <v>7</v>
      </c>
      <c r="E2686">
        <v>39</v>
      </c>
      <c r="F2686" t="s">
        <v>6</v>
      </c>
      <c r="G2686" t="str">
        <f t="shared" si="246"/>
        <v/>
      </c>
      <c r="H2686" s="1" t="str">
        <f t="shared" si="247"/>
        <v>Wednesday</v>
      </c>
      <c r="I2686" t="str">
        <f t="shared" si="248"/>
        <v>No</v>
      </c>
      <c r="J2686">
        <f t="shared" si="249"/>
        <v>0</v>
      </c>
      <c r="K2686">
        <f t="shared" si="250"/>
        <v>0</v>
      </c>
      <c r="L2686" t="str">
        <f t="shared" si="251"/>
        <v/>
      </c>
    </row>
    <row r="2687" spans="1:12" ht="14.4" customHeight="1" x14ac:dyDescent="0.3">
      <c r="A2687">
        <v>165529460</v>
      </c>
      <c r="B2687" s="1">
        <v>45133</v>
      </c>
      <c r="D2687" t="s">
        <v>7</v>
      </c>
      <c r="E2687">
        <v>39</v>
      </c>
      <c r="F2687" t="s">
        <v>6</v>
      </c>
      <c r="G2687" t="str">
        <f t="shared" si="246"/>
        <v/>
      </c>
      <c r="H2687" s="1" t="str">
        <f t="shared" si="247"/>
        <v>Wednesday</v>
      </c>
      <c r="I2687" t="str">
        <f t="shared" si="248"/>
        <v>No</v>
      </c>
      <c r="J2687">
        <f t="shared" si="249"/>
        <v>0</v>
      </c>
      <c r="K2687">
        <f t="shared" si="250"/>
        <v>0</v>
      </c>
      <c r="L2687" t="str">
        <f t="shared" si="251"/>
        <v/>
      </c>
    </row>
    <row r="2688" spans="1:12" ht="14.4" customHeight="1" x14ac:dyDescent="0.3">
      <c r="A2688">
        <v>218715792</v>
      </c>
      <c r="B2688" s="1">
        <v>45133</v>
      </c>
      <c r="D2688" t="s">
        <v>7</v>
      </c>
      <c r="E2688">
        <v>39</v>
      </c>
      <c r="F2688" t="s">
        <v>6</v>
      </c>
      <c r="G2688" t="str">
        <f t="shared" si="246"/>
        <v/>
      </c>
      <c r="H2688" s="1" t="str">
        <f t="shared" si="247"/>
        <v>Wednesday</v>
      </c>
      <c r="I2688" t="str">
        <f t="shared" si="248"/>
        <v>No</v>
      </c>
      <c r="J2688">
        <f t="shared" si="249"/>
        <v>0</v>
      </c>
      <c r="K2688">
        <f t="shared" si="250"/>
        <v>0</v>
      </c>
      <c r="L2688" t="str">
        <f t="shared" si="251"/>
        <v/>
      </c>
    </row>
    <row r="2689" spans="1:12" ht="14.4" customHeight="1" x14ac:dyDescent="0.3">
      <c r="A2689">
        <v>218985028</v>
      </c>
      <c r="B2689" s="1">
        <v>45133</v>
      </c>
      <c r="D2689" t="s">
        <v>7</v>
      </c>
      <c r="E2689">
        <v>39</v>
      </c>
      <c r="F2689" t="s">
        <v>6</v>
      </c>
      <c r="G2689" t="str">
        <f t="shared" si="246"/>
        <v/>
      </c>
      <c r="H2689" s="1" t="str">
        <f t="shared" si="247"/>
        <v>Wednesday</v>
      </c>
      <c r="I2689" t="str">
        <f t="shared" si="248"/>
        <v>No</v>
      </c>
      <c r="J2689">
        <f t="shared" si="249"/>
        <v>0</v>
      </c>
      <c r="K2689">
        <f t="shared" si="250"/>
        <v>0</v>
      </c>
      <c r="L2689" t="str">
        <f t="shared" si="251"/>
        <v/>
      </c>
    </row>
    <row r="2690" spans="1:12" ht="14.4" customHeight="1" x14ac:dyDescent="0.3">
      <c r="A2690">
        <v>218986352</v>
      </c>
      <c r="B2690" s="1">
        <v>45133</v>
      </c>
      <c r="D2690" t="s">
        <v>7</v>
      </c>
      <c r="E2690">
        <v>39</v>
      </c>
      <c r="F2690" t="s">
        <v>6</v>
      </c>
      <c r="G2690" t="str">
        <f t="shared" ref="G2690:G2753" si="252">IF(C2690="","",C2690-B2690)</f>
        <v/>
      </c>
      <c r="H2690" s="1" t="str">
        <f t="shared" si="247"/>
        <v>Wednesday</v>
      </c>
      <c r="I2690" t="str">
        <f t="shared" si="248"/>
        <v>No</v>
      </c>
      <c r="J2690">
        <f t="shared" si="249"/>
        <v>0</v>
      </c>
      <c r="K2690">
        <f t="shared" si="250"/>
        <v>0</v>
      </c>
      <c r="L2690" t="str">
        <f t="shared" si="251"/>
        <v/>
      </c>
    </row>
    <row r="2691" spans="1:12" x14ac:dyDescent="0.3">
      <c r="A2691">
        <v>219152822</v>
      </c>
      <c r="B2691" s="1">
        <v>45133</v>
      </c>
      <c r="C2691" s="1">
        <v>45174</v>
      </c>
      <c r="D2691" t="s">
        <v>7</v>
      </c>
      <c r="E2691">
        <v>39</v>
      </c>
      <c r="F2691" t="s">
        <v>6</v>
      </c>
      <c r="G2691">
        <f t="shared" si="252"/>
        <v>41</v>
      </c>
      <c r="H2691" s="1" t="str">
        <f t="shared" ref="H2691:H2754" si="253">TEXT(B2691,"dddd")</f>
        <v>Wednesday</v>
      </c>
      <c r="I2691" t="str">
        <f t="shared" ref="I2691:I2754" si="254">IF(B2691=C2691,"Yes","No")</f>
        <v>No</v>
      </c>
      <c r="J2691">
        <f t="shared" ref="J2691:J2754" si="255">IF(AND(C2691&lt;&gt;"",C2691-B2691&lt;=2),1,0)</f>
        <v>0</v>
      </c>
      <c r="K2691">
        <f t="shared" ref="K2691:K2754" si="256">IF(AND(C2691&lt;&gt;"",C2691-B2691&gt;30),1,0)</f>
        <v>1</v>
      </c>
      <c r="L2691">
        <f t="shared" ref="L2691:L2754" si="257">IF(C2691="","",C2691-B2691)</f>
        <v>41</v>
      </c>
    </row>
    <row r="2692" spans="1:12" ht="14.4" customHeight="1" x14ac:dyDescent="0.3">
      <c r="A2692">
        <v>219084587</v>
      </c>
      <c r="B2692" s="1">
        <v>45133</v>
      </c>
      <c r="C2692" s="1">
        <v>45134</v>
      </c>
      <c r="D2692" t="s">
        <v>8</v>
      </c>
      <c r="E2692">
        <v>39</v>
      </c>
      <c r="F2692" t="s">
        <v>6</v>
      </c>
      <c r="G2692">
        <f t="shared" si="252"/>
        <v>1</v>
      </c>
      <c r="H2692" s="1" t="str">
        <f t="shared" si="253"/>
        <v>Wednesday</v>
      </c>
      <c r="I2692" t="str">
        <f t="shared" si="254"/>
        <v>No</v>
      </c>
      <c r="J2692">
        <f t="shared" si="255"/>
        <v>1</v>
      </c>
      <c r="K2692">
        <f t="shared" si="256"/>
        <v>0</v>
      </c>
      <c r="L2692">
        <f t="shared" si="257"/>
        <v>1</v>
      </c>
    </row>
    <row r="2693" spans="1:12" x14ac:dyDescent="0.3">
      <c r="A2693">
        <v>219200064</v>
      </c>
      <c r="B2693" s="1">
        <v>45133</v>
      </c>
      <c r="C2693" s="1">
        <v>45171</v>
      </c>
      <c r="D2693" t="s">
        <v>7</v>
      </c>
      <c r="E2693">
        <v>39</v>
      </c>
      <c r="F2693" t="s">
        <v>6</v>
      </c>
      <c r="G2693">
        <f t="shared" si="252"/>
        <v>38</v>
      </c>
      <c r="H2693" s="1" t="str">
        <f t="shared" si="253"/>
        <v>Wednesday</v>
      </c>
      <c r="I2693" t="str">
        <f t="shared" si="254"/>
        <v>No</v>
      </c>
      <c r="J2693">
        <f t="shared" si="255"/>
        <v>0</v>
      </c>
      <c r="K2693">
        <f t="shared" si="256"/>
        <v>1</v>
      </c>
      <c r="L2693">
        <f t="shared" si="257"/>
        <v>38</v>
      </c>
    </row>
    <row r="2694" spans="1:12" ht="14.4" customHeight="1" x14ac:dyDescent="0.3">
      <c r="A2694">
        <v>219224963</v>
      </c>
      <c r="B2694" s="1">
        <v>45134</v>
      </c>
      <c r="D2694" t="s">
        <v>7</v>
      </c>
      <c r="E2694">
        <v>39</v>
      </c>
      <c r="F2694" t="s">
        <v>6</v>
      </c>
      <c r="G2694" t="str">
        <f t="shared" si="252"/>
        <v/>
      </c>
      <c r="H2694" s="1" t="str">
        <f t="shared" si="253"/>
        <v>Thursday</v>
      </c>
      <c r="I2694" t="str">
        <f t="shared" si="254"/>
        <v>No</v>
      </c>
      <c r="J2694">
        <f t="shared" si="255"/>
        <v>0</v>
      </c>
      <c r="K2694">
        <f t="shared" si="256"/>
        <v>0</v>
      </c>
      <c r="L2694" t="str">
        <f t="shared" si="257"/>
        <v/>
      </c>
    </row>
    <row r="2695" spans="1:12" ht="14.4" customHeight="1" x14ac:dyDescent="0.3">
      <c r="A2695">
        <v>219172302</v>
      </c>
      <c r="B2695" s="1">
        <v>45134</v>
      </c>
      <c r="D2695" t="s">
        <v>7</v>
      </c>
      <c r="E2695">
        <v>39</v>
      </c>
      <c r="F2695" t="s">
        <v>6</v>
      </c>
      <c r="G2695" t="str">
        <f t="shared" si="252"/>
        <v/>
      </c>
      <c r="H2695" s="1" t="str">
        <f t="shared" si="253"/>
        <v>Thursday</v>
      </c>
      <c r="I2695" t="str">
        <f t="shared" si="254"/>
        <v>No</v>
      </c>
      <c r="J2695">
        <f t="shared" si="255"/>
        <v>0</v>
      </c>
      <c r="K2695">
        <f t="shared" si="256"/>
        <v>0</v>
      </c>
      <c r="L2695" t="str">
        <f t="shared" si="257"/>
        <v/>
      </c>
    </row>
    <row r="2696" spans="1:12" ht="14.4" customHeight="1" x14ac:dyDescent="0.3">
      <c r="A2696">
        <v>219244336</v>
      </c>
      <c r="B2696" s="1">
        <v>45134</v>
      </c>
      <c r="D2696" t="s">
        <v>7</v>
      </c>
      <c r="E2696">
        <v>39</v>
      </c>
      <c r="F2696" t="s">
        <v>6</v>
      </c>
      <c r="G2696" t="str">
        <f t="shared" si="252"/>
        <v/>
      </c>
      <c r="H2696" s="1" t="str">
        <f t="shared" si="253"/>
        <v>Thursday</v>
      </c>
      <c r="I2696" t="str">
        <f t="shared" si="254"/>
        <v>No</v>
      </c>
      <c r="J2696">
        <f t="shared" si="255"/>
        <v>0</v>
      </c>
      <c r="K2696">
        <f t="shared" si="256"/>
        <v>0</v>
      </c>
      <c r="L2696" t="str">
        <f t="shared" si="257"/>
        <v/>
      </c>
    </row>
    <row r="2697" spans="1:12" ht="14.4" customHeight="1" x14ac:dyDescent="0.3">
      <c r="A2697">
        <v>150342446</v>
      </c>
      <c r="B2697" s="1">
        <v>45134</v>
      </c>
      <c r="D2697" t="s">
        <v>7</v>
      </c>
      <c r="E2697">
        <v>39</v>
      </c>
      <c r="F2697" t="s">
        <v>6</v>
      </c>
      <c r="G2697" t="str">
        <f t="shared" si="252"/>
        <v/>
      </c>
      <c r="H2697" s="1" t="str">
        <f t="shared" si="253"/>
        <v>Thursday</v>
      </c>
      <c r="I2697" t="str">
        <f t="shared" si="254"/>
        <v>No</v>
      </c>
      <c r="J2697">
        <f t="shared" si="255"/>
        <v>0</v>
      </c>
      <c r="K2697">
        <f t="shared" si="256"/>
        <v>0</v>
      </c>
      <c r="L2697" t="str">
        <f t="shared" si="257"/>
        <v/>
      </c>
    </row>
    <row r="2698" spans="1:12" ht="14.4" customHeight="1" x14ac:dyDescent="0.3">
      <c r="A2698">
        <v>210432172</v>
      </c>
      <c r="B2698" s="1">
        <v>45134</v>
      </c>
      <c r="D2698" t="s">
        <v>7</v>
      </c>
      <c r="E2698">
        <v>39</v>
      </c>
      <c r="F2698" t="s">
        <v>6</v>
      </c>
      <c r="G2698" t="str">
        <f t="shared" si="252"/>
        <v/>
      </c>
      <c r="H2698" s="1" t="str">
        <f t="shared" si="253"/>
        <v>Thursday</v>
      </c>
      <c r="I2698" t="str">
        <f t="shared" si="254"/>
        <v>No</v>
      </c>
      <c r="J2698">
        <f t="shared" si="255"/>
        <v>0</v>
      </c>
      <c r="K2698">
        <f t="shared" si="256"/>
        <v>0</v>
      </c>
      <c r="L2698" t="str">
        <f t="shared" si="257"/>
        <v/>
      </c>
    </row>
    <row r="2699" spans="1:12" ht="14.4" customHeight="1" x14ac:dyDescent="0.3">
      <c r="A2699">
        <v>145614180</v>
      </c>
      <c r="B2699" s="1">
        <v>45134</v>
      </c>
      <c r="D2699" t="s">
        <v>7</v>
      </c>
      <c r="E2699">
        <v>39</v>
      </c>
      <c r="F2699" t="s">
        <v>6</v>
      </c>
      <c r="G2699" t="str">
        <f t="shared" si="252"/>
        <v/>
      </c>
      <c r="H2699" s="1" t="str">
        <f t="shared" si="253"/>
        <v>Thursday</v>
      </c>
      <c r="I2699" t="str">
        <f t="shared" si="254"/>
        <v>No</v>
      </c>
      <c r="J2699">
        <f t="shared" si="255"/>
        <v>0</v>
      </c>
      <c r="K2699">
        <f t="shared" si="256"/>
        <v>0</v>
      </c>
      <c r="L2699" t="str">
        <f t="shared" si="257"/>
        <v/>
      </c>
    </row>
    <row r="2700" spans="1:12" ht="14.4" customHeight="1" x14ac:dyDescent="0.3">
      <c r="A2700">
        <v>218318466</v>
      </c>
      <c r="B2700" s="1">
        <v>45134</v>
      </c>
      <c r="D2700" t="s">
        <v>7</v>
      </c>
      <c r="E2700">
        <v>39</v>
      </c>
      <c r="F2700" t="s">
        <v>6</v>
      </c>
      <c r="G2700" t="str">
        <f t="shared" si="252"/>
        <v/>
      </c>
      <c r="H2700" s="1" t="str">
        <f t="shared" si="253"/>
        <v>Thursday</v>
      </c>
      <c r="I2700" t="str">
        <f t="shared" si="254"/>
        <v>No</v>
      </c>
      <c r="J2700">
        <f t="shared" si="255"/>
        <v>0</v>
      </c>
      <c r="K2700">
        <f t="shared" si="256"/>
        <v>0</v>
      </c>
      <c r="L2700" t="str">
        <f t="shared" si="257"/>
        <v/>
      </c>
    </row>
    <row r="2701" spans="1:12" ht="14.4" customHeight="1" x14ac:dyDescent="0.3">
      <c r="A2701">
        <v>131984682</v>
      </c>
      <c r="B2701" s="1">
        <v>45134</v>
      </c>
      <c r="D2701" t="s">
        <v>7</v>
      </c>
      <c r="E2701">
        <v>39</v>
      </c>
      <c r="F2701" t="s">
        <v>6</v>
      </c>
      <c r="G2701" t="str">
        <f t="shared" si="252"/>
        <v/>
      </c>
      <c r="H2701" s="1" t="str">
        <f t="shared" si="253"/>
        <v>Thursday</v>
      </c>
      <c r="I2701" t="str">
        <f t="shared" si="254"/>
        <v>No</v>
      </c>
      <c r="J2701">
        <f t="shared" si="255"/>
        <v>0</v>
      </c>
      <c r="K2701">
        <f t="shared" si="256"/>
        <v>0</v>
      </c>
      <c r="L2701" t="str">
        <f t="shared" si="257"/>
        <v/>
      </c>
    </row>
    <row r="2702" spans="1:12" ht="14.4" customHeight="1" x14ac:dyDescent="0.3">
      <c r="A2702">
        <v>219243156</v>
      </c>
      <c r="B2702" s="1">
        <v>45134</v>
      </c>
      <c r="C2702" s="1">
        <v>45134</v>
      </c>
      <c r="D2702" t="s">
        <v>7</v>
      </c>
      <c r="E2702">
        <v>39</v>
      </c>
      <c r="F2702" t="s">
        <v>6</v>
      </c>
      <c r="G2702">
        <f t="shared" si="252"/>
        <v>0</v>
      </c>
      <c r="H2702" s="1" t="str">
        <f t="shared" si="253"/>
        <v>Thursday</v>
      </c>
      <c r="I2702" t="str">
        <f t="shared" si="254"/>
        <v>Yes</v>
      </c>
      <c r="J2702">
        <f t="shared" si="255"/>
        <v>1</v>
      </c>
      <c r="K2702">
        <f t="shared" si="256"/>
        <v>0</v>
      </c>
      <c r="L2702">
        <f t="shared" si="257"/>
        <v>0</v>
      </c>
    </row>
    <row r="2703" spans="1:12" ht="14.4" customHeight="1" x14ac:dyDescent="0.3">
      <c r="A2703">
        <v>219301778</v>
      </c>
      <c r="B2703" s="1">
        <v>45135</v>
      </c>
      <c r="D2703" t="s">
        <v>7</v>
      </c>
      <c r="E2703">
        <v>39</v>
      </c>
      <c r="F2703" t="s">
        <v>6</v>
      </c>
      <c r="G2703" t="str">
        <f t="shared" si="252"/>
        <v/>
      </c>
      <c r="H2703" s="1" t="str">
        <f t="shared" si="253"/>
        <v>Friday</v>
      </c>
      <c r="I2703" t="str">
        <f t="shared" si="254"/>
        <v>No</v>
      </c>
      <c r="J2703">
        <f t="shared" si="255"/>
        <v>0</v>
      </c>
      <c r="K2703">
        <f t="shared" si="256"/>
        <v>0</v>
      </c>
      <c r="L2703" t="str">
        <f t="shared" si="257"/>
        <v/>
      </c>
    </row>
    <row r="2704" spans="1:12" ht="14.4" customHeight="1" x14ac:dyDescent="0.3">
      <c r="A2704">
        <v>153004062</v>
      </c>
      <c r="B2704" s="1">
        <v>45135</v>
      </c>
      <c r="D2704" t="s">
        <v>7</v>
      </c>
      <c r="E2704">
        <v>39</v>
      </c>
      <c r="F2704" t="s">
        <v>6</v>
      </c>
      <c r="G2704" t="str">
        <f t="shared" si="252"/>
        <v/>
      </c>
      <c r="H2704" s="1" t="str">
        <f t="shared" si="253"/>
        <v>Friday</v>
      </c>
      <c r="I2704" t="str">
        <f t="shared" si="254"/>
        <v>No</v>
      </c>
      <c r="J2704">
        <f t="shared" si="255"/>
        <v>0</v>
      </c>
      <c r="K2704">
        <f t="shared" si="256"/>
        <v>0</v>
      </c>
      <c r="L2704" t="str">
        <f t="shared" si="257"/>
        <v/>
      </c>
    </row>
    <row r="2705" spans="1:12" ht="14.4" customHeight="1" x14ac:dyDescent="0.3">
      <c r="A2705">
        <v>151015350</v>
      </c>
      <c r="B2705" s="1">
        <v>45135</v>
      </c>
      <c r="D2705" t="s">
        <v>7</v>
      </c>
      <c r="E2705">
        <v>39</v>
      </c>
      <c r="F2705" t="s">
        <v>6</v>
      </c>
      <c r="G2705" t="str">
        <f t="shared" si="252"/>
        <v/>
      </c>
      <c r="H2705" s="1" t="str">
        <f t="shared" si="253"/>
        <v>Friday</v>
      </c>
      <c r="I2705" t="str">
        <f t="shared" si="254"/>
        <v>No</v>
      </c>
      <c r="J2705">
        <f t="shared" si="255"/>
        <v>0</v>
      </c>
      <c r="K2705">
        <f t="shared" si="256"/>
        <v>0</v>
      </c>
      <c r="L2705" t="str">
        <f t="shared" si="257"/>
        <v/>
      </c>
    </row>
    <row r="2706" spans="1:12" ht="14.4" customHeight="1" x14ac:dyDescent="0.3">
      <c r="A2706">
        <v>147696294</v>
      </c>
      <c r="B2706" s="1">
        <v>45135</v>
      </c>
      <c r="D2706" t="s">
        <v>7</v>
      </c>
      <c r="E2706">
        <v>39</v>
      </c>
      <c r="F2706" t="s">
        <v>6</v>
      </c>
      <c r="G2706" t="str">
        <f t="shared" si="252"/>
        <v/>
      </c>
      <c r="H2706" s="1" t="str">
        <f t="shared" si="253"/>
        <v>Friday</v>
      </c>
      <c r="I2706" t="str">
        <f t="shared" si="254"/>
        <v>No</v>
      </c>
      <c r="J2706">
        <f t="shared" si="255"/>
        <v>0</v>
      </c>
      <c r="K2706">
        <f t="shared" si="256"/>
        <v>0</v>
      </c>
      <c r="L2706" t="str">
        <f t="shared" si="257"/>
        <v/>
      </c>
    </row>
    <row r="2707" spans="1:12" ht="14.4" customHeight="1" x14ac:dyDescent="0.3">
      <c r="A2707">
        <v>218255956</v>
      </c>
      <c r="B2707" s="1">
        <v>45135</v>
      </c>
      <c r="D2707" t="s">
        <v>7</v>
      </c>
      <c r="E2707">
        <v>39</v>
      </c>
      <c r="F2707" t="s">
        <v>6</v>
      </c>
      <c r="G2707" t="str">
        <f t="shared" si="252"/>
        <v/>
      </c>
      <c r="H2707" s="1" t="str">
        <f t="shared" si="253"/>
        <v>Friday</v>
      </c>
      <c r="I2707" t="str">
        <f t="shared" si="254"/>
        <v>No</v>
      </c>
      <c r="J2707">
        <f t="shared" si="255"/>
        <v>0</v>
      </c>
      <c r="K2707">
        <f t="shared" si="256"/>
        <v>0</v>
      </c>
      <c r="L2707" t="str">
        <f t="shared" si="257"/>
        <v/>
      </c>
    </row>
    <row r="2708" spans="1:12" ht="14.4" customHeight="1" x14ac:dyDescent="0.3">
      <c r="A2708">
        <v>218510841</v>
      </c>
      <c r="B2708" s="1">
        <v>45135</v>
      </c>
      <c r="D2708" t="s">
        <v>7</v>
      </c>
      <c r="E2708">
        <v>39</v>
      </c>
      <c r="F2708" t="s">
        <v>6</v>
      </c>
      <c r="G2708" t="str">
        <f t="shared" si="252"/>
        <v/>
      </c>
      <c r="H2708" s="1" t="str">
        <f t="shared" si="253"/>
        <v>Friday</v>
      </c>
      <c r="I2708" t="str">
        <f t="shared" si="254"/>
        <v>No</v>
      </c>
      <c r="J2708">
        <f t="shared" si="255"/>
        <v>0</v>
      </c>
      <c r="K2708">
        <f t="shared" si="256"/>
        <v>0</v>
      </c>
      <c r="L2708" t="str">
        <f t="shared" si="257"/>
        <v/>
      </c>
    </row>
    <row r="2709" spans="1:12" ht="14.4" customHeight="1" x14ac:dyDescent="0.3">
      <c r="A2709">
        <v>130864124</v>
      </c>
      <c r="B2709" s="1">
        <v>45135</v>
      </c>
      <c r="D2709" t="s">
        <v>7</v>
      </c>
      <c r="E2709">
        <v>39</v>
      </c>
      <c r="F2709" t="s">
        <v>6</v>
      </c>
      <c r="G2709" t="str">
        <f t="shared" si="252"/>
        <v/>
      </c>
      <c r="H2709" s="1" t="str">
        <f t="shared" si="253"/>
        <v>Friday</v>
      </c>
      <c r="I2709" t="str">
        <f t="shared" si="254"/>
        <v>No</v>
      </c>
      <c r="J2709">
        <f t="shared" si="255"/>
        <v>0</v>
      </c>
      <c r="K2709">
        <f t="shared" si="256"/>
        <v>0</v>
      </c>
      <c r="L2709" t="str">
        <f t="shared" si="257"/>
        <v/>
      </c>
    </row>
    <row r="2710" spans="1:12" ht="14.4" customHeight="1" x14ac:dyDescent="0.3">
      <c r="A2710">
        <v>219194059</v>
      </c>
      <c r="B2710" s="1">
        <v>45135</v>
      </c>
      <c r="D2710" t="s">
        <v>7</v>
      </c>
      <c r="E2710">
        <v>39</v>
      </c>
      <c r="F2710" t="s">
        <v>6</v>
      </c>
      <c r="G2710" t="str">
        <f t="shared" si="252"/>
        <v/>
      </c>
      <c r="H2710" s="1" t="str">
        <f t="shared" si="253"/>
        <v>Friday</v>
      </c>
      <c r="I2710" t="str">
        <f t="shared" si="254"/>
        <v>No</v>
      </c>
      <c r="J2710">
        <f t="shared" si="255"/>
        <v>0</v>
      </c>
      <c r="K2710">
        <f t="shared" si="256"/>
        <v>0</v>
      </c>
      <c r="L2710" t="str">
        <f t="shared" si="257"/>
        <v/>
      </c>
    </row>
    <row r="2711" spans="1:12" ht="14.4" customHeight="1" x14ac:dyDescent="0.3">
      <c r="A2711">
        <v>219254134</v>
      </c>
      <c r="B2711" s="1">
        <v>45135</v>
      </c>
      <c r="D2711" t="s">
        <v>7</v>
      </c>
      <c r="E2711">
        <v>39</v>
      </c>
      <c r="F2711" t="s">
        <v>6</v>
      </c>
      <c r="G2711" t="str">
        <f t="shared" si="252"/>
        <v/>
      </c>
      <c r="H2711" s="1" t="str">
        <f t="shared" si="253"/>
        <v>Friday</v>
      </c>
      <c r="I2711" t="str">
        <f t="shared" si="254"/>
        <v>No</v>
      </c>
      <c r="J2711">
        <f t="shared" si="255"/>
        <v>0</v>
      </c>
      <c r="K2711">
        <f t="shared" si="256"/>
        <v>0</v>
      </c>
      <c r="L2711" t="str">
        <f t="shared" si="257"/>
        <v/>
      </c>
    </row>
    <row r="2712" spans="1:12" ht="14.4" customHeight="1" x14ac:dyDescent="0.3">
      <c r="A2712">
        <v>215881016</v>
      </c>
      <c r="B2712" s="1">
        <v>45135</v>
      </c>
      <c r="D2712" t="s">
        <v>7</v>
      </c>
      <c r="E2712">
        <v>39</v>
      </c>
      <c r="F2712" t="s">
        <v>6</v>
      </c>
      <c r="G2712" t="str">
        <f t="shared" si="252"/>
        <v/>
      </c>
      <c r="H2712" s="1" t="str">
        <f t="shared" si="253"/>
        <v>Friday</v>
      </c>
      <c r="I2712" t="str">
        <f t="shared" si="254"/>
        <v>No</v>
      </c>
      <c r="J2712">
        <f t="shared" si="255"/>
        <v>0</v>
      </c>
      <c r="K2712">
        <f t="shared" si="256"/>
        <v>0</v>
      </c>
      <c r="L2712" t="str">
        <f t="shared" si="257"/>
        <v/>
      </c>
    </row>
    <row r="2713" spans="1:12" ht="14.4" customHeight="1" x14ac:dyDescent="0.3">
      <c r="A2713">
        <v>217361520</v>
      </c>
      <c r="B2713" s="1">
        <v>45135</v>
      </c>
      <c r="D2713" t="s">
        <v>7</v>
      </c>
      <c r="E2713">
        <v>39</v>
      </c>
      <c r="F2713" t="s">
        <v>6</v>
      </c>
      <c r="G2713" t="str">
        <f t="shared" si="252"/>
        <v/>
      </c>
      <c r="H2713" s="1" t="str">
        <f t="shared" si="253"/>
        <v>Friday</v>
      </c>
      <c r="I2713" t="str">
        <f t="shared" si="254"/>
        <v>No</v>
      </c>
      <c r="J2713">
        <f t="shared" si="255"/>
        <v>0</v>
      </c>
      <c r="K2713">
        <f t="shared" si="256"/>
        <v>0</v>
      </c>
      <c r="L2713" t="str">
        <f t="shared" si="257"/>
        <v/>
      </c>
    </row>
    <row r="2714" spans="1:12" ht="14.4" customHeight="1" x14ac:dyDescent="0.3">
      <c r="A2714">
        <v>219265654</v>
      </c>
      <c r="B2714" s="1">
        <v>45135</v>
      </c>
      <c r="D2714" t="s">
        <v>7</v>
      </c>
      <c r="E2714">
        <v>39</v>
      </c>
      <c r="F2714" t="s">
        <v>6</v>
      </c>
      <c r="G2714" t="str">
        <f t="shared" si="252"/>
        <v/>
      </c>
      <c r="H2714" s="1" t="str">
        <f t="shared" si="253"/>
        <v>Friday</v>
      </c>
      <c r="I2714" t="str">
        <f t="shared" si="254"/>
        <v>No</v>
      </c>
      <c r="J2714">
        <f t="shared" si="255"/>
        <v>0</v>
      </c>
      <c r="K2714">
        <f t="shared" si="256"/>
        <v>0</v>
      </c>
      <c r="L2714" t="str">
        <f t="shared" si="257"/>
        <v/>
      </c>
    </row>
    <row r="2715" spans="1:12" ht="14.4" customHeight="1" x14ac:dyDescent="0.3">
      <c r="A2715">
        <v>175491846</v>
      </c>
      <c r="B2715" s="1">
        <v>45135</v>
      </c>
      <c r="C2715" s="1">
        <v>45136</v>
      </c>
      <c r="D2715" t="s">
        <v>7</v>
      </c>
      <c r="E2715">
        <v>39</v>
      </c>
      <c r="F2715" t="s">
        <v>6</v>
      </c>
      <c r="G2715">
        <f t="shared" si="252"/>
        <v>1</v>
      </c>
      <c r="H2715" s="1" t="str">
        <f t="shared" si="253"/>
        <v>Friday</v>
      </c>
      <c r="I2715" t="str">
        <f t="shared" si="254"/>
        <v>No</v>
      </c>
      <c r="J2715">
        <f t="shared" si="255"/>
        <v>1</v>
      </c>
      <c r="K2715">
        <f t="shared" si="256"/>
        <v>0</v>
      </c>
      <c r="L2715">
        <f t="shared" si="257"/>
        <v>1</v>
      </c>
    </row>
    <row r="2716" spans="1:12" ht="14.4" customHeight="1" x14ac:dyDescent="0.3">
      <c r="A2716">
        <v>212603850</v>
      </c>
      <c r="B2716" s="1">
        <v>45135</v>
      </c>
      <c r="C2716" s="1">
        <v>45164</v>
      </c>
      <c r="D2716" t="s">
        <v>7</v>
      </c>
      <c r="E2716">
        <v>39</v>
      </c>
      <c r="F2716" t="s">
        <v>6</v>
      </c>
      <c r="G2716">
        <f t="shared" si="252"/>
        <v>29</v>
      </c>
      <c r="H2716" s="1" t="str">
        <f t="shared" si="253"/>
        <v>Friday</v>
      </c>
      <c r="I2716" t="str">
        <f t="shared" si="254"/>
        <v>No</v>
      </c>
      <c r="J2716">
        <f t="shared" si="255"/>
        <v>0</v>
      </c>
      <c r="K2716">
        <f t="shared" si="256"/>
        <v>0</v>
      </c>
      <c r="L2716">
        <f t="shared" si="257"/>
        <v>29</v>
      </c>
    </row>
    <row r="2717" spans="1:12" ht="14.4" customHeight="1" x14ac:dyDescent="0.3">
      <c r="A2717">
        <v>219307145</v>
      </c>
      <c r="B2717" s="1">
        <v>45136</v>
      </c>
      <c r="D2717" t="s">
        <v>7</v>
      </c>
      <c r="E2717">
        <v>39</v>
      </c>
      <c r="F2717" t="s">
        <v>6</v>
      </c>
      <c r="G2717" t="str">
        <f t="shared" si="252"/>
        <v/>
      </c>
      <c r="H2717" s="1" t="str">
        <f t="shared" si="253"/>
        <v>Saturday</v>
      </c>
      <c r="I2717" t="str">
        <f t="shared" si="254"/>
        <v>No</v>
      </c>
      <c r="J2717">
        <f t="shared" si="255"/>
        <v>0</v>
      </c>
      <c r="K2717">
        <f t="shared" si="256"/>
        <v>0</v>
      </c>
      <c r="L2717" t="str">
        <f t="shared" si="257"/>
        <v/>
      </c>
    </row>
    <row r="2718" spans="1:12" x14ac:dyDescent="0.3">
      <c r="A2718">
        <v>212937420</v>
      </c>
      <c r="B2718" s="1">
        <v>45136</v>
      </c>
      <c r="C2718" s="1">
        <v>45174</v>
      </c>
      <c r="D2718" t="s">
        <v>7</v>
      </c>
      <c r="E2718">
        <v>39</v>
      </c>
      <c r="F2718" t="s">
        <v>6</v>
      </c>
      <c r="G2718">
        <f t="shared" si="252"/>
        <v>38</v>
      </c>
      <c r="H2718" s="1" t="str">
        <f t="shared" si="253"/>
        <v>Saturday</v>
      </c>
      <c r="I2718" t="str">
        <f t="shared" si="254"/>
        <v>No</v>
      </c>
      <c r="J2718">
        <f t="shared" si="255"/>
        <v>0</v>
      </c>
      <c r="K2718">
        <f t="shared" si="256"/>
        <v>1</v>
      </c>
      <c r="L2718">
        <f t="shared" si="257"/>
        <v>38</v>
      </c>
    </row>
    <row r="2719" spans="1:12" ht="14.4" customHeight="1" x14ac:dyDescent="0.3">
      <c r="A2719">
        <v>219318511</v>
      </c>
      <c r="B2719" s="1">
        <v>45136</v>
      </c>
      <c r="C2719" s="1">
        <v>45156</v>
      </c>
      <c r="D2719" t="s">
        <v>7</v>
      </c>
      <c r="E2719">
        <v>39</v>
      </c>
      <c r="F2719" t="s">
        <v>6</v>
      </c>
      <c r="G2719">
        <f t="shared" si="252"/>
        <v>20</v>
      </c>
      <c r="H2719" s="1" t="str">
        <f t="shared" si="253"/>
        <v>Saturday</v>
      </c>
      <c r="I2719" t="str">
        <f t="shared" si="254"/>
        <v>No</v>
      </c>
      <c r="J2719">
        <f t="shared" si="255"/>
        <v>0</v>
      </c>
      <c r="K2719">
        <f t="shared" si="256"/>
        <v>0</v>
      </c>
      <c r="L2719">
        <f t="shared" si="257"/>
        <v>20</v>
      </c>
    </row>
    <row r="2720" spans="1:12" ht="14.4" customHeight="1" x14ac:dyDescent="0.3">
      <c r="A2720">
        <v>218513479</v>
      </c>
      <c r="B2720" s="1">
        <v>45136</v>
      </c>
      <c r="C2720" s="1">
        <v>45163</v>
      </c>
      <c r="D2720" t="s">
        <v>7</v>
      </c>
      <c r="E2720">
        <v>39</v>
      </c>
      <c r="F2720" t="s">
        <v>6</v>
      </c>
      <c r="G2720">
        <f t="shared" si="252"/>
        <v>27</v>
      </c>
      <c r="H2720" s="1" t="str">
        <f t="shared" si="253"/>
        <v>Saturday</v>
      </c>
      <c r="I2720" t="str">
        <f t="shared" si="254"/>
        <v>No</v>
      </c>
      <c r="J2720">
        <f t="shared" si="255"/>
        <v>0</v>
      </c>
      <c r="K2720">
        <f t="shared" si="256"/>
        <v>0</v>
      </c>
      <c r="L2720">
        <f t="shared" si="257"/>
        <v>27</v>
      </c>
    </row>
    <row r="2721" spans="1:12" ht="14.4" customHeight="1" x14ac:dyDescent="0.3">
      <c r="A2721">
        <v>219301764</v>
      </c>
      <c r="B2721" s="1">
        <v>45136</v>
      </c>
      <c r="C2721" s="1">
        <v>45165</v>
      </c>
      <c r="D2721" t="s">
        <v>7</v>
      </c>
      <c r="E2721">
        <v>39</v>
      </c>
      <c r="F2721" t="s">
        <v>6</v>
      </c>
      <c r="G2721">
        <f t="shared" si="252"/>
        <v>29</v>
      </c>
      <c r="H2721" s="1" t="str">
        <f t="shared" si="253"/>
        <v>Saturday</v>
      </c>
      <c r="I2721" t="str">
        <f t="shared" si="254"/>
        <v>No</v>
      </c>
      <c r="J2721">
        <f t="shared" si="255"/>
        <v>0</v>
      </c>
      <c r="K2721">
        <f t="shared" si="256"/>
        <v>0</v>
      </c>
      <c r="L2721">
        <f t="shared" si="257"/>
        <v>29</v>
      </c>
    </row>
    <row r="2722" spans="1:12" ht="14.4" customHeight="1" x14ac:dyDescent="0.3">
      <c r="A2722">
        <v>125038257</v>
      </c>
      <c r="B2722" s="1">
        <v>45137</v>
      </c>
      <c r="D2722" t="s">
        <v>7</v>
      </c>
      <c r="E2722">
        <v>39</v>
      </c>
      <c r="F2722" t="s">
        <v>6</v>
      </c>
      <c r="G2722" t="str">
        <f t="shared" si="252"/>
        <v/>
      </c>
      <c r="H2722" s="1" t="str">
        <f t="shared" si="253"/>
        <v>Sunday</v>
      </c>
      <c r="I2722" t="str">
        <f t="shared" si="254"/>
        <v>No</v>
      </c>
      <c r="J2722">
        <f t="shared" si="255"/>
        <v>0</v>
      </c>
      <c r="K2722">
        <f t="shared" si="256"/>
        <v>0</v>
      </c>
      <c r="L2722" t="str">
        <f t="shared" si="257"/>
        <v/>
      </c>
    </row>
    <row r="2723" spans="1:12" ht="14.4" customHeight="1" x14ac:dyDescent="0.3">
      <c r="A2723">
        <v>217813451</v>
      </c>
      <c r="B2723" s="1">
        <v>45137</v>
      </c>
      <c r="D2723" t="s">
        <v>7</v>
      </c>
      <c r="E2723">
        <v>39</v>
      </c>
      <c r="F2723" t="s">
        <v>6</v>
      </c>
      <c r="G2723" t="str">
        <f t="shared" si="252"/>
        <v/>
      </c>
      <c r="H2723" s="1" t="str">
        <f t="shared" si="253"/>
        <v>Sunday</v>
      </c>
      <c r="I2723" t="str">
        <f t="shared" si="254"/>
        <v>No</v>
      </c>
      <c r="J2723">
        <f t="shared" si="255"/>
        <v>0</v>
      </c>
      <c r="K2723">
        <f t="shared" si="256"/>
        <v>0</v>
      </c>
      <c r="L2723" t="str">
        <f t="shared" si="257"/>
        <v/>
      </c>
    </row>
    <row r="2724" spans="1:12" ht="14.4" customHeight="1" x14ac:dyDescent="0.3">
      <c r="A2724">
        <v>162859352</v>
      </c>
      <c r="B2724" s="1">
        <v>45137</v>
      </c>
      <c r="C2724" s="1">
        <v>45138</v>
      </c>
      <c r="D2724" t="s">
        <v>8</v>
      </c>
      <c r="E2724">
        <v>39</v>
      </c>
      <c r="F2724" t="s">
        <v>6</v>
      </c>
      <c r="G2724">
        <f t="shared" si="252"/>
        <v>1</v>
      </c>
      <c r="H2724" s="1" t="str">
        <f t="shared" si="253"/>
        <v>Sunday</v>
      </c>
      <c r="I2724" t="str">
        <f t="shared" si="254"/>
        <v>No</v>
      </c>
      <c r="J2724">
        <f t="shared" si="255"/>
        <v>1</v>
      </c>
      <c r="K2724">
        <f t="shared" si="256"/>
        <v>0</v>
      </c>
      <c r="L2724">
        <f t="shared" si="257"/>
        <v>1</v>
      </c>
    </row>
    <row r="2725" spans="1:12" x14ac:dyDescent="0.3">
      <c r="A2725">
        <v>146923161</v>
      </c>
      <c r="B2725" s="1">
        <v>45137</v>
      </c>
      <c r="C2725" s="1">
        <v>45175</v>
      </c>
      <c r="D2725" t="s">
        <v>7</v>
      </c>
      <c r="E2725">
        <v>39</v>
      </c>
      <c r="F2725" t="s">
        <v>6</v>
      </c>
      <c r="G2725">
        <f t="shared" si="252"/>
        <v>38</v>
      </c>
      <c r="H2725" s="1" t="str">
        <f t="shared" si="253"/>
        <v>Sunday</v>
      </c>
      <c r="I2725" t="str">
        <f t="shared" si="254"/>
        <v>No</v>
      </c>
      <c r="J2725">
        <f t="shared" si="255"/>
        <v>0</v>
      </c>
      <c r="K2725">
        <f t="shared" si="256"/>
        <v>1</v>
      </c>
      <c r="L2725">
        <f t="shared" si="257"/>
        <v>38</v>
      </c>
    </row>
    <row r="2726" spans="1:12" ht="14.4" customHeight="1" x14ac:dyDescent="0.3">
      <c r="A2726">
        <v>206699284</v>
      </c>
      <c r="B2726" s="1">
        <v>45137</v>
      </c>
      <c r="C2726" s="1">
        <v>45166</v>
      </c>
      <c r="D2726" t="s">
        <v>7</v>
      </c>
      <c r="E2726">
        <v>39</v>
      </c>
      <c r="F2726" t="s">
        <v>6</v>
      </c>
      <c r="G2726">
        <f t="shared" si="252"/>
        <v>29</v>
      </c>
      <c r="H2726" s="1" t="str">
        <f t="shared" si="253"/>
        <v>Sunday</v>
      </c>
      <c r="I2726" t="str">
        <f t="shared" si="254"/>
        <v>No</v>
      </c>
      <c r="J2726">
        <f t="shared" si="255"/>
        <v>0</v>
      </c>
      <c r="K2726">
        <f t="shared" si="256"/>
        <v>0</v>
      </c>
      <c r="L2726">
        <f t="shared" si="257"/>
        <v>29</v>
      </c>
    </row>
    <row r="2727" spans="1:12" ht="14.4" customHeight="1" x14ac:dyDescent="0.3">
      <c r="A2727">
        <v>219330169</v>
      </c>
      <c r="B2727" s="1">
        <v>45137</v>
      </c>
      <c r="C2727" s="1">
        <v>45166</v>
      </c>
      <c r="D2727" t="s">
        <v>7</v>
      </c>
      <c r="E2727">
        <v>39</v>
      </c>
      <c r="F2727" t="s">
        <v>6</v>
      </c>
      <c r="G2727">
        <f t="shared" si="252"/>
        <v>29</v>
      </c>
      <c r="H2727" s="1" t="str">
        <f t="shared" si="253"/>
        <v>Sunday</v>
      </c>
      <c r="I2727" t="str">
        <f t="shared" si="254"/>
        <v>No</v>
      </c>
      <c r="J2727">
        <f t="shared" si="255"/>
        <v>0</v>
      </c>
      <c r="K2727">
        <f t="shared" si="256"/>
        <v>0</v>
      </c>
      <c r="L2727">
        <f t="shared" si="257"/>
        <v>29</v>
      </c>
    </row>
    <row r="2728" spans="1:12" ht="14.4" customHeight="1" x14ac:dyDescent="0.3">
      <c r="A2728">
        <v>219404710</v>
      </c>
      <c r="B2728" s="1">
        <v>45138</v>
      </c>
      <c r="D2728" t="s">
        <v>7</v>
      </c>
      <c r="E2728">
        <v>39</v>
      </c>
      <c r="F2728" t="s">
        <v>6</v>
      </c>
      <c r="G2728" t="str">
        <f t="shared" si="252"/>
        <v/>
      </c>
      <c r="H2728" s="1" t="str">
        <f t="shared" si="253"/>
        <v>Monday</v>
      </c>
      <c r="I2728" t="str">
        <f t="shared" si="254"/>
        <v>No</v>
      </c>
      <c r="J2728">
        <f t="shared" si="255"/>
        <v>0</v>
      </c>
      <c r="K2728">
        <f t="shared" si="256"/>
        <v>0</v>
      </c>
      <c r="L2728" t="str">
        <f t="shared" si="257"/>
        <v/>
      </c>
    </row>
    <row r="2729" spans="1:12" ht="14.4" customHeight="1" x14ac:dyDescent="0.3">
      <c r="A2729">
        <v>219402896</v>
      </c>
      <c r="B2729" s="1">
        <v>45138</v>
      </c>
      <c r="D2729" t="s">
        <v>7</v>
      </c>
      <c r="E2729">
        <v>39</v>
      </c>
      <c r="F2729" t="s">
        <v>6</v>
      </c>
      <c r="G2729" t="str">
        <f t="shared" si="252"/>
        <v/>
      </c>
      <c r="H2729" s="1" t="str">
        <f t="shared" si="253"/>
        <v>Monday</v>
      </c>
      <c r="I2729" t="str">
        <f t="shared" si="254"/>
        <v>No</v>
      </c>
      <c r="J2729">
        <f t="shared" si="255"/>
        <v>0</v>
      </c>
      <c r="K2729">
        <f t="shared" si="256"/>
        <v>0</v>
      </c>
      <c r="L2729" t="str">
        <f t="shared" si="257"/>
        <v/>
      </c>
    </row>
    <row r="2730" spans="1:12" ht="14.4" customHeight="1" x14ac:dyDescent="0.3">
      <c r="A2730">
        <v>214129448</v>
      </c>
      <c r="B2730" s="1">
        <v>45138</v>
      </c>
      <c r="D2730" t="s">
        <v>7</v>
      </c>
      <c r="E2730">
        <v>39</v>
      </c>
      <c r="F2730" t="s">
        <v>6</v>
      </c>
      <c r="G2730" t="str">
        <f t="shared" si="252"/>
        <v/>
      </c>
      <c r="H2730" s="1" t="str">
        <f t="shared" si="253"/>
        <v>Monday</v>
      </c>
      <c r="I2730" t="str">
        <f t="shared" si="254"/>
        <v>No</v>
      </c>
      <c r="J2730">
        <f t="shared" si="255"/>
        <v>0</v>
      </c>
      <c r="K2730">
        <f t="shared" si="256"/>
        <v>0</v>
      </c>
      <c r="L2730" t="str">
        <f t="shared" si="257"/>
        <v/>
      </c>
    </row>
    <row r="2731" spans="1:12" ht="14.4" customHeight="1" x14ac:dyDescent="0.3">
      <c r="A2731">
        <v>219218929</v>
      </c>
      <c r="B2731" s="1">
        <v>45138</v>
      </c>
      <c r="D2731" t="s">
        <v>7</v>
      </c>
      <c r="E2731">
        <v>39</v>
      </c>
      <c r="F2731" t="s">
        <v>6</v>
      </c>
      <c r="G2731" t="str">
        <f t="shared" si="252"/>
        <v/>
      </c>
      <c r="H2731" s="1" t="str">
        <f t="shared" si="253"/>
        <v>Monday</v>
      </c>
      <c r="I2731" t="str">
        <f t="shared" si="254"/>
        <v>No</v>
      </c>
      <c r="J2731">
        <f t="shared" si="255"/>
        <v>0</v>
      </c>
      <c r="K2731">
        <f t="shared" si="256"/>
        <v>0</v>
      </c>
      <c r="L2731" t="str">
        <f t="shared" si="257"/>
        <v/>
      </c>
    </row>
    <row r="2732" spans="1:12" ht="14.4" customHeight="1" x14ac:dyDescent="0.3">
      <c r="A2732">
        <v>219385880</v>
      </c>
      <c r="B2732" s="1">
        <v>45138</v>
      </c>
      <c r="D2732" t="s">
        <v>7</v>
      </c>
      <c r="E2732">
        <v>39</v>
      </c>
      <c r="F2732" t="s">
        <v>6</v>
      </c>
      <c r="G2732" t="str">
        <f t="shared" si="252"/>
        <v/>
      </c>
      <c r="H2732" s="1" t="str">
        <f t="shared" si="253"/>
        <v>Monday</v>
      </c>
      <c r="I2732" t="str">
        <f t="shared" si="254"/>
        <v>No</v>
      </c>
      <c r="J2732">
        <f t="shared" si="255"/>
        <v>0</v>
      </c>
      <c r="K2732">
        <f t="shared" si="256"/>
        <v>0</v>
      </c>
      <c r="L2732" t="str">
        <f t="shared" si="257"/>
        <v/>
      </c>
    </row>
    <row r="2733" spans="1:12" ht="14.4" customHeight="1" x14ac:dyDescent="0.3">
      <c r="A2733">
        <v>219368039</v>
      </c>
      <c r="B2733" s="1">
        <v>45138</v>
      </c>
      <c r="D2733" t="s">
        <v>7</v>
      </c>
      <c r="E2733">
        <v>39</v>
      </c>
      <c r="F2733" t="s">
        <v>6</v>
      </c>
      <c r="G2733" t="str">
        <f t="shared" si="252"/>
        <v/>
      </c>
      <c r="H2733" s="1" t="str">
        <f t="shared" si="253"/>
        <v>Monday</v>
      </c>
      <c r="I2733" t="str">
        <f t="shared" si="254"/>
        <v>No</v>
      </c>
      <c r="J2733">
        <f t="shared" si="255"/>
        <v>0</v>
      </c>
      <c r="K2733">
        <f t="shared" si="256"/>
        <v>0</v>
      </c>
      <c r="L2733" t="str">
        <f t="shared" si="257"/>
        <v/>
      </c>
    </row>
    <row r="2734" spans="1:12" ht="14.4" customHeight="1" x14ac:dyDescent="0.3">
      <c r="A2734">
        <v>219328313</v>
      </c>
      <c r="B2734" s="1">
        <v>45138</v>
      </c>
      <c r="D2734" t="s">
        <v>7</v>
      </c>
      <c r="E2734">
        <v>39</v>
      </c>
      <c r="F2734" t="s">
        <v>6</v>
      </c>
      <c r="G2734" t="str">
        <f t="shared" si="252"/>
        <v/>
      </c>
      <c r="H2734" s="1" t="str">
        <f t="shared" si="253"/>
        <v>Monday</v>
      </c>
      <c r="I2734" t="str">
        <f t="shared" si="254"/>
        <v>No</v>
      </c>
      <c r="J2734">
        <f t="shared" si="255"/>
        <v>0</v>
      </c>
      <c r="K2734">
        <f t="shared" si="256"/>
        <v>0</v>
      </c>
      <c r="L2734" t="str">
        <f t="shared" si="257"/>
        <v/>
      </c>
    </row>
    <row r="2735" spans="1:12" ht="14.4" customHeight="1" x14ac:dyDescent="0.3">
      <c r="A2735">
        <v>219185386</v>
      </c>
      <c r="B2735" s="1">
        <v>45138</v>
      </c>
      <c r="C2735" s="1">
        <v>45139</v>
      </c>
      <c r="D2735" t="s">
        <v>8</v>
      </c>
      <c r="E2735">
        <v>39</v>
      </c>
      <c r="F2735" t="s">
        <v>6</v>
      </c>
      <c r="G2735">
        <f t="shared" si="252"/>
        <v>1</v>
      </c>
      <c r="H2735" s="1" t="str">
        <f t="shared" si="253"/>
        <v>Monday</v>
      </c>
      <c r="I2735" t="str">
        <f t="shared" si="254"/>
        <v>No</v>
      </c>
      <c r="J2735">
        <f t="shared" si="255"/>
        <v>1</v>
      </c>
      <c r="K2735">
        <f t="shared" si="256"/>
        <v>0</v>
      </c>
      <c r="L2735">
        <f t="shared" si="257"/>
        <v>1</v>
      </c>
    </row>
    <row r="2736" spans="1:12" ht="14.4" customHeight="1" x14ac:dyDescent="0.3">
      <c r="A2736">
        <v>183712256</v>
      </c>
      <c r="B2736" s="1">
        <v>45138</v>
      </c>
      <c r="C2736" s="1">
        <v>45146</v>
      </c>
      <c r="D2736" t="s">
        <v>7</v>
      </c>
      <c r="E2736">
        <v>39</v>
      </c>
      <c r="F2736" t="s">
        <v>6</v>
      </c>
      <c r="G2736">
        <f t="shared" si="252"/>
        <v>8</v>
      </c>
      <c r="H2736" s="1" t="str">
        <f t="shared" si="253"/>
        <v>Monday</v>
      </c>
      <c r="I2736" t="str">
        <f t="shared" si="254"/>
        <v>No</v>
      </c>
      <c r="J2736">
        <f t="shared" si="255"/>
        <v>0</v>
      </c>
      <c r="K2736">
        <f t="shared" si="256"/>
        <v>0</v>
      </c>
      <c r="L2736">
        <f t="shared" si="257"/>
        <v>8</v>
      </c>
    </row>
    <row r="2737" spans="1:12" ht="14.4" customHeight="1" x14ac:dyDescent="0.3">
      <c r="A2737">
        <v>217624207</v>
      </c>
      <c r="B2737" s="1">
        <v>45139</v>
      </c>
      <c r="D2737" t="s">
        <v>7</v>
      </c>
      <c r="E2737">
        <v>39</v>
      </c>
      <c r="F2737" t="s">
        <v>6</v>
      </c>
      <c r="G2737" t="str">
        <f t="shared" si="252"/>
        <v/>
      </c>
      <c r="H2737" s="1" t="str">
        <f t="shared" si="253"/>
        <v>Tuesday</v>
      </c>
      <c r="I2737" t="str">
        <f t="shared" si="254"/>
        <v>No</v>
      </c>
      <c r="J2737">
        <f t="shared" si="255"/>
        <v>0</v>
      </c>
      <c r="K2737">
        <f t="shared" si="256"/>
        <v>0</v>
      </c>
      <c r="L2737" t="str">
        <f t="shared" si="257"/>
        <v/>
      </c>
    </row>
    <row r="2738" spans="1:12" ht="14.4" customHeight="1" x14ac:dyDescent="0.3">
      <c r="A2738">
        <v>218938921</v>
      </c>
      <c r="B2738" s="1">
        <v>45139</v>
      </c>
      <c r="D2738" t="s">
        <v>7</v>
      </c>
      <c r="E2738">
        <v>39</v>
      </c>
      <c r="F2738" t="s">
        <v>6</v>
      </c>
      <c r="G2738" t="str">
        <f t="shared" si="252"/>
        <v/>
      </c>
      <c r="H2738" s="1" t="str">
        <f t="shared" si="253"/>
        <v>Tuesday</v>
      </c>
      <c r="I2738" t="str">
        <f t="shared" si="254"/>
        <v>No</v>
      </c>
      <c r="J2738">
        <f t="shared" si="255"/>
        <v>0</v>
      </c>
      <c r="K2738">
        <f t="shared" si="256"/>
        <v>0</v>
      </c>
      <c r="L2738" t="str">
        <f t="shared" si="257"/>
        <v/>
      </c>
    </row>
    <row r="2739" spans="1:12" ht="14.4" customHeight="1" x14ac:dyDescent="0.3">
      <c r="A2739">
        <v>147145693</v>
      </c>
      <c r="B2739" s="1">
        <v>45139</v>
      </c>
      <c r="D2739" t="s">
        <v>7</v>
      </c>
      <c r="E2739">
        <v>39</v>
      </c>
      <c r="F2739" t="s">
        <v>6</v>
      </c>
      <c r="G2739" t="str">
        <f t="shared" si="252"/>
        <v/>
      </c>
      <c r="H2739" s="1" t="str">
        <f t="shared" si="253"/>
        <v>Tuesday</v>
      </c>
      <c r="I2739" t="str">
        <f t="shared" si="254"/>
        <v>No</v>
      </c>
      <c r="J2739">
        <f t="shared" si="255"/>
        <v>0</v>
      </c>
      <c r="K2739">
        <f t="shared" si="256"/>
        <v>0</v>
      </c>
      <c r="L2739" t="str">
        <f t="shared" si="257"/>
        <v/>
      </c>
    </row>
    <row r="2740" spans="1:12" ht="14.4" customHeight="1" x14ac:dyDescent="0.3">
      <c r="A2740">
        <v>218459038</v>
      </c>
      <c r="B2740" s="1">
        <v>45139</v>
      </c>
      <c r="D2740" t="s">
        <v>7</v>
      </c>
      <c r="E2740">
        <v>39</v>
      </c>
      <c r="F2740" t="s">
        <v>6</v>
      </c>
      <c r="G2740" t="str">
        <f t="shared" si="252"/>
        <v/>
      </c>
      <c r="H2740" s="1" t="str">
        <f t="shared" si="253"/>
        <v>Tuesday</v>
      </c>
      <c r="I2740" t="str">
        <f t="shared" si="254"/>
        <v>No</v>
      </c>
      <c r="J2740">
        <f t="shared" si="255"/>
        <v>0</v>
      </c>
      <c r="K2740">
        <f t="shared" si="256"/>
        <v>0</v>
      </c>
      <c r="L2740" t="str">
        <f t="shared" si="257"/>
        <v/>
      </c>
    </row>
    <row r="2741" spans="1:12" ht="14.4" customHeight="1" x14ac:dyDescent="0.3">
      <c r="A2741">
        <v>219395734</v>
      </c>
      <c r="B2741" s="1">
        <v>45139</v>
      </c>
      <c r="D2741" t="s">
        <v>7</v>
      </c>
      <c r="E2741">
        <v>39</v>
      </c>
      <c r="F2741" t="s">
        <v>6</v>
      </c>
      <c r="G2741" t="str">
        <f t="shared" si="252"/>
        <v/>
      </c>
      <c r="H2741" s="1" t="str">
        <f t="shared" si="253"/>
        <v>Tuesday</v>
      </c>
      <c r="I2741" t="str">
        <f t="shared" si="254"/>
        <v>No</v>
      </c>
      <c r="J2741">
        <f t="shared" si="255"/>
        <v>0</v>
      </c>
      <c r="K2741">
        <f t="shared" si="256"/>
        <v>0</v>
      </c>
      <c r="L2741" t="str">
        <f t="shared" si="257"/>
        <v/>
      </c>
    </row>
    <row r="2742" spans="1:12" ht="14.4" customHeight="1" x14ac:dyDescent="0.3">
      <c r="A2742">
        <v>219413956</v>
      </c>
      <c r="B2742" s="1">
        <v>45139</v>
      </c>
      <c r="D2742" t="s">
        <v>7</v>
      </c>
      <c r="E2742">
        <v>39</v>
      </c>
      <c r="F2742" t="s">
        <v>6</v>
      </c>
      <c r="G2742" t="str">
        <f t="shared" si="252"/>
        <v/>
      </c>
      <c r="H2742" s="1" t="str">
        <f t="shared" si="253"/>
        <v>Tuesday</v>
      </c>
      <c r="I2742" t="str">
        <f t="shared" si="254"/>
        <v>No</v>
      </c>
      <c r="J2742">
        <f t="shared" si="255"/>
        <v>0</v>
      </c>
      <c r="K2742">
        <f t="shared" si="256"/>
        <v>0</v>
      </c>
      <c r="L2742" t="str">
        <f t="shared" si="257"/>
        <v/>
      </c>
    </row>
    <row r="2743" spans="1:12" x14ac:dyDescent="0.3">
      <c r="A2743">
        <v>218562434</v>
      </c>
      <c r="B2743" s="1">
        <v>45139</v>
      </c>
      <c r="C2743" s="1">
        <v>45170</v>
      </c>
      <c r="D2743" t="s">
        <v>7</v>
      </c>
      <c r="E2743">
        <v>39</v>
      </c>
      <c r="F2743" t="s">
        <v>6</v>
      </c>
      <c r="G2743">
        <f t="shared" si="252"/>
        <v>31</v>
      </c>
      <c r="H2743" s="1" t="str">
        <f t="shared" si="253"/>
        <v>Tuesday</v>
      </c>
      <c r="I2743" t="str">
        <f t="shared" si="254"/>
        <v>No</v>
      </c>
      <c r="J2743">
        <f t="shared" si="255"/>
        <v>0</v>
      </c>
      <c r="K2743">
        <f t="shared" si="256"/>
        <v>1</v>
      </c>
      <c r="L2743">
        <f t="shared" si="257"/>
        <v>31</v>
      </c>
    </row>
    <row r="2744" spans="1:12" x14ac:dyDescent="0.3">
      <c r="A2744">
        <v>135521927</v>
      </c>
      <c r="B2744" s="1">
        <v>45139</v>
      </c>
      <c r="C2744" s="1">
        <v>45171</v>
      </c>
      <c r="D2744" t="s">
        <v>7</v>
      </c>
      <c r="E2744">
        <v>39</v>
      </c>
      <c r="F2744" t="s">
        <v>6</v>
      </c>
      <c r="G2744">
        <f t="shared" si="252"/>
        <v>32</v>
      </c>
      <c r="H2744" s="1" t="str">
        <f t="shared" si="253"/>
        <v>Tuesday</v>
      </c>
      <c r="I2744" t="str">
        <f t="shared" si="254"/>
        <v>No</v>
      </c>
      <c r="J2744">
        <f t="shared" si="255"/>
        <v>0</v>
      </c>
      <c r="K2744">
        <f t="shared" si="256"/>
        <v>1</v>
      </c>
      <c r="L2744">
        <f t="shared" si="257"/>
        <v>32</v>
      </c>
    </row>
    <row r="2745" spans="1:12" ht="14.4" customHeight="1" x14ac:dyDescent="0.3">
      <c r="A2745">
        <v>157035378</v>
      </c>
      <c r="B2745" s="1">
        <v>45139</v>
      </c>
      <c r="C2745" s="1">
        <v>45169</v>
      </c>
      <c r="D2745" t="s">
        <v>7</v>
      </c>
      <c r="E2745">
        <v>39</v>
      </c>
      <c r="F2745" t="s">
        <v>6</v>
      </c>
      <c r="G2745">
        <f t="shared" si="252"/>
        <v>30</v>
      </c>
      <c r="H2745" s="1" t="str">
        <f t="shared" si="253"/>
        <v>Tuesday</v>
      </c>
      <c r="I2745" t="str">
        <f t="shared" si="254"/>
        <v>No</v>
      </c>
      <c r="J2745">
        <f t="shared" si="255"/>
        <v>0</v>
      </c>
      <c r="K2745">
        <f t="shared" si="256"/>
        <v>0</v>
      </c>
      <c r="L2745">
        <f t="shared" si="257"/>
        <v>30</v>
      </c>
    </row>
    <row r="2746" spans="1:12" ht="14.4" customHeight="1" x14ac:dyDescent="0.3">
      <c r="A2746">
        <v>219382434</v>
      </c>
      <c r="B2746" s="1">
        <v>45139</v>
      </c>
      <c r="C2746" s="1">
        <v>45169</v>
      </c>
      <c r="D2746" t="s">
        <v>7</v>
      </c>
      <c r="E2746">
        <v>39</v>
      </c>
      <c r="F2746" t="s">
        <v>6</v>
      </c>
      <c r="G2746">
        <f t="shared" si="252"/>
        <v>30</v>
      </c>
      <c r="H2746" s="1" t="str">
        <f t="shared" si="253"/>
        <v>Tuesday</v>
      </c>
      <c r="I2746" t="str">
        <f t="shared" si="254"/>
        <v>No</v>
      </c>
      <c r="J2746">
        <f t="shared" si="255"/>
        <v>0</v>
      </c>
      <c r="K2746">
        <f t="shared" si="256"/>
        <v>0</v>
      </c>
      <c r="L2746">
        <f t="shared" si="257"/>
        <v>30</v>
      </c>
    </row>
    <row r="2747" spans="1:12" ht="14.4" customHeight="1" x14ac:dyDescent="0.3">
      <c r="A2747">
        <v>208762353</v>
      </c>
      <c r="B2747" s="1">
        <v>45140</v>
      </c>
      <c r="D2747" t="s">
        <v>7</v>
      </c>
      <c r="E2747">
        <v>39</v>
      </c>
      <c r="F2747" t="s">
        <v>6</v>
      </c>
      <c r="G2747" t="str">
        <f t="shared" si="252"/>
        <v/>
      </c>
      <c r="H2747" s="1" t="str">
        <f t="shared" si="253"/>
        <v>Wednesday</v>
      </c>
      <c r="I2747" t="str">
        <f t="shared" si="254"/>
        <v>No</v>
      </c>
      <c r="J2747">
        <f t="shared" si="255"/>
        <v>0</v>
      </c>
      <c r="K2747">
        <f t="shared" si="256"/>
        <v>0</v>
      </c>
      <c r="L2747" t="str">
        <f t="shared" si="257"/>
        <v/>
      </c>
    </row>
    <row r="2748" spans="1:12" ht="14.4" customHeight="1" x14ac:dyDescent="0.3">
      <c r="A2748">
        <v>218346336</v>
      </c>
      <c r="B2748" s="1">
        <v>45140</v>
      </c>
      <c r="D2748" t="s">
        <v>7</v>
      </c>
      <c r="E2748">
        <v>39</v>
      </c>
      <c r="F2748" t="s">
        <v>6</v>
      </c>
      <c r="G2748" t="str">
        <f t="shared" si="252"/>
        <v/>
      </c>
      <c r="H2748" s="1" t="str">
        <f t="shared" si="253"/>
        <v>Wednesday</v>
      </c>
      <c r="I2748" t="str">
        <f t="shared" si="254"/>
        <v>No</v>
      </c>
      <c r="J2748">
        <f t="shared" si="255"/>
        <v>0</v>
      </c>
      <c r="K2748">
        <f t="shared" si="256"/>
        <v>0</v>
      </c>
      <c r="L2748" t="str">
        <f t="shared" si="257"/>
        <v/>
      </c>
    </row>
    <row r="2749" spans="1:12" ht="14.4" customHeight="1" x14ac:dyDescent="0.3">
      <c r="A2749">
        <v>219226230</v>
      </c>
      <c r="B2749" s="1">
        <v>45140</v>
      </c>
      <c r="D2749" t="s">
        <v>7</v>
      </c>
      <c r="E2749">
        <v>39</v>
      </c>
      <c r="F2749" t="s">
        <v>6</v>
      </c>
      <c r="G2749" t="str">
        <f t="shared" si="252"/>
        <v/>
      </c>
      <c r="H2749" s="1" t="str">
        <f t="shared" si="253"/>
        <v>Wednesday</v>
      </c>
      <c r="I2749" t="str">
        <f t="shared" si="254"/>
        <v>No</v>
      </c>
      <c r="J2749">
        <f t="shared" si="255"/>
        <v>0</v>
      </c>
      <c r="K2749">
        <f t="shared" si="256"/>
        <v>0</v>
      </c>
      <c r="L2749" t="str">
        <f t="shared" si="257"/>
        <v/>
      </c>
    </row>
    <row r="2750" spans="1:12" ht="14.4" customHeight="1" x14ac:dyDescent="0.3">
      <c r="A2750">
        <v>219369515</v>
      </c>
      <c r="B2750" s="1">
        <v>45140</v>
      </c>
      <c r="D2750" t="s">
        <v>7</v>
      </c>
      <c r="E2750">
        <v>39</v>
      </c>
      <c r="F2750" t="s">
        <v>6</v>
      </c>
      <c r="G2750" t="str">
        <f t="shared" si="252"/>
        <v/>
      </c>
      <c r="H2750" s="1" t="str">
        <f t="shared" si="253"/>
        <v>Wednesday</v>
      </c>
      <c r="I2750" t="str">
        <f t="shared" si="254"/>
        <v>No</v>
      </c>
      <c r="J2750">
        <f t="shared" si="255"/>
        <v>0</v>
      </c>
      <c r="K2750">
        <f t="shared" si="256"/>
        <v>0</v>
      </c>
      <c r="L2750" t="str">
        <f t="shared" si="257"/>
        <v/>
      </c>
    </row>
    <row r="2751" spans="1:12" ht="14.4" customHeight="1" x14ac:dyDescent="0.3">
      <c r="A2751">
        <v>204947361</v>
      </c>
      <c r="B2751" s="1">
        <v>45140</v>
      </c>
      <c r="D2751" t="s">
        <v>7</v>
      </c>
      <c r="E2751">
        <v>39</v>
      </c>
      <c r="F2751" t="s">
        <v>6</v>
      </c>
      <c r="G2751" t="str">
        <f t="shared" si="252"/>
        <v/>
      </c>
      <c r="H2751" s="1" t="str">
        <f t="shared" si="253"/>
        <v>Wednesday</v>
      </c>
      <c r="I2751" t="str">
        <f t="shared" si="254"/>
        <v>No</v>
      </c>
      <c r="J2751">
        <f t="shared" si="255"/>
        <v>0</v>
      </c>
      <c r="K2751">
        <f t="shared" si="256"/>
        <v>0</v>
      </c>
      <c r="L2751" t="str">
        <f t="shared" si="257"/>
        <v/>
      </c>
    </row>
    <row r="2752" spans="1:12" ht="14.4" customHeight="1" x14ac:dyDescent="0.3">
      <c r="A2752">
        <v>212977568</v>
      </c>
      <c r="B2752" s="1">
        <v>45140</v>
      </c>
      <c r="D2752" t="s">
        <v>7</v>
      </c>
      <c r="E2752">
        <v>39</v>
      </c>
      <c r="F2752" t="s">
        <v>6</v>
      </c>
      <c r="G2752" t="str">
        <f t="shared" si="252"/>
        <v/>
      </c>
      <c r="H2752" s="1" t="str">
        <f t="shared" si="253"/>
        <v>Wednesday</v>
      </c>
      <c r="I2752" t="str">
        <f t="shared" si="254"/>
        <v>No</v>
      </c>
      <c r="J2752">
        <f t="shared" si="255"/>
        <v>0</v>
      </c>
      <c r="K2752">
        <f t="shared" si="256"/>
        <v>0</v>
      </c>
      <c r="L2752" t="str">
        <f t="shared" si="257"/>
        <v/>
      </c>
    </row>
    <row r="2753" spans="1:12" ht="14.4" customHeight="1" x14ac:dyDescent="0.3">
      <c r="A2753">
        <v>217981717</v>
      </c>
      <c r="B2753" s="1">
        <v>45140</v>
      </c>
      <c r="D2753" t="s">
        <v>7</v>
      </c>
      <c r="E2753">
        <v>39</v>
      </c>
      <c r="F2753" t="s">
        <v>6</v>
      </c>
      <c r="G2753" t="str">
        <f t="shared" si="252"/>
        <v/>
      </c>
      <c r="H2753" s="1" t="str">
        <f t="shared" si="253"/>
        <v>Wednesday</v>
      </c>
      <c r="I2753" t="str">
        <f t="shared" si="254"/>
        <v>No</v>
      </c>
      <c r="J2753">
        <f t="shared" si="255"/>
        <v>0</v>
      </c>
      <c r="K2753">
        <f t="shared" si="256"/>
        <v>0</v>
      </c>
      <c r="L2753" t="str">
        <f t="shared" si="257"/>
        <v/>
      </c>
    </row>
    <row r="2754" spans="1:12" ht="14.4" customHeight="1" x14ac:dyDescent="0.3">
      <c r="A2754">
        <v>219459089</v>
      </c>
      <c r="B2754" s="1">
        <v>45140</v>
      </c>
      <c r="D2754" t="s">
        <v>7</v>
      </c>
      <c r="E2754">
        <v>39</v>
      </c>
      <c r="F2754" t="s">
        <v>6</v>
      </c>
      <c r="G2754" t="str">
        <f t="shared" ref="G2754:G2817" si="258">IF(C2754="","",C2754-B2754)</f>
        <v/>
      </c>
      <c r="H2754" s="1" t="str">
        <f t="shared" si="253"/>
        <v>Wednesday</v>
      </c>
      <c r="I2754" t="str">
        <f t="shared" si="254"/>
        <v>No</v>
      </c>
      <c r="J2754">
        <f t="shared" si="255"/>
        <v>0</v>
      </c>
      <c r="K2754">
        <f t="shared" si="256"/>
        <v>0</v>
      </c>
      <c r="L2754" t="str">
        <f t="shared" si="257"/>
        <v/>
      </c>
    </row>
    <row r="2755" spans="1:12" ht="14.4" customHeight="1" x14ac:dyDescent="0.3">
      <c r="A2755">
        <v>193483420</v>
      </c>
      <c r="B2755" s="1">
        <v>45140</v>
      </c>
      <c r="D2755" t="s">
        <v>7</v>
      </c>
      <c r="E2755">
        <v>39</v>
      </c>
      <c r="F2755" t="s">
        <v>6</v>
      </c>
      <c r="G2755" t="str">
        <f t="shared" si="258"/>
        <v/>
      </c>
      <c r="H2755" s="1" t="str">
        <f t="shared" ref="H2755:H2818" si="259">TEXT(B2755,"dddd")</f>
        <v>Wednesday</v>
      </c>
      <c r="I2755" t="str">
        <f t="shared" ref="I2755:I2818" si="260">IF(B2755=C2755,"Yes","No")</f>
        <v>No</v>
      </c>
      <c r="J2755">
        <f t="shared" ref="J2755:J2818" si="261">IF(AND(C2755&lt;&gt;"",C2755-B2755&lt;=2),1,0)</f>
        <v>0</v>
      </c>
      <c r="K2755">
        <f t="shared" ref="K2755:K2818" si="262">IF(AND(C2755&lt;&gt;"",C2755-B2755&gt;30),1,0)</f>
        <v>0</v>
      </c>
      <c r="L2755" t="str">
        <f t="shared" ref="L2755:L2818" si="263">IF(C2755="","",C2755-B2755)</f>
        <v/>
      </c>
    </row>
    <row r="2756" spans="1:12" x14ac:dyDescent="0.3">
      <c r="A2756">
        <v>219496362</v>
      </c>
      <c r="B2756" s="1">
        <v>45140</v>
      </c>
      <c r="C2756" s="1">
        <v>45173</v>
      </c>
      <c r="D2756" t="s">
        <v>7</v>
      </c>
      <c r="E2756">
        <v>39</v>
      </c>
      <c r="F2756" t="s">
        <v>6</v>
      </c>
      <c r="G2756">
        <f t="shared" si="258"/>
        <v>33</v>
      </c>
      <c r="H2756" s="1" t="str">
        <f t="shared" si="259"/>
        <v>Wednesday</v>
      </c>
      <c r="I2756" t="str">
        <f t="shared" si="260"/>
        <v>No</v>
      </c>
      <c r="J2756">
        <f t="shared" si="261"/>
        <v>0</v>
      </c>
      <c r="K2756">
        <f t="shared" si="262"/>
        <v>1</v>
      </c>
      <c r="L2756">
        <f t="shared" si="263"/>
        <v>33</v>
      </c>
    </row>
    <row r="2757" spans="1:12" x14ac:dyDescent="0.3">
      <c r="A2757">
        <v>219398902</v>
      </c>
      <c r="B2757" s="1">
        <v>45140</v>
      </c>
      <c r="C2757" s="1">
        <v>45174</v>
      </c>
      <c r="D2757" t="s">
        <v>7</v>
      </c>
      <c r="E2757">
        <v>39</v>
      </c>
      <c r="F2757" t="s">
        <v>6</v>
      </c>
      <c r="G2757">
        <f t="shared" si="258"/>
        <v>34</v>
      </c>
      <c r="H2757" s="1" t="str">
        <f t="shared" si="259"/>
        <v>Wednesday</v>
      </c>
      <c r="I2757" t="str">
        <f t="shared" si="260"/>
        <v>No</v>
      </c>
      <c r="J2757">
        <f t="shared" si="261"/>
        <v>0</v>
      </c>
      <c r="K2757">
        <f t="shared" si="262"/>
        <v>1</v>
      </c>
      <c r="L2757">
        <f t="shared" si="263"/>
        <v>34</v>
      </c>
    </row>
    <row r="2758" spans="1:12" ht="14.4" customHeight="1" x14ac:dyDescent="0.3">
      <c r="A2758">
        <v>219497152</v>
      </c>
      <c r="B2758" s="1">
        <v>45140</v>
      </c>
      <c r="C2758" s="1">
        <v>45161</v>
      </c>
      <c r="D2758" t="s">
        <v>7</v>
      </c>
      <c r="E2758">
        <v>39</v>
      </c>
      <c r="F2758" t="s">
        <v>6</v>
      </c>
      <c r="G2758">
        <f t="shared" si="258"/>
        <v>21</v>
      </c>
      <c r="H2758" s="1" t="str">
        <f t="shared" si="259"/>
        <v>Wednesday</v>
      </c>
      <c r="I2758" t="str">
        <f t="shared" si="260"/>
        <v>No</v>
      </c>
      <c r="J2758">
        <f t="shared" si="261"/>
        <v>0</v>
      </c>
      <c r="K2758">
        <f t="shared" si="262"/>
        <v>0</v>
      </c>
      <c r="L2758">
        <f t="shared" si="263"/>
        <v>21</v>
      </c>
    </row>
    <row r="2759" spans="1:12" ht="14.4" customHeight="1" x14ac:dyDescent="0.3">
      <c r="A2759">
        <v>188426619</v>
      </c>
      <c r="B2759" s="1">
        <v>45140</v>
      </c>
      <c r="C2759" s="1">
        <v>45170</v>
      </c>
      <c r="D2759" t="s">
        <v>7</v>
      </c>
      <c r="E2759">
        <v>39</v>
      </c>
      <c r="F2759" t="s">
        <v>6</v>
      </c>
      <c r="G2759">
        <f t="shared" si="258"/>
        <v>30</v>
      </c>
      <c r="H2759" s="1" t="str">
        <f t="shared" si="259"/>
        <v>Wednesday</v>
      </c>
      <c r="I2759" t="str">
        <f t="shared" si="260"/>
        <v>No</v>
      </c>
      <c r="J2759">
        <f t="shared" si="261"/>
        <v>0</v>
      </c>
      <c r="K2759">
        <f t="shared" si="262"/>
        <v>0</v>
      </c>
      <c r="L2759">
        <f t="shared" si="263"/>
        <v>30</v>
      </c>
    </row>
    <row r="2760" spans="1:12" ht="14.4" customHeight="1" x14ac:dyDescent="0.3">
      <c r="A2760">
        <v>219470485</v>
      </c>
      <c r="B2760" s="1">
        <v>45140</v>
      </c>
      <c r="C2760" s="1">
        <v>45154</v>
      </c>
      <c r="D2760" t="s">
        <v>7</v>
      </c>
      <c r="E2760">
        <v>39</v>
      </c>
      <c r="F2760" t="s">
        <v>6</v>
      </c>
      <c r="G2760">
        <f t="shared" si="258"/>
        <v>14</v>
      </c>
      <c r="H2760" s="1" t="str">
        <f t="shared" si="259"/>
        <v>Wednesday</v>
      </c>
      <c r="I2760" t="str">
        <f t="shared" si="260"/>
        <v>No</v>
      </c>
      <c r="J2760">
        <f t="shared" si="261"/>
        <v>0</v>
      </c>
      <c r="K2760">
        <f t="shared" si="262"/>
        <v>0</v>
      </c>
      <c r="L2760">
        <f t="shared" si="263"/>
        <v>14</v>
      </c>
    </row>
    <row r="2761" spans="1:12" ht="14.4" customHeight="1" x14ac:dyDescent="0.3">
      <c r="A2761">
        <v>219460783</v>
      </c>
      <c r="B2761" s="1">
        <v>45140</v>
      </c>
      <c r="C2761" s="1">
        <v>45166</v>
      </c>
      <c r="D2761" t="s">
        <v>7</v>
      </c>
      <c r="E2761">
        <v>39</v>
      </c>
      <c r="F2761" t="s">
        <v>6</v>
      </c>
      <c r="G2761">
        <f t="shared" si="258"/>
        <v>26</v>
      </c>
      <c r="H2761" s="1" t="str">
        <f t="shared" si="259"/>
        <v>Wednesday</v>
      </c>
      <c r="I2761" t="str">
        <f t="shared" si="260"/>
        <v>No</v>
      </c>
      <c r="J2761">
        <f t="shared" si="261"/>
        <v>0</v>
      </c>
      <c r="K2761">
        <f t="shared" si="262"/>
        <v>0</v>
      </c>
      <c r="L2761">
        <f t="shared" si="263"/>
        <v>26</v>
      </c>
    </row>
    <row r="2762" spans="1:12" ht="14.4" customHeight="1" x14ac:dyDescent="0.3">
      <c r="A2762">
        <v>219512722</v>
      </c>
      <c r="B2762" s="1">
        <v>45141</v>
      </c>
      <c r="D2762" t="s">
        <v>7</v>
      </c>
      <c r="E2762">
        <v>39</v>
      </c>
      <c r="F2762" t="s">
        <v>6</v>
      </c>
      <c r="G2762" t="str">
        <f t="shared" si="258"/>
        <v/>
      </c>
      <c r="H2762" s="1" t="str">
        <f t="shared" si="259"/>
        <v>Thursday</v>
      </c>
      <c r="I2762" t="str">
        <f t="shared" si="260"/>
        <v>No</v>
      </c>
      <c r="J2762">
        <f t="shared" si="261"/>
        <v>0</v>
      </c>
      <c r="K2762">
        <f t="shared" si="262"/>
        <v>0</v>
      </c>
      <c r="L2762" t="str">
        <f t="shared" si="263"/>
        <v/>
      </c>
    </row>
    <row r="2763" spans="1:12" ht="14.4" customHeight="1" x14ac:dyDescent="0.3">
      <c r="A2763">
        <v>199393176</v>
      </c>
      <c r="B2763" s="1">
        <v>45141</v>
      </c>
      <c r="D2763" t="s">
        <v>7</v>
      </c>
      <c r="E2763">
        <v>39</v>
      </c>
      <c r="F2763" t="s">
        <v>6</v>
      </c>
      <c r="G2763" t="str">
        <f t="shared" si="258"/>
        <v/>
      </c>
      <c r="H2763" s="1" t="str">
        <f t="shared" si="259"/>
        <v>Thursday</v>
      </c>
      <c r="I2763" t="str">
        <f t="shared" si="260"/>
        <v>No</v>
      </c>
      <c r="J2763">
        <f t="shared" si="261"/>
        <v>0</v>
      </c>
      <c r="K2763">
        <f t="shared" si="262"/>
        <v>0</v>
      </c>
      <c r="L2763" t="str">
        <f t="shared" si="263"/>
        <v/>
      </c>
    </row>
    <row r="2764" spans="1:12" ht="14.4" customHeight="1" x14ac:dyDescent="0.3">
      <c r="A2764">
        <v>217368686</v>
      </c>
      <c r="B2764" s="1">
        <v>45141</v>
      </c>
      <c r="D2764" t="s">
        <v>7</v>
      </c>
      <c r="E2764">
        <v>39</v>
      </c>
      <c r="F2764" t="s">
        <v>6</v>
      </c>
      <c r="G2764" t="str">
        <f t="shared" si="258"/>
        <v/>
      </c>
      <c r="H2764" s="1" t="str">
        <f t="shared" si="259"/>
        <v>Thursday</v>
      </c>
      <c r="I2764" t="str">
        <f t="shared" si="260"/>
        <v>No</v>
      </c>
      <c r="J2764">
        <f t="shared" si="261"/>
        <v>0</v>
      </c>
      <c r="K2764">
        <f t="shared" si="262"/>
        <v>0</v>
      </c>
      <c r="L2764" t="str">
        <f t="shared" si="263"/>
        <v/>
      </c>
    </row>
    <row r="2765" spans="1:12" ht="14.4" customHeight="1" x14ac:dyDescent="0.3">
      <c r="A2765">
        <v>218247056</v>
      </c>
      <c r="B2765" s="1">
        <v>45141</v>
      </c>
      <c r="D2765" t="s">
        <v>7</v>
      </c>
      <c r="E2765">
        <v>39</v>
      </c>
      <c r="F2765" t="s">
        <v>6</v>
      </c>
      <c r="G2765" t="str">
        <f t="shared" si="258"/>
        <v/>
      </c>
      <c r="H2765" s="1" t="str">
        <f t="shared" si="259"/>
        <v>Thursday</v>
      </c>
      <c r="I2765" t="str">
        <f t="shared" si="260"/>
        <v>No</v>
      </c>
      <c r="J2765">
        <f t="shared" si="261"/>
        <v>0</v>
      </c>
      <c r="K2765">
        <f t="shared" si="262"/>
        <v>0</v>
      </c>
      <c r="L2765" t="str">
        <f t="shared" si="263"/>
        <v/>
      </c>
    </row>
    <row r="2766" spans="1:12" ht="14.4" customHeight="1" x14ac:dyDescent="0.3">
      <c r="A2766">
        <v>219439239</v>
      </c>
      <c r="B2766" s="1">
        <v>45141</v>
      </c>
      <c r="D2766" t="s">
        <v>7</v>
      </c>
      <c r="E2766">
        <v>39</v>
      </c>
      <c r="F2766" t="s">
        <v>6</v>
      </c>
      <c r="G2766" t="str">
        <f t="shared" si="258"/>
        <v/>
      </c>
      <c r="H2766" s="1" t="str">
        <f t="shared" si="259"/>
        <v>Thursday</v>
      </c>
      <c r="I2766" t="str">
        <f t="shared" si="260"/>
        <v>No</v>
      </c>
      <c r="J2766">
        <f t="shared" si="261"/>
        <v>0</v>
      </c>
      <c r="K2766">
        <f t="shared" si="262"/>
        <v>0</v>
      </c>
      <c r="L2766" t="str">
        <f t="shared" si="263"/>
        <v/>
      </c>
    </row>
    <row r="2767" spans="1:12" ht="14.4" customHeight="1" x14ac:dyDescent="0.3">
      <c r="A2767">
        <v>188206991</v>
      </c>
      <c r="B2767" s="1">
        <v>45141</v>
      </c>
      <c r="D2767" t="s">
        <v>7</v>
      </c>
      <c r="E2767">
        <v>39</v>
      </c>
      <c r="F2767" t="s">
        <v>6</v>
      </c>
      <c r="G2767" t="str">
        <f t="shared" si="258"/>
        <v/>
      </c>
      <c r="H2767" s="1" t="str">
        <f t="shared" si="259"/>
        <v>Thursday</v>
      </c>
      <c r="I2767" t="str">
        <f t="shared" si="260"/>
        <v>No</v>
      </c>
      <c r="J2767">
        <f t="shared" si="261"/>
        <v>0</v>
      </c>
      <c r="K2767">
        <f t="shared" si="262"/>
        <v>0</v>
      </c>
      <c r="L2767" t="str">
        <f t="shared" si="263"/>
        <v/>
      </c>
    </row>
    <row r="2768" spans="1:12" ht="14.4" customHeight="1" x14ac:dyDescent="0.3">
      <c r="A2768">
        <v>206470657</v>
      </c>
      <c r="B2768" s="1">
        <v>45141</v>
      </c>
      <c r="D2768" t="s">
        <v>7</v>
      </c>
      <c r="E2768">
        <v>39</v>
      </c>
      <c r="F2768" t="s">
        <v>6</v>
      </c>
      <c r="G2768" t="str">
        <f t="shared" si="258"/>
        <v/>
      </c>
      <c r="H2768" s="1" t="str">
        <f t="shared" si="259"/>
        <v>Thursday</v>
      </c>
      <c r="I2768" t="str">
        <f t="shared" si="260"/>
        <v>No</v>
      </c>
      <c r="J2768">
        <f t="shared" si="261"/>
        <v>0</v>
      </c>
      <c r="K2768">
        <f t="shared" si="262"/>
        <v>0</v>
      </c>
      <c r="L2768" t="str">
        <f t="shared" si="263"/>
        <v/>
      </c>
    </row>
    <row r="2769" spans="1:12" ht="14.4" customHeight="1" x14ac:dyDescent="0.3">
      <c r="A2769">
        <v>218706730</v>
      </c>
      <c r="B2769" s="1">
        <v>45141</v>
      </c>
      <c r="D2769" t="s">
        <v>7</v>
      </c>
      <c r="E2769">
        <v>39</v>
      </c>
      <c r="F2769" t="s">
        <v>6</v>
      </c>
      <c r="G2769" t="str">
        <f t="shared" si="258"/>
        <v/>
      </c>
      <c r="H2769" s="1" t="str">
        <f t="shared" si="259"/>
        <v>Thursday</v>
      </c>
      <c r="I2769" t="str">
        <f t="shared" si="260"/>
        <v>No</v>
      </c>
      <c r="J2769">
        <f t="shared" si="261"/>
        <v>0</v>
      </c>
      <c r="K2769">
        <f t="shared" si="262"/>
        <v>0</v>
      </c>
      <c r="L2769" t="str">
        <f t="shared" si="263"/>
        <v/>
      </c>
    </row>
    <row r="2770" spans="1:12" ht="14.4" customHeight="1" x14ac:dyDescent="0.3">
      <c r="A2770">
        <v>219512680</v>
      </c>
      <c r="B2770" s="1">
        <v>45141</v>
      </c>
      <c r="D2770" t="s">
        <v>7</v>
      </c>
      <c r="E2770">
        <v>39</v>
      </c>
      <c r="F2770" t="s">
        <v>6</v>
      </c>
      <c r="G2770" t="str">
        <f t="shared" si="258"/>
        <v/>
      </c>
      <c r="H2770" s="1" t="str">
        <f t="shared" si="259"/>
        <v>Thursday</v>
      </c>
      <c r="I2770" t="str">
        <f t="shared" si="260"/>
        <v>No</v>
      </c>
      <c r="J2770">
        <f t="shared" si="261"/>
        <v>0</v>
      </c>
      <c r="K2770">
        <f t="shared" si="262"/>
        <v>0</v>
      </c>
      <c r="L2770" t="str">
        <f t="shared" si="263"/>
        <v/>
      </c>
    </row>
    <row r="2771" spans="1:12" ht="14.4" customHeight="1" x14ac:dyDescent="0.3">
      <c r="A2771">
        <v>125335731</v>
      </c>
      <c r="B2771" s="1">
        <v>45141</v>
      </c>
      <c r="D2771" t="s">
        <v>7</v>
      </c>
      <c r="E2771">
        <v>39</v>
      </c>
      <c r="F2771" t="s">
        <v>6</v>
      </c>
      <c r="G2771" t="str">
        <f t="shared" si="258"/>
        <v/>
      </c>
      <c r="H2771" s="1" t="str">
        <f t="shared" si="259"/>
        <v>Thursday</v>
      </c>
      <c r="I2771" t="str">
        <f t="shared" si="260"/>
        <v>No</v>
      </c>
      <c r="J2771">
        <f t="shared" si="261"/>
        <v>0</v>
      </c>
      <c r="K2771">
        <f t="shared" si="262"/>
        <v>0</v>
      </c>
      <c r="L2771" t="str">
        <f t="shared" si="263"/>
        <v/>
      </c>
    </row>
    <row r="2772" spans="1:12" ht="14.4" customHeight="1" x14ac:dyDescent="0.3">
      <c r="A2772">
        <v>160598122</v>
      </c>
      <c r="B2772" s="1">
        <v>45141</v>
      </c>
      <c r="D2772" t="s">
        <v>7</v>
      </c>
      <c r="E2772">
        <v>39</v>
      </c>
      <c r="F2772" t="s">
        <v>6</v>
      </c>
      <c r="G2772" t="str">
        <f t="shared" si="258"/>
        <v/>
      </c>
      <c r="H2772" s="1" t="str">
        <f t="shared" si="259"/>
        <v>Thursday</v>
      </c>
      <c r="I2772" t="str">
        <f t="shared" si="260"/>
        <v>No</v>
      </c>
      <c r="J2772">
        <f t="shared" si="261"/>
        <v>0</v>
      </c>
      <c r="K2772">
        <f t="shared" si="262"/>
        <v>0</v>
      </c>
      <c r="L2772" t="str">
        <f t="shared" si="263"/>
        <v/>
      </c>
    </row>
    <row r="2773" spans="1:12" ht="14.4" customHeight="1" x14ac:dyDescent="0.3">
      <c r="A2773">
        <v>218414156</v>
      </c>
      <c r="B2773" s="1">
        <v>45141</v>
      </c>
      <c r="D2773" t="s">
        <v>7</v>
      </c>
      <c r="E2773">
        <v>39</v>
      </c>
      <c r="F2773" t="s">
        <v>6</v>
      </c>
      <c r="G2773" t="str">
        <f t="shared" si="258"/>
        <v/>
      </c>
      <c r="H2773" s="1" t="str">
        <f t="shared" si="259"/>
        <v>Thursday</v>
      </c>
      <c r="I2773" t="str">
        <f t="shared" si="260"/>
        <v>No</v>
      </c>
      <c r="J2773">
        <f t="shared" si="261"/>
        <v>0</v>
      </c>
      <c r="K2773">
        <f t="shared" si="262"/>
        <v>0</v>
      </c>
      <c r="L2773" t="str">
        <f t="shared" si="263"/>
        <v/>
      </c>
    </row>
    <row r="2774" spans="1:12" ht="14.4" customHeight="1" x14ac:dyDescent="0.3">
      <c r="A2774">
        <v>206455504</v>
      </c>
      <c r="B2774" s="1">
        <v>45141</v>
      </c>
      <c r="C2774" s="1">
        <v>45170</v>
      </c>
      <c r="D2774" t="s">
        <v>7</v>
      </c>
      <c r="E2774">
        <v>39</v>
      </c>
      <c r="F2774" t="s">
        <v>6</v>
      </c>
      <c r="G2774">
        <f t="shared" si="258"/>
        <v>29</v>
      </c>
      <c r="H2774" s="1" t="str">
        <f t="shared" si="259"/>
        <v>Thursday</v>
      </c>
      <c r="I2774" t="str">
        <f t="shared" si="260"/>
        <v>No</v>
      </c>
      <c r="J2774">
        <f t="shared" si="261"/>
        <v>0</v>
      </c>
      <c r="K2774">
        <f t="shared" si="262"/>
        <v>0</v>
      </c>
      <c r="L2774">
        <f t="shared" si="263"/>
        <v>29</v>
      </c>
    </row>
    <row r="2775" spans="1:12" x14ac:dyDescent="0.3">
      <c r="A2775">
        <v>202589094</v>
      </c>
      <c r="B2775" s="1">
        <v>45141</v>
      </c>
      <c r="C2775" s="1">
        <v>45172</v>
      </c>
      <c r="D2775" t="s">
        <v>7</v>
      </c>
      <c r="E2775">
        <v>39</v>
      </c>
      <c r="F2775" t="s">
        <v>6</v>
      </c>
      <c r="G2775">
        <f t="shared" si="258"/>
        <v>31</v>
      </c>
      <c r="H2775" s="1" t="str">
        <f t="shared" si="259"/>
        <v>Thursday</v>
      </c>
      <c r="I2775" t="str">
        <f t="shared" si="260"/>
        <v>No</v>
      </c>
      <c r="J2775">
        <f t="shared" si="261"/>
        <v>0</v>
      </c>
      <c r="K2775">
        <f t="shared" si="262"/>
        <v>1</v>
      </c>
      <c r="L2775">
        <f t="shared" si="263"/>
        <v>31</v>
      </c>
    </row>
    <row r="2776" spans="1:12" x14ac:dyDescent="0.3">
      <c r="A2776">
        <v>129747676</v>
      </c>
      <c r="B2776" s="1">
        <v>45141</v>
      </c>
      <c r="C2776" s="1">
        <v>45175</v>
      </c>
      <c r="D2776" t="s">
        <v>7</v>
      </c>
      <c r="E2776">
        <v>39</v>
      </c>
      <c r="F2776" t="s">
        <v>6</v>
      </c>
      <c r="G2776">
        <f t="shared" si="258"/>
        <v>34</v>
      </c>
      <c r="H2776" s="1" t="str">
        <f t="shared" si="259"/>
        <v>Thursday</v>
      </c>
      <c r="I2776" t="str">
        <f t="shared" si="260"/>
        <v>No</v>
      </c>
      <c r="J2776">
        <f t="shared" si="261"/>
        <v>0</v>
      </c>
      <c r="K2776">
        <f t="shared" si="262"/>
        <v>1</v>
      </c>
      <c r="L2776">
        <f t="shared" si="263"/>
        <v>34</v>
      </c>
    </row>
    <row r="2777" spans="1:12" ht="14.4" customHeight="1" x14ac:dyDescent="0.3">
      <c r="A2777">
        <v>219511614</v>
      </c>
      <c r="B2777" s="1">
        <v>45141</v>
      </c>
      <c r="C2777" s="1">
        <v>45170</v>
      </c>
      <c r="D2777" t="s">
        <v>7</v>
      </c>
      <c r="E2777">
        <v>39</v>
      </c>
      <c r="F2777" t="s">
        <v>6</v>
      </c>
      <c r="G2777">
        <f t="shared" si="258"/>
        <v>29</v>
      </c>
      <c r="H2777" s="1" t="str">
        <f t="shared" si="259"/>
        <v>Thursday</v>
      </c>
      <c r="I2777" t="str">
        <f t="shared" si="260"/>
        <v>No</v>
      </c>
      <c r="J2777">
        <f t="shared" si="261"/>
        <v>0</v>
      </c>
      <c r="K2777">
        <f t="shared" si="262"/>
        <v>0</v>
      </c>
      <c r="L2777">
        <f t="shared" si="263"/>
        <v>29</v>
      </c>
    </row>
    <row r="2778" spans="1:12" ht="14.4" customHeight="1" x14ac:dyDescent="0.3">
      <c r="A2778">
        <v>219491158</v>
      </c>
      <c r="B2778" s="1">
        <v>45142</v>
      </c>
      <c r="D2778" t="s">
        <v>7</v>
      </c>
      <c r="E2778">
        <v>39</v>
      </c>
      <c r="F2778" t="s">
        <v>6</v>
      </c>
      <c r="G2778" t="str">
        <f t="shared" si="258"/>
        <v/>
      </c>
      <c r="H2778" s="1" t="str">
        <f t="shared" si="259"/>
        <v>Friday</v>
      </c>
      <c r="I2778" t="str">
        <f t="shared" si="260"/>
        <v>No</v>
      </c>
      <c r="J2778">
        <f t="shared" si="261"/>
        <v>0</v>
      </c>
      <c r="K2778">
        <f t="shared" si="262"/>
        <v>0</v>
      </c>
      <c r="L2778" t="str">
        <f t="shared" si="263"/>
        <v/>
      </c>
    </row>
    <row r="2779" spans="1:12" ht="14.4" customHeight="1" x14ac:dyDescent="0.3">
      <c r="A2779">
        <v>218790626</v>
      </c>
      <c r="B2779" s="1">
        <v>45142</v>
      </c>
      <c r="D2779" t="s">
        <v>7</v>
      </c>
      <c r="E2779">
        <v>39</v>
      </c>
      <c r="F2779" t="s">
        <v>6</v>
      </c>
      <c r="G2779" t="str">
        <f t="shared" si="258"/>
        <v/>
      </c>
      <c r="H2779" s="1" t="str">
        <f t="shared" si="259"/>
        <v>Friday</v>
      </c>
      <c r="I2779" t="str">
        <f t="shared" si="260"/>
        <v>No</v>
      </c>
      <c r="J2779">
        <f t="shared" si="261"/>
        <v>0</v>
      </c>
      <c r="K2779">
        <f t="shared" si="262"/>
        <v>0</v>
      </c>
      <c r="L2779" t="str">
        <f t="shared" si="263"/>
        <v/>
      </c>
    </row>
    <row r="2780" spans="1:12" ht="14.4" customHeight="1" x14ac:dyDescent="0.3">
      <c r="A2780">
        <v>219476808</v>
      </c>
      <c r="B2780" s="1">
        <v>45142</v>
      </c>
      <c r="D2780" t="s">
        <v>7</v>
      </c>
      <c r="E2780">
        <v>39</v>
      </c>
      <c r="F2780" t="s">
        <v>6</v>
      </c>
      <c r="G2780" t="str">
        <f t="shared" si="258"/>
        <v/>
      </c>
      <c r="H2780" s="1" t="str">
        <f t="shared" si="259"/>
        <v>Friday</v>
      </c>
      <c r="I2780" t="str">
        <f t="shared" si="260"/>
        <v>No</v>
      </c>
      <c r="J2780">
        <f t="shared" si="261"/>
        <v>0</v>
      </c>
      <c r="K2780">
        <f t="shared" si="262"/>
        <v>0</v>
      </c>
      <c r="L2780" t="str">
        <f t="shared" si="263"/>
        <v/>
      </c>
    </row>
    <row r="2781" spans="1:12" ht="14.4" customHeight="1" x14ac:dyDescent="0.3">
      <c r="A2781">
        <v>218585706</v>
      </c>
      <c r="B2781" s="1">
        <v>45142</v>
      </c>
      <c r="D2781" t="s">
        <v>7</v>
      </c>
      <c r="E2781">
        <v>39</v>
      </c>
      <c r="F2781" t="s">
        <v>6</v>
      </c>
      <c r="G2781" t="str">
        <f t="shared" si="258"/>
        <v/>
      </c>
      <c r="H2781" s="1" t="str">
        <f t="shared" si="259"/>
        <v>Friday</v>
      </c>
      <c r="I2781" t="str">
        <f t="shared" si="260"/>
        <v>No</v>
      </c>
      <c r="J2781">
        <f t="shared" si="261"/>
        <v>0</v>
      </c>
      <c r="K2781">
        <f t="shared" si="262"/>
        <v>0</v>
      </c>
      <c r="L2781" t="str">
        <f t="shared" si="263"/>
        <v/>
      </c>
    </row>
    <row r="2782" spans="1:12" ht="14.4" customHeight="1" x14ac:dyDescent="0.3">
      <c r="A2782">
        <v>219316901</v>
      </c>
      <c r="B2782" s="1">
        <v>45142</v>
      </c>
      <c r="D2782" t="s">
        <v>7</v>
      </c>
      <c r="E2782">
        <v>39</v>
      </c>
      <c r="F2782" t="s">
        <v>6</v>
      </c>
      <c r="G2782" t="str">
        <f t="shared" si="258"/>
        <v/>
      </c>
      <c r="H2782" s="1" t="str">
        <f t="shared" si="259"/>
        <v>Friday</v>
      </c>
      <c r="I2782" t="str">
        <f t="shared" si="260"/>
        <v>No</v>
      </c>
      <c r="J2782">
        <f t="shared" si="261"/>
        <v>0</v>
      </c>
      <c r="K2782">
        <f t="shared" si="262"/>
        <v>0</v>
      </c>
      <c r="L2782" t="str">
        <f t="shared" si="263"/>
        <v/>
      </c>
    </row>
    <row r="2783" spans="1:12" ht="14.4" customHeight="1" x14ac:dyDescent="0.3">
      <c r="A2783">
        <v>217724278</v>
      </c>
      <c r="B2783" s="1">
        <v>45142</v>
      </c>
      <c r="D2783" t="s">
        <v>7</v>
      </c>
      <c r="E2783">
        <v>39</v>
      </c>
      <c r="F2783" t="s">
        <v>6</v>
      </c>
      <c r="G2783" t="str">
        <f t="shared" si="258"/>
        <v/>
      </c>
      <c r="H2783" s="1" t="str">
        <f t="shared" si="259"/>
        <v>Friday</v>
      </c>
      <c r="I2783" t="str">
        <f t="shared" si="260"/>
        <v>No</v>
      </c>
      <c r="J2783">
        <f t="shared" si="261"/>
        <v>0</v>
      </c>
      <c r="K2783">
        <f t="shared" si="262"/>
        <v>0</v>
      </c>
      <c r="L2783" t="str">
        <f t="shared" si="263"/>
        <v/>
      </c>
    </row>
    <row r="2784" spans="1:12" ht="14.4" customHeight="1" x14ac:dyDescent="0.3">
      <c r="A2784">
        <v>155869412</v>
      </c>
      <c r="B2784" s="1">
        <v>45142</v>
      </c>
      <c r="D2784" t="s">
        <v>7</v>
      </c>
      <c r="E2784">
        <v>39</v>
      </c>
      <c r="F2784" t="s">
        <v>6</v>
      </c>
      <c r="G2784" t="str">
        <f t="shared" si="258"/>
        <v/>
      </c>
      <c r="H2784" s="1" t="str">
        <f t="shared" si="259"/>
        <v>Friday</v>
      </c>
      <c r="I2784" t="str">
        <f t="shared" si="260"/>
        <v>No</v>
      </c>
      <c r="J2784">
        <f t="shared" si="261"/>
        <v>0</v>
      </c>
      <c r="K2784">
        <f t="shared" si="262"/>
        <v>0</v>
      </c>
      <c r="L2784" t="str">
        <f t="shared" si="263"/>
        <v/>
      </c>
    </row>
    <row r="2785" spans="1:12" ht="14.4" customHeight="1" x14ac:dyDescent="0.3">
      <c r="A2785">
        <v>164535832</v>
      </c>
      <c r="B2785" s="1">
        <v>45142</v>
      </c>
      <c r="D2785" t="s">
        <v>7</v>
      </c>
      <c r="E2785">
        <v>39</v>
      </c>
      <c r="F2785" t="s">
        <v>6</v>
      </c>
      <c r="G2785" t="str">
        <f t="shared" si="258"/>
        <v/>
      </c>
      <c r="H2785" s="1" t="str">
        <f t="shared" si="259"/>
        <v>Friday</v>
      </c>
      <c r="I2785" t="str">
        <f t="shared" si="260"/>
        <v>No</v>
      </c>
      <c r="J2785">
        <f t="shared" si="261"/>
        <v>0</v>
      </c>
      <c r="K2785">
        <f t="shared" si="262"/>
        <v>0</v>
      </c>
      <c r="L2785" t="str">
        <f t="shared" si="263"/>
        <v/>
      </c>
    </row>
    <row r="2786" spans="1:12" ht="14.4" customHeight="1" x14ac:dyDescent="0.3">
      <c r="A2786">
        <v>219388064</v>
      </c>
      <c r="B2786" s="1">
        <v>45142</v>
      </c>
      <c r="D2786" t="s">
        <v>7</v>
      </c>
      <c r="E2786">
        <v>39</v>
      </c>
      <c r="F2786" t="s">
        <v>6</v>
      </c>
      <c r="G2786" t="str">
        <f t="shared" si="258"/>
        <v/>
      </c>
      <c r="H2786" s="1" t="str">
        <f t="shared" si="259"/>
        <v>Friday</v>
      </c>
      <c r="I2786" t="str">
        <f t="shared" si="260"/>
        <v>No</v>
      </c>
      <c r="J2786">
        <f t="shared" si="261"/>
        <v>0</v>
      </c>
      <c r="K2786">
        <f t="shared" si="262"/>
        <v>0</v>
      </c>
      <c r="L2786" t="str">
        <f t="shared" si="263"/>
        <v/>
      </c>
    </row>
    <row r="2787" spans="1:12" ht="14.4" customHeight="1" x14ac:dyDescent="0.3">
      <c r="A2787">
        <v>218884048</v>
      </c>
      <c r="B2787" s="1">
        <v>45142</v>
      </c>
      <c r="C2787" s="1">
        <v>45160</v>
      </c>
      <c r="D2787" t="s">
        <v>7</v>
      </c>
      <c r="E2787">
        <v>39</v>
      </c>
      <c r="F2787" t="s">
        <v>6</v>
      </c>
      <c r="G2787">
        <f t="shared" si="258"/>
        <v>18</v>
      </c>
      <c r="H2787" s="1" t="str">
        <f t="shared" si="259"/>
        <v>Friday</v>
      </c>
      <c r="I2787" t="str">
        <f t="shared" si="260"/>
        <v>No</v>
      </c>
      <c r="J2787">
        <f t="shared" si="261"/>
        <v>0</v>
      </c>
      <c r="K2787">
        <f t="shared" si="262"/>
        <v>0</v>
      </c>
      <c r="L2787">
        <f t="shared" si="263"/>
        <v>18</v>
      </c>
    </row>
    <row r="2788" spans="1:12" ht="14.4" customHeight="1" x14ac:dyDescent="0.3">
      <c r="A2788">
        <v>219603078</v>
      </c>
      <c r="B2788" s="1">
        <v>45143</v>
      </c>
      <c r="D2788" t="s">
        <v>7</v>
      </c>
      <c r="E2788">
        <v>39</v>
      </c>
      <c r="F2788" t="s">
        <v>6</v>
      </c>
      <c r="G2788" t="str">
        <f t="shared" si="258"/>
        <v/>
      </c>
      <c r="H2788" s="1" t="str">
        <f t="shared" si="259"/>
        <v>Saturday</v>
      </c>
      <c r="I2788" t="str">
        <f t="shared" si="260"/>
        <v>No</v>
      </c>
      <c r="J2788">
        <f t="shared" si="261"/>
        <v>0</v>
      </c>
      <c r="K2788">
        <f t="shared" si="262"/>
        <v>0</v>
      </c>
      <c r="L2788" t="str">
        <f t="shared" si="263"/>
        <v/>
      </c>
    </row>
    <row r="2789" spans="1:12" ht="14.4" customHeight="1" x14ac:dyDescent="0.3">
      <c r="A2789">
        <v>219146842</v>
      </c>
      <c r="B2789" s="1">
        <v>45143</v>
      </c>
      <c r="D2789" t="s">
        <v>7</v>
      </c>
      <c r="E2789">
        <v>39</v>
      </c>
      <c r="F2789" t="s">
        <v>6</v>
      </c>
      <c r="G2789" t="str">
        <f t="shared" si="258"/>
        <v/>
      </c>
      <c r="H2789" s="1" t="str">
        <f t="shared" si="259"/>
        <v>Saturday</v>
      </c>
      <c r="I2789" t="str">
        <f t="shared" si="260"/>
        <v>No</v>
      </c>
      <c r="J2789">
        <f t="shared" si="261"/>
        <v>0</v>
      </c>
      <c r="K2789">
        <f t="shared" si="262"/>
        <v>0</v>
      </c>
      <c r="L2789" t="str">
        <f t="shared" si="263"/>
        <v/>
      </c>
    </row>
    <row r="2790" spans="1:12" ht="14.4" customHeight="1" x14ac:dyDescent="0.3">
      <c r="A2790">
        <v>206676416</v>
      </c>
      <c r="B2790" s="1">
        <v>45143</v>
      </c>
      <c r="D2790" t="s">
        <v>7</v>
      </c>
      <c r="E2790">
        <v>39</v>
      </c>
      <c r="F2790" t="s">
        <v>6</v>
      </c>
      <c r="G2790" t="str">
        <f t="shared" si="258"/>
        <v/>
      </c>
      <c r="H2790" s="1" t="str">
        <f t="shared" si="259"/>
        <v>Saturday</v>
      </c>
      <c r="I2790" t="str">
        <f t="shared" si="260"/>
        <v>No</v>
      </c>
      <c r="J2790">
        <f t="shared" si="261"/>
        <v>0</v>
      </c>
      <c r="K2790">
        <f t="shared" si="262"/>
        <v>0</v>
      </c>
      <c r="L2790" t="str">
        <f t="shared" si="263"/>
        <v/>
      </c>
    </row>
    <row r="2791" spans="1:12" ht="14.4" customHeight="1" x14ac:dyDescent="0.3">
      <c r="A2791">
        <v>219615770</v>
      </c>
      <c r="B2791" s="1">
        <v>45143</v>
      </c>
      <c r="D2791" t="s">
        <v>7</v>
      </c>
      <c r="E2791">
        <v>39</v>
      </c>
      <c r="F2791" t="s">
        <v>6</v>
      </c>
      <c r="G2791" t="str">
        <f t="shared" si="258"/>
        <v/>
      </c>
      <c r="H2791" s="1" t="str">
        <f t="shared" si="259"/>
        <v>Saturday</v>
      </c>
      <c r="I2791" t="str">
        <f t="shared" si="260"/>
        <v>No</v>
      </c>
      <c r="J2791">
        <f t="shared" si="261"/>
        <v>0</v>
      </c>
      <c r="K2791">
        <f t="shared" si="262"/>
        <v>0</v>
      </c>
      <c r="L2791" t="str">
        <f t="shared" si="263"/>
        <v/>
      </c>
    </row>
    <row r="2792" spans="1:12" ht="14.4" customHeight="1" x14ac:dyDescent="0.3">
      <c r="A2792">
        <v>219630379</v>
      </c>
      <c r="B2792" s="1">
        <v>45144</v>
      </c>
      <c r="D2792" t="s">
        <v>7</v>
      </c>
      <c r="E2792">
        <v>39</v>
      </c>
      <c r="F2792" t="s">
        <v>6</v>
      </c>
      <c r="G2792" t="str">
        <f t="shared" si="258"/>
        <v/>
      </c>
      <c r="H2792" s="1" t="str">
        <f t="shared" si="259"/>
        <v>Sunday</v>
      </c>
      <c r="I2792" t="str">
        <f t="shared" si="260"/>
        <v>No</v>
      </c>
      <c r="J2792">
        <f t="shared" si="261"/>
        <v>0</v>
      </c>
      <c r="K2792">
        <f t="shared" si="262"/>
        <v>0</v>
      </c>
      <c r="L2792" t="str">
        <f t="shared" si="263"/>
        <v/>
      </c>
    </row>
    <row r="2793" spans="1:12" ht="14.4" customHeight="1" x14ac:dyDescent="0.3">
      <c r="A2793">
        <v>145096572</v>
      </c>
      <c r="B2793" s="1">
        <v>45144</v>
      </c>
      <c r="D2793" t="s">
        <v>7</v>
      </c>
      <c r="E2793">
        <v>39</v>
      </c>
      <c r="F2793" t="s">
        <v>6</v>
      </c>
      <c r="G2793" t="str">
        <f t="shared" si="258"/>
        <v/>
      </c>
      <c r="H2793" s="1" t="str">
        <f t="shared" si="259"/>
        <v>Sunday</v>
      </c>
      <c r="I2793" t="str">
        <f t="shared" si="260"/>
        <v>No</v>
      </c>
      <c r="J2793">
        <f t="shared" si="261"/>
        <v>0</v>
      </c>
      <c r="K2793">
        <f t="shared" si="262"/>
        <v>0</v>
      </c>
      <c r="L2793" t="str">
        <f t="shared" si="263"/>
        <v/>
      </c>
    </row>
    <row r="2794" spans="1:12" ht="14.4" customHeight="1" x14ac:dyDescent="0.3">
      <c r="A2794">
        <v>144005898</v>
      </c>
      <c r="B2794" s="1">
        <v>45144</v>
      </c>
      <c r="D2794" t="s">
        <v>7</v>
      </c>
      <c r="E2794">
        <v>39</v>
      </c>
      <c r="F2794" t="s">
        <v>6</v>
      </c>
      <c r="G2794" t="str">
        <f t="shared" si="258"/>
        <v/>
      </c>
      <c r="H2794" s="1" t="str">
        <f t="shared" si="259"/>
        <v>Sunday</v>
      </c>
      <c r="I2794" t="str">
        <f t="shared" si="260"/>
        <v>No</v>
      </c>
      <c r="J2794">
        <f t="shared" si="261"/>
        <v>0</v>
      </c>
      <c r="K2794">
        <f t="shared" si="262"/>
        <v>0</v>
      </c>
      <c r="L2794" t="str">
        <f t="shared" si="263"/>
        <v/>
      </c>
    </row>
    <row r="2795" spans="1:12" ht="14.4" customHeight="1" x14ac:dyDescent="0.3">
      <c r="A2795">
        <v>215189020</v>
      </c>
      <c r="B2795" s="1">
        <v>45144</v>
      </c>
      <c r="D2795" t="s">
        <v>7</v>
      </c>
      <c r="E2795">
        <v>39</v>
      </c>
      <c r="F2795" t="s">
        <v>6</v>
      </c>
      <c r="G2795" t="str">
        <f t="shared" si="258"/>
        <v/>
      </c>
      <c r="H2795" s="1" t="str">
        <f t="shared" si="259"/>
        <v>Sunday</v>
      </c>
      <c r="I2795" t="str">
        <f t="shared" si="260"/>
        <v>No</v>
      </c>
      <c r="J2795">
        <f t="shared" si="261"/>
        <v>0</v>
      </c>
      <c r="K2795">
        <f t="shared" si="262"/>
        <v>0</v>
      </c>
      <c r="L2795" t="str">
        <f t="shared" si="263"/>
        <v/>
      </c>
    </row>
    <row r="2796" spans="1:12" ht="14.4" customHeight="1" x14ac:dyDescent="0.3">
      <c r="A2796">
        <v>188354637</v>
      </c>
      <c r="B2796" s="1">
        <v>45144</v>
      </c>
      <c r="C2796" s="1">
        <v>45158</v>
      </c>
      <c r="D2796" t="s">
        <v>7</v>
      </c>
      <c r="E2796">
        <v>39</v>
      </c>
      <c r="F2796" t="s">
        <v>6</v>
      </c>
      <c r="G2796">
        <f t="shared" si="258"/>
        <v>14</v>
      </c>
      <c r="H2796" s="1" t="str">
        <f t="shared" si="259"/>
        <v>Sunday</v>
      </c>
      <c r="I2796" t="str">
        <f t="shared" si="260"/>
        <v>No</v>
      </c>
      <c r="J2796">
        <f t="shared" si="261"/>
        <v>0</v>
      </c>
      <c r="K2796">
        <f t="shared" si="262"/>
        <v>0</v>
      </c>
      <c r="L2796">
        <f t="shared" si="263"/>
        <v>14</v>
      </c>
    </row>
    <row r="2797" spans="1:12" ht="14.4" customHeight="1" x14ac:dyDescent="0.3">
      <c r="A2797">
        <v>219668475</v>
      </c>
      <c r="B2797" s="1">
        <v>45145</v>
      </c>
      <c r="D2797" t="s">
        <v>7</v>
      </c>
      <c r="E2797">
        <v>39</v>
      </c>
      <c r="F2797" t="s">
        <v>6</v>
      </c>
      <c r="G2797" t="str">
        <f t="shared" si="258"/>
        <v/>
      </c>
      <c r="H2797" s="1" t="str">
        <f t="shared" si="259"/>
        <v>Monday</v>
      </c>
      <c r="I2797" t="str">
        <f t="shared" si="260"/>
        <v>No</v>
      </c>
      <c r="J2797">
        <f t="shared" si="261"/>
        <v>0</v>
      </c>
      <c r="K2797">
        <f t="shared" si="262"/>
        <v>0</v>
      </c>
      <c r="L2797" t="str">
        <f t="shared" si="263"/>
        <v/>
      </c>
    </row>
    <row r="2798" spans="1:12" ht="14.4" customHeight="1" x14ac:dyDescent="0.3">
      <c r="A2798">
        <v>219495361</v>
      </c>
      <c r="B2798" s="1">
        <v>45145</v>
      </c>
      <c r="D2798" t="s">
        <v>7</v>
      </c>
      <c r="E2798">
        <v>39</v>
      </c>
      <c r="F2798" t="s">
        <v>6</v>
      </c>
      <c r="G2798" t="str">
        <f t="shared" si="258"/>
        <v/>
      </c>
      <c r="H2798" s="1" t="str">
        <f t="shared" si="259"/>
        <v>Monday</v>
      </c>
      <c r="I2798" t="str">
        <f t="shared" si="260"/>
        <v>No</v>
      </c>
      <c r="J2798">
        <f t="shared" si="261"/>
        <v>0</v>
      </c>
      <c r="K2798">
        <f t="shared" si="262"/>
        <v>0</v>
      </c>
      <c r="L2798" t="str">
        <f t="shared" si="263"/>
        <v/>
      </c>
    </row>
    <row r="2799" spans="1:12" ht="14.4" customHeight="1" x14ac:dyDescent="0.3">
      <c r="A2799">
        <v>219672587</v>
      </c>
      <c r="B2799" s="1">
        <v>45145</v>
      </c>
      <c r="D2799" t="s">
        <v>7</v>
      </c>
      <c r="E2799">
        <v>39</v>
      </c>
      <c r="F2799" t="s">
        <v>6</v>
      </c>
      <c r="G2799" t="str">
        <f t="shared" si="258"/>
        <v/>
      </c>
      <c r="H2799" s="1" t="str">
        <f t="shared" si="259"/>
        <v>Monday</v>
      </c>
      <c r="I2799" t="str">
        <f t="shared" si="260"/>
        <v>No</v>
      </c>
      <c r="J2799">
        <f t="shared" si="261"/>
        <v>0</v>
      </c>
      <c r="K2799">
        <f t="shared" si="262"/>
        <v>0</v>
      </c>
      <c r="L2799" t="str">
        <f t="shared" si="263"/>
        <v/>
      </c>
    </row>
    <row r="2800" spans="1:12" ht="14.4" customHeight="1" x14ac:dyDescent="0.3">
      <c r="A2800">
        <v>218556897</v>
      </c>
      <c r="B2800" s="1">
        <v>45145</v>
      </c>
      <c r="C2800" s="1">
        <v>45146</v>
      </c>
      <c r="D2800" t="s">
        <v>7</v>
      </c>
      <c r="E2800">
        <v>39</v>
      </c>
      <c r="F2800" t="s">
        <v>6</v>
      </c>
      <c r="G2800">
        <f t="shared" si="258"/>
        <v>1</v>
      </c>
      <c r="H2800" s="1" t="str">
        <f t="shared" si="259"/>
        <v>Monday</v>
      </c>
      <c r="I2800" t="str">
        <f t="shared" si="260"/>
        <v>No</v>
      </c>
      <c r="J2800">
        <f t="shared" si="261"/>
        <v>1</v>
      </c>
      <c r="K2800">
        <f t="shared" si="262"/>
        <v>0</v>
      </c>
      <c r="L2800">
        <f t="shared" si="263"/>
        <v>1</v>
      </c>
    </row>
    <row r="2801" spans="1:12" ht="14.4" customHeight="1" x14ac:dyDescent="0.3">
      <c r="A2801">
        <v>219467082</v>
      </c>
      <c r="B2801" s="1">
        <v>45145</v>
      </c>
      <c r="C2801" s="1">
        <v>45153</v>
      </c>
      <c r="D2801" t="s">
        <v>7</v>
      </c>
      <c r="E2801">
        <v>39</v>
      </c>
      <c r="F2801" t="s">
        <v>6</v>
      </c>
      <c r="G2801">
        <f t="shared" si="258"/>
        <v>8</v>
      </c>
      <c r="H2801" s="1" t="str">
        <f t="shared" si="259"/>
        <v>Monday</v>
      </c>
      <c r="I2801" t="str">
        <f t="shared" si="260"/>
        <v>No</v>
      </c>
      <c r="J2801">
        <f t="shared" si="261"/>
        <v>0</v>
      </c>
      <c r="K2801">
        <f t="shared" si="262"/>
        <v>0</v>
      </c>
      <c r="L2801">
        <f t="shared" si="263"/>
        <v>8</v>
      </c>
    </row>
    <row r="2802" spans="1:12" ht="14.4" customHeight="1" x14ac:dyDescent="0.3">
      <c r="A2802">
        <v>139353407</v>
      </c>
      <c r="B2802" s="1">
        <v>45146</v>
      </c>
      <c r="D2802" t="s">
        <v>7</v>
      </c>
      <c r="E2802">
        <v>39</v>
      </c>
      <c r="F2802" t="s">
        <v>6</v>
      </c>
      <c r="G2802" t="str">
        <f t="shared" si="258"/>
        <v/>
      </c>
      <c r="H2802" s="1" t="str">
        <f t="shared" si="259"/>
        <v>Tuesday</v>
      </c>
      <c r="I2802" t="str">
        <f t="shared" si="260"/>
        <v>No</v>
      </c>
      <c r="J2802">
        <f t="shared" si="261"/>
        <v>0</v>
      </c>
      <c r="K2802">
        <f t="shared" si="262"/>
        <v>0</v>
      </c>
      <c r="L2802" t="str">
        <f t="shared" si="263"/>
        <v/>
      </c>
    </row>
    <row r="2803" spans="1:12" ht="14.4" customHeight="1" x14ac:dyDescent="0.3">
      <c r="A2803">
        <v>219734945</v>
      </c>
      <c r="B2803" s="1">
        <v>45146</v>
      </c>
      <c r="D2803" t="s">
        <v>7</v>
      </c>
      <c r="E2803">
        <v>39</v>
      </c>
      <c r="F2803" t="s">
        <v>6</v>
      </c>
      <c r="G2803" t="str">
        <f t="shared" si="258"/>
        <v/>
      </c>
      <c r="H2803" s="1" t="str">
        <f t="shared" si="259"/>
        <v>Tuesday</v>
      </c>
      <c r="I2803" t="str">
        <f t="shared" si="260"/>
        <v>No</v>
      </c>
      <c r="J2803">
        <f t="shared" si="261"/>
        <v>0</v>
      </c>
      <c r="K2803">
        <f t="shared" si="262"/>
        <v>0</v>
      </c>
      <c r="L2803" t="str">
        <f t="shared" si="263"/>
        <v/>
      </c>
    </row>
    <row r="2804" spans="1:12" ht="14.4" customHeight="1" x14ac:dyDescent="0.3">
      <c r="A2804">
        <v>219735949</v>
      </c>
      <c r="B2804" s="1">
        <v>45146</v>
      </c>
      <c r="D2804" t="s">
        <v>7</v>
      </c>
      <c r="E2804">
        <v>39</v>
      </c>
      <c r="F2804" t="s">
        <v>6</v>
      </c>
      <c r="G2804" t="str">
        <f t="shared" si="258"/>
        <v/>
      </c>
      <c r="H2804" s="1" t="str">
        <f t="shared" si="259"/>
        <v>Tuesday</v>
      </c>
      <c r="I2804" t="str">
        <f t="shared" si="260"/>
        <v>No</v>
      </c>
      <c r="J2804">
        <f t="shared" si="261"/>
        <v>0</v>
      </c>
      <c r="K2804">
        <f t="shared" si="262"/>
        <v>0</v>
      </c>
      <c r="L2804" t="str">
        <f t="shared" si="263"/>
        <v/>
      </c>
    </row>
    <row r="2805" spans="1:12" ht="14.4" customHeight="1" x14ac:dyDescent="0.3">
      <c r="A2805">
        <v>219688361</v>
      </c>
      <c r="B2805" s="1">
        <v>45146</v>
      </c>
      <c r="D2805" t="s">
        <v>7</v>
      </c>
      <c r="E2805">
        <v>39</v>
      </c>
      <c r="F2805" t="s">
        <v>6</v>
      </c>
      <c r="G2805" t="str">
        <f t="shared" si="258"/>
        <v/>
      </c>
      <c r="H2805" s="1" t="str">
        <f t="shared" si="259"/>
        <v>Tuesday</v>
      </c>
      <c r="I2805" t="str">
        <f t="shared" si="260"/>
        <v>No</v>
      </c>
      <c r="J2805">
        <f t="shared" si="261"/>
        <v>0</v>
      </c>
      <c r="K2805">
        <f t="shared" si="262"/>
        <v>0</v>
      </c>
      <c r="L2805" t="str">
        <f t="shared" si="263"/>
        <v/>
      </c>
    </row>
    <row r="2806" spans="1:12" ht="14.4" customHeight="1" x14ac:dyDescent="0.3">
      <c r="A2806">
        <v>219447968</v>
      </c>
      <c r="B2806" s="1">
        <v>45146</v>
      </c>
      <c r="D2806" t="s">
        <v>7</v>
      </c>
      <c r="E2806">
        <v>39</v>
      </c>
      <c r="F2806" t="s">
        <v>6</v>
      </c>
      <c r="G2806" t="str">
        <f t="shared" si="258"/>
        <v/>
      </c>
      <c r="H2806" s="1" t="str">
        <f t="shared" si="259"/>
        <v>Tuesday</v>
      </c>
      <c r="I2806" t="str">
        <f t="shared" si="260"/>
        <v>No</v>
      </c>
      <c r="J2806">
        <f t="shared" si="261"/>
        <v>0</v>
      </c>
      <c r="K2806">
        <f t="shared" si="262"/>
        <v>0</v>
      </c>
      <c r="L2806" t="str">
        <f t="shared" si="263"/>
        <v/>
      </c>
    </row>
    <row r="2807" spans="1:12" ht="14.4" customHeight="1" x14ac:dyDescent="0.3">
      <c r="A2807">
        <v>219583682</v>
      </c>
      <c r="B2807" s="1">
        <v>45146</v>
      </c>
      <c r="D2807" t="s">
        <v>7</v>
      </c>
      <c r="E2807">
        <v>39</v>
      </c>
      <c r="F2807" t="s">
        <v>6</v>
      </c>
      <c r="G2807" t="str">
        <f t="shared" si="258"/>
        <v/>
      </c>
      <c r="H2807" s="1" t="str">
        <f t="shared" si="259"/>
        <v>Tuesday</v>
      </c>
      <c r="I2807" t="str">
        <f t="shared" si="260"/>
        <v>No</v>
      </c>
      <c r="J2807">
        <f t="shared" si="261"/>
        <v>0</v>
      </c>
      <c r="K2807">
        <f t="shared" si="262"/>
        <v>0</v>
      </c>
      <c r="L2807" t="str">
        <f t="shared" si="263"/>
        <v/>
      </c>
    </row>
    <row r="2808" spans="1:12" ht="14.4" customHeight="1" x14ac:dyDescent="0.3">
      <c r="A2808">
        <v>217638566</v>
      </c>
      <c r="B2808" s="1">
        <v>45146</v>
      </c>
      <c r="D2808" t="s">
        <v>7</v>
      </c>
      <c r="E2808">
        <v>39</v>
      </c>
      <c r="F2808" t="s">
        <v>6</v>
      </c>
      <c r="G2808" t="str">
        <f t="shared" si="258"/>
        <v/>
      </c>
      <c r="H2808" s="1" t="str">
        <f t="shared" si="259"/>
        <v>Tuesday</v>
      </c>
      <c r="I2808" t="str">
        <f t="shared" si="260"/>
        <v>No</v>
      </c>
      <c r="J2808">
        <f t="shared" si="261"/>
        <v>0</v>
      </c>
      <c r="K2808">
        <f t="shared" si="262"/>
        <v>0</v>
      </c>
      <c r="L2808" t="str">
        <f t="shared" si="263"/>
        <v/>
      </c>
    </row>
    <row r="2809" spans="1:12" ht="14.4" customHeight="1" x14ac:dyDescent="0.3">
      <c r="A2809">
        <v>219716268</v>
      </c>
      <c r="B2809" s="1">
        <v>45146</v>
      </c>
      <c r="D2809" t="s">
        <v>7</v>
      </c>
      <c r="E2809">
        <v>39</v>
      </c>
      <c r="F2809" t="s">
        <v>6</v>
      </c>
      <c r="G2809" t="str">
        <f t="shared" si="258"/>
        <v/>
      </c>
      <c r="H2809" s="1" t="str">
        <f t="shared" si="259"/>
        <v>Tuesday</v>
      </c>
      <c r="I2809" t="str">
        <f t="shared" si="260"/>
        <v>No</v>
      </c>
      <c r="J2809">
        <f t="shared" si="261"/>
        <v>0</v>
      </c>
      <c r="K2809">
        <f t="shared" si="262"/>
        <v>0</v>
      </c>
      <c r="L2809" t="str">
        <f t="shared" si="263"/>
        <v/>
      </c>
    </row>
    <row r="2810" spans="1:12" ht="14.4" customHeight="1" x14ac:dyDescent="0.3">
      <c r="A2810">
        <v>219713718</v>
      </c>
      <c r="B2810" s="1">
        <v>45146</v>
      </c>
      <c r="D2810" t="s">
        <v>7</v>
      </c>
      <c r="E2810">
        <v>39</v>
      </c>
      <c r="F2810" t="s">
        <v>6</v>
      </c>
      <c r="G2810" t="str">
        <f t="shared" si="258"/>
        <v/>
      </c>
      <c r="H2810" s="1" t="str">
        <f t="shared" si="259"/>
        <v>Tuesday</v>
      </c>
      <c r="I2810" t="str">
        <f t="shared" si="260"/>
        <v>No</v>
      </c>
      <c r="J2810">
        <f t="shared" si="261"/>
        <v>0</v>
      </c>
      <c r="K2810">
        <f t="shared" si="262"/>
        <v>0</v>
      </c>
      <c r="L2810" t="str">
        <f t="shared" si="263"/>
        <v/>
      </c>
    </row>
    <row r="2811" spans="1:12" ht="14.4" customHeight="1" x14ac:dyDescent="0.3">
      <c r="A2811">
        <v>219707178</v>
      </c>
      <c r="B2811" s="1">
        <v>45146</v>
      </c>
      <c r="D2811" t="s">
        <v>7</v>
      </c>
      <c r="E2811">
        <v>39</v>
      </c>
      <c r="F2811" t="s">
        <v>6</v>
      </c>
      <c r="G2811" t="str">
        <f t="shared" si="258"/>
        <v/>
      </c>
      <c r="H2811" s="1" t="str">
        <f t="shared" si="259"/>
        <v>Tuesday</v>
      </c>
      <c r="I2811" t="str">
        <f t="shared" si="260"/>
        <v>No</v>
      </c>
      <c r="J2811">
        <f t="shared" si="261"/>
        <v>0</v>
      </c>
      <c r="K2811">
        <f t="shared" si="262"/>
        <v>0</v>
      </c>
      <c r="L2811" t="str">
        <f t="shared" si="263"/>
        <v/>
      </c>
    </row>
    <row r="2812" spans="1:12" ht="14.4" customHeight="1" x14ac:dyDescent="0.3">
      <c r="A2812">
        <v>219747148</v>
      </c>
      <c r="B2812" s="1">
        <v>45146</v>
      </c>
      <c r="C2812" s="1">
        <v>45146</v>
      </c>
      <c r="D2812" t="s">
        <v>7</v>
      </c>
      <c r="E2812">
        <v>39</v>
      </c>
      <c r="F2812" t="s">
        <v>6</v>
      </c>
      <c r="G2812">
        <f t="shared" si="258"/>
        <v>0</v>
      </c>
      <c r="H2812" s="1" t="str">
        <f t="shared" si="259"/>
        <v>Tuesday</v>
      </c>
      <c r="I2812" t="str">
        <f t="shared" si="260"/>
        <v>Yes</v>
      </c>
      <c r="J2812">
        <f t="shared" si="261"/>
        <v>1</v>
      </c>
      <c r="K2812">
        <f t="shared" si="262"/>
        <v>0</v>
      </c>
      <c r="L2812">
        <f t="shared" si="263"/>
        <v>0</v>
      </c>
    </row>
    <row r="2813" spans="1:12" ht="14.4" customHeight="1" x14ac:dyDescent="0.3">
      <c r="A2813">
        <v>219710700</v>
      </c>
      <c r="B2813" s="1">
        <v>45146</v>
      </c>
      <c r="C2813" s="1">
        <v>45155</v>
      </c>
      <c r="D2813" t="s">
        <v>7</v>
      </c>
      <c r="E2813">
        <v>39</v>
      </c>
      <c r="F2813" t="s">
        <v>6</v>
      </c>
      <c r="G2813">
        <f t="shared" si="258"/>
        <v>9</v>
      </c>
      <c r="H2813" s="1" t="str">
        <f t="shared" si="259"/>
        <v>Tuesday</v>
      </c>
      <c r="I2813" t="str">
        <f t="shared" si="260"/>
        <v>No</v>
      </c>
      <c r="J2813">
        <f t="shared" si="261"/>
        <v>0</v>
      </c>
      <c r="K2813">
        <f t="shared" si="262"/>
        <v>0</v>
      </c>
      <c r="L2813">
        <f t="shared" si="263"/>
        <v>9</v>
      </c>
    </row>
    <row r="2814" spans="1:12" ht="14.4" customHeight="1" x14ac:dyDescent="0.3">
      <c r="A2814">
        <v>160883429</v>
      </c>
      <c r="B2814" s="1">
        <v>45147</v>
      </c>
      <c r="D2814" t="s">
        <v>7</v>
      </c>
      <c r="E2814">
        <v>39</v>
      </c>
      <c r="F2814" t="s">
        <v>6</v>
      </c>
      <c r="G2814" t="str">
        <f t="shared" si="258"/>
        <v/>
      </c>
      <c r="H2814" s="1" t="str">
        <f t="shared" si="259"/>
        <v>Wednesday</v>
      </c>
      <c r="I2814" t="str">
        <f t="shared" si="260"/>
        <v>No</v>
      </c>
      <c r="J2814">
        <f t="shared" si="261"/>
        <v>0</v>
      </c>
      <c r="K2814">
        <f t="shared" si="262"/>
        <v>0</v>
      </c>
      <c r="L2814" t="str">
        <f t="shared" si="263"/>
        <v/>
      </c>
    </row>
    <row r="2815" spans="1:12" ht="14.4" customHeight="1" x14ac:dyDescent="0.3">
      <c r="A2815">
        <v>218556897</v>
      </c>
      <c r="B2815" s="1">
        <v>45147</v>
      </c>
      <c r="D2815" t="s">
        <v>7</v>
      </c>
      <c r="E2815">
        <v>39</v>
      </c>
      <c r="F2815" t="s">
        <v>6</v>
      </c>
      <c r="G2815" t="str">
        <f t="shared" si="258"/>
        <v/>
      </c>
      <c r="H2815" s="1" t="str">
        <f t="shared" si="259"/>
        <v>Wednesday</v>
      </c>
      <c r="I2815" t="str">
        <f t="shared" si="260"/>
        <v>No</v>
      </c>
      <c r="J2815">
        <f t="shared" si="261"/>
        <v>0</v>
      </c>
      <c r="K2815">
        <f t="shared" si="262"/>
        <v>0</v>
      </c>
      <c r="L2815" t="str">
        <f t="shared" si="263"/>
        <v/>
      </c>
    </row>
    <row r="2816" spans="1:12" ht="14.4" customHeight="1" x14ac:dyDescent="0.3">
      <c r="A2816">
        <v>219779586</v>
      </c>
      <c r="B2816" s="1">
        <v>45147</v>
      </c>
      <c r="D2816" t="s">
        <v>7</v>
      </c>
      <c r="E2816">
        <v>39</v>
      </c>
      <c r="F2816" t="s">
        <v>6</v>
      </c>
      <c r="G2816" t="str">
        <f t="shared" si="258"/>
        <v/>
      </c>
      <c r="H2816" s="1" t="str">
        <f t="shared" si="259"/>
        <v>Wednesday</v>
      </c>
      <c r="I2816" t="str">
        <f t="shared" si="260"/>
        <v>No</v>
      </c>
      <c r="J2816">
        <f t="shared" si="261"/>
        <v>0</v>
      </c>
      <c r="K2816">
        <f t="shared" si="262"/>
        <v>0</v>
      </c>
      <c r="L2816" t="str">
        <f t="shared" si="263"/>
        <v/>
      </c>
    </row>
    <row r="2817" spans="1:12" ht="14.4" customHeight="1" x14ac:dyDescent="0.3">
      <c r="A2817">
        <v>219437804</v>
      </c>
      <c r="B2817" s="1">
        <v>45147</v>
      </c>
      <c r="D2817" t="s">
        <v>7</v>
      </c>
      <c r="E2817">
        <v>39</v>
      </c>
      <c r="F2817" t="s">
        <v>6</v>
      </c>
      <c r="G2817" t="str">
        <f t="shared" si="258"/>
        <v/>
      </c>
      <c r="H2817" s="1" t="str">
        <f t="shared" si="259"/>
        <v>Wednesday</v>
      </c>
      <c r="I2817" t="str">
        <f t="shared" si="260"/>
        <v>No</v>
      </c>
      <c r="J2817">
        <f t="shared" si="261"/>
        <v>0</v>
      </c>
      <c r="K2817">
        <f t="shared" si="262"/>
        <v>0</v>
      </c>
      <c r="L2817" t="str">
        <f t="shared" si="263"/>
        <v/>
      </c>
    </row>
    <row r="2818" spans="1:12" ht="14.4" customHeight="1" x14ac:dyDescent="0.3">
      <c r="A2818">
        <v>206402783</v>
      </c>
      <c r="B2818" s="1">
        <v>45147</v>
      </c>
      <c r="D2818" t="s">
        <v>7</v>
      </c>
      <c r="E2818">
        <v>39</v>
      </c>
      <c r="F2818" t="s">
        <v>6</v>
      </c>
      <c r="G2818" t="str">
        <f t="shared" ref="G2818:G2881" si="264">IF(C2818="","",C2818-B2818)</f>
        <v/>
      </c>
      <c r="H2818" s="1" t="str">
        <f t="shared" si="259"/>
        <v>Wednesday</v>
      </c>
      <c r="I2818" t="str">
        <f t="shared" si="260"/>
        <v>No</v>
      </c>
      <c r="J2818">
        <f t="shared" si="261"/>
        <v>0</v>
      </c>
      <c r="K2818">
        <f t="shared" si="262"/>
        <v>0</v>
      </c>
      <c r="L2818" t="str">
        <f t="shared" si="263"/>
        <v/>
      </c>
    </row>
    <row r="2819" spans="1:12" ht="14.4" customHeight="1" x14ac:dyDescent="0.3">
      <c r="A2819">
        <v>178419414</v>
      </c>
      <c r="B2819" s="1">
        <v>45147</v>
      </c>
      <c r="D2819" t="s">
        <v>7</v>
      </c>
      <c r="E2819">
        <v>39</v>
      </c>
      <c r="F2819" t="s">
        <v>6</v>
      </c>
      <c r="G2819" t="str">
        <f t="shared" si="264"/>
        <v/>
      </c>
      <c r="H2819" s="1" t="str">
        <f t="shared" ref="H2819:H2882" si="265">TEXT(B2819,"dddd")</f>
        <v>Wednesday</v>
      </c>
      <c r="I2819" t="str">
        <f t="shared" ref="I2819:I2882" si="266">IF(B2819=C2819,"Yes","No")</f>
        <v>No</v>
      </c>
      <c r="J2819">
        <f t="shared" ref="J2819:J2882" si="267">IF(AND(C2819&lt;&gt;"",C2819-B2819&lt;=2),1,0)</f>
        <v>0</v>
      </c>
      <c r="K2819">
        <f t="shared" ref="K2819:K2882" si="268">IF(AND(C2819&lt;&gt;"",C2819-B2819&gt;30),1,0)</f>
        <v>0</v>
      </c>
      <c r="L2819" t="str">
        <f t="shared" ref="L2819:L2882" si="269">IF(C2819="","",C2819-B2819)</f>
        <v/>
      </c>
    </row>
    <row r="2820" spans="1:12" ht="14.4" customHeight="1" x14ac:dyDescent="0.3">
      <c r="A2820">
        <v>219719416</v>
      </c>
      <c r="B2820" s="1">
        <v>45147</v>
      </c>
      <c r="D2820" t="s">
        <v>7</v>
      </c>
      <c r="E2820">
        <v>39</v>
      </c>
      <c r="F2820" t="s">
        <v>6</v>
      </c>
      <c r="G2820" t="str">
        <f t="shared" si="264"/>
        <v/>
      </c>
      <c r="H2820" s="1" t="str">
        <f t="shared" si="265"/>
        <v>Wednesday</v>
      </c>
      <c r="I2820" t="str">
        <f t="shared" si="266"/>
        <v>No</v>
      </c>
      <c r="J2820">
        <f t="shared" si="267"/>
        <v>0</v>
      </c>
      <c r="K2820">
        <f t="shared" si="268"/>
        <v>0</v>
      </c>
      <c r="L2820" t="str">
        <f t="shared" si="269"/>
        <v/>
      </c>
    </row>
    <row r="2821" spans="1:12" ht="14.4" customHeight="1" x14ac:dyDescent="0.3">
      <c r="A2821">
        <v>156558244</v>
      </c>
      <c r="B2821" s="1">
        <v>45147</v>
      </c>
      <c r="D2821" t="s">
        <v>7</v>
      </c>
      <c r="E2821">
        <v>39</v>
      </c>
      <c r="F2821" t="s">
        <v>6</v>
      </c>
      <c r="G2821" t="str">
        <f t="shared" si="264"/>
        <v/>
      </c>
      <c r="H2821" s="1" t="str">
        <f t="shared" si="265"/>
        <v>Wednesday</v>
      </c>
      <c r="I2821" t="str">
        <f t="shared" si="266"/>
        <v>No</v>
      </c>
      <c r="J2821">
        <f t="shared" si="267"/>
        <v>0</v>
      </c>
      <c r="K2821">
        <f t="shared" si="268"/>
        <v>0</v>
      </c>
      <c r="L2821" t="str">
        <f t="shared" si="269"/>
        <v/>
      </c>
    </row>
    <row r="2822" spans="1:12" ht="14.4" customHeight="1" x14ac:dyDescent="0.3">
      <c r="A2822">
        <v>215602271</v>
      </c>
      <c r="B2822" s="1">
        <v>45147</v>
      </c>
      <c r="C2822" s="1">
        <v>45153</v>
      </c>
      <c r="D2822" t="s">
        <v>7</v>
      </c>
      <c r="E2822">
        <v>39</v>
      </c>
      <c r="F2822" t="s">
        <v>6</v>
      </c>
      <c r="G2822">
        <f t="shared" si="264"/>
        <v>6</v>
      </c>
      <c r="H2822" s="1" t="str">
        <f t="shared" si="265"/>
        <v>Wednesday</v>
      </c>
      <c r="I2822" t="str">
        <f t="shared" si="266"/>
        <v>No</v>
      </c>
      <c r="J2822">
        <f t="shared" si="267"/>
        <v>0</v>
      </c>
      <c r="K2822">
        <f t="shared" si="268"/>
        <v>0</v>
      </c>
      <c r="L2822">
        <f t="shared" si="269"/>
        <v>6</v>
      </c>
    </row>
    <row r="2823" spans="1:12" ht="14.4" customHeight="1" x14ac:dyDescent="0.3">
      <c r="A2823">
        <v>219761422</v>
      </c>
      <c r="B2823" s="1">
        <v>45147</v>
      </c>
      <c r="C2823" s="1">
        <v>45152</v>
      </c>
      <c r="D2823" t="s">
        <v>7</v>
      </c>
      <c r="E2823">
        <v>39</v>
      </c>
      <c r="F2823" t="s">
        <v>6</v>
      </c>
      <c r="G2823">
        <f t="shared" si="264"/>
        <v>5</v>
      </c>
      <c r="H2823" s="1" t="str">
        <f t="shared" si="265"/>
        <v>Wednesday</v>
      </c>
      <c r="I2823" t="str">
        <f t="shared" si="266"/>
        <v>No</v>
      </c>
      <c r="J2823">
        <f t="shared" si="267"/>
        <v>0</v>
      </c>
      <c r="K2823">
        <f t="shared" si="268"/>
        <v>0</v>
      </c>
      <c r="L2823">
        <f t="shared" si="269"/>
        <v>5</v>
      </c>
    </row>
    <row r="2824" spans="1:12" ht="14.4" customHeight="1" x14ac:dyDescent="0.3">
      <c r="A2824">
        <v>218594597</v>
      </c>
      <c r="B2824" s="1">
        <v>45147</v>
      </c>
      <c r="C2824" s="1">
        <v>45147</v>
      </c>
      <c r="D2824" t="s">
        <v>8</v>
      </c>
      <c r="E2824">
        <v>39</v>
      </c>
      <c r="F2824" t="s">
        <v>6</v>
      </c>
      <c r="G2824">
        <f t="shared" si="264"/>
        <v>0</v>
      </c>
      <c r="H2824" s="1" t="str">
        <f t="shared" si="265"/>
        <v>Wednesday</v>
      </c>
      <c r="I2824" t="str">
        <f t="shared" si="266"/>
        <v>Yes</v>
      </c>
      <c r="J2824">
        <f t="shared" si="267"/>
        <v>1</v>
      </c>
      <c r="K2824">
        <f t="shared" si="268"/>
        <v>0</v>
      </c>
      <c r="L2824">
        <f t="shared" si="269"/>
        <v>0</v>
      </c>
    </row>
    <row r="2825" spans="1:12" ht="14.4" customHeight="1" x14ac:dyDescent="0.3">
      <c r="A2825">
        <v>219734107</v>
      </c>
      <c r="B2825" s="1">
        <v>45148</v>
      </c>
      <c r="D2825" t="s">
        <v>7</v>
      </c>
      <c r="E2825">
        <v>39</v>
      </c>
      <c r="F2825" t="s">
        <v>6</v>
      </c>
      <c r="G2825" t="str">
        <f t="shared" si="264"/>
        <v/>
      </c>
      <c r="H2825" s="1" t="str">
        <f t="shared" si="265"/>
        <v>Thursday</v>
      </c>
      <c r="I2825" t="str">
        <f t="shared" si="266"/>
        <v>No</v>
      </c>
      <c r="J2825">
        <f t="shared" si="267"/>
        <v>0</v>
      </c>
      <c r="K2825">
        <f t="shared" si="268"/>
        <v>0</v>
      </c>
      <c r="L2825" t="str">
        <f t="shared" si="269"/>
        <v/>
      </c>
    </row>
    <row r="2826" spans="1:12" ht="14.4" customHeight="1" x14ac:dyDescent="0.3">
      <c r="A2826">
        <v>219836911</v>
      </c>
      <c r="B2826" s="1">
        <v>45148</v>
      </c>
      <c r="D2826" t="s">
        <v>7</v>
      </c>
      <c r="E2826">
        <v>39</v>
      </c>
      <c r="F2826" t="s">
        <v>6</v>
      </c>
      <c r="G2826" t="str">
        <f t="shared" si="264"/>
        <v/>
      </c>
      <c r="H2826" s="1" t="str">
        <f t="shared" si="265"/>
        <v>Thursday</v>
      </c>
      <c r="I2826" t="str">
        <f t="shared" si="266"/>
        <v>No</v>
      </c>
      <c r="J2826">
        <f t="shared" si="267"/>
        <v>0</v>
      </c>
      <c r="K2826">
        <f t="shared" si="268"/>
        <v>0</v>
      </c>
      <c r="L2826" t="str">
        <f t="shared" si="269"/>
        <v/>
      </c>
    </row>
    <row r="2827" spans="1:12" ht="14.4" customHeight="1" x14ac:dyDescent="0.3">
      <c r="A2827">
        <v>215179190</v>
      </c>
      <c r="B2827" s="1">
        <v>45148</v>
      </c>
      <c r="D2827" t="s">
        <v>7</v>
      </c>
      <c r="E2827">
        <v>39</v>
      </c>
      <c r="F2827" t="s">
        <v>6</v>
      </c>
      <c r="G2827" t="str">
        <f t="shared" si="264"/>
        <v/>
      </c>
      <c r="H2827" s="1" t="str">
        <f t="shared" si="265"/>
        <v>Thursday</v>
      </c>
      <c r="I2827" t="str">
        <f t="shared" si="266"/>
        <v>No</v>
      </c>
      <c r="J2827">
        <f t="shared" si="267"/>
        <v>0</v>
      </c>
      <c r="K2827">
        <f t="shared" si="268"/>
        <v>0</v>
      </c>
      <c r="L2827" t="str">
        <f t="shared" si="269"/>
        <v/>
      </c>
    </row>
    <row r="2828" spans="1:12" ht="14.4" customHeight="1" x14ac:dyDescent="0.3">
      <c r="A2828">
        <v>219817702</v>
      </c>
      <c r="B2828" s="1">
        <v>45148</v>
      </c>
      <c r="D2828" t="s">
        <v>7</v>
      </c>
      <c r="E2828">
        <v>39</v>
      </c>
      <c r="F2828" t="s">
        <v>6</v>
      </c>
      <c r="G2828" t="str">
        <f t="shared" si="264"/>
        <v/>
      </c>
      <c r="H2828" s="1" t="str">
        <f t="shared" si="265"/>
        <v>Thursday</v>
      </c>
      <c r="I2828" t="str">
        <f t="shared" si="266"/>
        <v>No</v>
      </c>
      <c r="J2828">
        <f t="shared" si="267"/>
        <v>0</v>
      </c>
      <c r="K2828">
        <f t="shared" si="268"/>
        <v>0</v>
      </c>
      <c r="L2828" t="str">
        <f t="shared" si="269"/>
        <v/>
      </c>
    </row>
    <row r="2829" spans="1:12" ht="14.4" customHeight="1" x14ac:dyDescent="0.3">
      <c r="A2829">
        <v>150065982</v>
      </c>
      <c r="B2829" s="1">
        <v>45148</v>
      </c>
      <c r="C2829" s="1">
        <v>45149</v>
      </c>
      <c r="D2829" t="s">
        <v>7</v>
      </c>
      <c r="E2829">
        <v>39</v>
      </c>
      <c r="F2829" t="s">
        <v>6</v>
      </c>
      <c r="G2829">
        <f t="shared" si="264"/>
        <v>1</v>
      </c>
      <c r="H2829" s="1" t="str">
        <f t="shared" si="265"/>
        <v>Thursday</v>
      </c>
      <c r="I2829" t="str">
        <f t="shared" si="266"/>
        <v>No</v>
      </c>
      <c r="J2829">
        <f t="shared" si="267"/>
        <v>1</v>
      </c>
      <c r="K2829">
        <f t="shared" si="268"/>
        <v>0</v>
      </c>
      <c r="L2829">
        <f t="shared" si="269"/>
        <v>1</v>
      </c>
    </row>
    <row r="2830" spans="1:12" ht="14.4" customHeight="1" x14ac:dyDescent="0.3">
      <c r="A2830">
        <v>219891350</v>
      </c>
      <c r="B2830" s="1">
        <v>45149</v>
      </c>
      <c r="D2830" t="s">
        <v>7</v>
      </c>
      <c r="E2830">
        <v>39</v>
      </c>
      <c r="F2830" t="s">
        <v>6</v>
      </c>
      <c r="G2830" t="str">
        <f t="shared" si="264"/>
        <v/>
      </c>
      <c r="H2830" s="1" t="str">
        <f t="shared" si="265"/>
        <v>Friday</v>
      </c>
      <c r="I2830" t="str">
        <f t="shared" si="266"/>
        <v>No</v>
      </c>
      <c r="J2830">
        <f t="shared" si="267"/>
        <v>0</v>
      </c>
      <c r="K2830">
        <f t="shared" si="268"/>
        <v>0</v>
      </c>
      <c r="L2830" t="str">
        <f t="shared" si="269"/>
        <v/>
      </c>
    </row>
    <row r="2831" spans="1:12" ht="14.4" customHeight="1" x14ac:dyDescent="0.3">
      <c r="A2831">
        <v>205210815</v>
      </c>
      <c r="B2831" s="1">
        <v>45149</v>
      </c>
      <c r="D2831" t="s">
        <v>7</v>
      </c>
      <c r="E2831">
        <v>39</v>
      </c>
      <c r="F2831" t="s">
        <v>6</v>
      </c>
      <c r="G2831" t="str">
        <f t="shared" si="264"/>
        <v/>
      </c>
      <c r="H2831" s="1" t="str">
        <f t="shared" si="265"/>
        <v>Friday</v>
      </c>
      <c r="I2831" t="str">
        <f t="shared" si="266"/>
        <v>No</v>
      </c>
      <c r="J2831">
        <f t="shared" si="267"/>
        <v>0</v>
      </c>
      <c r="K2831">
        <f t="shared" si="268"/>
        <v>0</v>
      </c>
      <c r="L2831" t="str">
        <f t="shared" si="269"/>
        <v/>
      </c>
    </row>
    <row r="2832" spans="1:12" ht="14.4" customHeight="1" x14ac:dyDescent="0.3">
      <c r="A2832">
        <v>219744473</v>
      </c>
      <c r="B2832" s="1">
        <v>45149</v>
      </c>
      <c r="D2832" t="s">
        <v>7</v>
      </c>
      <c r="E2832">
        <v>39</v>
      </c>
      <c r="F2832" t="s">
        <v>6</v>
      </c>
      <c r="G2832" t="str">
        <f t="shared" si="264"/>
        <v/>
      </c>
      <c r="H2832" s="1" t="str">
        <f t="shared" si="265"/>
        <v>Friday</v>
      </c>
      <c r="I2832" t="str">
        <f t="shared" si="266"/>
        <v>No</v>
      </c>
      <c r="J2832">
        <f t="shared" si="267"/>
        <v>0</v>
      </c>
      <c r="K2832">
        <f t="shared" si="268"/>
        <v>0</v>
      </c>
      <c r="L2832" t="str">
        <f t="shared" si="269"/>
        <v/>
      </c>
    </row>
    <row r="2833" spans="1:12" ht="14.4" customHeight="1" x14ac:dyDescent="0.3">
      <c r="A2833">
        <v>219851822</v>
      </c>
      <c r="B2833" s="1">
        <v>45149</v>
      </c>
      <c r="D2833" t="s">
        <v>7</v>
      </c>
      <c r="E2833">
        <v>39</v>
      </c>
      <c r="F2833" t="s">
        <v>6</v>
      </c>
      <c r="G2833" t="str">
        <f t="shared" si="264"/>
        <v/>
      </c>
      <c r="H2833" s="1" t="str">
        <f t="shared" si="265"/>
        <v>Friday</v>
      </c>
      <c r="I2833" t="str">
        <f t="shared" si="266"/>
        <v>No</v>
      </c>
      <c r="J2833">
        <f t="shared" si="267"/>
        <v>0</v>
      </c>
      <c r="K2833">
        <f t="shared" si="268"/>
        <v>0</v>
      </c>
      <c r="L2833" t="str">
        <f t="shared" si="269"/>
        <v/>
      </c>
    </row>
    <row r="2834" spans="1:12" ht="14.4" customHeight="1" x14ac:dyDescent="0.3">
      <c r="A2834">
        <v>150779000</v>
      </c>
      <c r="B2834" s="1">
        <v>45149</v>
      </c>
      <c r="C2834" s="1">
        <v>45175</v>
      </c>
      <c r="D2834" t="s">
        <v>7</v>
      </c>
      <c r="E2834">
        <v>39</v>
      </c>
      <c r="F2834" t="s">
        <v>6</v>
      </c>
      <c r="G2834">
        <f t="shared" si="264"/>
        <v>26</v>
      </c>
      <c r="H2834" s="1" t="str">
        <f t="shared" si="265"/>
        <v>Friday</v>
      </c>
      <c r="I2834" t="str">
        <f t="shared" si="266"/>
        <v>No</v>
      </c>
      <c r="J2834">
        <f t="shared" si="267"/>
        <v>0</v>
      </c>
      <c r="K2834">
        <f t="shared" si="268"/>
        <v>0</v>
      </c>
      <c r="L2834">
        <f t="shared" si="269"/>
        <v>26</v>
      </c>
    </row>
    <row r="2835" spans="1:12" ht="14.4" customHeight="1" x14ac:dyDescent="0.3">
      <c r="A2835">
        <v>219876215</v>
      </c>
      <c r="B2835" s="1">
        <v>45149</v>
      </c>
      <c r="C2835" s="1">
        <v>45150</v>
      </c>
      <c r="D2835" t="s">
        <v>7</v>
      </c>
      <c r="E2835">
        <v>39</v>
      </c>
      <c r="F2835" t="s">
        <v>6</v>
      </c>
      <c r="G2835">
        <f t="shared" si="264"/>
        <v>1</v>
      </c>
      <c r="H2835" s="1" t="str">
        <f t="shared" si="265"/>
        <v>Friday</v>
      </c>
      <c r="I2835" t="str">
        <f t="shared" si="266"/>
        <v>No</v>
      </c>
      <c r="J2835">
        <f t="shared" si="267"/>
        <v>1</v>
      </c>
      <c r="K2835">
        <f t="shared" si="268"/>
        <v>0</v>
      </c>
      <c r="L2835">
        <f t="shared" si="269"/>
        <v>1</v>
      </c>
    </row>
    <row r="2836" spans="1:12" ht="14.4" customHeight="1" x14ac:dyDescent="0.3">
      <c r="A2836">
        <v>151633468</v>
      </c>
      <c r="B2836" s="1">
        <v>45149</v>
      </c>
      <c r="C2836" s="1">
        <v>45150</v>
      </c>
      <c r="D2836" t="s">
        <v>7</v>
      </c>
      <c r="E2836">
        <v>39</v>
      </c>
      <c r="F2836" t="s">
        <v>6</v>
      </c>
      <c r="G2836">
        <f t="shared" si="264"/>
        <v>1</v>
      </c>
      <c r="H2836" s="1" t="str">
        <f t="shared" si="265"/>
        <v>Friday</v>
      </c>
      <c r="I2836" t="str">
        <f t="shared" si="266"/>
        <v>No</v>
      </c>
      <c r="J2836">
        <f t="shared" si="267"/>
        <v>1</v>
      </c>
      <c r="K2836">
        <f t="shared" si="268"/>
        <v>0</v>
      </c>
      <c r="L2836">
        <f t="shared" si="269"/>
        <v>1</v>
      </c>
    </row>
    <row r="2837" spans="1:12" ht="14.4" customHeight="1" x14ac:dyDescent="0.3">
      <c r="A2837">
        <v>219834528</v>
      </c>
      <c r="B2837" s="1">
        <v>45149</v>
      </c>
      <c r="C2837" s="1">
        <v>45150</v>
      </c>
      <c r="D2837" t="s">
        <v>8</v>
      </c>
      <c r="E2837">
        <v>39</v>
      </c>
      <c r="F2837" t="s">
        <v>6</v>
      </c>
      <c r="G2837">
        <f t="shared" si="264"/>
        <v>1</v>
      </c>
      <c r="H2837" s="1" t="str">
        <f t="shared" si="265"/>
        <v>Friday</v>
      </c>
      <c r="I2837" t="str">
        <f t="shared" si="266"/>
        <v>No</v>
      </c>
      <c r="J2837">
        <f t="shared" si="267"/>
        <v>1</v>
      </c>
      <c r="K2837">
        <f t="shared" si="268"/>
        <v>0</v>
      </c>
      <c r="L2837">
        <f t="shared" si="269"/>
        <v>1</v>
      </c>
    </row>
    <row r="2838" spans="1:12" ht="14.4" customHeight="1" x14ac:dyDescent="0.3">
      <c r="A2838">
        <v>202844600</v>
      </c>
      <c r="B2838" s="1">
        <v>45149</v>
      </c>
      <c r="C2838" s="1">
        <v>45150</v>
      </c>
      <c r="D2838" t="s">
        <v>8</v>
      </c>
      <c r="E2838">
        <v>39</v>
      </c>
      <c r="F2838" t="s">
        <v>6</v>
      </c>
      <c r="G2838">
        <f t="shared" si="264"/>
        <v>1</v>
      </c>
      <c r="H2838" s="1" t="str">
        <f t="shared" si="265"/>
        <v>Friday</v>
      </c>
      <c r="I2838" t="str">
        <f t="shared" si="266"/>
        <v>No</v>
      </c>
      <c r="J2838">
        <f t="shared" si="267"/>
        <v>1</v>
      </c>
      <c r="K2838">
        <f t="shared" si="268"/>
        <v>0</v>
      </c>
      <c r="L2838">
        <f t="shared" si="269"/>
        <v>1</v>
      </c>
    </row>
    <row r="2839" spans="1:12" ht="14.4" customHeight="1" x14ac:dyDescent="0.3">
      <c r="A2839">
        <v>158093021</v>
      </c>
      <c r="B2839" s="1">
        <v>45150</v>
      </c>
      <c r="D2839" t="s">
        <v>7</v>
      </c>
      <c r="E2839">
        <v>39</v>
      </c>
      <c r="F2839" t="s">
        <v>6</v>
      </c>
      <c r="G2839" t="str">
        <f t="shared" si="264"/>
        <v/>
      </c>
      <c r="H2839" s="1" t="str">
        <f t="shared" si="265"/>
        <v>Saturday</v>
      </c>
      <c r="I2839" t="str">
        <f t="shared" si="266"/>
        <v>No</v>
      </c>
      <c r="J2839">
        <f t="shared" si="267"/>
        <v>0</v>
      </c>
      <c r="K2839">
        <f t="shared" si="268"/>
        <v>0</v>
      </c>
      <c r="L2839" t="str">
        <f t="shared" si="269"/>
        <v/>
      </c>
    </row>
    <row r="2840" spans="1:12" ht="14.4" customHeight="1" x14ac:dyDescent="0.3">
      <c r="A2840">
        <v>203366396</v>
      </c>
      <c r="B2840" s="1">
        <v>45150</v>
      </c>
      <c r="C2840" s="1">
        <v>45154</v>
      </c>
      <c r="D2840" t="s">
        <v>7</v>
      </c>
      <c r="E2840">
        <v>39</v>
      </c>
      <c r="F2840" t="s">
        <v>6</v>
      </c>
      <c r="G2840">
        <f t="shared" si="264"/>
        <v>4</v>
      </c>
      <c r="H2840" s="1" t="str">
        <f t="shared" si="265"/>
        <v>Saturday</v>
      </c>
      <c r="I2840" t="str">
        <f t="shared" si="266"/>
        <v>No</v>
      </c>
      <c r="J2840">
        <f t="shared" si="267"/>
        <v>0</v>
      </c>
      <c r="K2840">
        <f t="shared" si="268"/>
        <v>0</v>
      </c>
      <c r="L2840">
        <f t="shared" si="269"/>
        <v>4</v>
      </c>
    </row>
    <row r="2841" spans="1:12" ht="14.4" customHeight="1" x14ac:dyDescent="0.3">
      <c r="A2841">
        <v>210694562</v>
      </c>
      <c r="B2841" s="1">
        <v>45150</v>
      </c>
      <c r="C2841" s="1">
        <v>45171</v>
      </c>
      <c r="D2841" t="s">
        <v>7</v>
      </c>
      <c r="E2841">
        <v>39</v>
      </c>
      <c r="F2841" t="s">
        <v>6</v>
      </c>
      <c r="G2841">
        <f t="shared" si="264"/>
        <v>21</v>
      </c>
      <c r="H2841" s="1" t="str">
        <f t="shared" si="265"/>
        <v>Saturday</v>
      </c>
      <c r="I2841" t="str">
        <f t="shared" si="266"/>
        <v>No</v>
      </c>
      <c r="J2841">
        <f t="shared" si="267"/>
        <v>0</v>
      </c>
      <c r="K2841">
        <f t="shared" si="268"/>
        <v>0</v>
      </c>
      <c r="L2841">
        <f t="shared" si="269"/>
        <v>21</v>
      </c>
    </row>
    <row r="2842" spans="1:12" ht="14.4" customHeight="1" x14ac:dyDescent="0.3">
      <c r="A2842">
        <v>188347490</v>
      </c>
      <c r="B2842" s="1">
        <v>45151</v>
      </c>
      <c r="D2842" t="s">
        <v>7</v>
      </c>
      <c r="E2842">
        <v>39</v>
      </c>
      <c r="F2842" t="s">
        <v>6</v>
      </c>
      <c r="G2842" t="str">
        <f t="shared" si="264"/>
        <v/>
      </c>
      <c r="H2842" s="1" t="str">
        <f t="shared" si="265"/>
        <v>Sunday</v>
      </c>
      <c r="I2842" t="str">
        <f t="shared" si="266"/>
        <v>No</v>
      </c>
      <c r="J2842">
        <f t="shared" si="267"/>
        <v>0</v>
      </c>
      <c r="K2842">
        <f t="shared" si="268"/>
        <v>0</v>
      </c>
      <c r="L2842" t="str">
        <f t="shared" si="269"/>
        <v/>
      </c>
    </row>
    <row r="2843" spans="1:12" ht="14.4" customHeight="1" x14ac:dyDescent="0.3">
      <c r="A2843">
        <v>219947831</v>
      </c>
      <c r="B2843" s="1">
        <v>45151</v>
      </c>
      <c r="D2843" t="s">
        <v>7</v>
      </c>
      <c r="E2843">
        <v>39</v>
      </c>
      <c r="F2843" t="s">
        <v>6</v>
      </c>
      <c r="G2843" t="str">
        <f t="shared" si="264"/>
        <v/>
      </c>
      <c r="H2843" s="1" t="str">
        <f t="shared" si="265"/>
        <v>Sunday</v>
      </c>
      <c r="I2843" t="str">
        <f t="shared" si="266"/>
        <v>No</v>
      </c>
      <c r="J2843">
        <f t="shared" si="267"/>
        <v>0</v>
      </c>
      <c r="K2843">
        <f t="shared" si="268"/>
        <v>0</v>
      </c>
      <c r="L2843" t="str">
        <f t="shared" si="269"/>
        <v/>
      </c>
    </row>
    <row r="2844" spans="1:12" ht="14.4" customHeight="1" x14ac:dyDescent="0.3">
      <c r="A2844">
        <v>214775412</v>
      </c>
      <c r="B2844" s="1">
        <v>45151</v>
      </c>
      <c r="D2844" t="s">
        <v>7</v>
      </c>
      <c r="E2844">
        <v>39</v>
      </c>
      <c r="F2844" t="s">
        <v>6</v>
      </c>
      <c r="G2844" t="str">
        <f t="shared" si="264"/>
        <v/>
      </c>
      <c r="H2844" s="1" t="str">
        <f t="shared" si="265"/>
        <v>Sunday</v>
      </c>
      <c r="I2844" t="str">
        <f t="shared" si="266"/>
        <v>No</v>
      </c>
      <c r="J2844">
        <f t="shared" si="267"/>
        <v>0</v>
      </c>
      <c r="K2844">
        <f t="shared" si="268"/>
        <v>0</v>
      </c>
      <c r="L2844" t="str">
        <f t="shared" si="269"/>
        <v/>
      </c>
    </row>
    <row r="2845" spans="1:12" ht="14.4" customHeight="1" x14ac:dyDescent="0.3">
      <c r="A2845">
        <v>134753801</v>
      </c>
      <c r="B2845" s="1">
        <v>45151</v>
      </c>
      <c r="D2845" t="s">
        <v>7</v>
      </c>
      <c r="E2845">
        <v>39</v>
      </c>
      <c r="F2845" t="s">
        <v>6</v>
      </c>
      <c r="G2845" t="str">
        <f t="shared" si="264"/>
        <v/>
      </c>
      <c r="H2845" s="1" t="str">
        <f t="shared" si="265"/>
        <v>Sunday</v>
      </c>
      <c r="I2845" t="str">
        <f t="shared" si="266"/>
        <v>No</v>
      </c>
      <c r="J2845">
        <f t="shared" si="267"/>
        <v>0</v>
      </c>
      <c r="K2845">
        <f t="shared" si="268"/>
        <v>0</v>
      </c>
      <c r="L2845" t="str">
        <f t="shared" si="269"/>
        <v/>
      </c>
    </row>
    <row r="2846" spans="1:12" ht="14.4" customHeight="1" x14ac:dyDescent="0.3">
      <c r="A2846">
        <v>182584521</v>
      </c>
      <c r="B2846" s="1">
        <v>45151</v>
      </c>
      <c r="D2846" t="s">
        <v>7</v>
      </c>
      <c r="E2846">
        <v>39</v>
      </c>
      <c r="F2846" t="s">
        <v>6</v>
      </c>
      <c r="G2846" t="str">
        <f t="shared" si="264"/>
        <v/>
      </c>
      <c r="H2846" s="1" t="str">
        <f t="shared" si="265"/>
        <v>Sunday</v>
      </c>
      <c r="I2846" t="str">
        <f t="shared" si="266"/>
        <v>No</v>
      </c>
      <c r="J2846">
        <f t="shared" si="267"/>
        <v>0</v>
      </c>
      <c r="K2846">
        <f t="shared" si="268"/>
        <v>0</v>
      </c>
      <c r="L2846" t="str">
        <f t="shared" si="269"/>
        <v/>
      </c>
    </row>
    <row r="2847" spans="1:12" ht="14.4" customHeight="1" x14ac:dyDescent="0.3">
      <c r="A2847">
        <v>219955434</v>
      </c>
      <c r="B2847" s="1">
        <v>45151</v>
      </c>
      <c r="D2847" t="s">
        <v>7</v>
      </c>
      <c r="E2847">
        <v>39</v>
      </c>
      <c r="F2847" t="s">
        <v>6</v>
      </c>
      <c r="G2847" t="str">
        <f t="shared" si="264"/>
        <v/>
      </c>
      <c r="H2847" s="1" t="str">
        <f t="shared" si="265"/>
        <v>Sunday</v>
      </c>
      <c r="I2847" t="str">
        <f t="shared" si="266"/>
        <v>No</v>
      </c>
      <c r="J2847">
        <f t="shared" si="267"/>
        <v>0</v>
      </c>
      <c r="K2847">
        <f t="shared" si="268"/>
        <v>0</v>
      </c>
      <c r="L2847" t="str">
        <f t="shared" si="269"/>
        <v/>
      </c>
    </row>
    <row r="2848" spans="1:12" ht="14.4" customHeight="1" x14ac:dyDescent="0.3">
      <c r="A2848">
        <v>219951440</v>
      </c>
      <c r="B2848" s="1">
        <v>45151</v>
      </c>
      <c r="D2848" t="s">
        <v>7</v>
      </c>
      <c r="E2848">
        <v>39</v>
      </c>
      <c r="F2848" t="s">
        <v>6</v>
      </c>
      <c r="G2848" t="str">
        <f t="shared" si="264"/>
        <v/>
      </c>
      <c r="H2848" s="1" t="str">
        <f t="shared" si="265"/>
        <v>Sunday</v>
      </c>
      <c r="I2848" t="str">
        <f t="shared" si="266"/>
        <v>No</v>
      </c>
      <c r="J2848">
        <f t="shared" si="267"/>
        <v>0</v>
      </c>
      <c r="K2848">
        <f t="shared" si="268"/>
        <v>0</v>
      </c>
      <c r="L2848" t="str">
        <f t="shared" si="269"/>
        <v/>
      </c>
    </row>
    <row r="2849" spans="1:12" ht="14.4" customHeight="1" x14ac:dyDescent="0.3">
      <c r="A2849">
        <v>219808428</v>
      </c>
      <c r="B2849" s="1">
        <v>45151</v>
      </c>
      <c r="C2849" s="1">
        <v>45170</v>
      </c>
      <c r="D2849" t="s">
        <v>7</v>
      </c>
      <c r="E2849">
        <v>39</v>
      </c>
      <c r="F2849" t="s">
        <v>6</v>
      </c>
      <c r="G2849">
        <f t="shared" si="264"/>
        <v>19</v>
      </c>
      <c r="H2849" s="1" t="str">
        <f t="shared" si="265"/>
        <v>Sunday</v>
      </c>
      <c r="I2849" t="str">
        <f t="shared" si="266"/>
        <v>No</v>
      </c>
      <c r="J2849">
        <f t="shared" si="267"/>
        <v>0</v>
      </c>
      <c r="K2849">
        <f t="shared" si="268"/>
        <v>0</v>
      </c>
      <c r="L2849">
        <f t="shared" si="269"/>
        <v>19</v>
      </c>
    </row>
    <row r="2850" spans="1:12" ht="14.4" customHeight="1" x14ac:dyDescent="0.3">
      <c r="A2850">
        <v>191034251</v>
      </c>
      <c r="B2850" s="1">
        <v>45152</v>
      </c>
      <c r="D2850" t="s">
        <v>7</v>
      </c>
      <c r="E2850">
        <v>39</v>
      </c>
      <c r="F2850" t="s">
        <v>6</v>
      </c>
      <c r="G2850" t="str">
        <f t="shared" si="264"/>
        <v/>
      </c>
      <c r="H2850" s="1" t="str">
        <f t="shared" si="265"/>
        <v>Monday</v>
      </c>
      <c r="I2850" t="str">
        <f t="shared" si="266"/>
        <v>No</v>
      </c>
      <c r="J2850">
        <f t="shared" si="267"/>
        <v>0</v>
      </c>
      <c r="K2850">
        <f t="shared" si="268"/>
        <v>0</v>
      </c>
      <c r="L2850" t="str">
        <f t="shared" si="269"/>
        <v/>
      </c>
    </row>
    <row r="2851" spans="1:12" ht="14.4" customHeight="1" x14ac:dyDescent="0.3">
      <c r="A2851">
        <v>220023196</v>
      </c>
      <c r="B2851" s="1">
        <v>45152</v>
      </c>
      <c r="D2851" t="s">
        <v>7</v>
      </c>
      <c r="E2851">
        <v>39</v>
      </c>
      <c r="F2851" t="s">
        <v>6</v>
      </c>
      <c r="G2851" t="str">
        <f t="shared" si="264"/>
        <v/>
      </c>
      <c r="H2851" s="1" t="str">
        <f t="shared" si="265"/>
        <v>Monday</v>
      </c>
      <c r="I2851" t="str">
        <f t="shared" si="266"/>
        <v>No</v>
      </c>
      <c r="J2851">
        <f t="shared" si="267"/>
        <v>0</v>
      </c>
      <c r="K2851">
        <f t="shared" si="268"/>
        <v>0</v>
      </c>
      <c r="L2851" t="str">
        <f t="shared" si="269"/>
        <v/>
      </c>
    </row>
    <row r="2852" spans="1:12" ht="14.4" customHeight="1" x14ac:dyDescent="0.3">
      <c r="A2852">
        <v>220028812</v>
      </c>
      <c r="B2852" s="1">
        <v>45152</v>
      </c>
      <c r="D2852" t="s">
        <v>7</v>
      </c>
      <c r="E2852">
        <v>39</v>
      </c>
      <c r="F2852" t="s">
        <v>6</v>
      </c>
      <c r="G2852" t="str">
        <f t="shared" si="264"/>
        <v/>
      </c>
      <c r="H2852" s="1" t="str">
        <f t="shared" si="265"/>
        <v>Monday</v>
      </c>
      <c r="I2852" t="str">
        <f t="shared" si="266"/>
        <v>No</v>
      </c>
      <c r="J2852">
        <f t="shared" si="267"/>
        <v>0</v>
      </c>
      <c r="K2852">
        <f t="shared" si="268"/>
        <v>0</v>
      </c>
      <c r="L2852" t="str">
        <f t="shared" si="269"/>
        <v/>
      </c>
    </row>
    <row r="2853" spans="1:12" ht="14.4" customHeight="1" x14ac:dyDescent="0.3">
      <c r="A2853">
        <v>195988242</v>
      </c>
      <c r="B2853" s="1">
        <v>45152</v>
      </c>
      <c r="D2853" t="s">
        <v>7</v>
      </c>
      <c r="E2853">
        <v>39</v>
      </c>
      <c r="F2853" t="s">
        <v>6</v>
      </c>
      <c r="G2853" t="str">
        <f t="shared" si="264"/>
        <v/>
      </c>
      <c r="H2853" s="1" t="str">
        <f t="shared" si="265"/>
        <v>Monday</v>
      </c>
      <c r="I2853" t="str">
        <f t="shared" si="266"/>
        <v>No</v>
      </c>
      <c r="J2853">
        <f t="shared" si="267"/>
        <v>0</v>
      </c>
      <c r="K2853">
        <f t="shared" si="268"/>
        <v>0</v>
      </c>
      <c r="L2853" t="str">
        <f t="shared" si="269"/>
        <v/>
      </c>
    </row>
    <row r="2854" spans="1:12" ht="14.4" customHeight="1" x14ac:dyDescent="0.3">
      <c r="A2854">
        <v>151633468</v>
      </c>
      <c r="B2854" s="1">
        <v>45152</v>
      </c>
      <c r="D2854" t="s">
        <v>7</v>
      </c>
      <c r="E2854">
        <v>39</v>
      </c>
      <c r="F2854" t="s">
        <v>6</v>
      </c>
      <c r="G2854" t="str">
        <f t="shared" si="264"/>
        <v/>
      </c>
      <c r="H2854" s="1" t="str">
        <f t="shared" si="265"/>
        <v>Monday</v>
      </c>
      <c r="I2854" t="str">
        <f t="shared" si="266"/>
        <v>No</v>
      </c>
      <c r="J2854">
        <f t="shared" si="267"/>
        <v>0</v>
      </c>
      <c r="K2854">
        <f t="shared" si="268"/>
        <v>0</v>
      </c>
      <c r="L2854" t="str">
        <f t="shared" si="269"/>
        <v/>
      </c>
    </row>
    <row r="2855" spans="1:12" ht="14.4" customHeight="1" x14ac:dyDescent="0.3">
      <c r="A2855">
        <v>220012044</v>
      </c>
      <c r="B2855" s="1">
        <v>45152</v>
      </c>
      <c r="D2855" t="s">
        <v>7</v>
      </c>
      <c r="E2855">
        <v>39</v>
      </c>
      <c r="F2855" t="s">
        <v>6</v>
      </c>
      <c r="G2855" t="str">
        <f t="shared" si="264"/>
        <v/>
      </c>
      <c r="H2855" s="1" t="str">
        <f t="shared" si="265"/>
        <v>Monday</v>
      </c>
      <c r="I2855" t="str">
        <f t="shared" si="266"/>
        <v>No</v>
      </c>
      <c r="J2855">
        <f t="shared" si="267"/>
        <v>0</v>
      </c>
      <c r="K2855">
        <f t="shared" si="268"/>
        <v>0</v>
      </c>
      <c r="L2855" t="str">
        <f t="shared" si="269"/>
        <v/>
      </c>
    </row>
    <row r="2856" spans="1:12" ht="14.4" customHeight="1" x14ac:dyDescent="0.3">
      <c r="A2856">
        <v>219981231</v>
      </c>
      <c r="B2856" s="1">
        <v>45152</v>
      </c>
      <c r="D2856" t="s">
        <v>7</v>
      </c>
      <c r="E2856">
        <v>39</v>
      </c>
      <c r="F2856" t="s">
        <v>6</v>
      </c>
      <c r="G2856" t="str">
        <f t="shared" si="264"/>
        <v/>
      </c>
      <c r="H2856" s="1" t="str">
        <f t="shared" si="265"/>
        <v>Monday</v>
      </c>
      <c r="I2856" t="str">
        <f t="shared" si="266"/>
        <v>No</v>
      </c>
      <c r="J2856">
        <f t="shared" si="267"/>
        <v>0</v>
      </c>
      <c r="K2856">
        <f t="shared" si="268"/>
        <v>0</v>
      </c>
      <c r="L2856" t="str">
        <f t="shared" si="269"/>
        <v/>
      </c>
    </row>
    <row r="2857" spans="1:12" ht="14.4" customHeight="1" x14ac:dyDescent="0.3">
      <c r="A2857">
        <v>169692209</v>
      </c>
      <c r="B2857" s="1">
        <v>45152</v>
      </c>
      <c r="D2857" t="s">
        <v>7</v>
      </c>
      <c r="E2857">
        <v>39</v>
      </c>
      <c r="F2857" t="s">
        <v>6</v>
      </c>
      <c r="G2857" t="str">
        <f t="shared" si="264"/>
        <v/>
      </c>
      <c r="H2857" s="1" t="str">
        <f t="shared" si="265"/>
        <v>Monday</v>
      </c>
      <c r="I2857" t="str">
        <f t="shared" si="266"/>
        <v>No</v>
      </c>
      <c r="J2857">
        <f t="shared" si="267"/>
        <v>0</v>
      </c>
      <c r="K2857">
        <f t="shared" si="268"/>
        <v>0</v>
      </c>
      <c r="L2857" t="str">
        <f t="shared" si="269"/>
        <v/>
      </c>
    </row>
    <row r="2858" spans="1:12" ht="14.4" customHeight="1" x14ac:dyDescent="0.3">
      <c r="A2858">
        <v>116156335</v>
      </c>
      <c r="B2858" s="1">
        <v>45152</v>
      </c>
      <c r="D2858" t="s">
        <v>7</v>
      </c>
      <c r="E2858">
        <v>39</v>
      </c>
      <c r="F2858" t="s">
        <v>6</v>
      </c>
      <c r="G2858" t="str">
        <f t="shared" si="264"/>
        <v/>
      </c>
      <c r="H2858" s="1" t="str">
        <f t="shared" si="265"/>
        <v>Monday</v>
      </c>
      <c r="I2858" t="str">
        <f t="shared" si="266"/>
        <v>No</v>
      </c>
      <c r="J2858">
        <f t="shared" si="267"/>
        <v>0</v>
      </c>
      <c r="K2858">
        <f t="shared" si="268"/>
        <v>0</v>
      </c>
      <c r="L2858" t="str">
        <f t="shared" si="269"/>
        <v/>
      </c>
    </row>
    <row r="2859" spans="1:12" ht="14.4" customHeight="1" x14ac:dyDescent="0.3">
      <c r="A2859">
        <v>153393340</v>
      </c>
      <c r="B2859" s="1">
        <v>45152</v>
      </c>
      <c r="D2859" t="s">
        <v>7</v>
      </c>
      <c r="E2859">
        <v>39</v>
      </c>
      <c r="F2859" t="s">
        <v>6</v>
      </c>
      <c r="G2859" t="str">
        <f t="shared" si="264"/>
        <v/>
      </c>
      <c r="H2859" s="1" t="str">
        <f t="shared" si="265"/>
        <v>Monday</v>
      </c>
      <c r="I2859" t="str">
        <f t="shared" si="266"/>
        <v>No</v>
      </c>
      <c r="J2859">
        <f t="shared" si="267"/>
        <v>0</v>
      </c>
      <c r="K2859">
        <f t="shared" si="268"/>
        <v>0</v>
      </c>
      <c r="L2859" t="str">
        <f t="shared" si="269"/>
        <v/>
      </c>
    </row>
    <row r="2860" spans="1:12" ht="14.4" customHeight="1" x14ac:dyDescent="0.3">
      <c r="A2860">
        <v>219974920</v>
      </c>
      <c r="B2860" s="1">
        <v>45152</v>
      </c>
      <c r="D2860" t="s">
        <v>7</v>
      </c>
      <c r="E2860">
        <v>39</v>
      </c>
      <c r="F2860" t="s">
        <v>6</v>
      </c>
      <c r="G2860" t="str">
        <f t="shared" si="264"/>
        <v/>
      </c>
      <c r="H2860" s="1" t="str">
        <f t="shared" si="265"/>
        <v>Monday</v>
      </c>
      <c r="I2860" t="str">
        <f t="shared" si="266"/>
        <v>No</v>
      </c>
      <c r="J2860">
        <f t="shared" si="267"/>
        <v>0</v>
      </c>
      <c r="K2860">
        <f t="shared" si="268"/>
        <v>0</v>
      </c>
      <c r="L2860" t="str">
        <f t="shared" si="269"/>
        <v/>
      </c>
    </row>
    <row r="2861" spans="1:12" ht="14.4" customHeight="1" x14ac:dyDescent="0.3">
      <c r="A2861">
        <v>121253113</v>
      </c>
      <c r="B2861" s="1">
        <v>45152</v>
      </c>
      <c r="C2861" s="1">
        <v>45154</v>
      </c>
      <c r="D2861" t="s">
        <v>7</v>
      </c>
      <c r="E2861">
        <v>39</v>
      </c>
      <c r="F2861" t="s">
        <v>6</v>
      </c>
      <c r="G2861">
        <f t="shared" si="264"/>
        <v>2</v>
      </c>
      <c r="H2861" s="1" t="str">
        <f t="shared" si="265"/>
        <v>Monday</v>
      </c>
      <c r="I2861" t="str">
        <f t="shared" si="266"/>
        <v>No</v>
      </c>
      <c r="J2861">
        <f t="shared" si="267"/>
        <v>1</v>
      </c>
      <c r="K2861">
        <f t="shared" si="268"/>
        <v>0</v>
      </c>
      <c r="L2861">
        <f t="shared" si="269"/>
        <v>2</v>
      </c>
    </row>
    <row r="2862" spans="1:12" ht="14.4" customHeight="1" x14ac:dyDescent="0.3">
      <c r="A2862">
        <v>219690296</v>
      </c>
      <c r="B2862" s="1">
        <v>45153</v>
      </c>
      <c r="D2862" t="s">
        <v>7</v>
      </c>
      <c r="E2862">
        <v>39</v>
      </c>
      <c r="F2862" t="s">
        <v>6</v>
      </c>
      <c r="G2862" t="str">
        <f t="shared" si="264"/>
        <v/>
      </c>
      <c r="H2862" s="1" t="str">
        <f t="shared" si="265"/>
        <v>Tuesday</v>
      </c>
      <c r="I2862" t="str">
        <f t="shared" si="266"/>
        <v>No</v>
      </c>
      <c r="J2862">
        <f t="shared" si="267"/>
        <v>0</v>
      </c>
      <c r="K2862">
        <f t="shared" si="268"/>
        <v>0</v>
      </c>
      <c r="L2862" t="str">
        <f t="shared" si="269"/>
        <v/>
      </c>
    </row>
    <row r="2863" spans="1:12" ht="14.4" customHeight="1" x14ac:dyDescent="0.3">
      <c r="A2863">
        <v>187268085</v>
      </c>
      <c r="B2863" s="1">
        <v>45153</v>
      </c>
      <c r="D2863" t="s">
        <v>7</v>
      </c>
      <c r="E2863">
        <v>39</v>
      </c>
      <c r="F2863" t="s">
        <v>6</v>
      </c>
      <c r="G2863" t="str">
        <f t="shared" si="264"/>
        <v/>
      </c>
      <c r="H2863" s="1" t="str">
        <f t="shared" si="265"/>
        <v>Tuesday</v>
      </c>
      <c r="I2863" t="str">
        <f t="shared" si="266"/>
        <v>No</v>
      </c>
      <c r="J2863">
        <f t="shared" si="267"/>
        <v>0</v>
      </c>
      <c r="K2863">
        <f t="shared" si="268"/>
        <v>0</v>
      </c>
      <c r="L2863" t="str">
        <f t="shared" si="269"/>
        <v/>
      </c>
    </row>
    <row r="2864" spans="1:12" ht="14.4" customHeight="1" x14ac:dyDescent="0.3">
      <c r="A2864">
        <v>150623785</v>
      </c>
      <c r="B2864" s="1">
        <v>45153</v>
      </c>
      <c r="D2864" t="s">
        <v>7</v>
      </c>
      <c r="E2864">
        <v>39</v>
      </c>
      <c r="F2864" t="s">
        <v>6</v>
      </c>
      <c r="G2864" t="str">
        <f t="shared" si="264"/>
        <v/>
      </c>
      <c r="H2864" s="1" t="str">
        <f t="shared" si="265"/>
        <v>Tuesday</v>
      </c>
      <c r="I2864" t="str">
        <f t="shared" si="266"/>
        <v>No</v>
      </c>
      <c r="J2864">
        <f t="shared" si="267"/>
        <v>0</v>
      </c>
      <c r="K2864">
        <f t="shared" si="268"/>
        <v>0</v>
      </c>
      <c r="L2864" t="str">
        <f t="shared" si="269"/>
        <v/>
      </c>
    </row>
    <row r="2865" spans="1:12" ht="14.4" customHeight="1" x14ac:dyDescent="0.3">
      <c r="A2865">
        <v>220056524</v>
      </c>
      <c r="B2865" s="1">
        <v>45153</v>
      </c>
      <c r="C2865" s="1">
        <v>45154</v>
      </c>
      <c r="D2865" t="s">
        <v>8</v>
      </c>
      <c r="E2865">
        <v>39</v>
      </c>
      <c r="F2865" t="s">
        <v>6</v>
      </c>
      <c r="G2865">
        <f t="shared" si="264"/>
        <v>1</v>
      </c>
      <c r="H2865" s="1" t="str">
        <f t="shared" si="265"/>
        <v>Tuesday</v>
      </c>
      <c r="I2865" t="str">
        <f t="shared" si="266"/>
        <v>No</v>
      </c>
      <c r="J2865">
        <f t="shared" si="267"/>
        <v>1</v>
      </c>
      <c r="K2865">
        <f t="shared" si="268"/>
        <v>0</v>
      </c>
      <c r="L2865">
        <f t="shared" si="269"/>
        <v>1</v>
      </c>
    </row>
    <row r="2866" spans="1:12" ht="14.4" customHeight="1" x14ac:dyDescent="0.3">
      <c r="A2866">
        <v>208188866</v>
      </c>
      <c r="B2866" s="1">
        <v>45154</v>
      </c>
      <c r="D2866" t="s">
        <v>7</v>
      </c>
      <c r="E2866">
        <v>39</v>
      </c>
      <c r="F2866" t="s">
        <v>6</v>
      </c>
      <c r="G2866" t="str">
        <f t="shared" si="264"/>
        <v/>
      </c>
      <c r="H2866" s="1" t="str">
        <f t="shared" si="265"/>
        <v>Wednesday</v>
      </c>
      <c r="I2866" t="str">
        <f t="shared" si="266"/>
        <v>No</v>
      </c>
      <c r="J2866">
        <f t="shared" si="267"/>
        <v>0</v>
      </c>
      <c r="K2866">
        <f t="shared" si="268"/>
        <v>0</v>
      </c>
      <c r="L2866" t="str">
        <f t="shared" si="269"/>
        <v/>
      </c>
    </row>
    <row r="2867" spans="1:12" ht="14.4" customHeight="1" x14ac:dyDescent="0.3">
      <c r="A2867">
        <v>219081046</v>
      </c>
      <c r="B2867" s="1">
        <v>45154</v>
      </c>
      <c r="D2867" t="s">
        <v>7</v>
      </c>
      <c r="E2867">
        <v>39</v>
      </c>
      <c r="F2867" t="s">
        <v>6</v>
      </c>
      <c r="G2867" t="str">
        <f t="shared" si="264"/>
        <v/>
      </c>
      <c r="H2867" s="1" t="str">
        <f t="shared" si="265"/>
        <v>Wednesday</v>
      </c>
      <c r="I2867" t="str">
        <f t="shared" si="266"/>
        <v>No</v>
      </c>
      <c r="J2867">
        <f t="shared" si="267"/>
        <v>0</v>
      </c>
      <c r="K2867">
        <f t="shared" si="268"/>
        <v>0</v>
      </c>
      <c r="L2867" t="str">
        <f t="shared" si="269"/>
        <v/>
      </c>
    </row>
    <row r="2868" spans="1:12" ht="14.4" customHeight="1" x14ac:dyDescent="0.3">
      <c r="A2868">
        <v>219569143</v>
      </c>
      <c r="B2868" s="1">
        <v>45154</v>
      </c>
      <c r="D2868" t="s">
        <v>7</v>
      </c>
      <c r="E2868">
        <v>39</v>
      </c>
      <c r="F2868" t="s">
        <v>6</v>
      </c>
      <c r="G2868" t="str">
        <f t="shared" si="264"/>
        <v/>
      </c>
      <c r="H2868" s="1" t="str">
        <f t="shared" si="265"/>
        <v>Wednesday</v>
      </c>
      <c r="I2868" t="str">
        <f t="shared" si="266"/>
        <v>No</v>
      </c>
      <c r="J2868">
        <f t="shared" si="267"/>
        <v>0</v>
      </c>
      <c r="K2868">
        <f t="shared" si="268"/>
        <v>0</v>
      </c>
      <c r="L2868" t="str">
        <f t="shared" si="269"/>
        <v/>
      </c>
    </row>
    <row r="2869" spans="1:12" ht="14.4" customHeight="1" x14ac:dyDescent="0.3">
      <c r="A2869">
        <v>219653068</v>
      </c>
      <c r="B2869" s="1">
        <v>45154</v>
      </c>
      <c r="D2869" t="s">
        <v>7</v>
      </c>
      <c r="E2869">
        <v>39</v>
      </c>
      <c r="F2869" t="s">
        <v>6</v>
      </c>
      <c r="G2869" t="str">
        <f t="shared" si="264"/>
        <v/>
      </c>
      <c r="H2869" s="1" t="str">
        <f t="shared" si="265"/>
        <v>Wednesday</v>
      </c>
      <c r="I2869" t="str">
        <f t="shared" si="266"/>
        <v>No</v>
      </c>
      <c r="J2869">
        <f t="shared" si="267"/>
        <v>0</v>
      </c>
      <c r="K2869">
        <f t="shared" si="268"/>
        <v>0</v>
      </c>
      <c r="L2869" t="str">
        <f t="shared" si="269"/>
        <v/>
      </c>
    </row>
    <row r="2870" spans="1:12" ht="14.4" customHeight="1" x14ac:dyDescent="0.3">
      <c r="A2870">
        <v>220120740</v>
      </c>
      <c r="B2870" s="1">
        <v>45154</v>
      </c>
      <c r="D2870" t="s">
        <v>7</v>
      </c>
      <c r="E2870">
        <v>39</v>
      </c>
      <c r="F2870" t="s">
        <v>6</v>
      </c>
      <c r="G2870" t="str">
        <f t="shared" si="264"/>
        <v/>
      </c>
      <c r="H2870" s="1" t="str">
        <f t="shared" si="265"/>
        <v>Wednesday</v>
      </c>
      <c r="I2870" t="str">
        <f t="shared" si="266"/>
        <v>No</v>
      </c>
      <c r="J2870">
        <f t="shared" si="267"/>
        <v>0</v>
      </c>
      <c r="K2870">
        <f t="shared" si="268"/>
        <v>0</v>
      </c>
      <c r="L2870" t="str">
        <f t="shared" si="269"/>
        <v/>
      </c>
    </row>
    <row r="2871" spans="1:12" ht="14.4" customHeight="1" x14ac:dyDescent="0.3">
      <c r="A2871">
        <v>186200901</v>
      </c>
      <c r="B2871" s="1">
        <v>45154</v>
      </c>
      <c r="D2871" t="s">
        <v>7</v>
      </c>
      <c r="E2871">
        <v>39</v>
      </c>
      <c r="F2871" t="s">
        <v>6</v>
      </c>
      <c r="G2871" t="str">
        <f t="shared" si="264"/>
        <v/>
      </c>
      <c r="H2871" s="1" t="str">
        <f t="shared" si="265"/>
        <v>Wednesday</v>
      </c>
      <c r="I2871" t="str">
        <f t="shared" si="266"/>
        <v>No</v>
      </c>
      <c r="J2871">
        <f t="shared" si="267"/>
        <v>0</v>
      </c>
      <c r="K2871">
        <f t="shared" si="268"/>
        <v>0</v>
      </c>
      <c r="L2871" t="str">
        <f t="shared" si="269"/>
        <v/>
      </c>
    </row>
    <row r="2872" spans="1:12" ht="14.4" customHeight="1" x14ac:dyDescent="0.3">
      <c r="A2872">
        <v>220116966</v>
      </c>
      <c r="B2872" s="1">
        <v>45154</v>
      </c>
      <c r="D2872" t="s">
        <v>7</v>
      </c>
      <c r="E2872">
        <v>39</v>
      </c>
      <c r="F2872" t="s">
        <v>6</v>
      </c>
      <c r="G2872" t="str">
        <f t="shared" si="264"/>
        <v/>
      </c>
      <c r="H2872" s="1" t="str">
        <f t="shared" si="265"/>
        <v>Wednesday</v>
      </c>
      <c r="I2872" t="str">
        <f t="shared" si="266"/>
        <v>No</v>
      </c>
      <c r="J2872">
        <f t="shared" si="267"/>
        <v>0</v>
      </c>
      <c r="K2872">
        <f t="shared" si="268"/>
        <v>0</v>
      </c>
      <c r="L2872" t="str">
        <f t="shared" si="269"/>
        <v/>
      </c>
    </row>
    <row r="2873" spans="1:12" ht="14.4" customHeight="1" x14ac:dyDescent="0.3">
      <c r="A2873">
        <v>219876215</v>
      </c>
      <c r="B2873" s="1">
        <v>45154</v>
      </c>
      <c r="D2873" t="s">
        <v>7</v>
      </c>
      <c r="E2873">
        <v>39</v>
      </c>
      <c r="F2873" t="s">
        <v>6</v>
      </c>
      <c r="G2873" t="str">
        <f t="shared" si="264"/>
        <v/>
      </c>
      <c r="H2873" s="1" t="str">
        <f t="shared" si="265"/>
        <v>Wednesday</v>
      </c>
      <c r="I2873" t="str">
        <f t="shared" si="266"/>
        <v>No</v>
      </c>
      <c r="J2873">
        <f t="shared" si="267"/>
        <v>0</v>
      </c>
      <c r="K2873">
        <f t="shared" si="268"/>
        <v>0</v>
      </c>
      <c r="L2873" t="str">
        <f t="shared" si="269"/>
        <v/>
      </c>
    </row>
    <row r="2874" spans="1:12" ht="14.4" customHeight="1" x14ac:dyDescent="0.3">
      <c r="A2874">
        <v>219996796</v>
      </c>
      <c r="B2874" s="1">
        <v>45154</v>
      </c>
      <c r="D2874" t="s">
        <v>7</v>
      </c>
      <c r="E2874">
        <v>39</v>
      </c>
      <c r="F2874" t="s">
        <v>6</v>
      </c>
      <c r="G2874" t="str">
        <f t="shared" si="264"/>
        <v/>
      </c>
      <c r="H2874" s="1" t="str">
        <f t="shared" si="265"/>
        <v>Wednesday</v>
      </c>
      <c r="I2874" t="str">
        <f t="shared" si="266"/>
        <v>No</v>
      </c>
      <c r="J2874">
        <f t="shared" si="267"/>
        <v>0</v>
      </c>
      <c r="K2874">
        <f t="shared" si="268"/>
        <v>0</v>
      </c>
      <c r="L2874" t="str">
        <f t="shared" si="269"/>
        <v/>
      </c>
    </row>
    <row r="2875" spans="1:12" ht="14.4" customHeight="1" x14ac:dyDescent="0.3">
      <c r="A2875">
        <v>218296652</v>
      </c>
      <c r="B2875" s="1">
        <v>45154</v>
      </c>
      <c r="D2875" t="s">
        <v>7</v>
      </c>
      <c r="E2875">
        <v>39</v>
      </c>
      <c r="F2875" t="s">
        <v>6</v>
      </c>
      <c r="G2875" t="str">
        <f t="shared" si="264"/>
        <v/>
      </c>
      <c r="H2875" s="1" t="str">
        <f t="shared" si="265"/>
        <v>Wednesday</v>
      </c>
      <c r="I2875" t="str">
        <f t="shared" si="266"/>
        <v>No</v>
      </c>
      <c r="J2875">
        <f t="shared" si="267"/>
        <v>0</v>
      </c>
      <c r="K2875">
        <f t="shared" si="268"/>
        <v>0</v>
      </c>
      <c r="L2875" t="str">
        <f t="shared" si="269"/>
        <v/>
      </c>
    </row>
    <row r="2876" spans="1:12" ht="14.4" customHeight="1" x14ac:dyDescent="0.3">
      <c r="A2876">
        <v>188748372</v>
      </c>
      <c r="B2876" s="1">
        <v>45154</v>
      </c>
      <c r="D2876" t="s">
        <v>7</v>
      </c>
      <c r="E2876">
        <v>39</v>
      </c>
      <c r="F2876" t="s">
        <v>6</v>
      </c>
      <c r="G2876" t="str">
        <f t="shared" si="264"/>
        <v/>
      </c>
      <c r="H2876" s="1" t="str">
        <f t="shared" si="265"/>
        <v>Wednesday</v>
      </c>
      <c r="I2876" t="str">
        <f t="shared" si="266"/>
        <v>No</v>
      </c>
      <c r="J2876">
        <f t="shared" si="267"/>
        <v>0</v>
      </c>
      <c r="K2876">
        <f t="shared" si="268"/>
        <v>0</v>
      </c>
      <c r="L2876" t="str">
        <f t="shared" si="269"/>
        <v/>
      </c>
    </row>
    <row r="2877" spans="1:12" ht="14.4" customHeight="1" x14ac:dyDescent="0.3">
      <c r="A2877">
        <v>220080560</v>
      </c>
      <c r="B2877" s="1">
        <v>45154</v>
      </c>
      <c r="D2877" t="s">
        <v>7</v>
      </c>
      <c r="E2877">
        <v>39</v>
      </c>
      <c r="F2877" t="s">
        <v>6</v>
      </c>
      <c r="G2877" t="str">
        <f t="shared" si="264"/>
        <v/>
      </c>
      <c r="H2877" s="1" t="str">
        <f t="shared" si="265"/>
        <v>Wednesday</v>
      </c>
      <c r="I2877" t="str">
        <f t="shared" si="266"/>
        <v>No</v>
      </c>
      <c r="J2877">
        <f t="shared" si="267"/>
        <v>0</v>
      </c>
      <c r="K2877">
        <f t="shared" si="268"/>
        <v>0</v>
      </c>
      <c r="L2877" t="str">
        <f t="shared" si="269"/>
        <v/>
      </c>
    </row>
    <row r="2878" spans="1:12" ht="14.4" customHeight="1" x14ac:dyDescent="0.3">
      <c r="A2878">
        <v>219899496</v>
      </c>
      <c r="B2878" s="1">
        <v>45155</v>
      </c>
      <c r="D2878" t="s">
        <v>7</v>
      </c>
      <c r="E2878">
        <v>39</v>
      </c>
      <c r="F2878" t="s">
        <v>6</v>
      </c>
      <c r="G2878" t="str">
        <f t="shared" si="264"/>
        <v/>
      </c>
      <c r="H2878" s="1" t="str">
        <f t="shared" si="265"/>
        <v>Thursday</v>
      </c>
      <c r="I2878" t="str">
        <f t="shared" si="266"/>
        <v>No</v>
      </c>
      <c r="J2878">
        <f t="shared" si="267"/>
        <v>0</v>
      </c>
      <c r="K2878">
        <f t="shared" si="268"/>
        <v>0</v>
      </c>
      <c r="L2878" t="str">
        <f t="shared" si="269"/>
        <v/>
      </c>
    </row>
    <row r="2879" spans="1:12" ht="14.4" customHeight="1" x14ac:dyDescent="0.3">
      <c r="A2879">
        <v>219000322</v>
      </c>
      <c r="B2879" s="1">
        <v>45155</v>
      </c>
      <c r="D2879" t="s">
        <v>7</v>
      </c>
      <c r="E2879">
        <v>39</v>
      </c>
      <c r="F2879" t="s">
        <v>6</v>
      </c>
      <c r="G2879" t="str">
        <f t="shared" si="264"/>
        <v/>
      </c>
      <c r="H2879" s="1" t="str">
        <f t="shared" si="265"/>
        <v>Thursday</v>
      </c>
      <c r="I2879" t="str">
        <f t="shared" si="266"/>
        <v>No</v>
      </c>
      <c r="J2879">
        <f t="shared" si="267"/>
        <v>0</v>
      </c>
      <c r="K2879">
        <f t="shared" si="268"/>
        <v>0</v>
      </c>
      <c r="L2879" t="str">
        <f t="shared" si="269"/>
        <v/>
      </c>
    </row>
    <row r="2880" spans="1:12" ht="14.4" customHeight="1" x14ac:dyDescent="0.3">
      <c r="A2880">
        <v>220181992</v>
      </c>
      <c r="B2880" s="1">
        <v>45155</v>
      </c>
      <c r="D2880" t="s">
        <v>7</v>
      </c>
      <c r="E2880">
        <v>39</v>
      </c>
      <c r="F2880" t="s">
        <v>6</v>
      </c>
      <c r="G2880" t="str">
        <f t="shared" si="264"/>
        <v/>
      </c>
      <c r="H2880" s="1" t="str">
        <f t="shared" si="265"/>
        <v>Thursday</v>
      </c>
      <c r="I2880" t="str">
        <f t="shared" si="266"/>
        <v>No</v>
      </c>
      <c r="J2880">
        <f t="shared" si="267"/>
        <v>0</v>
      </c>
      <c r="K2880">
        <f t="shared" si="268"/>
        <v>0</v>
      </c>
      <c r="L2880" t="str">
        <f t="shared" si="269"/>
        <v/>
      </c>
    </row>
    <row r="2881" spans="1:12" ht="14.4" customHeight="1" x14ac:dyDescent="0.3">
      <c r="A2881">
        <v>220196419</v>
      </c>
      <c r="B2881" s="1">
        <v>45155</v>
      </c>
      <c r="D2881" t="s">
        <v>7</v>
      </c>
      <c r="E2881">
        <v>39</v>
      </c>
      <c r="F2881" t="s">
        <v>6</v>
      </c>
      <c r="G2881" t="str">
        <f t="shared" si="264"/>
        <v/>
      </c>
      <c r="H2881" s="1" t="str">
        <f t="shared" si="265"/>
        <v>Thursday</v>
      </c>
      <c r="I2881" t="str">
        <f t="shared" si="266"/>
        <v>No</v>
      </c>
      <c r="J2881">
        <f t="shared" si="267"/>
        <v>0</v>
      </c>
      <c r="K2881">
        <f t="shared" si="268"/>
        <v>0</v>
      </c>
      <c r="L2881" t="str">
        <f t="shared" si="269"/>
        <v/>
      </c>
    </row>
    <row r="2882" spans="1:12" ht="14.4" customHeight="1" x14ac:dyDescent="0.3">
      <c r="A2882">
        <v>220155197</v>
      </c>
      <c r="B2882" s="1">
        <v>45155</v>
      </c>
      <c r="D2882" t="s">
        <v>7</v>
      </c>
      <c r="E2882">
        <v>39</v>
      </c>
      <c r="F2882" t="s">
        <v>6</v>
      </c>
      <c r="G2882" t="str">
        <f t="shared" ref="G2882:G2945" si="270">IF(C2882="","",C2882-B2882)</f>
        <v/>
      </c>
      <c r="H2882" s="1" t="str">
        <f t="shared" si="265"/>
        <v>Thursday</v>
      </c>
      <c r="I2882" t="str">
        <f t="shared" si="266"/>
        <v>No</v>
      </c>
      <c r="J2882">
        <f t="shared" si="267"/>
        <v>0</v>
      </c>
      <c r="K2882">
        <f t="shared" si="268"/>
        <v>0</v>
      </c>
      <c r="L2882" t="str">
        <f t="shared" si="269"/>
        <v/>
      </c>
    </row>
    <row r="2883" spans="1:12" ht="14.4" customHeight="1" x14ac:dyDescent="0.3">
      <c r="A2883">
        <v>220144619</v>
      </c>
      <c r="B2883" s="1">
        <v>45155</v>
      </c>
      <c r="D2883" t="s">
        <v>7</v>
      </c>
      <c r="E2883">
        <v>39</v>
      </c>
      <c r="F2883" t="s">
        <v>6</v>
      </c>
      <c r="G2883" t="str">
        <f t="shared" si="270"/>
        <v/>
      </c>
      <c r="H2883" s="1" t="str">
        <f t="shared" ref="H2883:H2946" si="271">TEXT(B2883,"dddd")</f>
        <v>Thursday</v>
      </c>
      <c r="I2883" t="str">
        <f t="shared" ref="I2883:I2946" si="272">IF(B2883=C2883,"Yes","No")</f>
        <v>No</v>
      </c>
      <c r="J2883">
        <f t="shared" ref="J2883:J2946" si="273">IF(AND(C2883&lt;&gt;"",C2883-B2883&lt;=2),1,0)</f>
        <v>0</v>
      </c>
      <c r="K2883">
        <f t="shared" ref="K2883:K2946" si="274">IF(AND(C2883&lt;&gt;"",C2883-B2883&gt;30),1,0)</f>
        <v>0</v>
      </c>
      <c r="L2883" t="str">
        <f t="shared" ref="L2883:L2946" si="275">IF(C2883="","",C2883-B2883)</f>
        <v/>
      </c>
    </row>
    <row r="2884" spans="1:12" ht="14.4" customHeight="1" x14ac:dyDescent="0.3">
      <c r="A2884">
        <v>220184550</v>
      </c>
      <c r="B2884" s="1">
        <v>45155</v>
      </c>
      <c r="D2884" t="s">
        <v>7</v>
      </c>
      <c r="E2884">
        <v>39</v>
      </c>
      <c r="F2884" t="s">
        <v>6</v>
      </c>
      <c r="G2884" t="str">
        <f t="shared" si="270"/>
        <v/>
      </c>
      <c r="H2884" s="1" t="str">
        <f t="shared" si="271"/>
        <v>Thursday</v>
      </c>
      <c r="I2884" t="str">
        <f t="shared" si="272"/>
        <v>No</v>
      </c>
      <c r="J2884">
        <f t="shared" si="273"/>
        <v>0</v>
      </c>
      <c r="K2884">
        <f t="shared" si="274"/>
        <v>0</v>
      </c>
      <c r="L2884" t="str">
        <f t="shared" si="275"/>
        <v/>
      </c>
    </row>
    <row r="2885" spans="1:12" ht="14.4" customHeight="1" x14ac:dyDescent="0.3">
      <c r="A2885">
        <v>152209352</v>
      </c>
      <c r="B2885" s="1">
        <v>45155</v>
      </c>
      <c r="D2885" t="s">
        <v>7</v>
      </c>
      <c r="E2885">
        <v>39</v>
      </c>
      <c r="F2885" t="s">
        <v>6</v>
      </c>
      <c r="G2885" t="str">
        <f t="shared" si="270"/>
        <v/>
      </c>
      <c r="H2885" s="1" t="str">
        <f t="shared" si="271"/>
        <v>Thursday</v>
      </c>
      <c r="I2885" t="str">
        <f t="shared" si="272"/>
        <v>No</v>
      </c>
      <c r="J2885">
        <f t="shared" si="273"/>
        <v>0</v>
      </c>
      <c r="K2885">
        <f t="shared" si="274"/>
        <v>0</v>
      </c>
      <c r="L2885" t="str">
        <f t="shared" si="275"/>
        <v/>
      </c>
    </row>
    <row r="2886" spans="1:12" ht="14.4" customHeight="1" x14ac:dyDescent="0.3">
      <c r="A2886">
        <v>146952862</v>
      </c>
      <c r="B2886" s="1">
        <v>45155</v>
      </c>
      <c r="D2886" t="s">
        <v>7</v>
      </c>
      <c r="E2886">
        <v>39</v>
      </c>
      <c r="F2886" t="s">
        <v>6</v>
      </c>
      <c r="G2886" t="str">
        <f t="shared" si="270"/>
        <v/>
      </c>
      <c r="H2886" s="1" t="str">
        <f t="shared" si="271"/>
        <v>Thursday</v>
      </c>
      <c r="I2886" t="str">
        <f t="shared" si="272"/>
        <v>No</v>
      </c>
      <c r="J2886">
        <f t="shared" si="273"/>
        <v>0</v>
      </c>
      <c r="K2886">
        <f t="shared" si="274"/>
        <v>0</v>
      </c>
      <c r="L2886" t="str">
        <f t="shared" si="275"/>
        <v/>
      </c>
    </row>
    <row r="2887" spans="1:12" ht="14.4" customHeight="1" x14ac:dyDescent="0.3">
      <c r="A2887">
        <v>220178530</v>
      </c>
      <c r="B2887" s="1">
        <v>45155</v>
      </c>
      <c r="D2887" t="s">
        <v>7</v>
      </c>
      <c r="E2887">
        <v>39</v>
      </c>
      <c r="F2887" t="s">
        <v>6</v>
      </c>
      <c r="G2887" t="str">
        <f t="shared" si="270"/>
        <v/>
      </c>
      <c r="H2887" s="1" t="str">
        <f t="shared" si="271"/>
        <v>Thursday</v>
      </c>
      <c r="I2887" t="str">
        <f t="shared" si="272"/>
        <v>No</v>
      </c>
      <c r="J2887">
        <f t="shared" si="273"/>
        <v>0</v>
      </c>
      <c r="K2887">
        <f t="shared" si="274"/>
        <v>0</v>
      </c>
      <c r="L2887" t="str">
        <f t="shared" si="275"/>
        <v/>
      </c>
    </row>
    <row r="2888" spans="1:12" ht="14.4" customHeight="1" x14ac:dyDescent="0.3">
      <c r="A2888">
        <v>219498470</v>
      </c>
      <c r="B2888" s="1">
        <v>45155</v>
      </c>
      <c r="D2888" t="s">
        <v>7</v>
      </c>
      <c r="E2888">
        <v>39</v>
      </c>
      <c r="F2888" t="s">
        <v>6</v>
      </c>
      <c r="G2888" t="str">
        <f t="shared" si="270"/>
        <v/>
      </c>
      <c r="H2888" s="1" t="str">
        <f t="shared" si="271"/>
        <v>Thursday</v>
      </c>
      <c r="I2888" t="str">
        <f t="shared" si="272"/>
        <v>No</v>
      </c>
      <c r="J2888">
        <f t="shared" si="273"/>
        <v>0</v>
      </c>
      <c r="K2888">
        <f t="shared" si="274"/>
        <v>0</v>
      </c>
      <c r="L2888" t="str">
        <f t="shared" si="275"/>
        <v/>
      </c>
    </row>
    <row r="2889" spans="1:12" ht="14.4" customHeight="1" x14ac:dyDescent="0.3">
      <c r="A2889">
        <v>216622895</v>
      </c>
      <c r="B2889" s="1">
        <v>45155</v>
      </c>
      <c r="D2889" t="s">
        <v>7</v>
      </c>
      <c r="E2889">
        <v>39</v>
      </c>
      <c r="F2889" t="s">
        <v>6</v>
      </c>
      <c r="G2889" t="str">
        <f t="shared" si="270"/>
        <v/>
      </c>
      <c r="H2889" s="1" t="str">
        <f t="shared" si="271"/>
        <v>Thursday</v>
      </c>
      <c r="I2889" t="str">
        <f t="shared" si="272"/>
        <v>No</v>
      </c>
      <c r="J2889">
        <f t="shared" si="273"/>
        <v>0</v>
      </c>
      <c r="K2889">
        <f t="shared" si="274"/>
        <v>0</v>
      </c>
      <c r="L2889" t="str">
        <f t="shared" si="275"/>
        <v/>
      </c>
    </row>
    <row r="2890" spans="1:12" ht="14.4" customHeight="1" x14ac:dyDescent="0.3">
      <c r="A2890">
        <v>153705354</v>
      </c>
      <c r="B2890" s="1">
        <v>45155</v>
      </c>
      <c r="C2890" s="1">
        <v>45155</v>
      </c>
      <c r="D2890" t="s">
        <v>7</v>
      </c>
      <c r="E2890">
        <v>39</v>
      </c>
      <c r="F2890" t="s">
        <v>6</v>
      </c>
      <c r="G2890">
        <f t="shared" si="270"/>
        <v>0</v>
      </c>
      <c r="H2890" s="1" t="str">
        <f t="shared" si="271"/>
        <v>Thursday</v>
      </c>
      <c r="I2890" t="str">
        <f t="shared" si="272"/>
        <v>Yes</v>
      </c>
      <c r="J2890">
        <f t="shared" si="273"/>
        <v>1</v>
      </c>
      <c r="K2890">
        <f t="shared" si="274"/>
        <v>0</v>
      </c>
      <c r="L2890">
        <f t="shared" si="275"/>
        <v>0</v>
      </c>
    </row>
    <row r="2891" spans="1:12" ht="14.4" customHeight="1" x14ac:dyDescent="0.3">
      <c r="A2891">
        <v>219280628</v>
      </c>
      <c r="B2891" s="1">
        <v>45155</v>
      </c>
      <c r="C2891" s="1">
        <v>45156</v>
      </c>
      <c r="D2891" t="s">
        <v>8</v>
      </c>
      <c r="E2891">
        <v>39</v>
      </c>
      <c r="F2891" t="s">
        <v>6</v>
      </c>
      <c r="G2891">
        <f t="shared" si="270"/>
        <v>1</v>
      </c>
      <c r="H2891" s="1" t="str">
        <f t="shared" si="271"/>
        <v>Thursday</v>
      </c>
      <c r="I2891" t="str">
        <f t="shared" si="272"/>
        <v>No</v>
      </c>
      <c r="J2891">
        <f t="shared" si="273"/>
        <v>1</v>
      </c>
      <c r="K2891">
        <f t="shared" si="274"/>
        <v>0</v>
      </c>
      <c r="L2891">
        <f t="shared" si="275"/>
        <v>1</v>
      </c>
    </row>
    <row r="2892" spans="1:12" ht="14.4" customHeight="1" x14ac:dyDescent="0.3">
      <c r="A2892">
        <v>220171290</v>
      </c>
      <c r="B2892" s="1">
        <v>45156</v>
      </c>
      <c r="D2892" t="s">
        <v>7</v>
      </c>
      <c r="E2892">
        <v>39</v>
      </c>
      <c r="F2892" t="s">
        <v>6</v>
      </c>
      <c r="G2892" t="str">
        <f t="shared" si="270"/>
        <v/>
      </c>
      <c r="H2892" s="1" t="str">
        <f t="shared" si="271"/>
        <v>Friday</v>
      </c>
      <c r="I2892" t="str">
        <f t="shared" si="272"/>
        <v>No</v>
      </c>
      <c r="J2892">
        <f t="shared" si="273"/>
        <v>0</v>
      </c>
      <c r="K2892">
        <f t="shared" si="274"/>
        <v>0</v>
      </c>
      <c r="L2892" t="str">
        <f t="shared" si="275"/>
        <v/>
      </c>
    </row>
    <row r="2893" spans="1:12" ht="14.4" customHeight="1" x14ac:dyDescent="0.3">
      <c r="A2893">
        <v>219553060</v>
      </c>
      <c r="B2893" s="1">
        <v>45156</v>
      </c>
      <c r="D2893" t="s">
        <v>7</v>
      </c>
      <c r="E2893">
        <v>39</v>
      </c>
      <c r="F2893" t="s">
        <v>6</v>
      </c>
      <c r="G2893" t="str">
        <f t="shared" si="270"/>
        <v/>
      </c>
      <c r="H2893" s="1" t="str">
        <f t="shared" si="271"/>
        <v>Friday</v>
      </c>
      <c r="I2893" t="str">
        <f t="shared" si="272"/>
        <v>No</v>
      </c>
      <c r="J2893">
        <f t="shared" si="273"/>
        <v>0</v>
      </c>
      <c r="K2893">
        <f t="shared" si="274"/>
        <v>0</v>
      </c>
      <c r="L2893" t="str">
        <f t="shared" si="275"/>
        <v/>
      </c>
    </row>
    <row r="2894" spans="1:12" ht="14.4" customHeight="1" x14ac:dyDescent="0.3">
      <c r="A2894">
        <v>220244827</v>
      </c>
      <c r="B2894" s="1">
        <v>45156</v>
      </c>
      <c r="D2894" t="s">
        <v>7</v>
      </c>
      <c r="E2894">
        <v>39</v>
      </c>
      <c r="F2894" t="s">
        <v>6</v>
      </c>
      <c r="G2894" t="str">
        <f t="shared" si="270"/>
        <v/>
      </c>
      <c r="H2894" s="1" t="str">
        <f t="shared" si="271"/>
        <v>Friday</v>
      </c>
      <c r="I2894" t="str">
        <f t="shared" si="272"/>
        <v>No</v>
      </c>
      <c r="J2894">
        <f t="shared" si="273"/>
        <v>0</v>
      </c>
      <c r="K2894">
        <f t="shared" si="274"/>
        <v>0</v>
      </c>
      <c r="L2894" t="str">
        <f t="shared" si="275"/>
        <v/>
      </c>
    </row>
    <row r="2895" spans="1:12" ht="14.4" customHeight="1" x14ac:dyDescent="0.3">
      <c r="A2895">
        <v>219612883</v>
      </c>
      <c r="B2895" s="1">
        <v>45156</v>
      </c>
      <c r="D2895" t="s">
        <v>7</v>
      </c>
      <c r="E2895">
        <v>39</v>
      </c>
      <c r="F2895" t="s">
        <v>6</v>
      </c>
      <c r="G2895" t="str">
        <f t="shared" si="270"/>
        <v/>
      </c>
      <c r="H2895" s="1" t="str">
        <f t="shared" si="271"/>
        <v>Friday</v>
      </c>
      <c r="I2895" t="str">
        <f t="shared" si="272"/>
        <v>No</v>
      </c>
      <c r="J2895">
        <f t="shared" si="273"/>
        <v>0</v>
      </c>
      <c r="K2895">
        <f t="shared" si="274"/>
        <v>0</v>
      </c>
      <c r="L2895" t="str">
        <f t="shared" si="275"/>
        <v/>
      </c>
    </row>
    <row r="2896" spans="1:12" ht="14.4" customHeight="1" x14ac:dyDescent="0.3">
      <c r="A2896">
        <v>217914279</v>
      </c>
      <c r="B2896" s="1">
        <v>45156</v>
      </c>
      <c r="D2896" t="s">
        <v>7</v>
      </c>
      <c r="E2896">
        <v>39</v>
      </c>
      <c r="F2896" t="s">
        <v>6</v>
      </c>
      <c r="G2896" t="str">
        <f t="shared" si="270"/>
        <v/>
      </c>
      <c r="H2896" s="1" t="str">
        <f t="shared" si="271"/>
        <v>Friday</v>
      </c>
      <c r="I2896" t="str">
        <f t="shared" si="272"/>
        <v>No</v>
      </c>
      <c r="J2896">
        <f t="shared" si="273"/>
        <v>0</v>
      </c>
      <c r="K2896">
        <f t="shared" si="274"/>
        <v>0</v>
      </c>
      <c r="L2896" t="str">
        <f t="shared" si="275"/>
        <v/>
      </c>
    </row>
    <row r="2897" spans="1:12" ht="14.4" customHeight="1" x14ac:dyDescent="0.3">
      <c r="A2897">
        <v>220171851</v>
      </c>
      <c r="B2897" s="1">
        <v>45156</v>
      </c>
      <c r="D2897" t="s">
        <v>7</v>
      </c>
      <c r="E2897">
        <v>39</v>
      </c>
      <c r="F2897" t="s">
        <v>6</v>
      </c>
      <c r="G2897" t="str">
        <f t="shared" si="270"/>
        <v/>
      </c>
      <c r="H2897" s="1" t="str">
        <f t="shared" si="271"/>
        <v>Friday</v>
      </c>
      <c r="I2897" t="str">
        <f t="shared" si="272"/>
        <v>No</v>
      </c>
      <c r="J2897">
        <f t="shared" si="273"/>
        <v>0</v>
      </c>
      <c r="K2897">
        <f t="shared" si="274"/>
        <v>0</v>
      </c>
      <c r="L2897" t="str">
        <f t="shared" si="275"/>
        <v/>
      </c>
    </row>
    <row r="2898" spans="1:12" ht="14.4" customHeight="1" x14ac:dyDescent="0.3">
      <c r="A2898">
        <v>217543308</v>
      </c>
      <c r="B2898" s="1">
        <v>45156</v>
      </c>
      <c r="D2898" t="s">
        <v>7</v>
      </c>
      <c r="E2898">
        <v>39</v>
      </c>
      <c r="F2898" t="s">
        <v>6</v>
      </c>
      <c r="G2898" t="str">
        <f t="shared" si="270"/>
        <v/>
      </c>
      <c r="H2898" s="1" t="str">
        <f t="shared" si="271"/>
        <v>Friday</v>
      </c>
      <c r="I2898" t="str">
        <f t="shared" si="272"/>
        <v>No</v>
      </c>
      <c r="J2898">
        <f t="shared" si="273"/>
        <v>0</v>
      </c>
      <c r="K2898">
        <f t="shared" si="274"/>
        <v>0</v>
      </c>
      <c r="L2898" t="str">
        <f t="shared" si="275"/>
        <v/>
      </c>
    </row>
    <row r="2899" spans="1:12" ht="14.4" customHeight="1" x14ac:dyDescent="0.3">
      <c r="A2899">
        <v>157008330</v>
      </c>
      <c r="B2899" s="1">
        <v>45156</v>
      </c>
      <c r="C2899" s="1">
        <v>45156</v>
      </c>
      <c r="D2899" t="s">
        <v>7</v>
      </c>
      <c r="E2899">
        <v>39</v>
      </c>
      <c r="F2899" t="s">
        <v>6</v>
      </c>
      <c r="G2899">
        <f t="shared" si="270"/>
        <v>0</v>
      </c>
      <c r="H2899" s="1" t="str">
        <f t="shared" si="271"/>
        <v>Friday</v>
      </c>
      <c r="I2899" t="str">
        <f t="shared" si="272"/>
        <v>Yes</v>
      </c>
      <c r="J2899">
        <f t="shared" si="273"/>
        <v>1</v>
      </c>
      <c r="K2899">
        <f t="shared" si="274"/>
        <v>0</v>
      </c>
      <c r="L2899">
        <f t="shared" si="275"/>
        <v>0</v>
      </c>
    </row>
    <row r="2900" spans="1:12" ht="14.4" customHeight="1" x14ac:dyDescent="0.3">
      <c r="A2900">
        <v>206063908</v>
      </c>
      <c r="B2900" s="1">
        <v>45156</v>
      </c>
      <c r="C2900" s="1">
        <v>45176</v>
      </c>
      <c r="D2900" t="s">
        <v>7</v>
      </c>
      <c r="E2900">
        <v>39</v>
      </c>
      <c r="F2900" t="s">
        <v>6</v>
      </c>
      <c r="G2900">
        <f t="shared" si="270"/>
        <v>20</v>
      </c>
      <c r="H2900" s="1" t="str">
        <f t="shared" si="271"/>
        <v>Friday</v>
      </c>
      <c r="I2900" t="str">
        <f t="shared" si="272"/>
        <v>No</v>
      </c>
      <c r="J2900">
        <f t="shared" si="273"/>
        <v>0</v>
      </c>
      <c r="K2900">
        <f t="shared" si="274"/>
        <v>0</v>
      </c>
      <c r="L2900">
        <f t="shared" si="275"/>
        <v>20</v>
      </c>
    </row>
    <row r="2901" spans="1:12" ht="14.4" customHeight="1" x14ac:dyDescent="0.3">
      <c r="A2901">
        <v>220182716</v>
      </c>
      <c r="B2901" s="1">
        <v>45156</v>
      </c>
      <c r="C2901" s="1">
        <v>45157</v>
      </c>
      <c r="D2901" t="s">
        <v>8</v>
      </c>
      <c r="E2901">
        <v>39</v>
      </c>
      <c r="F2901" t="s">
        <v>6</v>
      </c>
      <c r="G2901">
        <f t="shared" si="270"/>
        <v>1</v>
      </c>
      <c r="H2901" s="1" t="str">
        <f t="shared" si="271"/>
        <v>Friday</v>
      </c>
      <c r="I2901" t="str">
        <f t="shared" si="272"/>
        <v>No</v>
      </c>
      <c r="J2901">
        <f t="shared" si="273"/>
        <v>1</v>
      </c>
      <c r="K2901">
        <f t="shared" si="274"/>
        <v>0</v>
      </c>
      <c r="L2901">
        <f t="shared" si="275"/>
        <v>1</v>
      </c>
    </row>
    <row r="2902" spans="1:12" ht="14.4" customHeight="1" x14ac:dyDescent="0.3">
      <c r="A2902">
        <v>202103959</v>
      </c>
      <c r="B2902" s="1">
        <v>45157</v>
      </c>
      <c r="D2902" t="s">
        <v>7</v>
      </c>
      <c r="E2902">
        <v>39</v>
      </c>
      <c r="F2902" t="s">
        <v>6</v>
      </c>
      <c r="G2902" t="str">
        <f t="shared" si="270"/>
        <v/>
      </c>
      <c r="H2902" s="1" t="str">
        <f t="shared" si="271"/>
        <v>Saturday</v>
      </c>
      <c r="I2902" t="str">
        <f t="shared" si="272"/>
        <v>No</v>
      </c>
      <c r="J2902">
        <f t="shared" si="273"/>
        <v>0</v>
      </c>
      <c r="K2902">
        <f t="shared" si="274"/>
        <v>0</v>
      </c>
      <c r="L2902" t="str">
        <f t="shared" si="275"/>
        <v/>
      </c>
    </row>
    <row r="2903" spans="1:12" ht="14.4" customHeight="1" x14ac:dyDescent="0.3">
      <c r="A2903">
        <v>218757796</v>
      </c>
      <c r="B2903" s="1">
        <v>45157</v>
      </c>
      <c r="D2903" t="s">
        <v>7</v>
      </c>
      <c r="E2903">
        <v>39</v>
      </c>
      <c r="F2903" t="s">
        <v>6</v>
      </c>
      <c r="G2903" t="str">
        <f t="shared" si="270"/>
        <v/>
      </c>
      <c r="H2903" s="1" t="str">
        <f t="shared" si="271"/>
        <v>Saturday</v>
      </c>
      <c r="I2903" t="str">
        <f t="shared" si="272"/>
        <v>No</v>
      </c>
      <c r="J2903">
        <f t="shared" si="273"/>
        <v>0</v>
      </c>
      <c r="K2903">
        <f t="shared" si="274"/>
        <v>0</v>
      </c>
      <c r="L2903" t="str">
        <f t="shared" si="275"/>
        <v/>
      </c>
    </row>
    <row r="2904" spans="1:12" ht="14.4" customHeight="1" x14ac:dyDescent="0.3">
      <c r="A2904">
        <v>220272556</v>
      </c>
      <c r="B2904" s="1">
        <v>45157</v>
      </c>
      <c r="D2904" t="s">
        <v>7</v>
      </c>
      <c r="E2904">
        <v>39</v>
      </c>
      <c r="F2904" t="s">
        <v>6</v>
      </c>
      <c r="G2904" t="str">
        <f t="shared" si="270"/>
        <v/>
      </c>
      <c r="H2904" s="1" t="str">
        <f t="shared" si="271"/>
        <v>Saturday</v>
      </c>
      <c r="I2904" t="str">
        <f t="shared" si="272"/>
        <v>No</v>
      </c>
      <c r="J2904">
        <f t="shared" si="273"/>
        <v>0</v>
      </c>
      <c r="K2904">
        <f t="shared" si="274"/>
        <v>0</v>
      </c>
      <c r="L2904" t="str">
        <f t="shared" si="275"/>
        <v/>
      </c>
    </row>
    <row r="2905" spans="1:12" ht="14.4" customHeight="1" x14ac:dyDescent="0.3">
      <c r="A2905">
        <v>219493644</v>
      </c>
      <c r="B2905" s="1">
        <v>45157</v>
      </c>
      <c r="D2905" t="s">
        <v>7</v>
      </c>
      <c r="E2905">
        <v>39</v>
      </c>
      <c r="F2905" t="s">
        <v>6</v>
      </c>
      <c r="G2905" t="str">
        <f t="shared" si="270"/>
        <v/>
      </c>
      <c r="H2905" s="1" t="str">
        <f t="shared" si="271"/>
        <v>Saturday</v>
      </c>
      <c r="I2905" t="str">
        <f t="shared" si="272"/>
        <v>No</v>
      </c>
      <c r="J2905">
        <f t="shared" si="273"/>
        <v>0</v>
      </c>
      <c r="K2905">
        <f t="shared" si="274"/>
        <v>0</v>
      </c>
      <c r="L2905" t="str">
        <f t="shared" si="275"/>
        <v/>
      </c>
    </row>
    <row r="2906" spans="1:12" ht="14.4" customHeight="1" x14ac:dyDescent="0.3">
      <c r="A2906">
        <v>148996798</v>
      </c>
      <c r="B2906" s="1">
        <v>45157</v>
      </c>
      <c r="D2906" t="s">
        <v>7</v>
      </c>
      <c r="E2906">
        <v>39</v>
      </c>
      <c r="F2906" t="s">
        <v>6</v>
      </c>
      <c r="G2906" t="str">
        <f t="shared" si="270"/>
        <v/>
      </c>
      <c r="H2906" s="1" t="str">
        <f t="shared" si="271"/>
        <v>Saturday</v>
      </c>
      <c r="I2906" t="str">
        <f t="shared" si="272"/>
        <v>No</v>
      </c>
      <c r="J2906">
        <f t="shared" si="273"/>
        <v>0</v>
      </c>
      <c r="K2906">
        <f t="shared" si="274"/>
        <v>0</v>
      </c>
      <c r="L2906" t="str">
        <f t="shared" si="275"/>
        <v/>
      </c>
    </row>
    <row r="2907" spans="1:12" ht="14.4" customHeight="1" x14ac:dyDescent="0.3">
      <c r="A2907">
        <v>218947678</v>
      </c>
      <c r="B2907" s="1">
        <v>45157</v>
      </c>
      <c r="D2907" t="s">
        <v>7</v>
      </c>
      <c r="E2907">
        <v>39</v>
      </c>
      <c r="F2907" t="s">
        <v>6</v>
      </c>
      <c r="G2907" t="str">
        <f t="shared" si="270"/>
        <v/>
      </c>
      <c r="H2907" s="1" t="str">
        <f t="shared" si="271"/>
        <v>Saturday</v>
      </c>
      <c r="I2907" t="str">
        <f t="shared" si="272"/>
        <v>No</v>
      </c>
      <c r="J2907">
        <f t="shared" si="273"/>
        <v>0</v>
      </c>
      <c r="K2907">
        <f t="shared" si="274"/>
        <v>0</v>
      </c>
      <c r="L2907" t="str">
        <f t="shared" si="275"/>
        <v/>
      </c>
    </row>
    <row r="2908" spans="1:12" ht="14.4" customHeight="1" x14ac:dyDescent="0.3">
      <c r="A2908">
        <v>119465934</v>
      </c>
      <c r="B2908" s="1">
        <v>45157</v>
      </c>
      <c r="D2908" t="s">
        <v>7</v>
      </c>
      <c r="E2908">
        <v>39</v>
      </c>
      <c r="F2908" t="s">
        <v>6</v>
      </c>
      <c r="G2908" t="str">
        <f t="shared" si="270"/>
        <v/>
      </c>
      <c r="H2908" s="1" t="str">
        <f t="shared" si="271"/>
        <v>Saturday</v>
      </c>
      <c r="I2908" t="str">
        <f t="shared" si="272"/>
        <v>No</v>
      </c>
      <c r="J2908">
        <f t="shared" si="273"/>
        <v>0</v>
      </c>
      <c r="K2908">
        <f t="shared" si="274"/>
        <v>0</v>
      </c>
      <c r="L2908" t="str">
        <f t="shared" si="275"/>
        <v/>
      </c>
    </row>
    <row r="2909" spans="1:12" ht="14.4" customHeight="1" x14ac:dyDescent="0.3">
      <c r="A2909">
        <v>219195061</v>
      </c>
      <c r="B2909" s="1">
        <v>45157</v>
      </c>
      <c r="D2909" t="s">
        <v>7</v>
      </c>
      <c r="E2909">
        <v>39</v>
      </c>
      <c r="F2909" t="s">
        <v>6</v>
      </c>
      <c r="G2909" t="str">
        <f t="shared" si="270"/>
        <v/>
      </c>
      <c r="H2909" s="1" t="str">
        <f t="shared" si="271"/>
        <v>Saturday</v>
      </c>
      <c r="I2909" t="str">
        <f t="shared" si="272"/>
        <v>No</v>
      </c>
      <c r="J2909">
        <f t="shared" si="273"/>
        <v>0</v>
      </c>
      <c r="K2909">
        <f t="shared" si="274"/>
        <v>0</v>
      </c>
      <c r="L2909" t="str">
        <f t="shared" si="275"/>
        <v/>
      </c>
    </row>
    <row r="2910" spans="1:12" ht="14.4" customHeight="1" x14ac:dyDescent="0.3">
      <c r="A2910">
        <v>219637590</v>
      </c>
      <c r="B2910" s="1">
        <v>45157</v>
      </c>
      <c r="C2910" s="1">
        <v>45163</v>
      </c>
      <c r="D2910" t="s">
        <v>7</v>
      </c>
      <c r="E2910">
        <v>39</v>
      </c>
      <c r="F2910" t="s">
        <v>6</v>
      </c>
      <c r="G2910">
        <f t="shared" si="270"/>
        <v>6</v>
      </c>
      <c r="H2910" s="1" t="str">
        <f t="shared" si="271"/>
        <v>Saturday</v>
      </c>
      <c r="I2910" t="str">
        <f t="shared" si="272"/>
        <v>No</v>
      </c>
      <c r="J2910">
        <f t="shared" si="273"/>
        <v>0</v>
      </c>
      <c r="K2910">
        <f t="shared" si="274"/>
        <v>0</v>
      </c>
      <c r="L2910">
        <f t="shared" si="275"/>
        <v>6</v>
      </c>
    </row>
    <row r="2911" spans="1:12" ht="14.4" customHeight="1" x14ac:dyDescent="0.3">
      <c r="A2911">
        <v>218878930</v>
      </c>
      <c r="B2911" s="1">
        <v>45158</v>
      </c>
      <c r="D2911" t="s">
        <v>7</v>
      </c>
      <c r="E2911">
        <v>39</v>
      </c>
      <c r="F2911" t="s">
        <v>6</v>
      </c>
      <c r="G2911" t="str">
        <f t="shared" si="270"/>
        <v/>
      </c>
      <c r="H2911" s="1" t="str">
        <f t="shared" si="271"/>
        <v>Sunday</v>
      </c>
      <c r="I2911" t="str">
        <f t="shared" si="272"/>
        <v>No</v>
      </c>
      <c r="J2911">
        <f t="shared" si="273"/>
        <v>0</v>
      </c>
      <c r="K2911">
        <f t="shared" si="274"/>
        <v>0</v>
      </c>
      <c r="L2911" t="str">
        <f t="shared" si="275"/>
        <v/>
      </c>
    </row>
    <row r="2912" spans="1:12" ht="14.4" customHeight="1" x14ac:dyDescent="0.3">
      <c r="A2912">
        <v>134622358</v>
      </c>
      <c r="B2912" s="1">
        <v>45158</v>
      </c>
      <c r="D2912" t="s">
        <v>7</v>
      </c>
      <c r="E2912">
        <v>39</v>
      </c>
      <c r="F2912" t="s">
        <v>6</v>
      </c>
      <c r="G2912" t="str">
        <f t="shared" si="270"/>
        <v/>
      </c>
      <c r="H2912" s="1" t="str">
        <f t="shared" si="271"/>
        <v>Sunday</v>
      </c>
      <c r="I2912" t="str">
        <f t="shared" si="272"/>
        <v>No</v>
      </c>
      <c r="J2912">
        <f t="shared" si="273"/>
        <v>0</v>
      </c>
      <c r="K2912">
        <f t="shared" si="274"/>
        <v>0</v>
      </c>
      <c r="L2912" t="str">
        <f t="shared" si="275"/>
        <v/>
      </c>
    </row>
    <row r="2913" spans="1:12" ht="14.4" customHeight="1" x14ac:dyDescent="0.3">
      <c r="A2913">
        <v>219237524</v>
      </c>
      <c r="B2913" s="1">
        <v>45158</v>
      </c>
      <c r="D2913" t="s">
        <v>7</v>
      </c>
      <c r="E2913">
        <v>39</v>
      </c>
      <c r="F2913" t="s">
        <v>6</v>
      </c>
      <c r="G2913" t="str">
        <f t="shared" si="270"/>
        <v/>
      </c>
      <c r="H2913" s="1" t="str">
        <f t="shared" si="271"/>
        <v>Sunday</v>
      </c>
      <c r="I2913" t="str">
        <f t="shared" si="272"/>
        <v>No</v>
      </c>
      <c r="J2913">
        <f t="shared" si="273"/>
        <v>0</v>
      </c>
      <c r="K2913">
        <f t="shared" si="274"/>
        <v>0</v>
      </c>
      <c r="L2913" t="str">
        <f t="shared" si="275"/>
        <v/>
      </c>
    </row>
    <row r="2914" spans="1:12" ht="14.4" customHeight="1" x14ac:dyDescent="0.3">
      <c r="A2914">
        <v>147320092</v>
      </c>
      <c r="B2914" s="1">
        <v>45158</v>
      </c>
      <c r="D2914" t="s">
        <v>7</v>
      </c>
      <c r="E2914">
        <v>39</v>
      </c>
      <c r="F2914" t="s">
        <v>6</v>
      </c>
      <c r="G2914" t="str">
        <f t="shared" si="270"/>
        <v/>
      </c>
      <c r="H2914" s="1" t="str">
        <f t="shared" si="271"/>
        <v>Sunday</v>
      </c>
      <c r="I2914" t="str">
        <f t="shared" si="272"/>
        <v>No</v>
      </c>
      <c r="J2914">
        <f t="shared" si="273"/>
        <v>0</v>
      </c>
      <c r="K2914">
        <f t="shared" si="274"/>
        <v>0</v>
      </c>
      <c r="L2914" t="str">
        <f t="shared" si="275"/>
        <v/>
      </c>
    </row>
    <row r="2915" spans="1:12" ht="14.4" customHeight="1" x14ac:dyDescent="0.3">
      <c r="A2915">
        <v>219953886</v>
      </c>
      <c r="B2915" s="1">
        <v>45158</v>
      </c>
      <c r="D2915" t="s">
        <v>7</v>
      </c>
      <c r="E2915">
        <v>39</v>
      </c>
      <c r="F2915" t="s">
        <v>6</v>
      </c>
      <c r="G2915" t="str">
        <f t="shared" si="270"/>
        <v/>
      </c>
      <c r="H2915" s="1" t="str">
        <f t="shared" si="271"/>
        <v>Sunday</v>
      </c>
      <c r="I2915" t="str">
        <f t="shared" si="272"/>
        <v>No</v>
      </c>
      <c r="J2915">
        <f t="shared" si="273"/>
        <v>0</v>
      </c>
      <c r="K2915">
        <f t="shared" si="274"/>
        <v>0</v>
      </c>
      <c r="L2915" t="str">
        <f t="shared" si="275"/>
        <v/>
      </c>
    </row>
    <row r="2916" spans="1:12" ht="14.4" customHeight="1" x14ac:dyDescent="0.3">
      <c r="A2916">
        <v>207013932</v>
      </c>
      <c r="B2916" s="1">
        <v>45158</v>
      </c>
      <c r="C2916" s="1">
        <v>45158</v>
      </c>
      <c r="D2916" t="s">
        <v>8</v>
      </c>
      <c r="E2916">
        <v>39</v>
      </c>
      <c r="F2916" t="s">
        <v>6</v>
      </c>
      <c r="G2916">
        <f t="shared" si="270"/>
        <v>0</v>
      </c>
      <c r="H2916" s="1" t="str">
        <f t="shared" si="271"/>
        <v>Sunday</v>
      </c>
      <c r="I2916" t="str">
        <f t="shared" si="272"/>
        <v>Yes</v>
      </c>
      <c r="J2916">
        <f t="shared" si="273"/>
        <v>1</v>
      </c>
      <c r="K2916">
        <f t="shared" si="274"/>
        <v>0</v>
      </c>
      <c r="L2916">
        <f t="shared" si="275"/>
        <v>0</v>
      </c>
    </row>
    <row r="2917" spans="1:12" ht="14.4" customHeight="1" x14ac:dyDescent="0.3">
      <c r="A2917">
        <v>205274562</v>
      </c>
      <c r="B2917" s="1">
        <v>45159</v>
      </c>
      <c r="D2917" t="s">
        <v>7</v>
      </c>
      <c r="E2917">
        <v>39</v>
      </c>
      <c r="F2917" t="s">
        <v>6</v>
      </c>
      <c r="G2917" t="str">
        <f t="shared" si="270"/>
        <v/>
      </c>
      <c r="H2917" s="1" t="str">
        <f t="shared" si="271"/>
        <v>Monday</v>
      </c>
      <c r="I2917" t="str">
        <f t="shared" si="272"/>
        <v>No</v>
      </c>
      <c r="J2917">
        <f t="shared" si="273"/>
        <v>0</v>
      </c>
      <c r="K2917">
        <f t="shared" si="274"/>
        <v>0</v>
      </c>
      <c r="L2917" t="str">
        <f t="shared" si="275"/>
        <v/>
      </c>
    </row>
    <row r="2918" spans="1:12" ht="14.4" customHeight="1" x14ac:dyDescent="0.3">
      <c r="A2918">
        <v>152698255</v>
      </c>
      <c r="B2918" s="1">
        <v>45159</v>
      </c>
      <c r="D2918" t="s">
        <v>7</v>
      </c>
      <c r="E2918">
        <v>39</v>
      </c>
      <c r="F2918" t="s">
        <v>6</v>
      </c>
      <c r="G2918" t="str">
        <f t="shared" si="270"/>
        <v/>
      </c>
      <c r="H2918" s="1" t="str">
        <f t="shared" si="271"/>
        <v>Monday</v>
      </c>
      <c r="I2918" t="str">
        <f t="shared" si="272"/>
        <v>No</v>
      </c>
      <c r="J2918">
        <f t="shared" si="273"/>
        <v>0</v>
      </c>
      <c r="K2918">
        <f t="shared" si="274"/>
        <v>0</v>
      </c>
      <c r="L2918" t="str">
        <f t="shared" si="275"/>
        <v/>
      </c>
    </row>
    <row r="2919" spans="1:12" ht="14.4" customHeight="1" x14ac:dyDescent="0.3">
      <c r="A2919">
        <v>209361492</v>
      </c>
      <c r="B2919" s="1">
        <v>45159</v>
      </c>
      <c r="D2919" t="s">
        <v>7</v>
      </c>
      <c r="E2919">
        <v>39</v>
      </c>
      <c r="F2919" t="s">
        <v>6</v>
      </c>
      <c r="G2919" t="str">
        <f t="shared" si="270"/>
        <v/>
      </c>
      <c r="H2919" s="1" t="str">
        <f t="shared" si="271"/>
        <v>Monday</v>
      </c>
      <c r="I2919" t="str">
        <f t="shared" si="272"/>
        <v>No</v>
      </c>
      <c r="J2919">
        <f t="shared" si="273"/>
        <v>0</v>
      </c>
      <c r="K2919">
        <f t="shared" si="274"/>
        <v>0</v>
      </c>
      <c r="L2919" t="str">
        <f t="shared" si="275"/>
        <v/>
      </c>
    </row>
    <row r="2920" spans="1:12" ht="14.4" customHeight="1" x14ac:dyDescent="0.3">
      <c r="A2920">
        <v>205530810</v>
      </c>
      <c r="B2920" s="1">
        <v>45159</v>
      </c>
      <c r="D2920" t="s">
        <v>7</v>
      </c>
      <c r="E2920">
        <v>39</v>
      </c>
      <c r="F2920" t="s">
        <v>6</v>
      </c>
      <c r="G2920" t="str">
        <f t="shared" si="270"/>
        <v/>
      </c>
      <c r="H2920" s="1" t="str">
        <f t="shared" si="271"/>
        <v>Monday</v>
      </c>
      <c r="I2920" t="str">
        <f t="shared" si="272"/>
        <v>No</v>
      </c>
      <c r="J2920">
        <f t="shared" si="273"/>
        <v>0</v>
      </c>
      <c r="K2920">
        <f t="shared" si="274"/>
        <v>0</v>
      </c>
      <c r="L2920" t="str">
        <f t="shared" si="275"/>
        <v/>
      </c>
    </row>
    <row r="2921" spans="1:12" ht="14.4" customHeight="1" x14ac:dyDescent="0.3">
      <c r="A2921">
        <v>220343801</v>
      </c>
      <c r="B2921" s="1">
        <v>45159</v>
      </c>
      <c r="D2921" t="s">
        <v>7</v>
      </c>
      <c r="E2921">
        <v>39</v>
      </c>
      <c r="F2921" t="s">
        <v>6</v>
      </c>
      <c r="G2921" t="str">
        <f t="shared" si="270"/>
        <v/>
      </c>
      <c r="H2921" s="1" t="str">
        <f t="shared" si="271"/>
        <v>Monday</v>
      </c>
      <c r="I2921" t="str">
        <f t="shared" si="272"/>
        <v>No</v>
      </c>
      <c r="J2921">
        <f t="shared" si="273"/>
        <v>0</v>
      </c>
      <c r="K2921">
        <f t="shared" si="274"/>
        <v>0</v>
      </c>
      <c r="L2921" t="str">
        <f t="shared" si="275"/>
        <v/>
      </c>
    </row>
    <row r="2922" spans="1:12" ht="14.4" customHeight="1" x14ac:dyDescent="0.3">
      <c r="A2922">
        <v>150441222</v>
      </c>
      <c r="B2922" s="1">
        <v>45159</v>
      </c>
      <c r="D2922" t="s">
        <v>7</v>
      </c>
      <c r="E2922">
        <v>39</v>
      </c>
      <c r="F2922" t="s">
        <v>6</v>
      </c>
      <c r="G2922" t="str">
        <f t="shared" si="270"/>
        <v/>
      </c>
      <c r="H2922" s="1" t="str">
        <f t="shared" si="271"/>
        <v>Monday</v>
      </c>
      <c r="I2922" t="str">
        <f t="shared" si="272"/>
        <v>No</v>
      </c>
      <c r="J2922">
        <f t="shared" si="273"/>
        <v>0</v>
      </c>
      <c r="K2922">
        <f t="shared" si="274"/>
        <v>0</v>
      </c>
      <c r="L2922" t="str">
        <f t="shared" si="275"/>
        <v/>
      </c>
    </row>
    <row r="2923" spans="1:12" ht="14.4" customHeight="1" x14ac:dyDescent="0.3">
      <c r="A2923">
        <v>214640803</v>
      </c>
      <c r="B2923" s="1">
        <v>45159</v>
      </c>
      <c r="D2923" t="s">
        <v>7</v>
      </c>
      <c r="E2923">
        <v>39</v>
      </c>
      <c r="F2923" t="s">
        <v>6</v>
      </c>
      <c r="G2923" t="str">
        <f t="shared" si="270"/>
        <v/>
      </c>
      <c r="H2923" s="1" t="str">
        <f t="shared" si="271"/>
        <v>Monday</v>
      </c>
      <c r="I2923" t="str">
        <f t="shared" si="272"/>
        <v>No</v>
      </c>
      <c r="J2923">
        <f t="shared" si="273"/>
        <v>0</v>
      </c>
      <c r="K2923">
        <f t="shared" si="274"/>
        <v>0</v>
      </c>
      <c r="L2923" t="str">
        <f t="shared" si="275"/>
        <v/>
      </c>
    </row>
    <row r="2924" spans="1:12" ht="14.4" customHeight="1" x14ac:dyDescent="0.3">
      <c r="A2924">
        <v>219569853</v>
      </c>
      <c r="B2924" s="1">
        <v>45159</v>
      </c>
      <c r="D2924" t="s">
        <v>7</v>
      </c>
      <c r="E2924">
        <v>39</v>
      </c>
      <c r="F2924" t="s">
        <v>6</v>
      </c>
      <c r="G2924" t="str">
        <f t="shared" si="270"/>
        <v/>
      </c>
      <c r="H2924" s="1" t="str">
        <f t="shared" si="271"/>
        <v>Monday</v>
      </c>
      <c r="I2924" t="str">
        <f t="shared" si="272"/>
        <v>No</v>
      </c>
      <c r="J2924">
        <f t="shared" si="273"/>
        <v>0</v>
      </c>
      <c r="K2924">
        <f t="shared" si="274"/>
        <v>0</v>
      </c>
      <c r="L2924" t="str">
        <f t="shared" si="275"/>
        <v/>
      </c>
    </row>
    <row r="2925" spans="1:12" ht="14.4" customHeight="1" x14ac:dyDescent="0.3">
      <c r="A2925">
        <v>220197494</v>
      </c>
      <c r="B2925" s="1">
        <v>45159</v>
      </c>
      <c r="D2925" t="s">
        <v>7</v>
      </c>
      <c r="E2925">
        <v>39</v>
      </c>
      <c r="F2925" t="s">
        <v>6</v>
      </c>
      <c r="G2925" t="str">
        <f t="shared" si="270"/>
        <v/>
      </c>
      <c r="H2925" s="1" t="str">
        <f t="shared" si="271"/>
        <v>Monday</v>
      </c>
      <c r="I2925" t="str">
        <f t="shared" si="272"/>
        <v>No</v>
      </c>
      <c r="J2925">
        <f t="shared" si="273"/>
        <v>0</v>
      </c>
      <c r="K2925">
        <f t="shared" si="274"/>
        <v>0</v>
      </c>
      <c r="L2925" t="str">
        <f t="shared" si="275"/>
        <v/>
      </c>
    </row>
    <row r="2926" spans="1:12" ht="14.4" customHeight="1" x14ac:dyDescent="0.3">
      <c r="A2926">
        <v>220323698</v>
      </c>
      <c r="B2926" s="1">
        <v>45159</v>
      </c>
      <c r="D2926" t="s">
        <v>7</v>
      </c>
      <c r="E2926">
        <v>39</v>
      </c>
      <c r="F2926" t="s">
        <v>6</v>
      </c>
      <c r="G2926" t="str">
        <f t="shared" si="270"/>
        <v/>
      </c>
      <c r="H2926" s="1" t="str">
        <f t="shared" si="271"/>
        <v>Monday</v>
      </c>
      <c r="I2926" t="str">
        <f t="shared" si="272"/>
        <v>No</v>
      </c>
      <c r="J2926">
        <f t="shared" si="273"/>
        <v>0</v>
      </c>
      <c r="K2926">
        <f t="shared" si="274"/>
        <v>0</v>
      </c>
      <c r="L2926" t="str">
        <f t="shared" si="275"/>
        <v/>
      </c>
    </row>
    <row r="2927" spans="1:12" ht="14.4" customHeight="1" x14ac:dyDescent="0.3">
      <c r="A2927">
        <v>215180470</v>
      </c>
      <c r="B2927" s="1">
        <v>45159</v>
      </c>
      <c r="C2927" s="1">
        <v>45159</v>
      </c>
      <c r="D2927" t="s">
        <v>7</v>
      </c>
      <c r="E2927">
        <v>39</v>
      </c>
      <c r="F2927" t="s">
        <v>6</v>
      </c>
      <c r="G2927">
        <f t="shared" si="270"/>
        <v>0</v>
      </c>
      <c r="H2927" s="1" t="str">
        <f t="shared" si="271"/>
        <v>Monday</v>
      </c>
      <c r="I2927" t="str">
        <f t="shared" si="272"/>
        <v>Yes</v>
      </c>
      <c r="J2927">
        <f t="shared" si="273"/>
        <v>1</v>
      </c>
      <c r="K2927">
        <f t="shared" si="274"/>
        <v>0</v>
      </c>
      <c r="L2927">
        <f t="shared" si="275"/>
        <v>0</v>
      </c>
    </row>
    <row r="2928" spans="1:12" ht="14.4" customHeight="1" x14ac:dyDescent="0.3">
      <c r="A2928">
        <v>177323966</v>
      </c>
      <c r="B2928" s="1">
        <v>45159</v>
      </c>
      <c r="C2928" s="1">
        <v>45166</v>
      </c>
      <c r="D2928" t="s">
        <v>7</v>
      </c>
      <c r="E2928">
        <v>39</v>
      </c>
      <c r="F2928" t="s">
        <v>6</v>
      </c>
      <c r="G2928">
        <f t="shared" si="270"/>
        <v>7</v>
      </c>
      <c r="H2928" s="1" t="str">
        <f t="shared" si="271"/>
        <v>Monday</v>
      </c>
      <c r="I2928" t="str">
        <f t="shared" si="272"/>
        <v>No</v>
      </c>
      <c r="J2928">
        <f t="shared" si="273"/>
        <v>0</v>
      </c>
      <c r="K2928">
        <f t="shared" si="274"/>
        <v>0</v>
      </c>
      <c r="L2928">
        <f t="shared" si="275"/>
        <v>7</v>
      </c>
    </row>
    <row r="2929" spans="1:12" ht="14.4" customHeight="1" x14ac:dyDescent="0.3">
      <c r="A2929">
        <v>214682826</v>
      </c>
      <c r="B2929" s="1">
        <v>45159</v>
      </c>
      <c r="C2929" s="1">
        <v>45160</v>
      </c>
      <c r="D2929" t="s">
        <v>7</v>
      </c>
      <c r="E2929">
        <v>39</v>
      </c>
      <c r="F2929" t="s">
        <v>6</v>
      </c>
      <c r="G2929">
        <f t="shared" si="270"/>
        <v>1</v>
      </c>
      <c r="H2929" s="1" t="str">
        <f t="shared" si="271"/>
        <v>Monday</v>
      </c>
      <c r="I2929" t="str">
        <f t="shared" si="272"/>
        <v>No</v>
      </c>
      <c r="J2929">
        <f t="shared" si="273"/>
        <v>1</v>
      </c>
      <c r="K2929">
        <f t="shared" si="274"/>
        <v>0</v>
      </c>
      <c r="L2929">
        <f t="shared" si="275"/>
        <v>1</v>
      </c>
    </row>
    <row r="2930" spans="1:12" ht="14.4" customHeight="1" x14ac:dyDescent="0.3">
      <c r="A2930">
        <v>220414820</v>
      </c>
      <c r="B2930" s="1">
        <v>45160</v>
      </c>
      <c r="D2930" t="s">
        <v>7</v>
      </c>
      <c r="E2930">
        <v>39</v>
      </c>
      <c r="F2930" t="s">
        <v>6</v>
      </c>
      <c r="G2930" t="str">
        <f t="shared" si="270"/>
        <v/>
      </c>
      <c r="H2930" s="1" t="str">
        <f t="shared" si="271"/>
        <v>Tuesday</v>
      </c>
      <c r="I2930" t="str">
        <f t="shared" si="272"/>
        <v>No</v>
      </c>
      <c r="J2930">
        <f t="shared" si="273"/>
        <v>0</v>
      </c>
      <c r="K2930">
        <f t="shared" si="274"/>
        <v>0</v>
      </c>
      <c r="L2930" t="str">
        <f t="shared" si="275"/>
        <v/>
      </c>
    </row>
    <row r="2931" spans="1:12" ht="14.4" customHeight="1" x14ac:dyDescent="0.3">
      <c r="A2931">
        <v>214682826</v>
      </c>
      <c r="B2931" s="1">
        <v>45160</v>
      </c>
      <c r="D2931" t="s">
        <v>7</v>
      </c>
      <c r="E2931">
        <v>39</v>
      </c>
      <c r="F2931" t="s">
        <v>6</v>
      </c>
      <c r="G2931" t="str">
        <f t="shared" si="270"/>
        <v/>
      </c>
      <c r="H2931" s="1" t="str">
        <f t="shared" si="271"/>
        <v>Tuesday</v>
      </c>
      <c r="I2931" t="str">
        <f t="shared" si="272"/>
        <v>No</v>
      </c>
      <c r="J2931">
        <f t="shared" si="273"/>
        <v>0</v>
      </c>
      <c r="K2931">
        <f t="shared" si="274"/>
        <v>0</v>
      </c>
      <c r="L2931" t="str">
        <f t="shared" si="275"/>
        <v/>
      </c>
    </row>
    <row r="2932" spans="1:12" ht="14.4" customHeight="1" x14ac:dyDescent="0.3">
      <c r="A2932">
        <v>206147500</v>
      </c>
      <c r="B2932" s="1">
        <v>45160</v>
      </c>
      <c r="D2932" t="s">
        <v>7</v>
      </c>
      <c r="E2932">
        <v>39</v>
      </c>
      <c r="F2932" t="s">
        <v>6</v>
      </c>
      <c r="G2932" t="str">
        <f t="shared" si="270"/>
        <v/>
      </c>
      <c r="H2932" s="1" t="str">
        <f t="shared" si="271"/>
        <v>Tuesday</v>
      </c>
      <c r="I2932" t="str">
        <f t="shared" si="272"/>
        <v>No</v>
      </c>
      <c r="J2932">
        <f t="shared" si="273"/>
        <v>0</v>
      </c>
      <c r="K2932">
        <f t="shared" si="274"/>
        <v>0</v>
      </c>
      <c r="L2932" t="str">
        <f t="shared" si="275"/>
        <v/>
      </c>
    </row>
    <row r="2933" spans="1:12" ht="14.4" customHeight="1" x14ac:dyDescent="0.3">
      <c r="A2933">
        <v>220402308</v>
      </c>
      <c r="B2933" s="1">
        <v>45160</v>
      </c>
      <c r="D2933" t="s">
        <v>7</v>
      </c>
      <c r="E2933">
        <v>39</v>
      </c>
      <c r="F2933" t="s">
        <v>6</v>
      </c>
      <c r="G2933" t="str">
        <f t="shared" si="270"/>
        <v/>
      </c>
      <c r="H2933" s="1" t="str">
        <f t="shared" si="271"/>
        <v>Tuesday</v>
      </c>
      <c r="I2933" t="str">
        <f t="shared" si="272"/>
        <v>No</v>
      </c>
      <c r="J2933">
        <f t="shared" si="273"/>
        <v>0</v>
      </c>
      <c r="K2933">
        <f t="shared" si="274"/>
        <v>0</v>
      </c>
      <c r="L2933" t="str">
        <f t="shared" si="275"/>
        <v/>
      </c>
    </row>
    <row r="2934" spans="1:12" ht="14.4" customHeight="1" x14ac:dyDescent="0.3">
      <c r="A2934">
        <v>220205806</v>
      </c>
      <c r="B2934" s="1">
        <v>45160</v>
      </c>
      <c r="D2934" t="s">
        <v>7</v>
      </c>
      <c r="E2934">
        <v>39</v>
      </c>
      <c r="F2934" t="s">
        <v>6</v>
      </c>
      <c r="G2934" t="str">
        <f t="shared" si="270"/>
        <v/>
      </c>
      <c r="H2934" s="1" t="str">
        <f t="shared" si="271"/>
        <v>Tuesday</v>
      </c>
      <c r="I2934" t="str">
        <f t="shared" si="272"/>
        <v>No</v>
      </c>
      <c r="J2934">
        <f t="shared" si="273"/>
        <v>0</v>
      </c>
      <c r="K2934">
        <f t="shared" si="274"/>
        <v>0</v>
      </c>
      <c r="L2934" t="str">
        <f t="shared" si="275"/>
        <v/>
      </c>
    </row>
    <row r="2935" spans="1:12" ht="14.4" customHeight="1" x14ac:dyDescent="0.3">
      <c r="A2935">
        <v>152792045</v>
      </c>
      <c r="B2935" s="1">
        <v>45160</v>
      </c>
      <c r="D2935" t="s">
        <v>7</v>
      </c>
      <c r="E2935">
        <v>39</v>
      </c>
      <c r="F2935" t="s">
        <v>6</v>
      </c>
      <c r="G2935" t="str">
        <f t="shared" si="270"/>
        <v/>
      </c>
      <c r="H2935" s="1" t="str">
        <f t="shared" si="271"/>
        <v>Tuesday</v>
      </c>
      <c r="I2935" t="str">
        <f t="shared" si="272"/>
        <v>No</v>
      </c>
      <c r="J2935">
        <f t="shared" si="273"/>
        <v>0</v>
      </c>
      <c r="K2935">
        <f t="shared" si="274"/>
        <v>0</v>
      </c>
      <c r="L2935" t="str">
        <f t="shared" si="275"/>
        <v/>
      </c>
    </row>
    <row r="2936" spans="1:12" ht="14.4" customHeight="1" x14ac:dyDescent="0.3">
      <c r="A2936">
        <v>220381016</v>
      </c>
      <c r="B2936" s="1">
        <v>45160</v>
      </c>
      <c r="D2936" t="s">
        <v>7</v>
      </c>
      <c r="E2936">
        <v>39</v>
      </c>
      <c r="F2936" t="s">
        <v>6</v>
      </c>
      <c r="G2936" t="str">
        <f t="shared" si="270"/>
        <v/>
      </c>
      <c r="H2936" s="1" t="str">
        <f t="shared" si="271"/>
        <v>Tuesday</v>
      </c>
      <c r="I2936" t="str">
        <f t="shared" si="272"/>
        <v>No</v>
      </c>
      <c r="J2936">
        <f t="shared" si="273"/>
        <v>0</v>
      </c>
      <c r="K2936">
        <f t="shared" si="274"/>
        <v>0</v>
      </c>
      <c r="L2936" t="str">
        <f t="shared" si="275"/>
        <v/>
      </c>
    </row>
    <row r="2937" spans="1:12" ht="14.4" customHeight="1" x14ac:dyDescent="0.3">
      <c r="A2937">
        <v>220385078</v>
      </c>
      <c r="B2937" s="1">
        <v>45160</v>
      </c>
      <c r="D2937" t="s">
        <v>7</v>
      </c>
      <c r="E2937">
        <v>39</v>
      </c>
      <c r="F2937" t="s">
        <v>6</v>
      </c>
      <c r="G2937" t="str">
        <f t="shared" si="270"/>
        <v/>
      </c>
      <c r="H2937" s="1" t="str">
        <f t="shared" si="271"/>
        <v>Tuesday</v>
      </c>
      <c r="I2937" t="str">
        <f t="shared" si="272"/>
        <v>No</v>
      </c>
      <c r="J2937">
        <f t="shared" si="273"/>
        <v>0</v>
      </c>
      <c r="K2937">
        <f t="shared" si="274"/>
        <v>0</v>
      </c>
      <c r="L2937" t="str">
        <f t="shared" si="275"/>
        <v/>
      </c>
    </row>
    <row r="2938" spans="1:12" ht="14.4" customHeight="1" x14ac:dyDescent="0.3">
      <c r="A2938">
        <v>220414853</v>
      </c>
      <c r="B2938" s="1">
        <v>45160</v>
      </c>
      <c r="D2938" t="s">
        <v>7</v>
      </c>
      <c r="E2938">
        <v>39</v>
      </c>
      <c r="F2938" t="s">
        <v>6</v>
      </c>
      <c r="G2938" t="str">
        <f t="shared" si="270"/>
        <v/>
      </c>
      <c r="H2938" s="1" t="str">
        <f t="shared" si="271"/>
        <v>Tuesday</v>
      </c>
      <c r="I2938" t="str">
        <f t="shared" si="272"/>
        <v>No</v>
      </c>
      <c r="J2938">
        <f t="shared" si="273"/>
        <v>0</v>
      </c>
      <c r="K2938">
        <f t="shared" si="274"/>
        <v>0</v>
      </c>
      <c r="L2938" t="str">
        <f t="shared" si="275"/>
        <v/>
      </c>
    </row>
    <row r="2939" spans="1:12" ht="14.4" customHeight="1" x14ac:dyDescent="0.3">
      <c r="A2939">
        <v>220366524</v>
      </c>
      <c r="B2939" s="1">
        <v>45160</v>
      </c>
      <c r="D2939" t="s">
        <v>7</v>
      </c>
      <c r="E2939">
        <v>39</v>
      </c>
      <c r="F2939" t="s">
        <v>6</v>
      </c>
      <c r="G2939" t="str">
        <f t="shared" si="270"/>
        <v/>
      </c>
      <c r="H2939" s="1" t="str">
        <f t="shared" si="271"/>
        <v>Tuesday</v>
      </c>
      <c r="I2939" t="str">
        <f t="shared" si="272"/>
        <v>No</v>
      </c>
      <c r="J2939">
        <f t="shared" si="273"/>
        <v>0</v>
      </c>
      <c r="K2939">
        <f t="shared" si="274"/>
        <v>0</v>
      </c>
      <c r="L2939" t="str">
        <f t="shared" si="275"/>
        <v/>
      </c>
    </row>
    <row r="2940" spans="1:12" ht="14.4" customHeight="1" x14ac:dyDescent="0.3">
      <c r="A2940">
        <v>220407436</v>
      </c>
      <c r="B2940" s="1">
        <v>45160</v>
      </c>
      <c r="C2940" s="1">
        <v>45161</v>
      </c>
      <c r="D2940" t="s">
        <v>8</v>
      </c>
      <c r="E2940">
        <v>39</v>
      </c>
      <c r="F2940" t="s">
        <v>6</v>
      </c>
      <c r="G2940">
        <f t="shared" si="270"/>
        <v>1</v>
      </c>
      <c r="H2940" s="1" t="str">
        <f t="shared" si="271"/>
        <v>Tuesday</v>
      </c>
      <c r="I2940" t="str">
        <f t="shared" si="272"/>
        <v>No</v>
      </c>
      <c r="J2940">
        <f t="shared" si="273"/>
        <v>1</v>
      </c>
      <c r="K2940">
        <f t="shared" si="274"/>
        <v>0</v>
      </c>
      <c r="L2940">
        <f t="shared" si="275"/>
        <v>1</v>
      </c>
    </row>
    <row r="2941" spans="1:12" ht="14.4" customHeight="1" x14ac:dyDescent="0.3">
      <c r="A2941">
        <v>192182455</v>
      </c>
      <c r="B2941" s="1">
        <v>45161</v>
      </c>
      <c r="D2941" t="s">
        <v>7</v>
      </c>
      <c r="E2941">
        <v>39</v>
      </c>
      <c r="F2941" t="s">
        <v>6</v>
      </c>
      <c r="G2941" t="str">
        <f t="shared" si="270"/>
        <v/>
      </c>
      <c r="H2941" s="1" t="str">
        <f t="shared" si="271"/>
        <v>Wednesday</v>
      </c>
      <c r="I2941" t="str">
        <f t="shared" si="272"/>
        <v>No</v>
      </c>
      <c r="J2941">
        <f t="shared" si="273"/>
        <v>0</v>
      </c>
      <c r="K2941">
        <f t="shared" si="274"/>
        <v>0</v>
      </c>
      <c r="L2941" t="str">
        <f t="shared" si="275"/>
        <v/>
      </c>
    </row>
    <row r="2942" spans="1:12" ht="14.4" customHeight="1" x14ac:dyDescent="0.3">
      <c r="A2942">
        <v>219439597</v>
      </c>
      <c r="B2942" s="1">
        <v>45161</v>
      </c>
      <c r="D2942" t="s">
        <v>7</v>
      </c>
      <c r="E2942">
        <v>39</v>
      </c>
      <c r="F2942" t="s">
        <v>6</v>
      </c>
      <c r="G2942" t="str">
        <f t="shared" si="270"/>
        <v/>
      </c>
      <c r="H2942" s="1" t="str">
        <f t="shared" si="271"/>
        <v>Wednesday</v>
      </c>
      <c r="I2942" t="str">
        <f t="shared" si="272"/>
        <v>No</v>
      </c>
      <c r="J2942">
        <f t="shared" si="273"/>
        <v>0</v>
      </c>
      <c r="K2942">
        <f t="shared" si="274"/>
        <v>0</v>
      </c>
      <c r="L2942" t="str">
        <f t="shared" si="275"/>
        <v/>
      </c>
    </row>
    <row r="2943" spans="1:12" ht="14.4" customHeight="1" x14ac:dyDescent="0.3">
      <c r="A2943">
        <v>219576812</v>
      </c>
      <c r="B2943" s="1">
        <v>45161</v>
      </c>
      <c r="D2943" t="s">
        <v>7</v>
      </c>
      <c r="E2943">
        <v>39</v>
      </c>
      <c r="F2943" t="s">
        <v>6</v>
      </c>
      <c r="G2943" t="str">
        <f t="shared" si="270"/>
        <v/>
      </c>
      <c r="H2943" s="1" t="str">
        <f t="shared" si="271"/>
        <v>Wednesday</v>
      </c>
      <c r="I2943" t="str">
        <f t="shared" si="272"/>
        <v>No</v>
      </c>
      <c r="J2943">
        <f t="shared" si="273"/>
        <v>0</v>
      </c>
      <c r="K2943">
        <f t="shared" si="274"/>
        <v>0</v>
      </c>
      <c r="L2943" t="str">
        <f t="shared" si="275"/>
        <v/>
      </c>
    </row>
    <row r="2944" spans="1:12" ht="14.4" customHeight="1" x14ac:dyDescent="0.3">
      <c r="A2944">
        <v>143111905</v>
      </c>
      <c r="B2944" s="1">
        <v>45161</v>
      </c>
      <c r="D2944" t="s">
        <v>7</v>
      </c>
      <c r="E2944">
        <v>39</v>
      </c>
      <c r="F2944" t="s">
        <v>6</v>
      </c>
      <c r="G2944" t="str">
        <f t="shared" si="270"/>
        <v/>
      </c>
      <c r="H2944" s="1" t="str">
        <f t="shared" si="271"/>
        <v>Wednesday</v>
      </c>
      <c r="I2944" t="str">
        <f t="shared" si="272"/>
        <v>No</v>
      </c>
      <c r="J2944">
        <f t="shared" si="273"/>
        <v>0</v>
      </c>
      <c r="K2944">
        <f t="shared" si="274"/>
        <v>0</v>
      </c>
      <c r="L2944" t="str">
        <f t="shared" si="275"/>
        <v/>
      </c>
    </row>
    <row r="2945" spans="1:12" ht="14.4" customHeight="1" x14ac:dyDescent="0.3">
      <c r="A2945">
        <v>123297208</v>
      </c>
      <c r="B2945" s="1">
        <v>45161</v>
      </c>
      <c r="D2945" t="s">
        <v>7</v>
      </c>
      <c r="E2945">
        <v>39</v>
      </c>
      <c r="F2945" t="s">
        <v>6</v>
      </c>
      <c r="G2945" t="str">
        <f t="shared" si="270"/>
        <v/>
      </c>
      <c r="H2945" s="1" t="str">
        <f t="shared" si="271"/>
        <v>Wednesday</v>
      </c>
      <c r="I2945" t="str">
        <f t="shared" si="272"/>
        <v>No</v>
      </c>
      <c r="J2945">
        <f t="shared" si="273"/>
        <v>0</v>
      </c>
      <c r="K2945">
        <f t="shared" si="274"/>
        <v>0</v>
      </c>
      <c r="L2945" t="str">
        <f t="shared" si="275"/>
        <v/>
      </c>
    </row>
    <row r="2946" spans="1:12" ht="14.4" customHeight="1" x14ac:dyDescent="0.3">
      <c r="A2946">
        <v>213194584</v>
      </c>
      <c r="B2946" s="1">
        <v>45161</v>
      </c>
      <c r="D2946" t="s">
        <v>7</v>
      </c>
      <c r="E2946">
        <v>39</v>
      </c>
      <c r="F2946" t="s">
        <v>6</v>
      </c>
      <c r="G2946" t="str">
        <f t="shared" ref="G2946:G3009" si="276">IF(C2946="","",C2946-B2946)</f>
        <v/>
      </c>
      <c r="H2946" s="1" t="str">
        <f t="shared" si="271"/>
        <v>Wednesday</v>
      </c>
      <c r="I2946" t="str">
        <f t="shared" si="272"/>
        <v>No</v>
      </c>
      <c r="J2946">
        <f t="shared" si="273"/>
        <v>0</v>
      </c>
      <c r="K2946">
        <f t="shared" si="274"/>
        <v>0</v>
      </c>
      <c r="L2946" t="str">
        <f t="shared" si="275"/>
        <v/>
      </c>
    </row>
    <row r="2947" spans="1:12" ht="14.4" customHeight="1" x14ac:dyDescent="0.3">
      <c r="A2947">
        <v>220455205</v>
      </c>
      <c r="B2947" s="1">
        <v>45161</v>
      </c>
      <c r="D2947" t="s">
        <v>7</v>
      </c>
      <c r="E2947">
        <v>39</v>
      </c>
      <c r="F2947" t="s">
        <v>6</v>
      </c>
      <c r="G2947" t="str">
        <f t="shared" si="276"/>
        <v/>
      </c>
      <c r="H2947" s="1" t="str">
        <f t="shared" ref="H2947:H3010" si="277">TEXT(B2947,"dddd")</f>
        <v>Wednesday</v>
      </c>
      <c r="I2947" t="str">
        <f t="shared" ref="I2947:I3010" si="278">IF(B2947=C2947,"Yes","No")</f>
        <v>No</v>
      </c>
      <c r="J2947">
        <f t="shared" ref="J2947:J3010" si="279">IF(AND(C2947&lt;&gt;"",C2947-B2947&lt;=2),1,0)</f>
        <v>0</v>
      </c>
      <c r="K2947">
        <f t="shared" ref="K2947:K3010" si="280">IF(AND(C2947&lt;&gt;"",C2947-B2947&gt;30),1,0)</f>
        <v>0</v>
      </c>
      <c r="L2947" t="str">
        <f t="shared" ref="L2947:L3010" si="281">IF(C2947="","",C2947-B2947)</f>
        <v/>
      </c>
    </row>
    <row r="2948" spans="1:12" ht="14.4" customHeight="1" x14ac:dyDescent="0.3">
      <c r="A2948">
        <v>220425056</v>
      </c>
      <c r="B2948" s="1">
        <v>45161</v>
      </c>
      <c r="D2948" t="s">
        <v>7</v>
      </c>
      <c r="E2948">
        <v>39</v>
      </c>
      <c r="F2948" t="s">
        <v>6</v>
      </c>
      <c r="G2948" t="str">
        <f t="shared" si="276"/>
        <v/>
      </c>
      <c r="H2948" s="1" t="str">
        <f t="shared" si="277"/>
        <v>Wednesday</v>
      </c>
      <c r="I2948" t="str">
        <f t="shared" si="278"/>
        <v>No</v>
      </c>
      <c r="J2948">
        <f t="shared" si="279"/>
        <v>0</v>
      </c>
      <c r="K2948">
        <f t="shared" si="280"/>
        <v>0</v>
      </c>
      <c r="L2948" t="str">
        <f t="shared" si="281"/>
        <v/>
      </c>
    </row>
    <row r="2949" spans="1:12" ht="14.4" customHeight="1" x14ac:dyDescent="0.3">
      <c r="A2949">
        <v>219685108</v>
      </c>
      <c r="B2949" s="1">
        <v>45161</v>
      </c>
      <c r="D2949" t="s">
        <v>7</v>
      </c>
      <c r="E2949">
        <v>39</v>
      </c>
      <c r="F2949" t="s">
        <v>6</v>
      </c>
      <c r="G2949" t="str">
        <f t="shared" si="276"/>
        <v/>
      </c>
      <c r="H2949" s="1" t="str">
        <f t="shared" si="277"/>
        <v>Wednesday</v>
      </c>
      <c r="I2949" t="str">
        <f t="shared" si="278"/>
        <v>No</v>
      </c>
      <c r="J2949">
        <f t="shared" si="279"/>
        <v>0</v>
      </c>
      <c r="K2949">
        <f t="shared" si="280"/>
        <v>0</v>
      </c>
      <c r="L2949" t="str">
        <f t="shared" si="281"/>
        <v/>
      </c>
    </row>
    <row r="2950" spans="1:12" ht="14.4" customHeight="1" x14ac:dyDescent="0.3">
      <c r="A2950">
        <v>220531090</v>
      </c>
      <c r="B2950" s="1">
        <v>45162</v>
      </c>
      <c r="D2950" t="s">
        <v>7</v>
      </c>
      <c r="E2950">
        <v>39</v>
      </c>
      <c r="F2950" t="s">
        <v>6</v>
      </c>
      <c r="G2950" t="str">
        <f t="shared" si="276"/>
        <v/>
      </c>
      <c r="H2950" s="1" t="str">
        <f t="shared" si="277"/>
        <v>Thursday</v>
      </c>
      <c r="I2950" t="str">
        <f t="shared" si="278"/>
        <v>No</v>
      </c>
      <c r="J2950">
        <f t="shared" si="279"/>
        <v>0</v>
      </c>
      <c r="K2950">
        <f t="shared" si="280"/>
        <v>0</v>
      </c>
      <c r="L2950" t="str">
        <f t="shared" si="281"/>
        <v/>
      </c>
    </row>
    <row r="2951" spans="1:12" ht="14.4" customHeight="1" x14ac:dyDescent="0.3">
      <c r="A2951">
        <v>220510482</v>
      </c>
      <c r="B2951" s="1">
        <v>45162</v>
      </c>
      <c r="D2951" t="s">
        <v>7</v>
      </c>
      <c r="E2951">
        <v>39</v>
      </c>
      <c r="F2951" t="s">
        <v>6</v>
      </c>
      <c r="G2951" t="str">
        <f t="shared" si="276"/>
        <v/>
      </c>
      <c r="H2951" s="1" t="str">
        <f t="shared" si="277"/>
        <v>Thursday</v>
      </c>
      <c r="I2951" t="str">
        <f t="shared" si="278"/>
        <v>No</v>
      </c>
      <c r="J2951">
        <f t="shared" si="279"/>
        <v>0</v>
      </c>
      <c r="K2951">
        <f t="shared" si="280"/>
        <v>0</v>
      </c>
      <c r="L2951" t="str">
        <f t="shared" si="281"/>
        <v/>
      </c>
    </row>
    <row r="2952" spans="1:12" ht="14.4" customHeight="1" x14ac:dyDescent="0.3">
      <c r="A2952">
        <v>149856123</v>
      </c>
      <c r="B2952" s="1">
        <v>45162</v>
      </c>
      <c r="D2952" t="s">
        <v>7</v>
      </c>
      <c r="E2952">
        <v>39</v>
      </c>
      <c r="F2952" t="s">
        <v>6</v>
      </c>
      <c r="G2952" t="str">
        <f t="shared" si="276"/>
        <v/>
      </c>
      <c r="H2952" s="1" t="str">
        <f t="shared" si="277"/>
        <v>Thursday</v>
      </c>
      <c r="I2952" t="str">
        <f t="shared" si="278"/>
        <v>No</v>
      </c>
      <c r="J2952">
        <f t="shared" si="279"/>
        <v>0</v>
      </c>
      <c r="K2952">
        <f t="shared" si="280"/>
        <v>0</v>
      </c>
      <c r="L2952" t="str">
        <f t="shared" si="281"/>
        <v/>
      </c>
    </row>
    <row r="2953" spans="1:12" ht="14.4" customHeight="1" x14ac:dyDescent="0.3">
      <c r="A2953">
        <v>217506938</v>
      </c>
      <c r="B2953" s="1">
        <v>45162</v>
      </c>
      <c r="D2953" t="s">
        <v>7</v>
      </c>
      <c r="E2953">
        <v>39</v>
      </c>
      <c r="F2953" t="s">
        <v>6</v>
      </c>
      <c r="G2953" t="str">
        <f t="shared" si="276"/>
        <v/>
      </c>
      <c r="H2953" s="1" t="str">
        <f t="shared" si="277"/>
        <v>Thursday</v>
      </c>
      <c r="I2953" t="str">
        <f t="shared" si="278"/>
        <v>No</v>
      </c>
      <c r="J2953">
        <f t="shared" si="279"/>
        <v>0</v>
      </c>
      <c r="K2953">
        <f t="shared" si="280"/>
        <v>0</v>
      </c>
      <c r="L2953" t="str">
        <f t="shared" si="281"/>
        <v/>
      </c>
    </row>
    <row r="2954" spans="1:12" ht="14.4" customHeight="1" x14ac:dyDescent="0.3">
      <c r="A2954">
        <v>189403535</v>
      </c>
      <c r="B2954" s="1">
        <v>45162</v>
      </c>
      <c r="D2954" t="s">
        <v>7</v>
      </c>
      <c r="E2954">
        <v>39</v>
      </c>
      <c r="F2954" t="s">
        <v>6</v>
      </c>
      <c r="G2954" t="str">
        <f t="shared" si="276"/>
        <v/>
      </c>
      <c r="H2954" s="1" t="str">
        <f t="shared" si="277"/>
        <v>Thursday</v>
      </c>
      <c r="I2954" t="str">
        <f t="shared" si="278"/>
        <v>No</v>
      </c>
      <c r="J2954">
        <f t="shared" si="279"/>
        <v>0</v>
      </c>
      <c r="K2954">
        <f t="shared" si="280"/>
        <v>0</v>
      </c>
      <c r="L2954" t="str">
        <f t="shared" si="281"/>
        <v/>
      </c>
    </row>
    <row r="2955" spans="1:12" ht="14.4" customHeight="1" x14ac:dyDescent="0.3">
      <c r="A2955">
        <v>132318451</v>
      </c>
      <c r="B2955" s="1">
        <v>45162</v>
      </c>
      <c r="C2955" s="1">
        <v>45163</v>
      </c>
      <c r="D2955" t="s">
        <v>7</v>
      </c>
      <c r="E2955">
        <v>39</v>
      </c>
      <c r="F2955" t="s">
        <v>6</v>
      </c>
      <c r="G2955">
        <f t="shared" si="276"/>
        <v>1</v>
      </c>
      <c r="H2955" s="1" t="str">
        <f t="shared" si="277"/>
        <v>Thursday</v>
      </c>
      <c r="I2955" t="str">
        <f t="shared" si="278"/>
        <v>No</v>
      </c>
      <c r="J2955">
        <f t="shared" si="279"/>
        <v>1</v>
      </c>
      <c r="K2955">
        <f t="shared" si="280"/>
        <v>0</v>
      </c>
      <c r="L2955">
        <f t="shared" si="281"/>
        <v>1</v>
      </c>
    </row>
    <row r="2956" spans="1:12" ht="14.4" customHeight="1" x14ac:dyDescent="0.3">
      <c r="A2956">
        <v>220495479</v>
      </c>
      <c r="B2956" s="1">
        <v>45162</v>
      </c>
      <c r="C2956" s="1">
        <v>45163</v>
      </c>
      <c r="D2956" t="s">
        <v>8</v>
      </c>
      <c r="E2956">
        <v>39</v>
      </c>
      <c r="F2956" t="s">
        <v>6</v>
      </c>
      <c r="G2956">
        <f t="shared" si="276"/>
        <v>1</v>
      </c>
      <c r="H2956" s="1" t="str">
        <f t="shared" si="277"/>
        <v>Thursday</v>
      </c>
      <c r="I2956" t="str">
        <f t="shared" si="278"/>
        <v>No</v>
      </c>
      <c r="J2956">
        <f t="shared" si="279"/>
        <v>1</v>
      </c>
      <c r="K2956">
        <f t="shared" si="280"/>
        <v>0</v>
      </c>
      <c r="L2956">
        <f t="shared" si="281"/>
        <v>1</v>
      </c>
    </row>
    <row r="2957" spans="1:12" ht="14.4" customHeight="1" x14ac:dyDescent="0.3">
      <c r="A2957">
        <v>164903790</v>
      </c>
      <c r="B2957" s="1">
        <v>45163</v>
      </c>
      <c r="D2957" t="s">
        <v>7</v>
      </c>
      <c r="E2957">
        <v>39</v>
      </c>
      <c r="F2957" t="s">
        <v>6</v>
      </c>
      <c r="G2957" t="str">
        <f t="shared" si="276"/>
        <v/>
      </c>
      <c r="H2957" s="1" t="str">
        <f t="shared" si="277"/>
        <v>Friday</v>
      </c>
      <c r="I2957" t="str">
        <f t="shared" si="278"/>
        <v>No</v>
      </c>
      <c r="J2957">
        <f t="shared" si="279"/>
        <v>0</v>
      </c>
      <c r="K2957">
        <f t="shared" si="280"/>
        <v>0</v>
      </c>
      <c r="L2957" t="str">
        <f t="shared" si="281"/>
        <v/>
      </c>
    </row>
    <row r="2958" spans="1:12" ht="14.4" customHeight="1" x14ac:dyDescent="0.3">
      <c r="A2958">
        <v>220371835</v>
      </c>
      <c r="B2958" s="1">
        <v>45163</v>
      </c>
      <c r="D2958" t="s">
        <v>7</v>
      </c>
      <c r="E2958">
        <v>39</v>
      </c>
      <c r="F2958" t="s">
        <v>6</v>
      </c>
      <c r="G2958" t="str">
        <f t="shared" si="276"/>
        <v/>
      </c>
      <c r="H2958" s="1" t="str">
        <f t="shared" si="277"/>
        <v>Friday</v>
      </c>
      <c r="I2958" t="str">
        <f t="shared" si="278"/>
        <v>No</v>
      </c>
      <c r="J2958">
        <f t="shared" si="279"/>
        <v>0</v>
      </c>
      <c r="K2958">
        <f t="shared" si="280"/>
        <v>0</v>
      </c>
      <c r="L2958" t="str">
        <f t="shared" si="281"/>
        <v/>
      </c>
    </row>
    <row r="2959" spans="1:12" ht="14.4" customHeight="1" x14ac:dyDescent="0.3">
      <c r="A2959">
        <v>125932988</v>
      </c>
      <c r="B2959" s="1">
        <v>45163</v>
      </c>
      <c r="D2959" t="s">
        <v>7</v>
      </c>
      <c r="E2959">
        <v>39</v>
      </c>
      <c r="F2959" t="s">
        <v>6</v>
      </c>
      <c r="G2959" t="str">
        <f t="shared" si="276"/>
        <v/>
      </c>
      <c r="H2959" s="1" t="str">
        <f t="shared" si="277"/>
        <v>Friday</v>
      </c>
      <c r="I2959" t="str">
        <f t="shared" si="278"/>
        <v>No</v>
      </c>
      <c r="J2959">
        <f t="shared" si="279"/>
        <v>0</v>
      </c>
      <c r="K2959">
        <f t="shared" si="280"/>
        <v>0</v>
      </c>
      <c r="L2959" t="str">
        <f t="shared" si="281"/>
        <v/>
      </c>
    </row>
    <row r="2960" spans="1:12" ht="14.4" customHeight="1" x14ac:dyDescent="0.3">
      <c r="A2960">
        <v>214924190</v>
      </c>
      <c r="B2960" s="1">
        <v>45163</v>
      </c>
      <c r="D2960" t="s">
        <v>7</v>
      </c>
      <c r="E2960">
        <v>39</v>
      </c>
      <c r="F2960" t="s">
        <v>6</v>
      </c>
      <c r="G2960" t="str">
        <f t="shared" si="276"/>
        <v/>
      </c>
      <c r="H2960" s="1" t="str">
        <f t="shared" si="277"/>
        <v>Friday</v>
      </c>
      <c r="I2960" t="str">
        <f t="shared" si="278"/>
        <v>No</v>
      </c>
      <c r="J2960">
        <f t="shared" si="279"/>
        <v>0</v>
      </c>
      <c r="K2960">
        <f t="shared" si="280"/>
        <v>0</v>
      </c>
      <c r="L2960" t="str">
        <f t="shared" si="281"/>
        <v/>
      </c>
    </row>
    <row r="2961" spans="1:12" ht="14.4" customHeight="1" x14ac:dyDescent="0.3">
      <c r="A2961">
        <v>117300170</v>
      </c>
      <c r="B2961" s="1">
        <v>45163</v>
      </c>
      <c r="D2961" t="s">
        <v>7</v>
      </c>
      <c r="E2961">
        <v>39</v>
      </c>
      <c r="F2961" t="s">
        <v>6</v>
      </c>
      <c r="G2961" t="str">
        <f t="shared" si="276"/>
        <v/>
      </c>
      <c r="H2961" s="1" t="str">
        <f t="shared" si="277"/>
        <v>Friday</v>
      </c>
      <c r="I2961" t="str">
        <f t="shared" si="278"/>
        <v>No</v>
      </c>
      <c r="J2961">
        <f t="shared" si="279"/>
        <v>0</v>
      </c>
      <c r="K2961">
        <f t="shared" si="280"/>
        <v>0</v>
      </c>
      <c r="L2961" t="str">
        <f t="shared" si="281"/>
        <v/>
      </c>
    </row>
    <row r="2962" spans="1:12" ht="14.4" customHeight="1" x14ac:dyDescent="0.3">
      <c r="A2962">
        <v>162913792</v>
      </c>
      <c r="B2962" s="1">
        <v>45163</v>
      </c>
      <c r="D2962" t="s">
        <v>7</v>
      </c>
      <c r="E2962">
        <v>39</v>
      </c>
      <c r="F2962" t="s">
        <v>6</v>
      </c>
      <c r="G2962" t="str">
        <f t="shared" si="276"/>
        <v/>
      </c>
      <c r="H2962" s="1" t="str">
        <f t="shared" si="277"/>
        <v>Friday</v>
      </c>
      <c r="I2962" t="str">
        <f t="shared" si="278"/>
        <v>No</v>
      </c>
      <c r="J2962">
        <f t="shared" si="279"/>
        <v>0</v>
      </c>
      <c r="K2962">
        <f t="shared" si="280"/>
        <v>0</v>
      </c>
      <c r="L2962" t="str">
        <f t="shared" si="281"/>
        <v/>
      </c>
    </row>
    <row r="2963" spans="1:12" ht="14.4" customHeight="1" x14ac:dyDescent="0.3">
      <c r="A2963">
        <v>220551506</v>
      </c>
      <c r="B2963" s="1">
        <v>45163</v>
      </c>
      <c r="D2963" t="s">
        <v>7</v>
      </c>
      <c r="E2963">
        <v>39</v>
      </c>
      <c r="F2963" t="s">
        <v>6</v>
      </c>
      <c r="G2963" t="str">
        <f t="shared" si="276"/>
        <v/>
      </c>
      <c r="H2963" s="1" t="str">
        <f t="shared" si="277"/>
        <v>Friday</v>
      </c>
      <c r="I2963" t="str">
        <f t="shared" si="278"/>
        <v>No</v>
      </c>
      <c r="J2963">
        <f t="shared" si="279"/>
        <v>0</v>
      </c>
      <c r="K2963">
        <f t="shared" si="280"/>
        <v>0</v>
      </c>
      <c r="L2963" t="str">
        <f t="shared" si="281"/>
        <v/>
      </c>
    </row>
    <row r="2964" spans="1:12" ht="14.4" customHeight="1" x14ac:dyDescent="0.3">
      <c r="A2964">
        <v>161187523</v>
      </c>
      <c r="B2964" s="1">
        <v>45163</v>
      </c>
      <c r="D2964" t="s">
        <v>7</v>
      </c>
      <c r="E2964">
        <v>39</v>
      </c>
      <c r="F2964" t="s">
        <v>6</v>
      </c>
      <c r="G2964" t="str">
        <f t="shared" si="276"/>
        <v/>
      </c>
      <c r="H2964" s="1" t="str">
        <f t="shared" si="277"/>
        <v>Friday</v>
      </c>
      <c r="I2964" t="str">
        <f t="shared" si="278"/>
        <v>No</v>
      </c>
      <c r="J2964">
        <f t="shared" si="279"/>
        <v>0</v>
      </c>
      <c r="K2964">
        <f t="shared" si="280"/>
        <v>0</v>
      </c>
      <c r="L2964" t="str">
        <f t="shared" si="281"/>
        <v/>
      </c>
    </row>
    <row r="2965" spans="1:12" ht="14.4" customHeight="1" x14ac:dyDescent="0.3">
      <c r="A2965">
        <v>220562110</v>
      </c>
      <c r="B2965" s="1">
        <v>45163</v>
      </c>
      <c r="C2965" s="1">
        <v>45164</v>
      </c>
      <c r="D2965" t="s">
        <v>8</v>
      </c>
      <c r="E2965">
        <v>39</v>
      </c>
      <c r="F2965" t="s">
        <v>6</v>
      </c>
      <c r="G2965">
        <f t="shared" si="276"/>
        <v>1</v>
      </c>
      <c r="H2965" s="1" t="str">
        <f t="shared" si="277"/>
        <v>Friday</v>
      </c>
      <c r="I2965" t="str">
        <f t="shared" si="278"/>
        <v>No</v>
      </c>
      <c r="J2965">
        <f t="shared" si="279"/>
        <v>1</v>
      </c>
      <c r="K2965">
        <f t="shared" si="280"/>
        <v>0</v>
      </c>
      <c r="L2965">
        <f t="shared" si="281"/>
        <v>1</v>
      </c>
    </row>
    <row r="2966" spans="1:12" ht="14.4" customHeight="1" x14ac:dyDescent="0.3">
      <c r="A2966">
        <v>220589305</v>
      </c>
      <c r="B2966" s="1">
        <v>45164</v>
      </c>
      <c r="D2966" t="s">
        <v>7</v>
      </c>
      <c r="E2966">
        <v>39</v>
      </c>
      <c r="F2966" t="s">
        <v>6</v>
      </c>
      <c r="G2966" t="str">
        <f t="shared" si="276"/>
        <v/>
      </c>
      <c r="H2966" s="1" t="str">
        <f t="shared" si="277"/>
        <v>Saturday</v>
      </c>
      <c r="I2966" t="str">
        <f t="shared" si="278"/>
        <v>No</v>
      </c>
      <c r="J2966">
        <f t="shared" si="279"/>
        <v>0</v>
      </c>
      <c r="K2966">
        <f t="shared" si="280"/>
        <v>0</v>
      </c>
      <c r="L2966" t="str">
        <f t="shared" si="281"/>
        <v/>
      </c>
    </row>
    <row r="2967" spans="1:12" ht="14.4" customHeight="1" x14ac:dyDescent="0.3">
      <c r="A2967">
        <v>220496139</v>
      </c>
      <c r="B2967" s="1">
        <v>45164</v>
      </c>
      <c r="D2967" t="s">
        <v>7</v>
      </c>
      <c r="E2967">
        <v>39</v>
      </c>
      <c r="F2967" t="s">
        <v>6</v>
      </c>
      <c r="G2967" t="str">
        <f t="shared" si="276"/>
        <v/>
      </c>
      <c r="H2967" s="1" t="str">
        <f t="shared" si="277"/>
        <v>Saturday</v>
      </c>
      <c r="I2967" t="str">
        <f t="shared" si="278"/>
        <v>No</v>
      </c>
      <c r="J2967">
        <f t="shared" si="279"/>
        <v>0</v>
      </c>
      <c r="K2967">
        <f t="shared" si="280"/>
        <v>0</v>
      </c>
      <c r="L2967" t="str">
        <f t="shared" si="281"/>
        <v/>
      </c>
    </row>
    <row r="2968" spans="1:12" ht="14.4" customHeight="1" x14ac:dyDescent="0.3">
      <c r="A2968">
        <v>219211334</v>
      </c>
      <c r="B2968" s="1">
        <v>45164</v>
      </c>
      <c r="D2968" t="s">
        <v>7</v>
      </c>
      <c r="E2968">
        <v>39</v>
      </c>
      <c r="F2968" t="s">
        <v>6</v>
      </c>
      <c r="G2968" t="str">
        <f t="shared" si="276"/>
        <v/>
      </c>
      <c r="H2968" s="1" t="str">
        <f t="shared" si="277"/>
        <v>Saturday</v>
      </c>
      <c r="I2968" t="str">
        <f t="shared" si="278"/>
        <v>No</v>
      </c>
      <c r="J2968">
        <f t="shared" si="279"/>
        <v>0</v>
      </c>
      <c r="K2968">
        <f t="shared" si="280"/>
        <v>0</v>
      </c>
      <c r="L2968" t="str">
        <f t="shared" si="281"/>
        <v/>
      </c>
    </row>
    <row r="2969" spans="1:12" ht="14.4" customHeight="1" x14ac:dyDescent="0.3">
      <c r="A2969">
        <v>220582817</v>
      </c>
      <c r="B2969" s="1">
        <v>45164</v>
      </c>
      <c r="D2969" t="s">
        <v>7</v>
      </c>
      <c r="E2969">
        <v>39</v>
      </c>
      <c r="F2969" t="s">
        <v>6</v>
      </c>
      <c r="G2969" t="str">
        <f t="shared" si="276"/>
        <v/>
      </c>
      <c r="H2969" s="1" t="str">
        <f t="shared" si="277"/>
        <v>Saturday</v>
      </c>
      <c r="I2969" t="str">
        <f t="shared" si="278"/>
        <v>No</v>
      </c>
      <c r="J2969">
        <f t="shared" si="279"/>
        <v>0</v>
      </c>
      <c r="K2969">
        <f t="shared" si="280"/>
        <v>0</v>
      </c>
      <c r="L2969" t="str">
        <f t="shared" si="281"/>
        <v/>
      </c>
    </row>
    <row r="2970" spans="1:12" ht="14.4" customHeight="1" x14ac:dyDescent="0.3">
      <c r="A2970">
        <v>217513777</v>
      </c>
      <c r="B2970" s="1">
        <v>45164</v>
      </c>
      <c r="C2970" s="1">
        <v>45166</v>
      </c>
      <c r="D2970" t="s">
        <v>7</v>
      </c>
      <c r="E2970">
        <v>39</v>
      </c>
      <c r="F2970" t="s">
        <v>6</v>
      </c>
      <c r="G2970">
        <f t="shared" si="276"/>
        <v>2</v>
      </c>
      <c r="H2970" s="1" t="str">
        <f t="shared" si="277"/>
        <v>Saturday</v>
      </c>
      <c r="I2970" t="str">
        <f t="shared" si="278"/>
        <v>No</v>
      </c>
      <c r="J2970">
        <f t="shared" si="279"/>
        <v>1</v>
      </c>
      <c r="K2970">
        <f t="shared" si="280"/>
        <v>0</v>
      </c>
      <c r="L2970">
        <f t="shared" si="281"/>
        <v>2</v>
      </c>
    </row>
    <row r="2971" spans="1:12" ht="14.4" customHeight="1" x14ac:dyDescent="0.3">
      <c r="A2971">
        <v>220576148</v>
      </c>
      <c r="B2971" s="1">
        <v>45164</v>
      </c>
      <c r="C2971" s="1">
        <v>45174</v>
      </c>
      <c r="D2971" t="s">
        <v>7</v>
      </c>
      <c r="E2971">
        <v>39</v>
      </c>
      <c r="F2971" t="s">
        <v>6</v>
      </c>
      <c r="G2971">
        <f t="shared" si="276"/>
        <v>10</v>
      </c>
      <c r="H2971" s="1" t="str">
        <f t="shared" si="277"/>
        <v>Saturday</v>
      </c>
      <c r="I2971" t="str">
        <f t="shared" si="278"/>
        <v>No</v>
      </c>
      <c r="J2971">
        <f t="shared" si="279"/>
        <v>0</v>
      </c>
      <c r="K2971">
        <f t="shared" si="280"/>
        <v>0</v>
      </c>
      <c r="L2971">
        <f t="shared" si="281"/>
        <v>10</v>
      </c>
    </row>
    <row r="2972" spans="1:12" ht="14.4" customHeight="1" x14ac:dyDescent="0.3">
      <c r="A2972">
        <v>219294264</v>
      </c>
      <c r="B2972" s="1">
        <v>45165</v>
      </c>
      <c r="D2972" t="s">
        <v>7</v>
      </c>
      <c r="E2972">
        <v>39</v>
      </c>
      <c r="F2972" t="s">
        <v>6</v>
      </c>
      <c r="G2972" t="str">
        <f t="shared" si="276"/>
        <v/>
      </c>
      <c r="H2972" s="1" t="str">
        <f t="shared" si="277"/>
        <v>Sunday</v>
      </c>
      <c r="I2972" t="str">
        <f t="shared" si="278"/>
        <v>No</v>
      </c>
      <c r="J2972">
        <f t="shared" si="279"/>
        <v>0</v>
      </c>
      <c r="K2972">
        <f t="shared" si="280"/>
        <v>0</v>
      </c>
      <c r="L2972" t="str">
        <f t="shared" si="281"/>
        <v/>
      </c>
    </row>
    <row r="2973" spans="1:12" ht="14.4" customHeight="1" x14ac:dyDescent="0.3">
      <c r="A2973">
        <v>220617197</v>
      </c>
      <c r="B2973" s="1">
        <v>45165</v>
      </c>
      <c r="D2973" t="s">
        <v>7</v>
      </c>
      <c r="E2973">
        <v>39</v>
      </c>
      <c r="F2973" t="s">
        <v>6</v>
      </c>
      <c r="G2973" t="str">
        <f t="shared" si="276"/>
        <v/>
      </c>
      <c r="H2973" s="1" t="str">
        <f t="shared" si="277"/>
        <v>Sunday</v>
      </c>
      <c r="I2973" t="str">
        <f t="shared" si="278"/>
        <v>No</v>
      </c>
      <c r="J2973">
        <f t="shared" si="279"/>
        <v>0</v>
      </c>
      <c r="K2973">
        <f t="shared" si="280"/>
        <v>0</v>
      </c>
      <c r="L2973" t="str">
        <f t="shared" si="281"/>
        <v/>
      </c>
    </row>
    <row r="2974" spans="1:12" ht="14.4" customHeight="1" x14ac:dyDescent="0.3">
      <c r="A2974">
        <v>220227691</v>
      </c>
      <c r="B2974" s="1">
        <v>45165</v>
      </c>
      <c r="D2974" t="s">
        <v>7</v>
      </c>
      <c r="E2974">
        <v>39</v>
      </c>
      <c r="F2974" t="s">
        <v>6</v>
      </c>
      <c r="G2974" t="str">
        <f t="shared" si="276"/>
        <v/>
      </c>
      <c r="H2974" s="1" t="str">
        <f t="shared" si="277"/>
        <v>Sunday</v>
      </c>
      <c r="I2974" t="str">
        <f t="shared" si="278"/>
        <v>No</v>
      </c>
      <c r="J2974">
        <f t="shared" si="279"/>
        <v>0</v>
      </c>
      <c r="K2974">
        <f t="shared" si="280"/>
        <v>0</v>
      </c>
      <c r="L2974" t="str">
        <f t="shared" si="281"/>
        <v/>
      </c>
    </row>
    <row r="2975" spans="1:12" ht="14.4" customHeight="1" x14ac:dyDescent="0.3">
      <c r="A2975">
        <v>220672607</v>
      </c>
      <c r="B2975" s="1">
        <v>45166</v>
      </c>
      <c r="D2975" t="s">
        <v>7</v>
      </c>
      <c r="E2975">
        <v>39</v>
      </c>
      <c r="F2975" t="s">
        <v>6</v>
      </c>
      <c r="G2975" t="str">
        <f t="shared" si="276"/>
        <v/>
      </c>
      <c r="H2975" s="1" t="str">
        <f t="shared" si="277"/>
        <v>Monday</v>
      </c>
      <c r="I2975" t="str">
        <f t="shared" si="278"/>
        <v>No</v>
      </c>
      <c r="J2975">
        <f t="shared" si="279"/>
        <v>0</v>
      </c>
      <c r="K2975">
        <f t="shared" si="280"/>
        <v>0</v>
      </c>
      <c r="L2975" t="str">
        <f t="shared" si="281"/>
        <v/>
      </c>
    </row>
    <row r="2976" spans="1:12" ht="14.4" customHeight="1" x14ac:dyDescent="0.3">
      <c r="A2976">
        <v>218608353</v>
      </c>
      <c r="B2976" s="1">
        <v>45166</v>
      </c>
      <c r="D2976" t="s">
        <v>7</v>
      </c>
      <c r="E2976">
        <v>39</v>
      </c>
      <c r="F2976" t="s">
        <v>6</v>
      </c>
      <c r="G2976" t="str">
        <f t="shared" si="276"/>
        <v/>
      </c>
      <c r="H2976" s="1" t="str">
        <f t="shared" si="277"/>
        <v>Monday</v>
      </c>
      <c r="I2976" t="str">
        <f t="shared" si="278"/>
        <v>No</v>
      </c>
      <c r="J2976">
        <f t="shared" si="279"/>
        <v>0</v>
      </c>
      <c r="K2976">
        <f t="shared" si="280"/>
        <v>0</v>
      </c>
      <c r="L2976" t="str">
        <f t="shared" si="281"/>
        <v/>
      </c>
    </row>
    <row r="2977" spans="1:12" ht="14.4" customHeight="1" x14ac:dyDescent="0.3">
      <c r="A2977">
        <v>135128238</v>
      </c>
      <c r="B2977" s="1">
        <v>45166</v>
      </c>
      <c r="D2977" t="s">
        <v>7</v>
      </c>
      <c r="E2977">
        <v>39</v>
      </c>
      <c r="F2977" t="s">
        <v>6</v>
      </c>
      <c r="G2977" t="str">
        <f t="shared" si="276"/>
        <v/>
      </c>
      <c r="H2977" s="1" t="str">
        <f t="shared" si="277"/>
        <v>Monday</v>
      </c>
      <c r="I2977" t="str">
        <f t="shared" si="278"/>
        <v>No</v>
      </c>
      <c r="J2977">
        <f t="shared" si="279"/>
        <v>0</v>
      </c>
      <c r="K2977">
        <f t="shared" si="280"/>
        <v>0</v>
      </c>
      <c r="L2977" t="str">
        <f t="shared" si="281"/>
        <v/>
      </c>
    </row>
    <row r="2978" spans="1:12" ht="14.4" customHeight="1" x14ac:dyDescent="0.3">
      <c r="A2978">
        <v>220285147</v>
      </c>
      <c r="B2978" s="1">
        <v>45166</v>
      </c>
      <c r="D2978" t="s">
        <v>7</v>
      </c>
      <c r="E2978">
        <v>39</v>
      </c>
      <c r="F2978" t="s">
        <v>6</v>
      </c>
      <c r="G2978" t="str">
        <f t="shared" si="276"/>
        <v/>
      </c>
      <c r="H2978" s="1" t="str">
        <f t="shared" si="277"/>
        <v>Monday</v>
      </c>
      <c r="I2978" t="str">
        <f t="shared" si="278"/>
        <v>No</v>
      </c>
      <c r="J2978">
        <f t="shared" si="279"/>
        <v>0</v>
      </c>
      <c r="K2978">
        <f t="shared" si="280"/>
        <v>0</v>
      </c>
      <c r="L2978" t="str">
        <f t="shared" si="281"/>
        <v/>
      </c>
    </row>
    <row r="2979" spans="1:12" ht="14.4" customHeight="1" x14ac:dyDescent="0.3">
      <c r="A2979">
        <v>218645057</v>
      </c>
      <c r="B2979" s="1">
        <v>45166</v>
      </c>
      <c r="D2979" t="s">
        <v>7</v>
      </c>
      <c r="E2979">
        <v>39</v>
      </c>
      <c r="F2979" t="s">
        <v>6</v>
      </c>
      <c r="G2979" t="str">
        <f t="shared" si="276"/>
        <v/>
      </c>
      <c r="H2979" s="1" t="str">
        <f t="shared" si="277"/>
        <v>Monday</v>
      </c>
      <c r="I2979" t="str">
        <f t="shared" si="278"/>
        <v>No</v>
      </c>
      <c r="J2979">
        <f t="shared" si="279"/>
        <v>0</v>
      </c>
      <c r="K2979">
        <f t="shared" si="280"/>
        <v>0</v>
      </c>
      <c r="L2979" t="str">
        <f t="shared" si="281"/>
        <v/>
      </c>
    </row>
    <row r="2980" spans="1:12" ht="14.4" customHeight="1" x14ac:dyDescent="0.3">
      <c r="A2980">
        <v>128199550</v>
      </c>
      <c r="B2980" s="1">
        <v>45166</v>
      </c>
      <c r="C2980" s="1">
        <v>45169</v>
      </c>
      <c r="D2980" t="s">
        <v>7</v>
      </c>
      <c r="E2980">
        <v>39</v>
      </c>
      <c r="F2980" t="s">
        <v>6</v>
      </c>
      <c r="G2980">
        <f t="shared" si="276"/>
        <v>3</v>
      </c>
      <c r="H2980" s="1" t="str">
        <f t="shared" si="277"/>
        <v>Monday</v>
      </c>
      <c r="I2980" t="str">
        <f t="shared" si="278"/>
        <v>No</v>
      </c>
      <c r="J2980">
        <f t="shared" si="279"/>
        <v>0</v>
      </c>
      <c r="K2980">
        <f t="shared" si="280"/>
        <v>0</v>
      </c>
      <c r="L2980">
        <f t="shared" si="281"/>
        <v>3</v>
      </c>
    </row>
    <row r="2981" spans="1:12" ht="14.4" customHeight="1" x14ac:dyDescent="0.3">
      <c r="A2981">
        <v>220747618</v>
      </c>
      <c r="B2981" s="1">
        <v>45167</v>
      </c>
      <c r="D2981" t="s">
        <v>7</v>
      </c>
      <c r="E2981">
        <v>39</v>
      </c>
      <c r="F2981" t="s">
        <v>6</v>
      </c>
      <c r="G2981" t="str">
        <f t="shared" si="276"/>
        <v/>
      </c>
      <c r="H2981" s="1" t="str">
        <f t="shared" si="277"/>
        <v>Tuesday</v>
      </c>
      <c r="I2981" t="str">
        <f t="shared" si="278"/>
        <v>No</v>
      </c>
      <c r="J2981">
        <f t="shared" si="279"/>
        <v>0</v>
      </c>
      <c r="K2981">
        <f t="shared" si="280"/>
        <v>0</v>
      </c>
      <c r="L2981" t="str">
        <f t="shared" si="281"/>
        <v/>
      </c>
    </row>
    <row r="2982" spans="1:12" ht="14.4" customHeight="1" x14ac:dyDescent="0.3">
      <c r="A2982">
        <v>207386830</v>
      </c>
      <c r="B2982" s="1">
        <v>45167</v>
      </c>
      <c r="D2982" t="s">
        <v>7</v>
      </c>
      <c r="E2982">
        <v>39</v>
      </c>
      <c r="F2982" t="s">
        <v>6</v>
      </c>
      <c r="G2982" t="str">
        <f t="shared" si="276"/>
        <v/>
      </c>
      <c r="H2982" s="1" t="str">
        <f t="shared" si="277"/>
        <v>Tuesday</v>
      </c>
      <c r="I2982" t="str">
        <f t="shared" si="278"/>
        <v>No</v>
      </c>
      <c r="J2982">
        <f t="shared" si="279"/>
        <v>0</v>
      </c>
      <c r="K2982">
        <f t="shared" si="280"/>
        <v>0</v>
      </c>
      <c r="L2982" t="str">
        <f t="shared" si="281"/>
        <v/>
      </c>
    </row>
    <row r="2983" spans="1:12" ht="14.4" customHeight="1" x14ac:dyDescent="0.3">
      <c r="A2983">
        <v>205109812</v>
      </c>
      <c r="B2983" s="1">
        <v>45167</v>
      </c>
      <c r="D2983" t="s">
        <v>7</v>
      </c>
      <c r="E2983">
        <v>39</v>
      </c>
      <c r="F2983" t="s">
        <v>6</v>
      </c>
      <c r="G2983" t="str">
        <f t="shared" si="276"/>
        <v/>
      </c>
      <c r="H2983" s="1" t="str">
        <f t="shared" si="277"/>
        <v>Tuesday</v>
      </c>
      <c r="I2983" t="str">
        <f t="shared" si="278"/>
        <v>No</v>
      </c>
      <c r="J2983">
        <f t="shared" si="279"/>
        <v>0</v>
      </c>
      <c r="K2983">
        <f t="shared" si="280"/>
        <v>0</v>
      </c>
      <c r="L2983" t="str">
        <f t="shared" si="281"/>
        <v/>
      </c>
    </row>
    <row r="2984" spans="1:12" ht="14.4" customHeight="1" x14ac:dyDescent="0.3">
      <c r="A2984">
        <v>132318451</v>
      </c>
      <c r="B2984" s="1">
        <v>45167</v>
      </c>
      <c r="D2984" t="s">
        <v>7</v>
      </c>
      <c r="E2984">
        <v>39</v>
      </c>
      <c r="F2984" t="s">
        <v>6</v>
      </c>
      <c r="G2984" t="str">
        <f t="shared" si="276"/>
        <v/>
      </c>
      <c r="H2984" s="1" t="str">
        <f t="shared" si="277"/>
        <v>Tuesday</v>
      </c>
      <c r="I2984" t="str">
        <f t="shared" si="278"/>
        <v>No</v>
      </c>
      <c r="J2984">
        <f t="shared" si="279"/>
        <v>0</v>
      </c>
      <c r="K2984">
        <f t="shared" si="280"/>
        <v>0</v>
      </c>
      <c r="L2984" t="str">
        <f t="shared" si="281"/>
        <v/>
      </c>
    </row>
    <row r="2985" spans="1:12" ht="14.4" customHeight="1" x14ac:dyDescent="0.3">
      <c r="A2985">
        <v>218596318</v>
      </c>
      <c r="B2985" s="1">
        <v>45167</v>
      </c>
      <c r="D2985" t="s">
        <v>7</v>
      </c>
      <c r="E2985">
        <v>39</v>
      </c>
      <c r="F2985" t="s">
        <v>6</v>
      </c>
      <c r="G2985" t="str">
        <f t="shared" si="276"/>
        <v/>
      </c>
      <c r="H2985" s="1" t="str">
        <f t="shared" si="277"/>
        <v>Tuesday</v>
      </c>
      <c r="I2985" t="str">
        <f t="shared" si="278"/>
        <v>No</v>
      </c>
      <c r="J2985">
        <f t="shared" si="279"/>
        <v>0</v>
      </c>
      <c r="K2985">
        <f t="shared" si="280"/>
        <v>0</v>
      </c>
      <c r="L2985" t="str">
        <f t="shared" si="281"/>
        <v/>
      </c>
    </row>
    <row r="2986" spans="1:12" ht="14.4" customHeight="1" x14ac:dyDescent="0.3">
      <c r="A2986">
        <v>220699520</v>
      </c>
      <c r="B2986" s="1">
        <v>45167</v>
      </c>
      <c r="D2986" t="s">
        <v>7</v>
      </c>
      <c r="E2986">
        <v>39</v>
      </c>
      <c r="F2986" t="s">
        <v>6</v>
      </c>
      <c r="G2986" t="str">
        <f t="shared" si="276"/>
        <v/>
      </c>
      <c r="H2986" s="1" t="str">
        <f t="shared" si="277"/>
        <v>Tuesday</v>
      </c>
      <c r="I2986" t="str">
        <f t="shared" si="278"/>
        <v>No</v>
      </c>
      <c r="J2986">
        <f t="shared" si="279"/>
        <v>0</v>
      </c>
      <c r="K2986">
        <f t="shared" si="280"/>
        <v>0</v>
      </c>
      <c r="L2986" t="str">
        <f t="shared" si="281"/>
        <v/>
      </c>
    </row>
    <row r="2987" spans="1:12" ht="14.4" customHeight="1" x14ac:dyDescent="0.3">
      <c r="A2987">
        <v>218307579</v>
      </c>
      <c r="B2987" s="1">
        <v>45167</v>
      </c>
      <c r="D2987" t="s">
        <v>7</v>
      </c>
      <c r="E2987">
        <v>39</v>
      </c>
      <c r="F2987" t="s">
        <v>6</v>
      </c>
      <c r="G2987" t="str">
        <f t="shared" si="276"/>
        <v/>
      </c>
      <c r="H2987" s="1" t="str">
        <f t="shared" si="277"/>
        <v>Tuesday</v>
      </c>
      <c r="I2987" t="str">
        <f t="shared" si="278"/>
        <v>No</v>
      </c>
      <c r="J2987">
        <f t="shared" si="279"/>
        <v>0</v>
      </c>
      <c r="K2987">
        <f t="shared" si="280"/>
        <v>0</v>
      </c>
      <c r="L2987" t="str">
        <f t="shared" si="281"/>
        <v/>
      </c>
    </row>
    <row r="2988" spans="1:12" ht="14.4" customHeight="1" x14ac:dyDescent="0.3">
      <c r="A2988">
        <v>218514844</v>
      </c>
      <c r="B2988" s="1">
        <v>45168</v>
      </c>
      <c r="D2988" t="s">
        <v>7</v>
      </c>
      <c r="E2988">
        <v>39</v>
      </c>
      <c r="F2988" t="s">
        <v>6</v>
      </c>
      <c r="G2988" t="str">
        <f t="shared" si="276"/>
        <v/>
      </c>
      <c r="H2988" s="1" t="str">
        <f t="shared" si="277"/>
        <v>Wednesday</v>
      </c>
      <c r="I2988" t="str">
        <f t="shared" si="278"/>
        <v>No</v>
      </c>
      <c r="J2988">
        <f t="shared" si="279"/>
        <v>0</v>
      </c>
      <c r="K2988">
        <f t="shared" si="280"/>
        <v>0</v>
      </c>
      <c r="L2988" t="str">
        <f t="shared" si="281"/>
        <v/>
      </c>
    </row>
    <row r="2989" spans="1:12" ht="14.4" customHeight="1" x14ac:dyDescent="0.3">
      <c r="A2989">
        <v>188622328</v>
      </c>
      <c r="B2989" s="1">
        <v>45168</v>
      </c>
      <c r="D2989" t="s">
        <v>7</v>
      </c>
      <c r="E2989">
        <v>39</v>
      </c>
      <c r="F2989" t="s">
        <v>6</v>
      </c>
      <c r="G2989" t="str">
        <f t="shared" si="276"/>
        <v/>
      </c>
      <c r="H2989" s="1" t="str">
        <f t="shared" si="277"/>
        <v>Wednesday</v>
      </c>
      <c r="I2989" t="str">
        <f t="shared" si="278"/>
        <v>No</v>
      </c>
      <c r="J2989">
        <f t="shared" si="279"/>
        <v>0</v>
      </c>
      <c r="K2989">
        <f t="shared" si="280"/>
        <v>0</v>
      </c>
      <c r="L2989" t="str">
        <f t="shared" si="281"/>
        <v/>
      </c>
    </row>
    <row r="2990" spans="1:12" ht="14.4" customHeight="1" x14ac:dyDescent="0.3">
      <c r="A2990">
        <v>220790640</v>
      </c>
      <c r="B2990" s="1">
        <v>45168</v>
      </c>
      <c r="D2990" t="s">
        <v>7</v>
      </c>
      <c r="E2990">
        <v>39</v>
      </c>
      <c r="F2990" t="s">
        <v>6</v>
      </c>
      <c r="G2990" t="str">
        <f t="shared" si="276"/>
        <v/>
      </c>
      <c r="H2990" s="1" t="str">
        <f t="shared" si="277"/>
        <v>Wednesday</v>
      </c>
      <c r="I2990" t="str">
        <f t="shared" si="278"/>
        <v>No</v>
      </c>
      <c r="J2990">
        <f t="shared" si="279"/>
        <v>0</v>
      </c>
      <c r="K2990">
        <f t="shared" si="280"/>
        <v>0</v>
      </c>
      <c r="L2990" t="str">
        <f t="shared" si="281"/>
        <v/>
      </c>
    </row>
    <row r="2991" spans="1:12" ht="14.4" customHeight="1" x14ac:dyDescent="0.3">
      <c r="A2991">
        <v>220675005</v>
      </c>
      <c r="B2991" s="1">
        <v>45168</v>
      </c>
      <c r="D2991" t="s">
        <v>7</v>
      </c>
      <c r="E2991">
        <v>39</v>
      </c>
      <c r="F2991" t="s">
        <v>6</v>
      </c>
      <c r="G2991" t="str">
        <f t="shared" si="276"/>
        <v/>
      </c>
      <c r="H2991" s="1" t="str">
        <f t="shared" si="277"/>
        <v>Wednesday</v>
      </c>
      <c r="I2991" t="str">
        <f t="shared" si="278"/>
        <v>No</v>
      </c>
      <c r="J2991">
        <f t="shared" si="279"/>
        <v>0</v>
      </c>
      <c r="K2991">
        <f t="shared" si="280"/>
        <v>0</v>
      </c>
      <c r="L2991" t="str">
        <f t="shared" si="281"/>
        <v/>
      </c>
    </row>
    <row r="2992" spans="1:12" ht="14.4" customHeight="1" x14ac:dyDescent="0.3">
      <c r="A2992">
        <v>142757196</v>
      </c>
      <c r="B2992" s="1">
        <v>45168</v>
      </c>
      <c r="D2992" t="s">
        <v>7</v>
      </c>
      <c r="E2992">
        <v>39</v>
      </c>
      <c r="F2992" t="s">
        <v>6</v>
      </c>
      <c r="G2992" t="str">
        <f t="shared" si="276"/>
        <v/>
      </c>
      <c r="H2992" s="1" t="str">
        <f t="shared" si="277"/>
        <v>Wednesday</v>
      </c>
      <c r="I2992" t="str">
        <f t="shared" si="278"/>
        <v>No</v>
      </c>
      <c r="J2992">
        <f t="shared" si="279"/>
        <v>0</v>
      </c>
      <c r="K2992">
        <f t="shared" si="280"/>
        <v>0</v>
      </c>
      <c r="L2992" t="str">
        <f t="shared" si="281"/>
        <v/>
      </c>
    </row>
    <row r="2993" spans="1:12" ht="14.4" customHeight="1" x14ac:dyDescent="0.3">
      <c r="A2993">
        <v>220411940</v>
      </c>
      <c r="B2993" s="1">
        <v>45168</v>
      </c>
      <c r="D2993" t="s">
        <v>7</v>
      </c>
      <c r="E2993">
        <v>39</v>
      </c>
      <c r="F2993" t="s">
        <v>6</v>
      </c>
      <c r="G2993" t="str">
        <f t="shared" si="276"/>
        <v/>
      </c>
      <c r="H2993" s="1" t="str">
        <f t="shared" si="277"/>
        <v>Wednesday</v>
      </c>
      <c r="I2993" t="str">
        <f t="shared" si="278"/>
        <v>No</v>
      </c>
      <c r="J2993">
        <f t="shared" si="279"/>
        <v>0</v>
      </c>
      <c r="K2993">
        <f t="shared" si="280"/>
        <v>0</v>
      </c>
      <c r="L2993" t="str">
        <f t="shared" si="281"/>
        <v/>
      </c>
    </row>
    <row r="2994" spans="1:12" ht="14.4" customHeight="1" x14ac:dyDescent="0.3">
      <c r="A2994">
        <v>155613371</v>
      </c>
      <c r="B2994" s="1">
        <v>45168</v>
      </c>
      <c r="D2994" t="s">
        <v>7</v>
      </c>
      <c r="E2994">
        <v>39</v>
      </c>
      <c r="F2994" t="s">
        <v>6</v>
      </c>
      <c r="G2994" t="str">
        <f t="shared" si="276"/>
        <v/>
      </c>
      <c r="H2994" s="1" t="str">
        <f t="shared" si="277"/>
        <v>Wednesday</v>
      </c>
      <c r="I2994" t="str">
        <f t="shared" si="278"/>
        <v>No</v>
      </c>
      <c r="J2994">
        <f t="shared" si="279"/>
        <v>0</v>
      </c>
      <c r="K2994">
        <f t="shared" si="280"/>
        <v>0</v>
      </c>
      <c r="L2994" t="str">
        <f t="shared" si="281"/>
        <v/>
      </c>
    </row>
    <row r="2995" spans="1:12" ht="14.4" customHeight="1" x14ac:dyDescent="0.3">
      <c r="A2995">
        <v>164548755</v>
      </c>
      <c r="B2995" s="1">
        <v>45168</v>
      </c>
      <c r="D2995" t="s">
        <v>7</v>
      </c>
      <c r="E2995">
        <v>39</v>
      </c>
      <c r="F2995" t="s">
        <v>6</v>
      </c>
      <c r="G2995" t="str">
        <f t="shared" si="276"/>
        <v/>
      </c>
      <c r="H2995" s="1" t="str">
        <f t="shared" si="277"/>
        <v>Wednesday</v>
      </c>
      <c r="I2995" t="str">
        <f t="shared" si="278"/>
        <v>No</v>
      </c>
      <c r="J2995">
        <f t="shared" si="279"/>
        <v>0</v>
      </c>
      <c r="K2995">
        <f t="shared" si="280"/>
        <v>0</v>
      </c>
      <c r="L2995" t="str">
        <f t="shared" si="281"/>
        <v/>
      </c>
    </row>
    <row r="2996" spans="1:12" ht="14.4" customHeight="1" x14ac:dyDescent="0.3">
      <c r="A2996">
        <v>220546810</v>
      </c>
      <c r="B2996" s="1">
        <v>45168</v>
      </c>
      <c r="D2996" t="s">
        <v>7</v>
      </c>
      <c r="E2996">
        <v>39</v>
      </c>
      <c r="F2996" t="s">
        <v>6</v>
      </c>
      <c r="G2996" t="str">
        <f t="shared" si="276"/>
        <v/>
      </c>
      <c r="H2996" s="1" t="str">
        <f t="shared" si="277"/>
        <v>Wednesday</v>
      </c>
      <c r="I2996" t="str">
        <f t="shared" si="278"/>
        <v>No</v>
      </c>
      <c r="J2996">
        <f t="shared" si="279"/>
        <v>0</v>
      </c>
      <c r="K2996">
        <f t="shared" si="280"/>
        <v>0</v>
      </c>
      <c r="L2996" t="str">
        <f t="shared" si="281"/>
        <v/>
      </c>
    </row>
    <row r="2997" spans="1:12" ht="14.4" customHeight="1" x14ac:dyDescent="0.3">
      <c r="A2997">
        <v>215202566</v>
      </c>
      <c r="B2997" s="1">
        <v>45168</v>
      </c>
      <c r="C2997" s="1">
        <v>45168</v>
      </c>
      <c r="D2997" t="s">
        <v>7</v>
      </c>
      <c r="E2997">
        <v>39</v>
      </c>
      <c r="F2997" t="s">
        <v>6</v>
      </c>
      <c r="G2997">
        <f t="shared" si="276"/>
        <v>0</v>
      </c>
      <c r="H2997" s="1" t="str">
        <f t="shared" si="277"/>
        <v>Wednesday</v>
      </c>
      <c r="I2997" t="str">
        <f t="shared" si="278"/>
        <v>Yes</v>
      </c>
      <c r="J2997">
        <f t="shared" si="279"/>
        <v>1</v>
      </c>
      <c r="K2997">
        <f t="shared" si="280"/>
        <v>0</v>
      </c>
      <c r="L2997">
        <f t="shared" si="281"/>
        <v>0</v>
      </c>
    </row>
    <row r="2998" spans="1:12" ht="14.4" customHeight="1" x14ac:dyDescent="0.3">
      <c r="A2998">
        <v>135092264</v>
      </c>
      <c r="B2998" s="1">
        <v>45169</v>
      </c>
      <c r="D2998" t="s">
        <v>7</v>
      </c>
      <c r="E2998">
        <v>39</v>
      </c>
      <c r="F2998" t="s">
        <v>6</v>
      </c>
      <c r="G2998" t="str">
        <f t="shared" si="276"/>
        <v/>
      </c>
      <c r="H2998" s="1" t="str">
        <f t="shared" si="277"/>
        <v>Thursday</v>
      </c>
      <c r="I2998" t="str">
        <f t="shared" si="278"/>
        <v>No</v>
      </c>
      <c r="J2998">
        <f t="shared" si="279"/>
        <v>0</v>
      </c>
      <c r="K2998">
        <f t="shared" si="280"/>
        <v>0</v>
      </c>
      <c r="L2998" t="str">
        <f t="shared" si="281"/>
        <v/>
      </c>
    </row>
    <row r="2999" spans="1:12" ht="14.4" customHeight="1" x14ac:dyDescent="0.3">
      <c r="A2999">
        <v>220854418</v>
      </c>
      <c r="B2999" s="1">
        <v>45169</v>
      </c>
      <c r="D2999" t="s">
        <v>7</v>
      </c>
      <c r="E2999">
        <v>39</v>
      </c>
      <c r="F2999" t="s">
        <v>6</v>
      </c>
      <c r="G2999" t="str">
        <f t="shared" si="276"/>
        <v/>
      </c>
      <c r="H2999" s="1" t="str">
        <f t="shared" si="277"/>
        <v>Thursday</v>
      </c>
      <c r="I2999" t="str">
        <f t="shared" si="278"/>
        <v>No</v>
      </c>
      <c r="J2999">
        <f t="shared" si="279"/>
        <v>0</v>
      </c>
      <c r="K2999">
        <f t="shared" si="280"/>
        <v>0</v>
      </c>
      <c r="L2999" t="str">
        <f t="shared" si="281"/>
        <v/>
      </c>
    </row>
    <row r="3000" spans="1:12" ht="14.4" customHeight="1" x14ac:dyDescent="0.3">
      <c r="A3000">
        <v>220851140</v>
      </c>
      <c r="B3000" s="1">
        <v>45169</v>
      </c>
      <c r="D3000" t="s">
        <v>7</v>
      </c>
      <c r="E3000">
        <v>39</v>
      </c>
      <c r="F3000" t="s">
        <v>6</v>
      </c>
      <c r="G3000" t="str">
        <f t="shared" si="276"/>
        <v/>
      </c>
      <c r="H3000" s="1" t="str">
        <f t="shared" si="277"/>
        <v>Thursday</v>
      </c>
      <c r="I3000" t="str">
        <f t="shared" si="278"/>
        <v>No</v>
      </c>
      <c r="J3000">
        <f t="shared" si="279"/>
        <v>0</v>
      </c>
      <c r="K3000">
        <f t="shared" si="280"/>
        <v>0</v>
      </c>
      <c r="L3000" t="str">
        <f t="shared" si="281"/>
        <v/>
      </c>
    </row>
    <row r="3001" spans="1:12" ht="14.4" customHeight="1" x14ac:dyDescent="0.3">
      <c r="A3001">
        <v>220843911</v>
      </c>
      <c r="B3001" s="1">
        <v>45169</v>
      </c>
      <c r="D3001" t="s">
        <v>7</v>
      </c>
      <c r="E3001">
        <v>39</v>
      </c>
      <c r="F3001" t="s">
        <v>6</v>
      </c>
      <c r="G3001" t="str">
        <f t="shared" si="276"/>
        <v/>
      </c>
      <c r="H3001" s="1" t="str">
        <f t="shared" si="277"/>
        <v>Thursday</v>
      </c>
      <c r="I3001" t="str">
        <f t="shared" si="278"/>
        <v>No</v>
      </c>
      <c r="J3001">
        <f t="shared" si="279"/>
        <v>0</v>
      </c>
      <c r="K3001">
        <f t="shared" si="280"/>
        <v>0</v>
      </c>
      <c r="L3001" t="str">
        <f t="shared" si="281"/>
        <v/>
      </c>
    </row>
    <row r="3002" spans="1:12" ht="14.4" customHeight="1" x14ac:dyDescent="0.3">
      <c r="A3002">
        <v>216137022</v>
      </c>
      <c r="B3002" s="1">
        <v>45169</v>
      </c>
      <c r="D3002" t="s">
        <v>7</v>
      </c>
      <c r="E3002">
        <v>39</v>
      </c>
      <c r="F3002" t="s">
        <v>6</v>
      </c>
      <c r="G3002" t="str">
        <f t="shared" si="276"/>
        <v/>
      </c>
      <c r="H3002" s="1" t="str">
        <f t="shared" si="277"/>
        <v>Thursday</v>
      </c>
      <c r="I3002" t="str">
        <f t="shared" si="278"/>
        <v>No</v>
      </c>
      <c r="J3002">
        <f t="shared" si="279"/>
        <v>0</v>
      </c>
      <c r="K3002">
        <f t="shared" si="280"/>
        <v>0</v>
      </c>
      <c r="L3002" t="str">
        <f t="shared" si="281"/>
        <v/>
      </c>
    </row>
    <row r="3003" spans="1:12" ht="14.4" customHeight="1" x14ac:dyDescent="0.3">
      <c r="A3003">
        <v>161151062</v>
      </c>
      <c r="B3003" s="1">
        <v>45169</v>
      </c>
      <c r="D3003" t="s">
        <v>7</v>
      </c>
      <c r="E3003">
        <v>39</v>
      </c>
      <c r="F3003" t="s">
        <v>6</v>
      </c>
      <c r="G3003" t="str">
        <f t="shared" si="276"/>
        <v/>
      </c>
      <c r="H3003" s="1" t="str">
        <f t="shared" si="277"/>
        <v>Thursday</v>
      </c>
      <c r="I3003" t="str">
        <f t="shared" si="278"/>
        <v>No</v>
      </c>
      <c r="J3003">
        <f t="shared" si="279"/>
        <v>0</v>
      </c>
      <c r="K3003">
        <f t="shared" si="280"/>
        <v>0</v>
      </c>
      <c r="L3003" t="str">
        <f t="shared" si="281"/>
        <v/>
      </c>
    </row>
    <row r="3004" spans="1:12" ht="14.4" customHeight="1" x14ac:dyDescent="0.3">
      <c r="A3004">
        <v>148085880</v>
      </c>
      <c r="B3004" s="1">
        <v>45169</v>
      </c>
      <c r="D3004" t="s">
        <v>7</v>
      </c>
      <c r="E3004">
        <v>39</v>
      </c>
      <c r="F3004" t="s">
        <v>6</v>
      </c>
      <c r="G3004" t="str">
        <f t="shared" si="276"/>
        <v/>
      </c>
      <c r="H3004" s="1" t="str">
        <f t="shared" si="277"/>
        <v>Thursday</v>
      </c>
      <c r="I3004" t="str">
        <f t="shared" si="278"/>
        <v>No</v>
      </c>
      <c r="J3004">
        <f t="shared" si="279"/>
        <v>0</v>
      </c>
      <c r="K3004">
        <f t="shared" si="280"/>
        <v>0</v>
      </c>
      <c r="L3004" t="str">
        <f t="shared" si="281"/>
        <v/>
      </c>
    </row>
    <row r="3005" spans="1:12" ht="14.4" customHeight="1" x14ac:dyDescent="0.3">
      <c r="A3005">
        <v>182061738</v>
      </c>
      <c r="B3005" s="1">
        <v>45170</v>
      </c>
      <c r="D3005" t="s">
        <v>7</v>
      </c>
      <c r="E3005">
        <v>39</v>
      </c>
      <c r="F3005" t="s">
        <v>6</v>
      </c>
      <c r="G3005" t="str">
        <f t="shared" si="276"/>
        <v/>
      </c>
      <c r="H3005" s="1" t="str">
        <f t="shared" si="277"/>
        <v>Friday</v>
      </c>
      <c r="I3005" t="str">
        <f t="shared" si="278"/>
        <v>No</v>
      </c>
      <c r="J3005">
        <f t="shared" si="279"/>
        <v>0</v>
      </c>
      <c r="K3005">
        <f t="shared" si="280"/>
        <v>0</v>
      </c>
      <c r="L3005" t="str">
        <f t="shared" si="281"/>
        <v/>
      </c>
    </row>
    <row r="3006" spans="1:12" ht="14.4" customHeight="1" x14ac:dyDescent="0.3">
      <c r="A3006">
        <v>220860582</v>
      </c>
      <c r="B3006" s="1">
        <v>45170</v>
      </c>
      <c r="D3006" t="s">
        <v>7</v>
      </c>
      <c r="E3006">
        <v>39</v>
      </c>
      <c r="F3006" t="s">
        <v>6</v>
      </c>
      <c r="G3006" t="str">
        <f t="shared" si="276"/>
        <v/>
      </c>
      <c r="H3006" s="1" t="str">
        <f t="shared" si="277"/>
        <v>Friday</v>
      </c>
      <c r="I3006" t="str">
        <f t="shared" si="278"/>
        <v>No</v>
      </c>
      <c r="J3006">
        <f t="shared" si="279"/>
        <v>0</v>
      </c>
      <c r="K3006">
        <f t="shared" si="280"/>
        <v>0</v>
      </c>
      <c r="L3006" t="str">
        <f t="shared" si="281"/>
        <v/>
      </c>
    </row>
    <row r="3007" spans="1:12" ht="14.4" customHeight="1" x14ac:dyDescent="0.3">
      <c r="A3007">
        <v>218315334</v>
      </c>
      <c r="B3007" s="1">
        <v>45170</v>
      </c>
      <c r="D3007" t="s">
        <v>7</v>
      </c>
      <c r="E3007">
        <v>39</v>
      </c>
      <c r="F3007" t="s">
        <v>6</v>
      </c>
      <c r="G3007" t="str">
        <f t="shared" si="276"/>
        <v/>
      </c>
      <c r="H3007" s="1" t="str">
        <f t="shared" si="277"/>
        <v>Friday</v>
      </c>
      <c r="I3007" t="str">
        <f t="shared" si="278"/>
        <v>No</v>
      </c>
      <c r="J3007">
        <f t="shared" si="279"/>
        <v>0</v>
      </c>
      <c r="K3007">
        <f t="shared" si="280"/>
        <v>0</v>
      </c>
      <c r="L3007" t="str">
        <f t="shared" si="281"/>
        <v/>
      </c>
    </row>
    <row r="3008" spans="1:12" ht="14.4" customHeight="1" x14ac:dyDescent="0.3">
      <c r="A3008">
        <v>217246008</v>
      </c>
      <c r="B3008" s="1">
        <v>45170</v>
      </c>
      <c r="D3008" t="s">
        <v>7</v>
      </c>
      <c r="E3008">
        <v>39</v>
      </c>
      <c r="F3008" t="s">
        <v>6</v>
      </c>
      <c r="G3008" t="str">
        <f t="shared" si="276"/>
        <v/>
      </c>
      <c r="H3008" s="1" t="str">
        <f t="shared" si="277"/>
        <v>Friday</v>
      </c>
      <c r="I3008" t="str">
        <f t="shared" si="278"/>
        <v>No</v>
      </c>
      <c r="J3008">
        <f t="shared" si="279"/>
        <v>0</v>
      </c>
      <c r="K3008">
        <f t="shared" si="280"/>
        <v>0</v>
      </c>
      <c r="L3008" t="str">
        <f t="shared" si="281"/>
        <v/>
      </c>
    </row>
    <row r="3009" spans="1:12" ht="14.4" customHeight="1" x14ac:dyDescent="0.3">
      <c r="A3009">
        <v>220835326</v>
      </c>
      <c r="B3009" s="1">
        <v>45170</v>
      </c>
      <c r="D3009" t="s">
        <v>7</v>
      </c>
      <c r="E3009">
        <v>39</v>
      </c>
      <c r="F3009" t="s">
        <v>6</v>
      </c>
      <c r="G3009" t="str">
        <f t="shared" si="276"/>
        <v/>
      </c>
      <c r="H3009" s="1" t="str">
        <f t="shared" si="277"/>
        <v>Friday</v>
      </c>
      <c r="I3009" t="str">
        <f t="shared" si="278"/>
        <v>No</v>
      </c>
      <c r="J3009">
        <f t="shared" si="279"/>
        <v>0</v>
      </c>
      <c r="K3009">
        <f t="shared" si="280"/>
        <v>0</v>
      </c>
      <c r="L3009" t="str">
        <f t="shared" si="281"/>
        <v/>
      </c>
    </row>
    <row r="3010" spans="1:12" ht="14.4" customHeight="1" x14ac:dyDescent="0.3">
      <c r="A3010">
        <v>219470485</v>
      </c>
      <c r="B3010" s="1">
        <v>45170</v>
      </c>
      <c r="D3010" t="s">
        <v>7</v>
      </c>
      <c r="E3010">
        <v>39</v>
      </c>
      <c r="F3010" t="s">
        <v>6</v>
      </c>
      <c r="G3010" t="str">
        <f t="shared" ref="G3010:G3070" si="282">IF(C3010="","",C3010-B3010)</f>
        <v/>
      </c>
      <c r="H3010" s="1" t="str">
        <f t="shared" si="277"/>
        <v>Friday</v>
      </c>
      <c r="I3010" t="str">
        <f t="shared" si="278"/>
        <v>No</v>
      </c>
      <c r="J3010">
        <f t="shared" si="279"/>
        <v>0</v>
      </c>
      <c r="K3010">
        <f t="shared" si="280"/>
        <v>0</v>
      </c>
      <c r="L3010" t="str">
        <f t="shared" si="281"/>
        <v/>
      </c>
    </row>
    <row r="3011" spans="1:12" ht="14.4" customHeight="1" x14ac:dyDescent="0.3">
      <c r="A3011">
        <v>182153913</v>
      </c>
      <c r="B3011" s="1">
        <v>45171</v>
      </c>
      <c r="D3011" t="s">
        <v>7</v>
      </c>
      <c r="E3011">
        <v>39</v>
      </c>
      <c r="F3011" t="s">
        <v>6</v>
      </c>
      <c r="G3011" t="str">
        <f t="shared" si="282"/>
        <v/>
      </c>
      <c r="H3011" s="1" t="str">
        <f t="shared" ref="H3011:H3070" si="283">TEXT(B3011,"dddd")</f>
        <v>Saturday</v>
      </c>
      <c r="I3011" t="str">
        <f t="shared" ref="I3011:I3070" si="284">IF(B3011=C3011,"Yes","No")</f>
        <v>No</v>
      </c>
      <c r="J3011">
        <f t="shared" ref="J3011:J3070" si="285">IF(AND(C3011&lt;&gt;"",C3011-B3011&lt;=2),1,0)</f>
        <v>0</v>
      </c>
      <c r="K3011">
        <f t="shared" ref="K3011:K3070" si="286">IF(AND(C3011&lt;&gt;"",C3011-B3011&gt;30),1,0)</f>
        <v>0</v>
      </c>
      <c r="L3011" t="str">
        <f t="shared" ref="L3011:L3070" si="287">IF(C3011="","",C3011-B3011)</f>
        <v/>
      </c>
    </row>
    <row r="3012" spans="1:12" ht="14.4" customHeight="1" x14ac:dyDescent="0.3">
      <c r="A3012">
        <v>217223132</v>
      </c>
      <c r="B3012" s="1">
        <v>45171</v>
      </c>
      <c r="D3012" t="s">
        <v>7</v>
      </c>
      <c r="E3012">
        <v>39</v>
      </c>
      <c r="F3012" t="s">
        <v>6</v>
      </c>
      <c r="G3012" t="str">
        <f t="shared" si="282"/>
        <v/>
      </c>
      <c r="H3012" s="1" t="str">
        <f t="shared" si="283"/>
        <v>Saturday</v>
      </c>
      <c r="I3012" t="str">
        <f t="shared" si="284"/>
        <v>No</v>
      </c>
      <c r="J3012">
        <f t="shared" si="285"/>
        <v>0</v>
      </c>
      <c r="K3012">
        <f t="shared" si="286"/>
        <v>0</v>
      </c>
      <c r="L3012" t="str">
        <f t="shared" si="287"/>
        <v/>
      </c>
    </row>
    <row r="3013" spans="1:12" ht="14.4" customHeight="1" x14ac:dyDescent="0.3">
      <c r="A3013">
        <v>219643599</v>
      </c>
      <c r="B3013" s="1">
        <v>45171</v>
      </c>
      <c r="D3013" t="s">
        <v>7</v>
      </c>
      <c r="E3013">
        <v>39</v>
      </c>
      <c r="F3013" t="s">
        <v>6</v>
      </c>
      <c r="G3013" t="str">
        <f t="shared" si="282"/>
        <v/>
      </c>
      <c r="H3013" s="1" t="str">
        <f t="shared" si="283"/>
        <v>Saturday</v>
      </c>
      <c r="I3013" t="str">
        <f t="shared" si="284"/>
        <v>No</v>
      </c>
      <c r="J3013">
        <f t="shared" si="285"/>
        <v>0</v>
      </c>
      <c r="K3013">
        <f t="shared" si="286"/>
        <v>0</v>
      </c>
      <c r="L3013" t="str">
        <f t="shared" si="287"/>
        <v/>
      </c>
    </row>
    <row r="3014" spans="1:12" ht="14.4" customHeight="1" x14ac:dyDescent="0.3">
      <c r="A3014">
        <v>152851458</v>
      </c>
      <c r="B3014" s="1">
        <v>45171</v>
      </c>
      <c r="D3014" t="s">
        <v>7</v>
      </c>
      <c r="E3014">
        <v>39</v>
      </c>
      <c r="F3014" t="s">
        <v>6</v>
      </c>
      <c r="G3014" t="str">
        <f t="shared" si="282"/>
        <v/>
      </c>
      <c r="H3014" s="1" t="str">
        <f t="shared" si="283"/>
        <v>Saturday</v>
      </c>
      <c r="I3014" t="str">
        <f t="shared" si="284"/>
        <v>No</v>
      </c>
      <c r="J3014">
        <f t="shared" si="285"/>
        <v>0</v>
      </c>
      <c r="K3014">
        <f t="shared" si="286"/>
        <v>0</v>
      </c>
      <c r="L3014" t="str">
        <f t="shared" si="287"/>
        <v/>
      </c>
    </row>
    <row r="3015" spans="1:12" ht="14.4" customHeight="1" x14ac:dyDescent="0.3">
      <c r="A3015">
        <v>219657672</v>
      </c>
      <c r="B3015" s="1">
        <v>45171</v>
      </c>
      <c r="D3015" t="s">
        <v>7</v>
      </c>
      <c r="E3015">
        <v>39</v>
      </c>
      <c r="F3015" t="s">
        <v>6</v>
      </c>
      <c r="G3015" t="str">
        <f t="shared" si="282"/>
        <v/>
      </c>
      <c r="H3015" s="1" t="str">
        <f t="shared" si="283"/>
        <v>Saturday</v>
      </c>
      <c r="I3015" t="str">
        <f t="shared" si="284"/>
        <v>No</v>
      </c>
      <c r="J3015">
        <f t="shared" si="285"/>
        <v>0</v>
      </c>
      <c r="K3015">
        <f t="shared" si="286"/>
        <v>0</v>
      </c>
      <c r="L3015" t="str">
        <f t="shared" si="287"/>
        <v/>
      </c>
    </row>
    <row r="3016" spans="1:12" ht="14.4" customHeight="1" x14ac:dyDescent="0.3">
      <c r="A3016">
        <v>220973656</v>
      </c>
      <c r="B3016" s="1">
        <v>45172</v>
      </c>
      <c r="D3016" t="s">
        <v>7</v>
      </c>
      <c r="E3016">
        <v>39</v>
      </c>
      <c r="F3016" t="s">
        <v>6</v>
      </c>
      <c r="G3016" t="str">
        <f t="shared" si="282"/>
        <v/>
      </c>
      <c r="H3016" s="1" t="str">
        <f t="shared" si="283"/>
        <v>Sunday</v>
      </c>
      <c r="I3016" t="str">
        <f t="shared" si="284"/>
        <v>No</v>
      </c>
      <c r="J3016">
        <f t="shared" si="285"/>
        <v>0</v>
      </c>
      <c r="K3016">
        <f t="shared" si="286"/>
        <v>0</v>
      </c>
      <c r="L3016" t="str">
        <f t="shared" si="287"/>
        <v/>
      </c>
    </row>
    <row r="3017" spans="1:12" ht="14.4" customHeight="1" x14ac:dyDescent="0.3">
      <c r="A3017">
        <v>159717680</v>
      </c>
      <c r="B3017" s="1">
        <v>45172</v>
      </c>
      <c r="D3017" t="s">
        <v>7</v>
      </c>
      <c r="E3017">
        <v>39</v>
      </c>
      <c r="F3017" t="s">
        <v>6</v>
      </c>
      <c r="G3017" t="str">
        <f t="shared" si="282"/>
        <v/>
      </c>
      <c r="H3017" s="1" t="str">
        <f t="shared" si="283"/>
        <v>Sunday</v>
      </c>
      <c r="I3017" t="str">
        <f t="shared" si="284"/>
        <v>No</v>
      </c>
      <c r="J3017">
        <f t="shared" si="285"/>
        <v>0</v>
      </c>
      <c r="K3017">
        <f t="shared" si="286"/>
        <v>0</v>
      </c>
      <c r="L3017" t="str">
        <f t="shared" si="287"/>
        <v/>
      </c>
    </row>
    <row r="3018" spans="1:12" ht="14.4" customHeight="1" x14ac:dyDescent="0.3">
      <c r="A3018">
        <v>220420126</v>
      </c>
      <c r="B3018" s="1">
        <v>45172</v>
      </c>
      <c r="D3018" t="s">
        <v>7</v>
      </c>
      <c r="E3018">
        <v>39</v>
      </c>
      <c r="F3018" t="s">
        <v>6</v>
      </c>
      <c r="G3018" t="str">
        <f t="shared" si="282"/>
        <v/>
      </c>
      <c r="H3018" s="1" t="str">
        <f t="shared" si="283"/>
        <v>Sunday</v>
      </c>
      <c r="I3018" t="str">
        <f t="shared" si="284"/>
        <v>No</v>
      </c>
      <c r="J3018">
        <f t="shared" si="285"/>
        <v>0</v>
      </c>
      <c r="K3018">
        <f t="shared" si="286"/>
        <v>0</v>
      </c>
      <c r="L3018" t="str">
        <f t="shared" si="287"/>
        <v/>
      </c>
    </row>
    <row r="3019" spans="1:12" ht="14.4" customHeight="1" x14ac:dyDescent="0.3">
      <c r="A3019">
        <v>220965750</v>
      </c>
      <c r="B3019" s="1">
        <v>45172</v>
      </c>
      <c r="D3019" t="s">
        <v>7</v>
      </c>
      <c r="E3019">
        <v>39</v>
      </c>
      <c r="F3019" t="s">
        <v>6</v>
      </c>
      <c r="G3019" t="str">
        <f t="shared" si="282"/>
        <v/>
      </c>
      <c r="H3019" s="1" t="str">
        <f t="shared" si="283"/>
        <v>Sunday</v>
      </c>
      <c r="I3019" t="str">
        <f t="shared" si="284"/>
        <v>No</v>
      </c>
      <c r="J3019">
        <f t="shared" si="285"/>
        <v>0</v>
      </c>
      <c r="K3019">
        <f t="shared" si="286"/>
        <v>0</v>
      </c>
      <c r="L3019" t="str">
        <f t="shared" si="287"/>
        <v/>
      </c>
    </row>
    <row r="3020" spans="1:12" ht="14.4" customHeight="1" x14ac:dyDescent="0.3">
      <c r="A3020">
        <v>219065931</v>
      </c>
      <c r="B3020" s="1">
        <v>45172</v>
      </c>
      <c r="D3020" t="s">
        <v>7</v>
      </c>
      <c r="E3020">
        <v>39</v>
      </c>
      <c r="F3020" t="s">
        <v>6</v>
      </c>
      <c r="G3020" t="str">
        <f t="shared" si="282"/>
        <v/>
      </c>
      <c r="H3020" s="1" t="str">
        <f t="shared" si="283"/>
        <v>Sunday</v>
      </c>
      <c r="I3020" t="str">
        <f t="shared" si="284"/>
        <v>No</v>
      </c>
      <c r="J3020">
        <f t="shared" si="285"/>
        <v>0</v>
      </c>
      <c r="K3020">
        <f t="shared" si="286"/>
        <v>0</v>
      </c>
      <c r="L3020" t="str">
        <f t="shared" si="287"/>
        <v/>
      </c>
    </row>
    <row r="3021" spans="1:12" ht="14.4" customHeight="1" x14ac:dyDescent="0.3">
      <c r="A3021">
        <v>220707034</v>
      </c>
      <c r="B3021" s="1">
        <v>45172</v>
      </c>
      <c r="D3021" t="s">
        <v>7</v>
      </c>
      <c r="E3021">
        <v>39</v>
      </c>
      <c r="F3021" t="s">
        <v>6</v>
      </c>
      <c r="G3021" t="str">
        <f t="shared" si="282"/>
        <v/>
      </c>
      <c r="H3021" s="1" t="str">
        <f t="shared" si="283"/>
        <v>Sunday</v>
      </c>
      <c r="I3021" t="str">
        <f t="shared" si="284"/>
        <v>No</v>
      </c>
      <c r="J3021">
        <f t="shared" si="285"/>
        <v>0</v>
      </c>
      <c r="K3021">
        <f t="shared" si="286"/>
        <v>0</v>
      </c>
      <c r="L3021" t="str">
        <f t="shared" si="287"/>
        <v/>
      </c>
    </row>
    <row r="3022" spans="1:12" ht="14.4" customHeight="1" x14ac:dyDescent="0.3">
      <c r="A3022">
        <v>220875396</v>
      </c>
      <c r="B3022" s="1">
        <v>45172</v>
      </c>
      <c r="D3022" t="s">
        <v>7</v>
      </c>
      <c r="E3022">
        <v>39</v>
      </c>
      <c r="F3022" t="s">
        <v>6</v>
      </c>
      <c r="G3022" t="str">
        <f t="shared" si="282"/>
        <v/>
      </c>
      <c r="H3022" s="1" t="str">
        <f t="shared" si="283"/>
        <v>Sunday</v>
      </c>
      <c r="I3022" t="str">
        <f t="shared" si="284"/>
        <v>No</v>
      </c>
      <c r="J3022">
        <f t="shared" si="285"/>
        <v>0</v>
      </c>
      <c r="K3022">
        <f t="shared" si="286"/>
        <v>0</v>
      </c>
      <c r="L3022" t="str">
        <f t="shared" si="287"/>
        <v/>
      </c>
    </row>
    <row r="3023" spans="1:12" ht="14.4" customHeight="1" x14ac:dyDescent="0.3">
      <c r="A3023">
        <v>134054676</v>
      </c>
      <c r="B3023" s="1">
        <v>45172</v>
      </c>
      <c r="C3023" s="1">
        <v>45174</v>
      </c>
      <c r="D3023" t="s">
        <v>7</v>
      </c>
      <c r="E3023">
        <v>39</v>
      </c>
      <c r="F3023" t="s">
        <v>6</v>
      </c>
      <c r="G3023">
        <f t="shared" si="282"/>
        <v>2</v>
      </c>
      <c r="H3023" s="1" t="str">
        <f t="shared" si="283"/>
        <v>Sunday</v>
      </c>
      <c r="I3023" t="str">
        <f t="shared" si="284"/>
        <v>No</v>
      </c>
      <c r="J3023">
        <f t="shared" si="285"/>
        <v>1</v>
      </c>
      <c r="K3023">
        <f t="shared" si="286"/>
        <v>0</v>
      </c>
      <c r="L3023">
        <f t="shared" si="287"/>
        <v>2</v>
      </c>
    </row>
    <row r="3024" spans="1:12" ht="14.4" customHeight="1" x14ac:dyDescent="0.3">
      <c r="A3024">
        <v>183702574</v>
      </c>
      <c r="B3024" s="1">
        <v>45172</v>
      </c>
      <c r="C3024" s="1">
        <v>45172</v>
      </c>
      <c r="D3024" t="s">
        <v>7</v>
      </c>
      <c r="E3024">
        <v>39</v>
      </c>
      <c r="F3024" t="s">
        <v>6</v>
      </c>
      <c r="G3024">
        <f t="shared" si="282"/>
        <v>0</v>
      </c>
      <c r="H3024" s="1" t="str">
        <f t="shared" si="283"/>
        <v>Sunday</v>
      </c>
      <c r="I3024" t="str">
        <f t="shared" si="284"/>
        <v>Yes</v>
      </c>
      <c r="J3024">
        <f t="shared" si="285"/>
        <v>1</v>
      </c>
      <c r="K3024">
        <f t="shared" si="286"/>
        <v>0</v>
      </c>
      <c r="L3024">
        <f t="shared" si="287"/>
        <v>0</v>
      </c>
    </row>
    <row r="3025" spans="1:12" ht="14.4" customHeight="1" x14ac:dyDescent="0.3">
      <c r="A3025">
        <v>220997288</v>
      </c>
      <c r="B3025" s="1">
        <v>45173</v>
      </c>
      <c r="D3025" t="s">
        <v>7</v>
      </c>
      <c r="E3025">
        <v>39</v>
      </c>
      <c r="F3025" t="s">
        <v>6</v>
      </c>
      <c r="G3025" t="str">
        <f t="shared" si="282"/>
        <v/>
      </c>
      <c r="H3025" s="1" t="str">
        <f t="shared" si="283"/>
        <v>Monday</v>
      </c>
      <c r="I3025" t="str">
        <f t="shared" si="284"/>
        <v>No</v>
      </c>
      <c r="J3025">
        <f t="shared" si="285"/>
        <v>0</v>
      </c>
      <c r="K3025">
        <f t="shared" si="286"/>
        <v>0</v>
      </c>
      <c r="L3025" t="str">
        <f t="shared" si="287"/>
        <v/>
      </c>
    </row>
    <row r="3026" spans="1:12" ht="14.4" customHeight="1" x14ac:dyDescent="0.3">
      <c r="A3026">
        <v>218617631</v>
      </c>
      <c r="B3026" s="1">
        <v>45173</v>
      </c>
      <c r="D3026" t="s">
        <v>7</v>
      </c>
      <c r="E3026">
        <v>39</v>
      </c>
      <c r="F3026" t="s">
        <v>6</v>
      </c>
      <c r="G3026" t="str">
        <f t="shared" si="282"/>
        <v/>
      </c>
      <c r="H3026" s="1" t="str">
        <f t="shared" si="283"/>
        <v>Monday</v>
      </c>
      <c r="I3026" t="str">
        <f t="shared" si="284"/>
        <v>No</v>
      </c>
      <c r="J3026">
        <f t="shared" si="285"/>
        <v>0</v>
      </c>
      <c r="K3026">
        <f t="shared" si="286"/>
        <v>0</v>
      </c>
      <c r="L3026" t="str">
        <f t="shared" si="287"/>
        <v/>
      </c>
    </row>
    <row r="3027" spans="1:12" ht="14.4" customHeight="1" x14ac:dyDescent="0.3">
      <c r="A3027">
        <v>220952702</v>
      </c>
      <c r="B3027" s="1">
        <v>45173</v>
      </c>
      <c r="D3027" t="s">
        <v>7</v>
      </c>
      <c r="E3027">
        <v>39</v>
      </c>
      <c r="F3027" t="s">
        <v>6</v>
      </c>
      <c r="G3027" t="str">
        <f t="shared" si="282"/>
        <v/>
      </c>
      <c r="H3027" s="1" t="str">
        <f t="shared" si="283"/>
        <v>Monday</v>
      </c>
      <c r="I3027" t="str">
        <f t="shared" si="284"/>
        <v>No</v>
      </c>
      <c r="J3027">
        <f t="shared" si="285"/>
        <v>0</v>
      </c>
      <c r="K3027">
        <f t="shared" si="286"/>
        <v>0</v>
      </c>
      <c r="L3027" t="str">
        <f t="shared" si="287"/>
        <v/>
      </c>
    </row>
    <row r="3028" spans="1:12" ht="14.4" customHeight="1" x14ac:dyDescent="0.3">
      <c r="A3028">
        <v>156460574</v>
      </c>
      <c r="B3028" s="1">
        <v>45173</v>
      </c>
      <c r="D3028" t="s">
        <v>7</v>
      </c>
      <c r="E3028">
        <v>39</v>
      </c>
      <c r="F3028" t="s">
        <v>6</v>
      </c>
      <c r="G3028" t="str">
        <f t="shared" si="282"/>
        <v/>
      </c>
      <c r="H3028" s="1" t="str">
        <f t="shared" si="283"/>
        <v>Monday</v>
      </c>
      <c r="I3028" t="str">
        <f t="shared" si="284"/>
        <v>No</v>
      </c>
      <c r="J3028">
        <f t="shared" si="285"/>
        <v>0</v>
      </c>
      <c r="K3028">
        <f t="shared" si="286"/>
        <v>0</v>
      </c>
      <c r="L3028" t="str">
        <f t="shared" si="287"/>
        <v/>
      </c>
    </row>
    <row r="3029" spans="1:12" ht="14.4" customHeight="1" x14ac:dyDescent="0.3">
      <c r="A3029">
        <v>221012872</v>
      </c>
      <c r="B3029" s="1">
        <v>45173</v>
      </c>
      <c r="D3029" t="s">
        <v>7</v>
      </c>
      <c r="E3029">
        <v>39</v>
      </c>
      <c r="F3029" t="s">
        <v>6</v>
      </c>
      <c r="G3029" t="str">
        <f t="shared" si="282"/>
        <v/>
      </c>
      <c r="H3029" s="1" t="str">
        <f t="shared" si="283"/>
        <v>Monday</v>
      </c>
      <c r="I3029" t="str">
        <f t="shared" si="284"/>
        <v>No</v>
      </c>
      <c r="J3029">
        <f t="shared" si="285"/>
        <v>0</v>
      </c>
      <c r="K3029">
        <f t="shared" si="286"/>
        <v>0</v>
      </c>
      <c r="L3029" t="str">
        <f t="shared" si="287"/>
        <v/>
      </c>
    </row>
    <row r="3030" spans="1:12" ht="14.4" customHeight="1" x14ac:dyDescent="0.3">
      <c r="A3030">
        <v>220845656</v>
      </c>
      <c r="B3030" s="1">
        <v>45173</v>
      </c>
      <c r="D3030" t="s">
        <v>7</v>
      </c>
      <c r="E3030">
        <v>39</v>
      </c>
      <c r="F3030" t="s">
        <v>6</v>
      </c>
      <c r="G3030" t="str">
        <f t="shared" si="282"/>
        <v/>
      </c>
      <c r="H3030" s="1" t="str">
        <f t="shared" si="283"/>
        <v>Monday</v>
      </c>
      <c r="I3030" t="str">
        <f t="shared" si="284"/>
        <v>No</v>
      </c>
      <c r="J3030">
        <f t="shared" si="285"/>
        <v>0</v>
      </c>
      <c r="K3030">
        <f t="shared" si="286"/>
        <v>0</v>
      </c>
      <c r="L3030" t="str">
        <f t="shared" si="287"/>
        <v/>
      </c>
    </row>
    <row r="3031" spans="1:12" ht="14.4" customHeight="1" x14ac:dyDescent="0.3">
      <c r="A3031">
        <v>220989516</v>
      </c>
      <c r="B3031" s="1">
        <v>45173</v>
      </c>
      <c r="D3031" t="s">
        <v>7</v>
      </c>
      <c r="E3031">
        <v>39</v>
      </c>
      <c r="F3031" t="s">
        <v>6</v>
      </c>
      <c r="G3031" t="str">
        <f t="shared" si="282"/>
        <v/>
      </c>
      <c r="H3031" s="1" t="str">
        <f t="shared" si="283"/>
        <v>Monday</v>
      </c>
      <c r="I3031" t="str">
        <f t="shared" si="284"/>
        <v>No</v>
      </c>
      <c r="J3031">
        <f t="shared" si="285"/>
        <v>0</v>
      </c>
      <c r="K3031">
        <f t="shared" si="286"/>
        <v>0</v>
      </c>
      <c r="L3031" t="str">
        <f t="shared" si="287"/>
        <v/>
      </c>
    </row>
    <row r="3032" spans="1:12" ht="14.4" customHeight="1" x14ac:dyDescent="0.3">
      <c r="A3032">
        <v>135317128</v>
      </c>
      <c r="B3032" s="1">
        <v>45173</v>
      </c>
      <c r="D3032" t="s">
        <v>7</v>
      </c>
      <c r="E3032">
        <v>39</v>
      </c>
      <c r="F3032" t="s">
        <v>6</v>
      </c>
      <c r="G3032" t="str">
        <f t="shared" si="282"/>
        <v/>
      </c>
      <c r="H3032" s="1" t="str">
        <f t="shared" si="283"/>
        <v>Monday</v>
      </c>
      <c r="I3032" t="str">
        <f t="shared" si="284"/>
        <v>No</v>
      </c>
      <c r="J3032">
        <f t="shared" si="285"/>
        <v>0</v>
      </c>
      <c r="K3032">
        <f t="shared" si="286"/>
        <v>0</v>
      </c>
      <c r="L3032" t="str">
        <f t="shared" si="287"/>
        <v/>
      </c>
    </row>
    <row r="3033" spans="1:12" ht="14.4" customHeight="1" x14ac:dyDescent="0.3">
      <c r="A3033">
        <v>220984730</v>
      </c>
      <c r="B3033" s="1">
        <v>45173</v>
      </c>
      <c r="D3033" t="s">
        <v>7</v>
      </c>
      <c r="E3033">
        <v>39</v>
      </c>
      <c r="F3033" t="s">
        <v>6</v>
      </c>
      <c r="G3033" t="str">
        <f t="shared" si="282"/>
        <v/>
      </c>
      <c r="H3033" s="1" t="str">
        <f t="shared" si="283"/>
        <v>Monday</v>
      </c>
      <c r="I3033" t="str">
        <f t="shared" si="284"/>
        <v>No</v>
      </c>
      <c r="J3033">
        <f t="shared" si="285"/>
        <v>0</v>
      </c>
      <c r="K3033">
        <f t="shared" si="286"/>
        <v>0</v>
      </c>
      <c r="L3033" t="str">
        <f t="shared" si="287"/>
        <v/>
      </c>
    </row>
    <row r="3034" spans="1:12" ht="14.4" customHeight="1" x14ac:dyDescent="0.3">
      <c r="A3034">
        <v>220984628</v>
      </c>
      <c r="B3034" s="1">
        <v>45173</v>
      </c>
      <c r="D3034" t="s">
        <v>7</v>
      </c>
      <c r="E3034">
        <v>39</v>
      </c>
      <c r="F3034" t="s">
        <v>6</v>
      </c>
      <c r="G3034" t="str">
        <f t="shared" si="282"/>
        <v/>
      </c>
      <c r="H3034" s="1" t="str">
        <f t="shared" si="283"/>
        <v>Monday</v>
      </c>
      <c r="I3034" t="str">
        <f t="shared" si="284"/>
        <v>No</v>
      </c>
      <c r="J3034">
        <f t="shared" si="285"/>
        <v>0</v>
      </c>
      <c r="K3034">
        <f t="shared" si="286"/>
        <v>0</v>
      </c>
      <c r="L3034" t="str">
        <f t="shared" si="287"/>
        <v/>
      </c>
    </row>
    <row r="3035" spans="1:12" ht="14.4" customHeight="1" x14ac:dyDescent="0.3">
      <c r="A3035">
        <v>220989226</v>
      </c>
      <c r="B3035" s="1">
        <v>45173</v>
      </c>
      <c r="D3035" t="s">
        <v>7</v>
      </c>
      <c r="E3035">
        <v>39</v>
      </c>
      <c r="F3035" t="s">
        <v>6</v>
      </c>
      <c r="G3035" t="str">
        <f t="shared" si="282"/>
        <v/>
      </c>
      <c r="H3035" s="1" t="str">
        <f t="shared" si="283"/>
        <v>Monday</v>
      </c>
      <c r="I3035" t="str">
        <f t="shared" si="284"/>
        <v>No</v>
      </c>
      <c r="J3035">
        <f t="shared" si="285"/>
        <v>0</v>
      </c>
      <c r="K3035">
        <f t="shared" si="286"/>
        <v>0</v>
      </c>
      <c r="L3035" t="str">
        <f t="shared" si="287"/>
        <v/>
      </c>
    </row>
    <row r="3036" spans="1:12" ht="14.4" customHeight="1" x14ac:dyDescent="0.3">
      <c r="A3036">
        <v>220988969</v>
      </c>
      <c r="B3036" s="1">
        <v>45173</v>
      </c>
      <c r="D3036" t="s">
        <v>7</v>
      </c>
      <c r="E3036">
        <v>39</v>
      </c>
      <c r="F3036" t="s">
        <v>6</v>
      </c>
      <c r="G3036" t="str">
        <f t="shared" si="282"/>
        <v/>
      </c>
      <c r="H3036" s="1" t="str">
        <f t="shared" si="283"/>
        <v>Monday</v>
      </c>
      <c r="I3036" t="str">
        <f t="shared" si="284"/>
        <v>No</v>
      </c>
      <c r="J3036">
        <f t="shared" si="285"/>
        <v>0</v>
      </c>
      <c r="K3036">
        <f t="shared" si="286"/>
        <v>0</v>
      </c>
      <c r="L3036" t="str">
        <f t="shared" si="287"/>
        <v/>
      </c>
    </row>
    <row r="3037" spans="1:12" ht="14.4" customHeight="1" x14ac:dyDescent="0.3">
      <c r="A3037">
        <v>220988022</v>
      </c>
      <c r="B3037" s="1">
        <v>45173</v>
      </c>
      <c r="D3037" t="s">
        <v>7</v>
      </c>
      <c r="E3037">
        <v>39</v>
      </c>
      <c r="F3037" t="s">
        <v>6</v>
      </c>
      <c r="G3037" t="str">
        <f t="shared" si="282"/>
        <v/>
      </c>
      <c r="H3037" s="1" t="str">
        <f t="shared" si="283"/>
        <v>Monday</v>
      </c>
      <c r="I3037" t="str">
        <f t="shared" si="284"/>
        <v>No</v>
      </c>
      <c r="J3037">
        <f t="shared" si="285"/>
        <v>0</v>
      </c>
      <c r="K3037">
        <f t="shared" si="286"/>
        <v>0</v>
      </c>
      <c r="L3037" t="str">
        <f t="shared" si="287"/>
        <v/>
      </c>
    </row>
    <row r="3038" spans="1:12" ht="14.4" customHeight="1" x14ac:dyDescent="0.3">
      <c r="A3038">
        <v>220984390</v>
      </c>
      <c r="B3038" s="1">
        <v>45173</v>
      </c>
      <c r="D3038" t="s">
        <v>7</v>
      </c>
      <c r="E3038">
        <v>39</v>
      </c>
      <c r="F3038" t="s">
        <v>6</v>
      </c>
      <c r="G3038" t="str">
        <f t="shared" si="282"/>
        <v/>
      </c>
      <c r="H3038" s="1" t="str">
        <f t="shared" si="283"/>
        <v>Monday</v>
      </c>
      <c r="I3038" t="str">
        <f t="shared" si="284"/>
        <v>No</v>
      </c>
      <c r="J3038">
        <f t="shared" si="285"/>
        <v>0</v>
      </c>
      <c r="K3038">
        <f t="shared" si="286"/>
        <v>0</v>
      </c>
      <c r="L3038" t="str">
        <f t="shared" si="287"/>
        <v/>
      </c>
    </row>
    <row r="3039" spans="1:12" ht="14.4" customHeight="1" x14ac:dyDescent="0.3">
      <c r="A3039">
        <v>181480437</v>
      </c>
      <c r="B3039" s="1">
        <v>45173</v>
      </c>
      <c r="D3039" t="s">
        <v>7</v>
      </c>
      <c r="E3039">
        <v>39</v>
      </c>
      <c r="F3039" t="s">
        <v>6</v>
      </c>
      <c r="G3039" t="str">
        <f t="shared" si="282"/>
        <v/>
      </c>
      <c r="H3039" s="1" t="str">
        <f t="shared" si="283"/>
        <v>Monday</v>
      </c>
      <c r="I3039" t="str">
        <f t="shared" si="284"/>
        <v>No</v>
      </c>
      <c r="J3039">
        <f t="shared" si="285"/>
        <v>0</v>
      </c>
      <c r="K3039">
        <f t="shared" si="286"/>
        <v>0</v>
      </c>
      <c r="L3039" t="str">
        <f t="shared" si="287"/>
        <v/>
      </c>
    </row>
    <row r="3040" spans="1:12" ht="14.4" customHeight="1" x14ac:dyDescent="0.3">
      <c r="A3040">
        <v>125219153</v>
      </c>
      <c r="B3040" s="1">
        <v>45174</v>
      </c>
      <c r="D3040" t="s">
        <v>7</v>
      </c>
      <c r="E3040">
        <v>39</v>
      </c>
      <c r="F3040" t="s">
        <v>6</v>
      </c>
      <c r="G3040" t="str">
        <f t="shared" si="282"/>
        <v/>
      </c>
      <c r="H3040" s="1" t="str">
        <f t="shared" si="283"/>
        <v>Tuesday</v>
      </c>
      <c r="I3040" t="str">
        <f t="shared" si="284"/>
        <v>No</v>
      </c>
      <c r="J3040">
        <f t="shared" si="285"/>
        <v>0</v>
      </c>
      <c r="K3040">
        <f t="shared" si="286"/>
        <v>0</v>
      </c>
      <c r="L3040" t="str">
        <f t="shared" si="287"/>
        <v/>
      </c>
    </row>
    <row r="3041" spans="1:12" ht="14.4" customHeight="1" x14ac:dyDescent="0.3">
      <c r="A3041">
        <v>160833652</v>
      </c>
      <c r="B3041" s="1">
        <v>45174</v>
      </c>
      <c r="D3041" t="s">
        <v>7</v>
      </c>
      <c r="E3041">
        <v>39</v>
      </c>
      <c r="F3041" t="s">
        <v>6</v>
      </c>
      <c r="G3041" t="str">
        <f t="shared" si="282"/>
        <v/>
      </c>
      <c r="H3041" s="1" t="str">
        <f t="shared" si="283"/>
        <v>Tuesday</v>
      </c>
      <c r="I3041" t="str">
        <f t="shared" si="284"/>
        <v>No</v>
      </c>
      <c r="J3041">
        <f t="shared" si="285"/>
        <v>0</v>
      </c>
      <c r="K3041">
        <f t="shared" si="286"/>
        <v>0</v>
      </c>
      <c r="L3041" t="str">
        <f t="shared" si="287"/>
        <v/>
      </c>
    </row>
    <row r="3042" spans="1:12" ht="14.4" customHeight="1" x14ac:dyDescent="0.3">
      <c r="A3042">
        <v>221073196</v>
      </c>
      <c r="B3042" s="1">
        <v>45174</v>
      </c>
      <c r="D3042" t="s">
        <v>7</v>
      </c>
      <c r="E3042">
        <v>39</v>
      </c>
      <c r="F3042" t="s">
        <v>6</v>
      </c>
      <c r="G3042" t="str">
        <f t="shared" si="282"/>
        <v/>
      </c>
      <c r="H3042" s="1" t="str">
        <f t="shared" si="283"/>
        <v>Tuesday</v>
      </c>
      <c r="I3042" t="str">
        <f t="shared" si="284"/>
        <v>No</v>
      </c>
      <c r="J3042">
        <f t="shared" si="285"/>
        <v>0</v>
      </c>
      <c r="K3042">
        <f t="shared" si="286"/>
        <v>0</v>
      </c>
      <c r="L3042" t="str">
        <f t="shared" si="287"/>
        <v/>
      </c>
    </row>
    <row r="3043" spans="1:12" ht="14.4" customHeight="1" x14ac:dyDescent="0.3">
      <c r="A3043">
        <v>153733292</v>
      </c>
      <c r="B3043" s="1">
        <v>45174</v>
      </c>
      <c r="D3043" t="s">
        <v>7</v>
      </c>
      <c r="E3043">
        <v>39</v>
      </c>
      <c r="F3043" t="s">
        <v>6</v>
      </c>
      <c r="G3043" t="str">
        <f t="shared" si="282"/>
        <v/>
      </c>
      <c r="H3043" s="1" t="str">
        <f t="shared" si="283"/>
        <v>Tuesday</v>
      </c>
      <c r="I3043" t="str">
        <f t="shared" si="284"/>
        <v>No</v>
      </c>
      <c r="J3043">
        <f t="shared" si="285"/>
        <v>0</v>
      </c>
      <c r="K3043">
        <f t="shared" si="286"/>
        <v>0</v>
      </c>
      <c r="L3043" t="str">
        <f t="shared" si="287"/>
        <v/>
      </c>
    </row>
    <row r="3044" spans="1:12" ht="14.4" customHeight="1" x14ac:dyDescent="0.3">
      <c r="A3044">
        <v>152692003</v>
      </c>
      <c r="B3044" s="1">
        <v>45174</v>
      </c>
      <c r="D3044" t="s">
        <v>7</v>
      </c>
      <c r="E3044">
        <v>39</v>
      </c>
      <c r="F3044" t="s">
        <v>6</v>
      </c>
      <c r="G3044" t="str">
        <f t="shared" si="282"/>
        <v/>
      </c>
      <c r="H3044" s="1" t="str">
        <f t="shared" si="283"/>
        <v>Tuesday</v>
      </c>
      <c r="I3044" t="str">
        <f t="shared" si="284"/>
        <v>No</v>
      </c>
      <c r="J3044">
        <f t="shared" si="285"/>
        <v>0</v>
      </c>
      <c r="K3044">
        <f t="shared" si="286"/>
        <v>0</v>
      </c>
      <c r="L3044" t="str">
        <f t="shared" si="287"/>
        <v/>
      </c>
    </row>
    <row r="3045" spans="1:12" ht="14.4" customHeight="1" x14ac:dyDescent="0.3">
      <c r="A3045">
        <v>220528931</v>
      </c>
      <c r="B3045" s="1">
        <v>45174</v>
      </c>
      <c r="D3045" t="s">
        <v>7</v>
      </c>
      <c r="E3045">
        <v>39</v>
      </c>
      <c r="F3045" t="s">
        <v>6</v>
      </c>
      <c r="G3045" t="str">
        <f t="shared" si="282"/>
        <v/>
      </c>
      <c r="H3045" s="1" t="str">
        <f t="shared" si="283"/>
        <v>Tuesday</v>
      </c>
      <c r="I3045" t="str">
        <f t="shared" si="284"/>
        <v>No</v>
      </c>
      <c r="J3045">
        <f t="shared" si="285"/>
        <v>0</v>
      </c>
      <c r="K3045">
        <f t="shared" si="286"/>
        <v>0</v>
      </c>
      <c r="L3045" t="str">
        <f t="shared" si="287"/>
        <v/>
      </c>
    </row>
    <row r="3046" spans="1:12" ht="14.4" customHeight="1" x14ac:dyDescent="0.3">
      <c r="A3046">
        <v>221052611</v>
      </c>
      <c r="B3046" s="1">
        <v>45174</v>
      </c>
      <c r="D3046" t="s">
        <v>7</v>
      </c>
      <c r="E3046">
        <v>39</v>
      </c>
      <c r="F3046" t="s">
        <v>6</v>
      </c>
      <c r="G3046" t="str">
        <f t="shared" si="282"/>
        <v/>
      </c>
      <c r="H3046" s="1" t="str">
        <f t="shared" si="283"/>
        <v>Tuesday</v>
      </c>
      <c r="I3046" t="str">
        <f t="shared" si="284"/>
        <v>No</v>
      </c>
      <c r="J3046">
        <f t="shared" si="285"/>
        <v>0</v>
      </c>
      <c r="K3046">
        <f t="shared" si="286"/>
        <v>0</v>
      </c>
      <c r="L3046" t="str">
        <f t="shared" si="287"/>
        <v/>
      </c>
    </row>
    <row r="3047" spans="1:12" ht="14.4" customHeight="1" x14ac:dyDescent="0.3">
      <c r="A3047">
        <v>220665801</v>
      </c>
      <c r="B3047" s="1">
        <v>45174</v>
      </c>
      <c r="D3047" t="s">
        <v>7</v>
      </c>
      <c r="E3047">
        <v>39</v>
      </c>
      <c r="F3047" t="s">
        <v>6</v>
      </c>
      <c r="G3047" t="str">
        <f t="shared" si="282"/>
        <v/>
      </c>
      <c r="H3047" s="1" t="str">
        <f t="shared" si="283"/>
        <v>Tuesday</v>
      </c>
      <c r="I3047" t="str">
        <f t="shared" si="284"/>
        <v>No</v>
      </c>
      <c r="J3047">
        <f t="shared" si="285"/>
        <v>0</v>
      </c>
      <c r="K3047">
        <f t="shared" si="286"/>
        <v>0</v>
      </c>
      <c r="L3047" t="str">
        <f t="shared" si="287"/>
        <v/>
      </c>
    </row>
    <row r="3048" spans="1:12" ht="14.4" customHeight="1" x14ac:dyDescent="0.3">
      <c r="A3048">
        <v>221028388</v>
      </c>
      <c r="B3048" s="1">
        <v>45174</v>
      </c>
      <c r="D3048" t="s">
        <v>7</v>
      </c>
      <c r="E3048">
        <v>39</v>
      </c>
      <c r="F3048" t="s">
        <v>6</v>
      </c>
      <c r="G3048" t="str">
        <f t="shared" si="282"/>
        <v/>
      </c>
      <c r="H3048" s="1" t="str">
        <f t="shared" si="283"/>
        <v>Tuesday</v>
      </c>
      <c r="I3048" t="str">
        <f t="shared" si="284"/>
        <v>No</v>
      </c>
      <c r="J3048">
        <f t="shared" si="285"/>
        <v>0</v>
      </c>
      <c r="K3048">
        <f t="shared" si="286"/>
        <v>0</v>
      </c>
      <c r="L3048" t="str">
        <f t="shared" si="287"/>
        <v/>
      </c>
    </row>
    <row r="3049" spans="1:12" ht="14.4" customHeight="1" x14ac:dyDescent="0.3">
      <c r="A3049">
        <v>206284545</v>
      </c>
      <c r="B3049" s="1">
        <v>45174</v>
      </c>
      <c r="D3049" t="s">
        <v>7</v>
      </c>
      <c r="E3049">
        <v>39</v>
      </c>
      <c r="F3049" t="s">
        <v>6</v>
      </c>
      <c r="G3049" t="str">
        <f t="shared" si="282"/>
        <v/>
      </c>
      <c r="H3049" s="1" t="str">
        <f t="shared" si="283"/>
        <v>Tuesday</v>
      </c>
      <c r="I3049" t="str">
        <f t="shared" si="284"/>
        <v>No</v>
      </c>
      <c r="J3049">
        <f t="shared" si="285"/>
        <v>0</v>
      </c>
      <c r="K3049">
        <f t="shared" si="286"/>
        <v>0</v>
      </c>
      <c r="L3049" t="str">
        <f t="shared" si="287"/>
        <v/>
      </c>
    </row>
    <row r="3050" spans="1:12" ht="14.4" customHeight="1" x14ac:dyDescent="0.3">
      <c r="A3050">
        <v>178531928</v>
      </c>
      <c r="B3050" s="1">
        <v>45174</v>
      </c>
      <c r="D3050" t="s">
        <v>7</v>
      </c>
      <c r="E3050">
        <v>39</v>
      </c>
      <c r="F3050" t="s">
        <v>6</v>
      </c>
      <c r="G3050" t="str">
        <f t="shared" si="282"/>
        <v/>
      </c>
      <c r="H3050" s="1" t="str">
        <f t="shared" si="283"/>
        <v>Tuesday</v>
      </c>
      <c r="I3050" t="str">
        <f t="shared" si="284"/>
        <v>No</v>
      </c>
      <c r="J3050">
        <f t="shared" si="285"/>
        <v>0</v>
      </c>
      <c r="K3050">
        <f t="shared" si="286"/>
        <v>0</v>
      </c>
      <c r="L3050" t="str">
        <f t="shared" si="287"/>
        <v/>
      </c>
    </row>
    <row r="3051" spans="1:12" ht="14.4" customHeight="1" x14ac:dyDescent="0.3">
      <c r="A3051">
        <v>220994271</v>
      </c>
      <c r="B3051" s="1">
        <v>45174</v>
      </c>
      <c r="D3051" t="s">
        <v>7</v>
      </c>
      <c r="E3051">
        <v>39</v>
      </c>
      <c r="F3051" t="s">
        <v>6</v>
      </c>
      <c r="G3051" t="str">
        <f t="shared" si="282"/>
        <v/>
      </c>
      <c r="H3051" s="1" t="str">
        <f t="shared" si="283"/>
        <v>Tuesday</v>
      </c>
      <c r="I3051" t="str">
        <f t="shared" si="284"/>
        <v>No</v>
      </c>
      <c r="J3051">
        <f t="shared" si="285"/>
        <v>0</v>
      </c>
      <c r="K3051">
        <f t="shared" si="286"/>
        <v>0</v>
      </c>
      <c r="L3051" t="str">
        <f t="shared" si="287"/>
        <v/>
      </c>
    </row>
    <row r="3052" spans="1:12" ht="14.4" customHeight="1" x14ac:dyDescent="0.3">
      <c r="A3052">
        <v>218720472</v>
      </c>
      <c r="B3052" s="1">
        <v>45174</v>
      </c>
      <c r="D3052" t="s">
        <v>7</v>
      </c>
      <c r="E3052">
        <v>39</v>
      </c>
      <c r="F3052" t="s">
        <v>6</v>
      </c>
      <c r="G3052" t="str">
        <f t="shared" si="282"/>
        <v/>
      </c>
      <c r="H3052" s="1" t="str">
        <f t="shared" si="283"/>
        <v>Tuesday</v>
      </c>
      <c r="I3052" t="str">
        <f t="shared" si="284"/>
        <v>No</v>
      </c>
      <c r="J3052">
        <f t="shared" si="285"/>
        <v>0</v>
      </c>
      <c r="K3052">
        <f t="shared" si="286"/>
        <v>0</v>
      </c>
      <c r="L3052" t="str">
        <f t="shared" si="287"/>
        <v/>
      </c>
    </row>
    <row r="3053" spans="1:12" ht="14.4" customHeight="1" x14ac:dyDescent="0.3">
      <c r="A3053">
        <v>218900441</v>
      </c>
      <c r="B3053" s="1">
        <v>45175</v>
      </c>
      <c r="D3053" t="s">
        <v>7</v>
      </c>
      <c r="E3053">
        <v>39</v>
      </c>
      <c r="F3053" t="s">
        <v>6</v>
      </c>
      <c r="G3053" t="str">
        <f t="shared" si="282"/>
        <v/>
      </c>
      <c r="H3053" s="1" t="str">
        <f t="shared" si="283"/>
        <v>Wednesday</v>
      </c>
      <c r="I3053" t="str">
        <f t="shared" si="284"/>
        <v>No</v>
      </c>
      <c r="J3053">
        <f t="shared" si="285"/>
        <v>0</v>
      </c>
      <c r="K3053">
        <f t="shared" si="286"/>
        <v>0</v>
      </c>
      <c r="L3053" t="str">
        <f t="shared" si="287"/>
        <v/>
      </c>
    </row>
    <row r="3054" spans="1:12" ht="14.4" customHeight="1" x14ac:dyDescent="0.3">
      <c r="A3054">
        <v>221123938</v>
      </c>
      <c r="B3054" s="1">
        <v>45175</v>
      </c>
      <c r="D3054" t="s">
        <v>7</v>
      </c>
      <c r="E3054">
        <v>39</v>
      </c>
      <c r="F3054" t="s">
        <v>6</v>
      </c>
      <c r="G3054" t="str">
        <f t="shared" si="282"/>
        <v/>
      </c>
      <c r="H3054" s="1" t="str">
        <f t="shared" si="283"/>
        <v>Wednesday</v>
      </c>
      <c r="I3054" t="str">
        <f t="shared" si="284"/>
        <v>No</v>
      </c>
      <c r="J3054">
        <f t="shared" si="285"/>
        <v>0</v>
      </c>
      <c r="K3054">
        <f t="shared" si="286"/>
        <v>0</v>
      </c>
      <c r="L3054" t="str">
        <f t="shared" si="287"/>
        <v/>
      </c>
    </row>
    <row r="3055" spans="1:12" ht="14.4" customHeight="1" x14ac:dyDescent="0.3">
      <c r="A3055">
        <v>166750222</v>
      </c>
      <c r="B3055" s="1">
        <v>45175</v>
      </c>
      <c r="D3055" t="s">
        <v>7</v>
      </c>
      <c r="E3055">
        <v>39</v>
      </c>
      <c r="F3055" t="s">
        <v>6</v>
      </c>
      <c r="G3055" t="str">
        <f t="shared" si="282"/>
        <v/>
      </c>
      <c r="H3055" s="1" t="str">
        <f t="shared" si="283"/>
        <v>Wednesday</v>
      </c>
      <c r="I3055" t="str">
        <f t="shared" si="284"/>
        <v>No</v>
      </c>
      <c r="J3055">
        <f t="shared" si="285"/>
        <v>0</v>
      </c>
      <c r="K3055">
        <f t="shared" si="286"/>
        <v>0</v>
      </c>
      <c r="L3055" t="str">
        <f t="shared" si="287"/>
        <v/>
      </c>
    </row>
    <row r="3056" spans="1:12" ht="14.4" customHeight="1" x14ac:dyDescent="0.3">
      <c r="A3056">
        <v>154783053</v>
      </c>
      <c r="B3056" s="1">
        <v>45175</v>
      </c>
      <c r="D3056" t="s">
        <v>7</v>
      </c>
      <c r="E3056">
        <v>39</v>
      </c>
      <c r="F3056" t="s">
        <v>6</v>
      </c>
      <c r="G3056" t="str">
        <f t="shared" si="282"/>
        <v/>
      </c>
      <c r="H3056" s="1" t="str">
        <f t="shared" si="283"/>
        <v>Wednesday</v>
      </c>
      <c r="I3056" t="str">
        <f t="shared" si="284"/>
        <v>No</v>
      </c>
      <c r="J3056">
        <f t="shared" si="285"/>
        <v>0</v>
      </c>
      <c r="K3056">
        <f t="shared" si="286"/>
        <v>0</v>
      </c>
      <c r="L3056" t="str">
        <f t="shared" si="287"/>
        <v/>
      </c>
    </row>
    <row r="3057" spans="1:12" ht="14.4" customHeight="1" x14ac:dyDescent="0.3">
      <c r="A3057">
        <v>221100604</v>
      </c>
      <c r="B3057" s="1">
        <v>45175</v>
      </c>
      <c r="D3057" t="s">
        <v>7</v>
      </c>
      <c r="E3057">
        <v>39</v>
      </c>
      <c r="F3057" t="s">
        <v>6</v>
      </c>
      <c r="G3057" t="str">
        <f t="shared" si="282"/>
        <v/>
      </c>
      <c r="H3057" s="1" t="str">
        <f t="shared" si="283"/>
        <v>Wednesday</v>
      </c>
      <c r="I3057" t="str">
        <f t="shared" si="284"/>
        <v>No</v>
      </c>
      <c r="J3057">
        <f t="shared" si="285"/>
        <v>0</v>
      </c>
      <c r="K3057">
        <f t="shared" si="286"/>
        <v>0</v>
      </c>
      <c r="L3057" t="str">
        <f t="shared" si="287"/>
        <v/>
      </c>
    </row>
    <row r="3058" spans="1:12" ht="14.4" customHeight="1" x14ac:dyDescent="0.3">
      <c r="A3058">
        <v>220703723</v>
      </c>
      <c r="B3058" s="1">
        <v>45175</v>
      </c>
      <c r="D3058" t="s">
        <v>7</v>
      </c>
      <c r="E3058">
        <v>39</v>
      </c>
      <c r="F3058" t="s">
        <v>6</v>
      </c>
      <c r="G3058" t="str">
        <f t="shared" si="282"/>
        <v/>
      </c>
      <c r="H3058" s="1" t="str">
        <f t="shared" si="283"/>
        <v>Wednesday</v>
      </c>
      <c r="I3058" t="str">
        <f t="shared" si="284"/>
        <v>No</v>
      </c>
      <c r="J3058">
        <f t="shared" si="285"/>
        <v>0</v>
      </c>
      <c r="K3058">
        <f t="shared" si="286"/>
        <v>0</v>
      </c>
      <c r="L3058" t="str">
        <f t="shared" si="287"/>
        <v/>
      </c>
    </row>
    <row r="3059" spans="1:12" ht="14.4" customHeight="1" x14ac:dyDescent="0.3">
      <c r="A3059">
        <v>220815627</v>
      </c>
      <c r="B3059" s="1">
        <v>45175</v>
      </c>
      <c r="D3059" t="s">
        <v>7</v>
      </c>
      <c r="E3059">
        <v>39</v>
      </c>
      <c r="F3059" t="s">
        <v>6</v>
      </c>
      <c r="G3059" t="str">
        <f t="shared" si="282"/>
        <v/>
      </c>
      <c r="H3059" s="1" t="str">
        <f t="shared" si="283"/>
        <v>Wednesday</v>
      </c>
      <c r="I3059" t="str">
        <f t="shared" si="284"/>
        <v>No</v>
      </c>
      <c r="J3059">
        <f t="shared" si="285"/>
        <v>0</v>
      </c>
      <c r="K3059">
        <f t="shared" si="286"/>
        <v>0</v>
      </c>
      <c r="L3059" t="str">
        <f t="shared" si="287"/>
        <v/>
      </c>
    </row>
    <row r="3060" spans="1:12" ht="14.4" customHeight="1" x14ac:dyDescent="0.3">
      <c r="A3060">
        <v>214764106</v>
      </c>
      <c r="B3060" s="1">
        <v>45175</v>
      </c>
      <c r="D3060" t="s">
        <v>7</v>
      </c>
      <c r="E3060">
        <v>39</v>
      </c>
      <c r="F3060" t="s">
        <v>6</v>
      </c>
      <c r="G3060" t="str">
        <f t="shared" si="282"/>
        <v/>
      </c>
      <c r="H3060" s="1" t="str">
        <f t="shared" si="283"/>
        <v>Wednesday</v>
      </c>
      <c r="I3060" t="str">
        <f t="shared" si="284"/>
        <v>No</v>
      </c>
      <c r="J3060">
        <f t="shared" si="285"/>
        <v>0</v>
      </c>
      <c r="K3060">
        <f t="shared" si="286"/>
        <v>0</v>
      </c>
      <c r="L3060" t="str">
        <f t="shared" si="287"/>
        <v/>
      </c>
    </row>
    <row r="3061" spans="1:12" ht="14.4" customHeight="1" x14ac:dyDescent="0.3">
      <c r="A3061">
        <v>158763940</v>
      </c>
      <c r="B3061" s="1">
        <v>45176</v>
      </c>
      <c r="D3061" t="s">
        <v>7</v>
      </c>
      <c r="E3061">
        <v>39</v>
      </c>
      <c r="F3061" t="s">
        <v>6</v>
      </c>
      <c r="G3061" t="str">
        <f t="shared" si="282"/>
        <v/>
      </c>
      <c r="H3061" s="1" t="str">
        <f t="shared" si="283"/>
        <v>Thursday</v>
      </c>
      <c r="I3061" t="str">
        <f t="shared" si="284"/>
        <v>No</v>
      </c>
      <c r="J3061">
        <f t="shared" si="285"/>
        <v>0</v>
      </c>
      <c r="K3061">
        <f t="shared" si="286"/>
        <v>0</v>
      </c>
      <c r="L3061" t="str">
        <f t="shared" si="287"/>
        <v/>
      </c>
    </row>
    <row r="3062" spans="1:12" ht="14.4" customHeight="1" x14ac:dyDescent="0.3">
      <c r="A3062">
        <v>220065316</v>
      </c>
      <c r="B3062" s="1">
        <v>45176</v>
      </c>
      <c r="D3062" t="s">
        <v>7</v>
      </c>
      <c r="E3062">
        <v>39</v>
      </c>
      <c r="F3062" t="s">
        <v>6</v>
      </c>
      <c r="G3062" t="str">
        <f t="shared" si="282"/>
        <v/>
      </c>
      <c r="H3062" s="1" t="str">
        <f t="shared" si="283"/>
        <v>Thursday</v>
      </c>
      <c r="I3062" t="str">
        <f t="shared" si="284"/>
        <v>No</v>
      </c>
      <c r="J3062">
        <f t="shared" si="285"/>
        <v>0</v>
      </c>
      <c r="K3062">
        <f t="shared" si="286"/>
        <v>0</v>
      </c>
      <c r="L3062" t="str">
        <f t="shared" si="287"/>
        <v/>
      </c>
    </row>
    <row r="3063" spans="1:12" ht="14.4" customHeight="1" x14ac:dyDescent="0.3">
      <c r="A3063">
        <v>217662862</v>
      </c>
      <c r="B3063" s="1">
        <v>45176</v>
      </c>
      <c r="D3063" t="s">
        <v>7</v>
      </c>
      <c r="E3063">
        <v>39</v>
      </c>
      <c r="F3063" t="s">
        <v>6</v>
      </c>
      <c r="G3063" t="str">
        <f t="shared" si="282"/>
        <v/>
      </c>
      <c r="H3063" s="1" t="str">
        <f t="shared" si="283"/>
        <v>Thursday</v>
      </c>
      <c r="I3063" t="str">
        <f t="shared" si="284"/>
        <v>No</v>
      </c>
      <c r="J3063">
        <f t="shared" si="285"/>
        <v>0</v>
      </c>
      <c r="K3063">
        <f t="shared" si="286"/>
        <v>0</v>
      </c>
      <c r="L3063" t="str">
        <f t="shared" si="287"/>
        <v/>
      </c>
    </row>
    <row r="3064" spans="1:12" ht="14.4" customHeight="1" x14ac:dyDescent="0.3">
      <c r="A3064">
        <v>220328388</v>
      </c>
      <c r="B3064" s="1">
        <v>45176</v>
      </c>
      <c r="D3064" t="s">
        <v>7</v>
      </c>
      <c r="E3064">
        <v>39</v>
      </c>
      <c r="F3064" t="s">
        <v>6</v>
      </c>
      <c r="G3064" t="str">
        <f t="shared" si="282"/>
        <v/>
      </c>
      <c r="H3064" s="1" t="str">
        <f t="shared" si="283"/>
        <v>Thursday</v>
      </c>
      <c r="I3064" t="str">
        <f t="shared" si="284"/>
        <v>No</v>
      </c>
      <c r="J3064">
        <f t="shared" si="285"/>
        <v>0</v>
      </c>
      <c r="K3064">
        <f t="shared" si="286"/>
        <v>0</v>
      </c>
      <c r="L3064" t="str">
        <f t="shared" si="287"/>
        <v/>
      </c>
    </row>
    <row r="3065" spans="1:12" ht="14.4" customHeight="1" x14ac:dyDescent="0.3">
      <c r="A3065">
        <v>219521019</v>
      </c>
      <c r="B3065" s="1">
        <v>45176</v>
      </c>
      <c r="D3065" t="s">
        <v>7</v>
      </c>
      <c r="E3065">
        <v>39</v>
      </c>
      <c r="F3065" t="s">
        <v>6</v>
      </c>
      <c r="G3065" t="str">
        <f t="shared" si="282"/>
        <v/>
      </c>
      <c r="H3065" s="1" t="str">
        <f t="shared" si="283"/>
        <v>Thursday</v>
      </c>
      <c r="I3065" t="str">
        <f t="shared" si="284"/>
        <v>No</v>
      </c>
      <c r="J3065">
        <f t="shared" si="285"/>
        <v>0</v>
      </c>
      <c r="K3065">
        <f t="shared" si="286"/>
        <v>0</v>
      </c>
      <c r="L3065" t="str">
        <f t="shared" si="287"/>
        <v/>
      </c>
    </row>
    <row r="3066" spans="1:12" ht="14.4" customHeight="1" x14ac:dyDescent="0.3">
      <c r="A3066">
        <v>221145374</v>
      </c>
      <c r="B3066" s="1">
        <v>45176</v>
      </c>
      <c r="D3066" t="s">
        <v>7</v>
      </c>
      <c r="E3066">
        <v>39</v>
      </c>
      <c r="F3066" t="s">
        <v>6</v>
      </c>
      <c r="G3066" t="str">
        <f t="shared" si="282"/>
        <v/>
      </c>
      <c r="H3066" s="1" t="str">
        <f t="shared" si="283"/>
        <v>Thursday</v>
      </c>
      <c r="I3066" t="str">
        <f t="shared" si="284"/>
        <v>No</v>
      </c>
      <c r="J3066">
        <f t="shared" si="285"/>
        <v>0</v>
      </c>
      <c r="K3066">
        <f t="shared" si="286"/>
        <v>0</v>
      </c>
      <c r="L3066" t="str">
        <f t="shared" si="287"/>
        <v/>
      </c>
    </row>
    <row r="3067" spans="1:12" ht="14.4" customHeight="1" x14ac:dyDescent="0.3">
      <c r="A3067">
        <v>221130434</v>
      </c>
      <c r="B3067" s="1">
        <v>45176</v>
      </c>
      <c r="D3067" t="s">
        <v>7</v>
      </c>
      <c r="E3067">
        <v>39</v>
      </c>
      <c r="F3067" t="s">
        <v>6</v>
      </c>
      <c r="G3067" t="str">
        <f t="shared" si="282"/>
        <v/>
      </c>
      <c r="H3067" s="1" t="str">
        <f t="shared" si="283"/>
        <v>Thursday</v>
      </c>
      <c r="I3067" t="str">
        <f t="shared" si="284"/>
        <v>No</v>
      </c>
      <c r="J3067">
        <f t="shared" si="285"/>
        <v>0</v>
      </c>
      <c r="K3067">
        <f t="shared" si="286"/>
        <v>0</v>
      </c>
      <c r="L3067" t="str">
        <f t="shared" si="287"/>
        <v/>
      </c>
    </row>
    <row r="3068" spans="1:12" ht="14.4" customHeight="1" x14ac:dyDescent="0.3">
      <c r="A3068">
        <v>221189604</v>
      </c>
      <c r="B3068" s="1">
        <v>45177</v>
      </c>
      <c r="D3068" t="s">
        <v>7</v>
      </c>
      <c r="E3068">
        <v>39</v>
      </c>
      <c r="F3068" t="s">
        <v>6</v>
      </c>
      <c r="G3068" t="str">
        <f t="shared" si="282"/>
        <v/>
      </c>
      <c r="H3068" s="1" t="str">
        <f t="shared" si="283"/>
        <v>Friday</v>
      </c>
      <c r="I3068" t="str">
        <f t="shared" si="284"/>
        <v>No</v>
      </c>
      <c r="J3068">
        <f t="shared" si="285"/>
        <v>0</v>
      </c>
      <c r="K3068">
        <f t="shared" si="286"/>
        <v>0</v>
      </c>
      <c r="L3068" t="str">
        <f t="shared" si="287"/>
        <v/>
      </c>
    </row>
    <row r="3069" spans="1:12" ht="14.4" customHeight="1" x14ac:dyDescent="0.3">
      <c r="A3069">
        <v>215174643</v>
      </c>
      <c r="B3069" s="1">
        <v>45177</v>
      </c>
      <c r="D3069" t="s">
        <v>7</v>
      </c>
      <c r="E3069">
        <v>39</v>
      </c>
      <c r="F3069" t="s">
        <v>6</v>
      </c>
      <c r="G3069" t="str">
        <f t="shared" si="282"/>
        <v/>
      </c>
      <c r="H3069" s="1" t="str">
        <f t="shared" si="283"/>
        <v>Friday</v>
      </c>
      <c r="I3069" t="str">
        <f t="shared" si="284"/>
        <v>No</v>
      </c>
      <c r="J3069">
        <f t="shared" si="285"/>
        <v>0</v>
      </c>
      <c r="K3069">
        <f t="shared" si="286"/>
        <v>0</v>
      </c>
      <c r="L3069" t="str">
        <f t="shared" si="287"/>
        <v/>
      </c>
    </row>
    <row r="3070" spans="1:12" ht="14.4" customHeight="1" x14ac:dyDescent="0.3">
      <c r="A3070">
        <v>188354637</v>
      </c>
      <c r="B3070" s="1">
        <v>45177</v>
      </c>
      <c r="D3070" t="s">
        <v>7</v>
      </c>
      <c r="E3070">
        <v>39</v>
      </c>
      <c r="F3070" t="s">
        <v>6</v>
      </c>
      <c r="G3070" t="str">
        <f t="shared" si="282"/>
        <v/>
      </c>
      <c r="H3070" s="1" t="str">
        <f t="shared" si="283"/>
        <v>Friday</v>
      </c>
      <c r="I3070" t="str">
        <f t="shared" si="284"/>
        <v>No</v>
      </c>
      <c r="J3070">
        <f t="shared" si="285"/>
        <v>0</v>
      </c>
      <c r="K3070">
        <f t="shared" si="286"/>
        <v>0</v>
      </c>
      <c r="L3070" t="str">
        <f t="shared" si="287"/>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7"/>
  <sheetViews>
    <sheetView topLeftCell="A9" workbookViewId="0">
      <selection activeCell="F25" sqref="F25"/>
    </sheetView>
  </sheetViews>
  <sheetFormatPr defaultRowHeight="14.4" x14ac:dyDescent="0.3"/>
  <cols>
    <col min="2" max="2" width="13.88671875" customWidth="1"/>
    <col min="3" max="4" width="11.6640625" bestFit="1" customWidth="1"/>
    <col min="7" max="7" width="21.33203125" bestFit="1" customWidth="1"/>
    <col min="8" max="8" width="12.5546875" customWidth="1"/>
    <col min="9" max="9" width="28.33203125" bestFit="1" customWidth="1"/>
    <col min="10" max="10" width="10.77734375" bestFit="1" customWidth="1"/>
    <col min="11" max="11" width="24.88671875" bestFit="1" customWidth="1"/>
    <col min="12" max="12" width="26.109375" bestFit="1" customWidth="1"/>
    <col min="13" max="377" width="10.33203125" bestFit="1" customWidth="1"/>
  </cols>
  <sheetData>
    <row r="1" spans="1:14" ht="21" x14ac:dyDescent="0.4">
      <c r="A1" s="11" t="s">
        <v>21</v>
      </c>
      <c r="B1" s="11"/>
      <c r="C1" s="12"/>
      <c r="D1" s="12"/>
      <c r="E1" s="12"/>
    </row>
    <row r="2" spans="1:14" x14ac:dyDescent="0.3">
      <c r="H2" s="7"/>
      <c r="J2" s="7"/>
      <c r="L2" s="7"/>
    </row>
    <row r="3" spans="1:14" x14ac:dyDescent="0.3">
      <c r="A3" t="s">
        <v>22</v>
      </c>
      <c r="H3" s="8"/>
      <c r="J3" s="8"/>
      <c r="L3" s="8"/>
      <c r="N3" s="8"/>
    </row>
    <row r="4" spans="1:14" x14ac:dyDescent="0.3">
      <c r="J4" s="8"/>
      <c r="L4" s="8"/>
      <c r="N4" s="8"/>
    </row>
    <row r="5" spans="1:14" x14ac:dyDescent="0.3">
      <c r="C5" t="s">
        <v>27</v>
      </c>
      <c r="D5">
        <f>COUNT('Subscription Cohort Data'!$B$2:$B$3070)</f>
        <v>3069</v>
      </c>
    </row>
    <row r="6" spans="1:14" x14ac:dyDescent="0.3">
      <c r="C6" t="s">
        <v>28</v>
      </c>
      <c r="D6">
        <f>COUNT('Subscription Cohort Data'!C2:C3070)</f>
        <v>2004</v>
      </c>
    </row>
    <row r="8" spans="1:14" x14ac:dyDescent="0.3">
      <c r="A8" s="28" t="s">
        <v>23</v>
      </c>
      <c r="B8" s="28"/>
      <c r="C8" s="28"/>
      <c r="D8" s="28"/>
      <c r="E8" s="28"/>
      <c r="F8" s="28"/>
    </row>
    <row r="10" spans="1:14" x14ac:dyDescent="0.3">
      <c r="C10" t="s">
        <v>29</v>
      </c>
      <c r="D10">
        <f>COUNTIF('Subscription Cohort Data'!$D$2:$D$3070,"yes")</f>
        <v>2936</v>
      </c>
      <c r="E10" s="9">
        <f>D10/D5</f>
        <v>0.95666340827631147</v>
      </c>
    </row>
    <row r="11" spans="1:14" x14ac:dyDescent="0.3">
      <c r="C11" t="s">
        <v>30</v>
      </c>
      <c r="D11">
        <f>COUNTIF('Subscription Cohort Data'!$D$2:$D$3070,"no")</f>
        <v>133</v>
      </c>
      <c r="E11" s="9">
        <f>D11/D5</f>
        <v>4.3336591723688499E-2</v>
      </c>
      <c r="H11" s="13" t="s">
        <v>37</v>
      </c>
      <c r="I11" t="s">
        <v>41</v>
      </c>
    </row>
    <row r="12" spans="1:14" x14ac:dyDescent="0.3">
      <c r="H12" s="20" t="s">
        <v>8</v>
      </c>
      <c r="I12" s="24">
        <v>4.3336591723688499E-2</v>
      </c>
    </row>
    <row r="13" spans="1:14" x14ac:dyDescent="0.3">
      <c r="A13" s="28" t="s">
        <v>24</v>
      </c>
      <c r="B13" s="28"/>
      <c r="C13" s="28"/>
      <c r="D13" s="28"/>
      <c r="E13" s="28"/>
      <c r="F13" s="28"/>
      <c r="H13" s="20" t="s">
        <v>7</v>
      </c>
      <c r="I13" s="24">
        <v>0.95666340827631147</v>
      </c>
    </row>
    <row r="14" spans="1:14" x14ac:dyDescent="0.3">
      <c r="H14" s="20" t="s">
        <v>38</v>
      </c>
      <c r="I14" s="24">
        <v>1</v>
      </c>
    </row>
    <row r="15" spans="1:14" x14ac:dyDescent="0.3">
      <c r="C15" t="s">
        <v>42</v>
      </c>
      <c r="D15" s="21">
        <f>AVERAGE('Subscription Cohort Data'!G2:G3070)</f>
        <v>58.374251497005986</v>
      </c>
    </row>
    <row r="17" spans="1:6" x14ac:dyDescent="0.3">
      <c r="A17" s="28" t="s">
        <v>25</v>
      </c>
      <c r="B17" s="28"/>
      <c r="C17" s="28"/>
      <c r="D17" s="28"/>
      <c r="E17" s="28"/>
      <c r="F17" s="28"/>
    </row>
    <row r="18" spans="1:6" x14ac:dyDescent="0.3">
      <c r="B18" s="1"/>
    </row>
    <row r="19" spans="1:6" x14ac:dyDescent="0.3">
      <c r="B19" s="1"/>
      <c r="C19" s="1">
        <f>'Subscription Cohort Data'!J2</f>
        <v>44879</v>
      </c>
    </row>
    <row r="20" spans="1:6" x14ac:dyDescent="0.3">
      <c r="B20" s="1"/>
    </row>
    <row r="21" spans="1:6" x14ac:dyDescent="0.3">
      <c r="A21" s="28" t="s">
        <v>26</v>
      </c>
      <c r="B21" s="28"/>
      <c r="C21" s="28"/>
      <c r="D21" s="28"/>
      <c r="E21" s="28"/>
      <c r="F21" s="28"/>
    </row>
    <row r="22" spans="1:6" x14ac:dyDescent="0.3">
      <c r="B22" s="1"/>
    </row>
    <row r="23" spans="1:6" x14ac:dyDescent="0.3">
      <c r="B23" s="1" t="s">
        <v>31</v>
      </c>
      <c r="E23">
        <f>COUNTIFS(Table1[same_day_cancel],"Yes")</f>
        <v>108</v>
      </c>
      <c r="F23" s="9">
        <f>E23/E24</f>
        <v>5.3892215568862277E-2</v>
      </c>
    </row>
    <row r="24" spans="1:6" x14ac:dyDescent="0.3">
      <c r="B24" s="1" t="s">
        <v>32</v>
      </c>
      <c r="E24">
        <f>D6</f>
        <v>2004</v>
      </c>
    </row>
    <row r="25" spans="1:6" x14ac:dyDescent="0.3">
      <c r="B25" s="1"/>
    </row>
    <row r="26" spans="1:6" x14ac:dyDescent="0.3">
      <c r="B26" s="1"/>
    </row>
    <row r="27" spans="1:6" x14ac:dyDescent="0.3">
      <c r="B27" s="1"/>
    </row>
    <row r="28" spans="1:6" x14ac:dyDescent="0.3">
      <c r="B28" s="1"/>
    </row>
    <row r="29" spans="1:6" x14ac:dyDescent="0.3">
      <c r="B29" s="1"/>
    </row>
    <row r="30" spans="1:6" x14ac:dyDescent="0.3">
      <c r="B30" s="1"/>
    </row>
    <row r="31" spans="1:6" x14ac:dyDescent="0.3">
      <c r="B31" s="1"/>
    </row>
    <row r="32" spans="1:6" x14ac:dyDescent="0.3">
      <c r="B32" s="1"/>
    </row>
    <row r="33" spans="2:2" x14ac:dyDescent="0.3">
      <c r="B33" s="1"/>
    </row>
    <row r="34" spans="2:2" x14ac:dyDescent="0.3">
      <c r="B34" s="1"/>
    </row>
    <row r="35" spans="2:2" x14ac:dyDescent="0.3">
      <c r="B35" s="1"/>
    </row>
    <row r="36" spans="2:2" x14ac:dyDescent="0.3">
      <c r="B36" s="1"/>
    </row>
    <row r="37" spans="2:2" x14ac:dyDescent="0.3">
      <c r="B37" s="1"/>
    </row>
    <row r="38" spans="2:2" x14ac:dyDescent="0.3">
      <c r="B38" s="1"/>
    </row>
    <row r="39" spans="2:2" x14ac:dyDescent="0.3">
      <c r="B39" s="1"/>
    </row>
    <row r="40" spans="2:2" x14ac:dyDescent="0.3">
      <c r="B40" s="1"/>
    </row>
    <row r="41" spans="2:2" x14ac:dyDescent="0.3">
      <c r="B41" s="1"/>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2" x14ac:dyDescent="0.3">
      <c r="B49" s="1"/>
    </row>
    <row r="50" spans="2:2" x14ac:dyDescent="0.3">
      <c r="B50" s="1"/>
    </row>
    <row r="51" spans="2:2" x14ac:dyDescent="0.3">
      <c r="B51" s="1"/>
    </row>
    <row r="52" spans="2:2" x14ac:dyDescent="0.3">
      <c r="B52" s="1"/>
    </row>
    <row r="53" spans="2:2" x14ac:dyDescent="0.3">
      <c r="B53" s="1"/>
    </row>
    <row r="54" spans="2:2" x14ac:dyDescent="0.3">
      <c r="B54" s="1"/>
    </row>
    <row r="55" spans="2:2" x14ac:dyDescent="0.3">
      <c r="B55" s="1"/>
    </row>
    <row r="56" spans="2:2" x14ac:dyDescent="0.3">
      <c r="B56" s="1"/>
    </row>
    <row r="57" spans="2:2" x14ac:dyDescent="0.3">
      <c r="B57" s="1"/>
    </row>
    <row r="58" spans="2:2" x14ac:dyDescent="0.3">
      <c r="B58" s="1"/>
    </row>
    <row r="59" spans="2:2" x14ac:dyDescent="0.3">
      <c r="B59" s="1"/>
    </row>
    <row r="60" spans="2:2" x14ac:dyDescent="0.3">
      <c r="B60" s="1"/>
    </row>
    <row r="61" spans="2:2" x14ac:dyDescent="0.3">
      <c r="B61" s="1"/>
    </row>
    <row r="62" spans="2:2" x14ac:dyDescent="0.3">
      <c r="B62" s="1"/>
    </row>
    <row r="63" spans="2:2" x14ac:dyDescent="0.3">
      <c r="B63" s="1"/>
    </row>
    <row r="64" spans="2:2" x14ac:dyDescent="0.3">
      <c r="B64" s="1"/>
    </row>
    <row r="65" spans="2:2" x14ac:dyDescent="0.3">
      <c r="B65" s="1"/>
    </row>
    <row r="66" spans="2:2" x14ac:dyDescent="0.3">
      <c r="B66" s="1"/>
    </row>
    <row r="67" spans="2:2" x14ac:dyDescent="0.3">
      <c r="B67" s="1"/>
    </row>
    <row r="68" spans="2:2" x14ac:dyDescent="0.3">
      <c r="B68" s="1"/>
    </row>
    <row r="69" spans="2:2" x14ac:dyDescent="0.3">
      <c r="B69" s="1"/>
    </row>
    <row r="70" spans="2:2" x14ac:dyDescent="0.3">
      <c r="B70" s="1"/>
    </row>
    <row r="71" spans="2:2" x14ac:dyDescent="0.3">
      <c r="B71" s="1"/>
    </row>
    <row r="72" spans="2:2" x14ac:dyDescent="0.3">
      <c r="B72" s="1"/>
    </row>
    <row r="73" spans="2:2" x14ac:dyDescent="0.3">
      <c r="B73" s="1"/>
    </row>
    <row r="74" spans="2:2" x14ac:dyDescent="0.3">
      <c r="B74" s="1"/>
    </row>
    <row r="75" spans="2:2" x14ac:dyDescent="0.3">
      <c r="B75" s="1"/>
    </row>
    <row r="76" spans="2:2" x14ac:dyDescent="0.3">
      <c r="B76" s="1"/>
    </row>
    <row r="77" spans="2:2" x14ac:dyDescent="0.3">
      <c r="B77" s="1"/>
    </row>
    <row r="78" spans="2:2" x14ac:dyDescent="0.3">
      <c r="B78" s="1"/>
    </row>
    <row r="79" spans="2:2" x14ac:dyDescent="0.3">
      <c r="B79" s="1"/>
    </row>
    <row r="80" spans="2:2" x14ac:dyDescent="0.3">
      <c r="B80" s="1"/>
    </row>
    <row r="81" spans="2:2" x14ac:dyDescent="0.3">
      <c r="B81" s="1"/>
    </row>
    <row r="82" spans="2:2" x14ac:dyDescent="0.3">
      <c r="B82" s="1"/>
    </row>
    <row r="83" spans="2:2" x14ac:dyDescent="0.3">
      <c r="B83" s="1"/>
    </row>
    <row r="84" spans="2:2" x14ac:dyDescent="0.3">
      <c r="B84" s="1"/>
    </row>
    <row r="85" spans="2:2" x14ac:dyDescent="0.3">
      <c r="B85" s="1"/>
    </row>
    <row r="86" spans="2:2" x14ac:dyDescent="0.3">
      <c r="B86" s="1"/>
    </row>
    <row r="87" spans="2:2" x14ac:dyDescent="0.3">
      <c r="B87" s="1"/>
    </row>
    <row r="88" spans="2:2" x14ac:dyDescent="0.3">
      <c r="B88" s="1"/>
    </row>
    <row r="89" spans="2:2" x14ac:dyDescent="0.3">
      <c r="B89" s="1"/>
    </row>
    <row r="90" spans="2:2" x14ac:dyDescent="0.3">
      <c r="B90" s="1"/>
    </row>
    <row r="91" spans="2:2" x14ac:dyDescent="0.3">
      <c r="B91" s="1"/>
    </row>
    <row r="92" spans="2:2" x14ac:dyDescent="0.3">
      <c r="B92" s="1"/>
    </row>
    <row r="93" spans="2:2" x14ac:dyDescent="0.3">
      <c r="B93" s="1"/>
    </row>
    <row r="94" spans="2:2" x14ac:dyDescent="0.3">
      <c r="B94" s="1"/>
    </row>
    <row r="95" spans="2:2" x14ac:dyDescent="0.3">
      <c r="B95" s="1"/>
    </row>
    <row r="96" spans="2:2" x14ac:dyDescent="0.3">
      <c r="B96" s="1"/>
    </row>
    <row r="97" spans="2:2" x14ac:dyDescent="0.3">
      <c r="B97" s="1"/>
    </row>
    <row r="98" spans="2:2" x14ac:dyDescent="0.3">
      <c r="B98" s="1"/>
    </row>
    <row r="99" spans="2:2" x14ac:dyDescent="0.3">
      <c r="B99" s="1"/>
    </row>
    <row r="100" spans="2:2" x14ac:dyDescent="0.3">
      <c r="B100" s="1"/>
    </row>
    <row r="101" spans="2:2" x14ac:dyDescent="0.3">
      <c r="B101" s="1"/>
    </row>
    <row r="102" spans="2:2" x14ac:dyDescent="0.3">
      <c r="B102" s="1"/>
    </row>
    <row r="103" spans="2:2" x14ac:dyDescent="0.3">
      <c r="B103" s="1"/>
    </row>
    <row r="104" spans="2:2" x14ac:dyDescent="0.3">
      <c r="B104" s="1"/>
    </row>
    <row r="105" spans="2:2" x14ac:dyDescent="0.3">
      <c r="B105" s="1"/>
    </row>
    <row r="106" spans="2:2" x14ac:dyDescent="0.3">
      <c r="B106" s="1"/>
    </row>
    <row r="107" spans="2:2" x14ac:dyDescent="0.3">
      <c r="B107" s="1"/>
    </row>
    <row r="108" spans="2:2" x14ac:dyDescent="0.3">
      <c r="B108" s="1"/>
    </row>
    <row r="109" spans="2:2" x14ac:dyDescent="0.3">
      <c r="B109" s="1"/>
    </row>
    <row r="110" spans="2:2" x14ac:dyDescent="0.3">
      <c r="B110" s="1"/>
    </row>
    <row r="111" spans="2:2" x14ac:dyDescent="0.3">
      <c r="B111" s="1"/>
    </row>
    <row r="112" spans="2:2" x14ac:dyDescent="0.3">
      <c r="B112" s="1"/>
    </row>
    <row r="113" spans="2:2" x14ac:dyDescent="0.3">
      <c r="B113" s="1"/>
    </row>
    <row r="114" spans="2:2" x14ac:dyDescent="0.3">
      <c r="B114" s="1"/>
    </row>
    <row r="115" spans="2:2" x14ac:dyDescent="0.3">
      <c r="B115" s="1"/>
    </row>
    <row r="116" spans="2:2" x14ac:dyDescent="0.3">
      <c r="B116" s="1"/>
    </row>
    <row r="117" spans="2:2" x14ac:dyDescent="0.3">
      <c r="B117" s="1"/>
    </row>
    <row r="118" spans="2:2" x14ac:dyDescent="0.3">
      <c r="B118" s="1"/>
    </row>
    <row r="119" spans="2:2" x14ac:dyDescent="0.3">
      <c r="B119" s="1"/>
    </row>
    <row r="120" spans="2:2" x14ac:dyDescent="0.3">
      <c r="B120" s="1"/>
    </row>
    <row r="121" spans="2:2" x14ac:dyDescent="0.3">
      <c r="B121" s="1"/>
    </row>
    <row r="122" spans="2:2" x14ac:dyDescent="0.3">
      <c r="B122" s="1"/>
    </row>
    <row r="123" spans="2:2" x14ac:dyDescent="0.3">
      <c r="B123" s="1"/>
    </row>
    <row r="124" spans="2:2" x14ac:dyDescent="0.3">
      <c r="B124" s="1"/>
    </row>
    <row r="125" spans="2:2" x14ac:dyDescent="0.3">
      <c r="B125" s="1"/>
    </row>
    <row r="126" spans="2:2" x14ac:dyDescent="0.3">
      <c r="B126" s="1"/>
    </row>
    <row r="127" spans="2:2" x14ac:dyDescent="0.3">
      <c r="B127" s="1"/>
    </row>
    <row r="128" spans="2:2" x14ac:dyDescent="0.3">
      <c r="B128" s="1"/>
    </row>
    <row r="129" spans="2:2" x14ac:dyDescent="0.3">
      <c r="B129" s="1"/>
    </row>
    <row r="130" spans="2:2" x14ac:dyDescent="0.3">
      <c r="B130" s="1"/>
    </row>
    <row r="131" spans="2:2" x14ac:dyDescent="0.3">
      <c r="B131" s="1"/>
    </row>
    <row r="132" spans="2:2" x14ac:dyDescent="0.3">
      <c r="B132" s="1"/>
    </row>
    <row r="133" spans="2:2" x14ac:dyDescent="0.3">
      <c r="B133" s="1"/>
    </row>
    <row r="134" spans="2:2" x14ac:dyDescent="0.3">
      <c r="B134" s="1"/>
    </row>
    <row r="135" spans="2:2" x14ac:dyDescent="0.3">
      <c r="B135" s="1"/>
    </row>
    <row r="136" spans="2:2" x14ac:dyDescent="0.3">
      <c r="B136" s="1"/>
    </row>
    <row r="137" spans="2:2" x14ac:dyDescent="0.3">
      <c r="B137" s="1"/>
    </row>
    <row r="138" spans="2:2" x14ac:dyDescent="0.3">
      <c r="B138" s="1"/>
    </row>
    <row r="139" spans="2:2" x14ac:dyDescent="0.3">
      <c r="B139" s="1"/>
    </row>
    <row r="140" spans="2:2" x14ac:dyDescent="0.3">
      <c r="B140" s="1"/>
    </row>
    <row r="141" spans="2:2" x14ac:dyDescent="0.3">
      <c r="B141" s="1"/>
    </row>
    <row r="142" spans="2:2" x14ac:dyDescent="0.3">
      <c r="B142" s="1"/>
    </row>
    <row r="143" spans="2:2" x14ac:dyDescent="0.3">
      <c r="B143" s="1"/>
    </row>
    <row r="144" spans="2:2" x14ac:dyDescent="0.3">
      <c r="B144" s="1"/>
    </row>
    <row r="145" spans="2:2" x14ac:dyDescent="0.3">
      <c r="B145" s="1"/>
    </row>
    <row r="146" spans="2:2" x14ac:dyDescent="0.3">
      <c r="B146" s="1"/>
    </row>
    <row r="147" spans="2:2" x14ac:dyDescent="0.3">
      <c r="B147" s="1"/>
    </row>
    <row r="148" spans="2:2" x14ac:dyDescent="0.3">
      <c r="B148" s="1"/>
    </row>
    <row r="149" spans="2:2" x14ac:dyDescent="0.3">
      <c r="B149" s="1"/>
    </row>
    <row r="150" spans="2:2" x14ac:dyDescent="0.3">
      <c r="B150" s="1"/>
    </row>
    <row r="151" spans="2:2" x14ac:dyDescent="0.3">
      <c r="B151" s="1"/>
    </row>
    <row r="152" spans="2:2" x14ac:dyDescent="0.3">
      <c r="B152" s="1"/>
    </row>
    <row r="153" spans="2:2" x14ac:dyDescent="0.3">
      <c r="B153" s="1"/>
    </row>
    <row r="154" spans="2:2" x14ac:dyDescent="0.3">
      <c r="B154" s="1"/>
    </row>
    <row r="155" spans="2:2" x14ac:dyDescent="0.3">
      <c r="B155" s="1"/>
    </row>
    <row r="156" spans="2:2" x14ac:dyDescent="0.3">
      <c r="B156" s="1"/>
    </row>
    <row r="157" spans="2:2" x14ac:dyDescent="0.3">
      <c r="B157" s="1"/>
    </row>
    <row r="158" spans="2:2" x14ac:dyDescent="0.3">
      <c r="B158" s="1"/>
    </row>
    <row r="159" spans="2:2" x14ac:dyDescent="0.3">
      <c r="B159" s="1"/>
    </row>
    <row r="160" spans="2:2" x14ac:dyDescent="0.3">
      <c r="B160" s="1"/>
    </row>
    <row r="161" spans="2:2" x14ac:dyDescent="0.3">
      <c r="B161" s="1"/>
    </row>
    <row r="162" spans="2:2" x14ac:dyDescent="0.3">
      <c r="B162" s="1"/>
    </row>
    <row r="163" spans="2:2" x14ac:dyDescent="0.3">
      <c r="B163" s="1"/>
    </row>
    <row r="164" spans="2:2" x14ac:dyDescent="0.3">
      <c r="B164" s="1"/>
    </row>
    <row r="165" spans="2:2" x14ac:dyDescent="0.3">
      <c r="B165" s="1"/>
    </row>
    <row r="166" spans="2:2" x14ac:dyDescent="0.3">
      <c r="B166" s="1"/>
    </row>
    <row r="167" spans="2:2" x14ac:dyDescent="0.3">
      <c r="B167" s="1"/>
    </row>
    <row r="168" spans="2:2" x14ac:dyDescent="0.3">
      <c r="B168" s="1"/>
    </row>
    <row r="169" spans="2:2" x14ac:dyDescent="0.3">
      <c r="B169" s="1"/>
    </row>
    <row r="170" spans="2:2" x14ac:dyDescent="0.3">
      <c r="B170" s="1"/>
    </row>
    <row r="171" spans="2:2" x14ac:dyDescent="0.3">
      <c r="B171" s="1"/>
    </row>
    <row r="172" spans="2:2" x14ac:dyDescent="0.3">
      <c r="B172" s="1"/>
    </row>
    <row r="173" spans="2:2" x14ac:dyDescent="0.3">
      <c r="B173" s="1"/>
    </row>
    <row r="174" spans="2:2" x14ac:dyDescent="0.3">
      <c r="B174" s="1"/>
    </row>
    <row r="175" spans="2:2" x14ac:dyDescent="0.3">
      <c r="B175" s="1"/>
    </row>
    <row r="176" spans="2:2" x14ac:dyDescent="0.3">
      <c r="B176" s="1"/>
    </row>
    <row r="177" spans="2:2" x14ac:dyDescent="0.3">
      <c r="B177" s="1"/>
    </row>
    <row r="178" spans="2:2" x14ac:dyDescent="0.3">
      <c r="B178" s="1"/>
    </row>
    <row r="179" spans="2:2" x14ac:dyDescent="0.3">
      <c r="B179" s="1"/>
    </row>
    <row r="180" spans="2:2" x14ac:dyDescent="0.3">
      <c r="B180" s="1"/>
    </row>
    <row r="181" spans="2:2" x14ac:dyDescent="0.3">
      <c r="B181" s="1"/>
    </row>
    <row r="182" spans="2:2" x14ac:dyDescent="0.3">
      <c r="B182" s="1"/>
    </row>
    <row r="183" spans="2:2" x14ac:dyDescent="0.3">
      <c r="B183" s="1"/>
    </row>
    <row r="184" spans="2:2" x14ac:dyDescent="0.3">
      <c r="B184" s="1"/>
    </row>
    <row r="185" spans="2:2" x14ac:dyDescent="0.3">
      <c r="B185" s="1"/>
    </row>
    <row r="186" spans="2:2" x14ac:dyDescent="0.3">
      <c r="B186" s="1"/>
    </row>
    <row r="187" spans="2:2" x14ac:dyDescent="0.3">
      <c r="B187" s="1"/>
    </row>
    <row r="188" spans="2:2" x14ac:dyDescent="0.3">
      <c r="B188" s="1"/>
    </row>
    <row r="189" spans="2:2" x14ac:dyDescent="0.3">
      <c r="B189" s="1"/>
    </row>
    <row r="190" spans="2:2" x14ac:dyDescent="0.3">
      <c r="B190" s="1"/>
    </row>
    <row r="191" spans="2:2" x14ac:dyDescent="0.3">
      <c r="B191" s="1"/>
    </row>
    <row r="192" spans="2:2"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row r="290" spans="2:2" x14ac:dyDescent="0.3">
      <c r="B290" s="1"/>
    </row>
    <row r="291" spans="2:2" x14ac:dyDescent="0.3">
      <c r="B291" s="1"/>
    </row>
    <row r="292" spans="2:2" x14ac:dyDescent="0.3">
      <c r="B292" s="1"/>
    </row>
    <row r="293" spans="2:2" x14ac:dyDescent="0.3">
      <c r="B293" s="1"/>
    </row>
    <row r="294" spans="2:2" x14ac:dyDescent="0.3">
      <c r="B294" s="1"/>
    </row>
    <row r="295" spans="2:2" x14ac:dyDescent="0.3">
      <c r="B295" s="1"/>
    </row>
    <row r="296" spans="2:2" x14ac:dyDescent="0.3">
      <c r="B296" s="1"/>
    </row>
    <row r="297" spans="2:2" x14ac:dyDescent="0.3">
      <c r="B297" s="1"/>
    </row>
    <row r="298" spans="2:2" x14ac:dyDescent="0.3">
      <c r="B298" s="1"/>
    </row>
    <row r="299" spans="2:2" x14ac:dyDescent="0.3">
      <c r="B299" s="1"/>
    </row>
    <row r="300" spans="2:2" x14ac:dyDescent="0.3">
      <c r="B300" s="1"/>
    </row>
    <row r="301" spans="2:2" x14ac:dyDescent="0.3">
      <c r="B301" s="1"/>
    </row>
    <row r="302" spans="2:2" x14ac:dyDescent="0.3">
      <c r="B302" s="1"/>
    </row>
    <row r="303" spans="2:2" x14ac:dyDescent="0.3">
      <c r="B303" s="1"/>
    </row>
    <row r="304" spans="2:2" x14ac:dyDescent="0.3">
      <c r="B304" s="1"/>
    </row>
    <row r="305" spans="2:2" x14ac:dyDescent="0.3">
      <c r="B305" s="1"/>
    </row>
    <row r="306" spans="2:2" x14ac:dyDescent="0.3">
      <c r="B306" s="1"/>
    </row>
    <row r="307" spans="2:2" x14ac:dyDescent="0.3">
      <c r="B307" s="1"/>
    </row>
    <row r="308" spans="2:2" x14ac:dyDescent="0.3">
      <c r="B308" s="1"/>
    </row>
    <row r="309" spans="2:2" x14ac:dyDescent="0.3">
      <c r="B309" s="1"/>
    </row>
    <row r="310" spans="2:2" x14ac:dyDescent="0.3">
      <c r="B310" s="1"/>
    </row>
    <row r="311" spans="2:2" x14ac:dyDescent="0.3">
      <c r="B311" s="1"/>
    </row>
    <row r="312" spans="2:2" x14ac:dyDescent="0.3">
      <c r="B312" s="1"/>
    </row>
    <row r="313" spans="2:2" x14ac:dyDescent="0.3">
      <c r="B313" s="1"/>
    </row>
    <row r="314" spans="2:2" x14ac:dyDescent="0.3">
      <c r="B314" s="1"/>
    </row>
    <row r="315" spans="2:2" x14ac:dyDescent="0.3">
      <c r="B315" s="1"/>
    </row>
    <row r="316" spans="2:2" x14ac:dyDescent="0.3">
      <c r="B316" s="1"/>
    </row>
    <row r="317" spans="2:2" x14ac:dyDescent="0.3">
      <c r="B317" s="1"/>
    </row>
    <row r="318" spans="2:2" x14ac:dyDescent="0.3">
      <c r="B318" s="1"/>
    </row>
    <row r="319" spans="2:2" x14ac:dyDescent="0.3">
      <c r="B319" s="1"/>
    </row>
    <row r="320" spans="2:2" x14ac:dyDescent="0.3">
      <c r="B320" s="1"/>
    </row>
    <row r="321" spans="2:2" x14ac:dyDescent="0.3">
      <c r="B321" s="1"/>
    </row>
    <row r="322" spans="2:2" x14ac:dyDescent="0.3">
      <c r="B322" s="1"/>
    </row>
    <row r="323" spans="2:2" x14ac:dyDescent="0.3">
      <c r="B323" s="1"/>
    </row>
    <row r="324" spans="2:2" x14ac:dyDescent="0.3">
      <c r="B324" s="1"/>
    </row>
    <row r="325" spans="2:2" x14ac:dyDescent="0.3">
      <c r="B325" s="1"/>
    </row>
    <row r="326" spans="2:2" x14ac:dyDescent="0.3">
      <c r="B326" s="1"/>
    </row>
    <row r="327" spans="2:2" x14ac:dyDescent="0.3">
      <c r="B327" s="1"/>
    </row>
    <row r="328" spans="2:2" x14ac:dyDescent="0.3">
      <c r="B328" s="1"/>
    </row>
    <row r="329" spans="2:2" x14ac:dyDescent="0.3">
      <c r="B329" s="1"/>
    </row>
    <row r="330" spans="2:2" x14ac:dyDescent="0.3">
      <c r="B330" s="1"/>
    </row>
    <row r="331" spans="2:2" x14ac:dyDescent="0.3">
      <c r="B331" s="1"/>
    </row>
    <row r="332" spans="2:2" x14ac:dyDescent="0.3">
      <c r="B332" s="1"/>
    </row>
    <row r="333" spans="2:2" x14ac:dyDescent="0.3">
      <c r="B333" s="1"/>
    </row>
    <row r="334" spans="2:2" x14ac:dyDescent="0.3">
      <c r="B334" s="1"/>
    </row>
    <row r="335" spans="2:2" x14ac:dyDescent="0.3">
      <c r="B335" s="1"/>
    </row>
    <row r="336" spans="2:2" x14ac:dyDescent="0.3">
      <c r="B336" s="1"/>
    </row>
    <row r="337" spans="2:2" x14ac:dyDescent="0.3">
      <c r="B337" s="1"/>
    </row>
    <row r="338" spans="2:2" x14ac:dyDescent="0.3">
      <c r="B338" s="1"/>
    </row>
    <row r="339" spans="2:2" x14ac:dyDescent="0.3">
      <c r="B339" s="1"/>
    </row>
    <row r="340" spans="2:2" x14ac:dyDescent="0.3">
      <c r="B340" s="1"/>
    </row>
    <row r="341" spans="2:2" x14ac:dyDescent="0.3">
      <c r="B341" s="1"/>
    </row>
    <row r="342" spans="2:2" x14ac:dyDescent="0.3">
      <c r="B342" s="1"/>
    </row>
    <row r="343" spans="2:2" x14ac:dyDescent="0.3">
      <c r="B343" s="1"/>
    </row>
    <row r="344" spans="2:2" x14ac:dyDescent="0.3">
      <c r="B344" s="1"/>
    </row>
    <row r="345" spans="2:2" x14ac:dyDescent="0.3">
      <c r="B345" s="1"/>
    </row>
    <row r="346" spans="2:2" x14ac:dyDescent="0.3">
      <c r="B346" s="1"/>
    </row>
    <row r="347" spans="2:2" x14ac:dyDescent="0.3">
      <c r="B347" s="1"/>
    </row>
    <row r="348" spans="2:2" x14ac:dyDescent="0.3">
      <c r="B348" s="1"/>
    </row>
    <row r="349" spans="2:2" x14ac:dyDescent="0.3">
      <c r="B349" s="1"/>
    </row>
    <row r="350" spans="2:2" x14ac:dyDescent="0.3">
      <c r="B350" s="1"/>
    </row>
    <row r="351" spans="2:2" x14ac:dyDescent="0.3">
      <c r="B351" s="1"/>
    </row>
    <row r="352" spans="2:2" x14ac:dyDescent="0.3">
      <c r="B352" s="1"/>
    </row>
    <row r="353" spans="2:2" x14ac:dyDescent="0.3">
      <c r="B353" s="1"/>
    </row>
    <row r="354" spans="2:2" x14ac:dyDescent="0.3">
      <c r="B354" s="1"/>
    </row>
    <row r="355" spans="2:2" x14ac:dyDescent="0.3">
      <c r="B355" s="1"/>
    </row>
    <row r="356" spans="2:2" x14ac:dyDescent="0.3">
      <c r="B356" s="1"/>
    </row>
    <row r="357" spans="2:2" x14ac:dyDescent="0.3">
      <c r="B357" s="1"/>
    </row>
    <row r="358" spans="2:2" x14ac:dyDescent="0.3">
      <c r="B358" s="1"/>
    </row>
    <row r="359" spans="2:2" x14ac:dyDescent="0.3">
      <c r="B359" s="1"/>
    </row>
    <row r="360" spans="2:2" x14ac:dyDescent="0.3">
      <c r="B360" s="1"/>
    </row>
    <row r="361" spans="2:2" x14ac:dyDescent="0.3">
      <c r="B361" s="1"/>
    </row>
    <row r="362" spans="2:2" x14ac:dyDescent="0.3">
      <c r="B362" s="1"/>
    </row>
    <row r="363" spans="2:2" x14ac:dyDescent="0.3">
      <c r="B363" s="1"/>
    </row>
    <row r="364" spans="2:2" x14ac:dyDescent="0.3">
      <c r="B364" s="1"/>
    </row>
    <row r="365" spans="2:2" x14ac:dyDescent="0.3">
      <c r="B365" s="1"/>
    </row>
    <row r="366" spans="2:2" x14ac:dyDescent="0.3">
      <c r="B366" s="1"/>
    </row>
    <row r="367" spans="2:2" x14ac:dyDescent="0.3">
      <c r="B367" s="1"/>
    </row>
    <row r="368" spans="2:2" x14ac:dyDescent="0.3">
      <c r="B368" s="1"/>
    </row>
    <row r="369" spans="2:2" x14ac:dyDescent="0.3">
      <c r="B369" s="1"/>
    </row>
    <row r="370" spans="2:2" x14ac:dyDescent="0.3">
      <c r="B370" s="1"/>
    </row>
    <row r="371" spans="2:2" x14ac:dyDescent="0.3">
      <c r="B371" s="1"/>
    </row>
    <row r="372" spans="2:2" x14ac:dyDescent="0.3">
      <c r="B372" s="1"/>
    </row>
    <row r="373" spans="2:2" x14ac:dyDescent="0.3">
      <c r="B373" s="1"/>
    </row>
    <row r="374" spans="2:2" x14ac:dyDescent="0.3">
      <c r="B374" s="1"/>
    </row>
    <row r="375" spans="2:2" x14ac:dyDescent="0.3">
      <c r="B375" s="1"/>
    </row>
    <row r="376" spans="2:2" x14ac:dyDescent="0.3">
      <c r="B376" s="1"/>
    </row>
    <row r="377" spans="2:2" x14ac:dyDescent="0.3">
      <c r="B377" s="1"/>
    </row>
    <row r="378" spans="2:2" x14ac:dyDescent="0.3">
      <c r="B378" s="1"/>
    </row>
    <row r="379" spans="2:2" x14ac:dyDescent="0.3">
      <c r="B379" s="1"/>
    </row>
    <row r="380" spans="2:2" x14ac:dyDescent="0.3">
      <c r="B380" s="1"/>
    </row>
    <row r="381" spans="2:2" x14ac:dyDescent="0.3">
      <c r="B381" s="1"/>
    </row>
    <row r="382" spans="2:2" x14ac:dyDescent="0.3">
      <c r="B382" s="1"/>
    </row>
    <row r="383" spans="2:2" x14ac:dyDescent="0.3">
      <c r="B383" s="1"/>
    </row>
    <row r="384" spans="2:2" x14ac:dyDescent="0.3">
      <c r="B384" s="1"/>
    </row>
    <row r="385" spans="2:2" x14ac:dyDescent="0.3">
      <c r="B385" s="1"/>
    </row>
    <row r="386" spans="2:2" x14ac:dyDescent="0.3">
      <c r="B386" s="1"/>
    </row>
    <row r="387" spans="2:2" x14ac:dyDescent="0.3">
      <c r="B387" s="1"/>
    </row>
  </sheetData>
  <mergeCells count="4">
    <mergeCell ref="A8:F8"/>
    <mergeCell ref="A13:F13"/>
    <mergeCell ref="A17:F17"/>
    <mergeCell ref="A21:F21"/>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topLeftCell="A28" zoomScale="85" zoomScaleNormal="85" workbookViewId="0">
      <selection activeCell="C28" sqref="C28"/>
    </sheetView>
  </sheetViews>
  <sheetFormatPr defaultRowHeight="14.4" x14ac:dyDescent="0.3"/>
  <cols>
    <col min="1" max="1" width="13" bestFit="1" customWidth="1"/>
    <col min="2" max="2" width="13.44140625" bestFit="1" customWidth="1"/>
    <col min="3" max="3" width="22.44140625" customWidth="1"/>
    <col min="4" max="4" width="20.109375" bestFit="1" customWidth="1"/>
    <col min="5" max="5" width="22.44140625" customWidth="1"/>
    <col min="6" max="6" width="12.5546875" bestFit="1" customWidth="1"/>
    <col min="7" max="7" width="13.44140625" bestFit="1" customWidth="1"/>
    <col min="8" max="8" width="22.44140625" bestFit="1" customWidth="1"/>
    <col min="14" max="14" width="13.44140625" bestFit="1" customWidth="1"/>
    <col min="15" max="15" width="21.33203125" bestFit="1" customWidth="1"/>
    <col min="16" max="16" width="9.6640625" customWidth="1"/>
    <col min="18" max="18" width="10.5546875" customWidth="1"/>
    <col min="19" max="19" width="13.109375" bestFit="1" customWidth="1"/>
    <col min="20" max="20" width="22" bestFit="1" customWidth="1"/>
    <col min="21" max="21" width="16.6640625" bestFit="1" customWidth="1"/>
    <col min="22" max="22" width="11" bestFit="1" customWidth="1"/>
    <col min="23" max="23" width="20.109375" bestFit="1" customWidth="1"/>
    <col min="24" max="24" width="16.44140625" bestFit="1" customWidth="1"/>
    <col min="25" max="25" width="5.109375" bestFit="1" customWidth="1"/>
    <col min="26" max="26" width="10.88671875" bestFit="1" customWidth="1"/>
  </cols>
  <sheetData>
    <row r="1" spans="1:16" ht="14.4" customHeight="1" x14ac:dyDescent="0.3">
      <c r="A1" s="29" t="s">
        <v>33</v>
      </c>
      <c r="B1" s="29"/>
      <c r="C1" s="29"/>
    </row>
    <row r="2" spans="1:16" ht="14.4" customHeight="1" x14ac:dyDescent="0.3">
      <c r="A2" s="29"/>
      <c r="B2" s="29"/>
      <c r="C2" s="29"/>
    </row>
    <row r="3" spans="1:16" x14ac:dyDescent="0.3">
      <c r="G3" s="7"/>
      <c r="M3" s="30" t="s">
        <v>82</v>
      </c>
      <c r="N3" s="31"/>
      <c r="O3" s="31"/>
      <c r="P3" s="31"/>
    </row>
    <row r="4" spans="1:16" x14ac:dyDescent="0.3">
      <c r="M4" s="31"/>
      <c r="N4" s="31"/>
      <c r="O4" s="31"/>
      <c r="P4" s="31"/>
    </row>
    <row r="5" spans="1:16" x14ac:dyDescent="0.3">
      <c r="A5" s="16" t="s">
        <v>34</v>
      </c>
      <c r="B5" s="16"/>
      <c r="C5" s="16"/>
      <c r="D5" s="16"/>
      <c r="E5" s="16"/>
      <c r="F5" s="16"/>
    </row>
    <row r="6" spans="1:16" x14ac:dyDescent="0.3">
      <c r="N6" s="13" t="s">
        <v>37</v>
      </c>
      <c r="O6" t="s">
        <v>51</v>
      </c>
    </row>
    <row r="7" spans="1:16" x14ac:dyDescent="0.3">
      <c r="B7" s="13" t="s">
        <v>37</v>
      </c>
      <c r="C7" t="s">
        <v>51</v>
      </c>
      <c r="N7" s="25" t="s">
        <v>44</v>
      </c>
      <c r="O7" s="23">
        <v>306</v>
      </c>
    </row>
    <row r="8" spans="1:16" x14ac:dyDescent="0.3">
      <c r="B8" s="25" t="s">
        <v>76</v>
      </c>
      <c r="C8" s="23">
        <v>230</v>
      </c>
      <c r="N8" s="25" t="s">
        <v>45</v>
      </c>
      <c r="O8" s="23">
        <v>539</v>
      </c>
    </row>
    <row r="9" spans="1:16" x14ac:dyDescent="0.3">
      <c r="B9" s="25" t="s">
        <v>77</v>
      </c>
      <c r="C9" s="23">
        <v>189</v>
      </c>
      <c r="N9" s="25" t="s">
        <v>46</v>
      </c>
      <c r="O9" s="23">
        <v>487</v>
      </c>
    </row>
    <row r="10" spans="1:16" x14ac:dyDescent="0.3">
      <c r="B10" s="25" t="s">
        <v>78</v>
      </c>
      <c r="C10" s="23">
        <v>196</v>
      </c>
      <c r="N10" s="25" t="s">
        <v>47</v>
      </c>
      <c r="O10" s="23">
        <v>472</v>
      </c>
    </row>
    <row r="11" spans="1:16" x14ac:dyDescent="0.3">
      <c r="B11" s="25" t="s">
        <v>40</v>
      </c>
      <c r="C11" s="23">
        <v>283</v>
      </c>
      <c r="N11" s="25" t="s">
        <v>48</v>
      </c>
      <c r="O11" s="23">
        <v>505</v>
      </c>
    </row>
    <row r="12" spans="1:16" x14ac:dyDescent="0.3">
      <c r="B12" s="25" t="s">
        <v>59</v>
      </c>
      <c r="C12" s="23">
        <v>268</v>
      </c>
      <c r="N12" s="25" t="s">
        <v>49</v>
      </c>
      <c r="O12" s="23">
        <v>452</v>
      </c>
    </row>
    <row r="13" spans="1:16" x14ac:dyDescent="0.3">
      <c r="B13" s="25" t="s">
        <v>58</v>
      </c>
      <c r="C13" s="23">
        <v>306</v>
      </c>
      <c r="N13" s="25" t="s">
        <v>50</v>
      </c>
      <c r="O13" s="23">
        <v>308</v>
      </c>
    </row>
    <row r="14" spans="1:16" x14ac:dyDescent="0.3">
      <c r="B14" s="25" t="s">
        <v>57</v>
      </c>
      <c r="C14" s="23">
        <v>275</v>
      </c>
      <c r="N14" s="25" t="s">
        <v>38</v>
      </c>
      <c r="O14" s="23">
        <v>3069</v>
      </c>
    </row>
    <row r="15" spans="1:16" x14ac:dyDescent="0.3">
      <c r="B15" s="25" t="s">
        <v>56</v>
      </c>
      <c r="C15" s="23">
        <v>285</v>
      </c>
    </row>
    <row r="16" spans="1:16" x14ac:dyDescent="0.3">
      <c r="B16" s="25" t="s">
        <v>55</v>
      </c>
      <c r="C16" s="23">
        <v>223</v>
      </c>
    </row>
    <row r="17" spans="1:15" x14ac:dyDescent="0.3">
      <c r="B17" s="25" t="s">
        <v>54</v>
      </c>
      <c r="C17" s="23">
        <v>266</v>
      </c>
      <c r="H17" s="15"/>
      <c r="I17" s="15"/>
    </row>
    <row r="18" spans="1:15" x14ac:dyDescent="0.3">
      <c r="B18" s="25" t="s">
        <v>53</v>
      </c>
      <c r="C18" s="23">
        <v>275</v>
      </c>
    </row>
    <row r="19" spans="1:15" x14ac:dyDescent="0.3">
      <c r="B19" s="25" t="s">
        <v>52</v>
      </c>
      <c r="C19" s="23">
        <v>273</v>
      </c>
    </row>
    <row r="20" spans="1:15" x14ac:dyDescent="0.3">
      <c r="B20" s="25" t="s">
        <v>38</v>
      </c>
      <c r="C20" s="23">
        <v>3069</v>
      </c>
    </row>
    <row r="21" spans="1:15" x14ac:dyDescent="0.3">
      <c r="N21" s="13" t="s">
        <v>37</v>
      </c>
      <c r="O21" t="s">
        <v>51</v>
      </c>
    </row>
    <row r="22" spans="1:15" x14ac:dyDescent="0.3">
      <c r="N22" s="25" t="s">
        <v>79</v>
      </c>
      <c r="O22" s="23">
        <v>832</v>
      </c>
    </row>
    <row r="23" spans="1:15" x14ac:dyDescent="0.3">
      <c r="N23" s="25" t="s">
        <v>39</v>
      </c>
      <c r="O23" s="23">
        <v>2237</v>
      </c>
    </row>
    <row r="24" spans="1:15" x14ac:dyDescent="0.3">
      <c r="A24" s="16" t="s">
        <v>35</v>
      </c>
      <c r="B24" s="16"/>
      <c r="C24" s="16"/>
      <c r="D24" s="16"/>
      <c r="E24" s="16"/>
      <c r="F24" s="16"/>
      <c r="N24" s="25" t="s">
        <v>38</v>
      </c>
      <c r="O24" s="23">
        <v>3069</v>
      </c>
    </row>
    <row r="28" spans="1:15" x14ac:dyDescent="0.3">
      <c r="B28" s="13" t="s">
        <v>37</v>
      </c>
      <c r="C28" t="s">
        <v>41</v>
      </c>
    </row>
    <row r="29" spans="1:15" x14ac:dyDescent="0.3">
      <c r="B29" s="25" t="s">
        <v>81</v>
      </c>
      <c r="C29" s="14">
        <v>4.3336591723688499E-2</v>
      </c>
    </row>
    <row r="30" spans="1:15" x14ac:dyDescent="0.3">
      <c r="B30" s="25" t="s">
        <v>80</v>
      </c>
      <c r="C30" s="14">
        <v>0.95666340827631147</v>
      </c>
    </row>
    <row r="31" spans="1:15" x14ac:dyDescent="0.3">
      <c r="B31" s="25" t="s">
        <v>38</v>
      </c>
      <c r="C31" s="14">
        <v>1</v>
      </c>
    </row>
    <row r="40" spans="1:4" x14ac:dyDescent="0.3">
      <c r="A40" s="16" t="s">
        <v>36</v>
      </c>
      <c r="B40" s="16"/>
      <c r="C40" s="16"/>
      <c r="D40" s="16"/>
    </row>
    <row r="42" spans="1:4" x14ac:dyDescent="0.3">
      <c r="B42" s="13" t="s">
        <v>37</v>
      </c>
      <c r="C42" t="s">
        <v>43</v>
      </c>
    </row>
    <row r="43" spans="1:4" x14ac:dyDescent="0.3">
      <c r="B43" s="25" t="s">
        <v>79</v>
      </c>
      <c r="C43" s="23">
        <v>346</v>
      </c>
    </row>
    <row r="44" spans="1:4" x14ac:dyDescent="0.3">
      <c r="B44" s="25" t="s">
        <v>39</v>
      </c>
      <c r="C44" s="23">
        <v>1658</v>
      </c>
    </row>
    <row r="45" spans="1:4" x14ac:dyDescent="0.3">
      <c r="B45" s="25" t="s">
        <v>38</v>
      </c>
      <c r="C45" s="23">
        <v>2004</v>
      </c>
    </row>
  </sheetData>
  <mergeCells count="2">
    <mergeCell ref="A1:C2"/>
    <mergeCell ref="M3:P4"/>
  </mergeCells>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T32"/>
  <sheetViews>
    <sheetView showGridLines="0" zoomScaleNormal="100" workbookViewId="0">
      <selection activeCell="L60" sqref="L60:M62"/>
    </sheetView>
  </sheetViews>
  <sheetFormatPr defaultRowHeight="14.4" x14ac:dyDescent="0.3"/>
  <sheetData>
    <row r="12" spans="20:20" x14ac:dyDescent="0.3">
      <c r="T12" s="5"/>
    </row>
    <row r="13" spans="20:20" x14ac:dyDescent="0.3">
      <c r="T13" s="6"/>
    </row>
    <row r="14" spans="20:20" x14ac:dyDescent="0.3">
      <c r="T14" s="6"/>
    </row>
    <row r="15" spans="20:20" x14ac:dyDescent="0.3">
      <c r="T15" s="6"/>
    </row>
    <row r="16" spans="20:20" x14ac:dyDescent="0.3">
      <c r="T16" s="6"/>
    </row>
    <row r="17" spans="1:20" x14ac:dyDescent="0.3">
      <c r="T17" s="6"/>
    </row>
    <row r="18" spans="1:20" x14ac:dyDescent="0.3">
      <c r="T18" s="6"/>
    </row>
    <row r="19" spans="1:20" x14ac:dyDescent="0.3">
      <c r="T19" s="6"/>
    </row>
    <row r="32" spans="1:20" x14ac:dyDescent="0.3">
      <c r="A32" s="4" t="s">
        <v>15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M6"/>
  <sheetViews>
    <sheetView showGridLines="0" zoomScale="86" workbookViewId="0">
      <selection activeCell="S4" sqref="S4"/>
    </sheetView>
  </sheetViews>
  <sheetFormatPr defaultRowHeight="14.4" x14ac:dyDescent="0.3"/>
  <cols>
    <col min="18" max="18" width="13.33203125" bestFit="1" customWidth="1"/>
    <col min="19" max="19" width="21" bestFit="1" customWidth="1"/>
    <col min="20" max="20" width="28.21875" bestFit="1" customWidth="1"/>
  </cols>
  <sheetData>
    <row r="5" spans="2:13" x14ac:dyDescent="0.3">
      <c r="B5">
        <f>GETPIVOTDATA("created_date",'Visualization &amp; Reporting'!$N$21)</f>
        <v>3069</v>
      </c>
      <c r="F5">
        <f>GETPIVOTDATA("canceled_date",'Visualization &amp; Reporting'!$B$42)</f>
        <v>2004</v>
      </c>
      <c r="J5" s="24">
        <f>GETPIVOTDATA("was_subscription_paid",'Visualization &amp; Reporting'!$B$28,"was_subscription_paid","Paid")</f>
        <v>0.95666340827631147</v>
      </c>
      <c r="M5" s="9">
        <f>GETPIVOTDATA("was_subscription_paid",'Visualization &amp; Reporting'!$B$28,"was_subscription_paid","Unpaid")</f>
        <v>4.3336591723688499E-2</v>
      </c>
    </row>
    <row r="6" spans="2:13" x14ac:dyDescent="0.3">
      <c r="M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Subscription Cohort Data</vt:lpstr>
      <vt:lpstr>Data Description</vt:lpstr>
      <vt:lpstr>Questions for Analysis </vt:lpstr>
      <vt:lpstr>Data prepration</vt:lpstr>
      <vt:lpstr>Data Analysis Tasks</vt:lpstr>
      <vt:lpstr>Visualization &amp; Reporting</vt:lpstr>
      <vt:lpstr>Requirements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jmaha</dc:creator>
  <cp:lastModifiedBy>Windows User</cp:lastModifiedBy>
  <dcterms:created xsi:type="dcterms:W3CDTF">2025-03-29T06:01:13Z</dcterms:created>
  <dcterms:modified xsi:type="dcterms:W3CDTF">2026-05-30T06:39:40Z</dcterms:modified>
</cp:coreProperties>
</file>